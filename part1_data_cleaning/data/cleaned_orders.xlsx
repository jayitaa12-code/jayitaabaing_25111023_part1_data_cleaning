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fb66220c276abe/Desktop/part1_data_cleaning/data/"/>
    </mc:Choice>
  </mc:AlternateContent>
  <xr:revisionPtr revIDLastSave="61" documentId="8_{861EF20A-A712-4D4D-8629-C4AD0AC16917}" xr6:coauthVersionLast="47" xr6:coauthVersionMax="47" xr10:uidLastSave="{F3DBFADA-1EE3-4B9D-9DB7-0B7ED8CB6763}"/>
  <bookViews>
    <workbookView xWindow="-108" yWindow="-108" windowWidth="23256" windowHeight="12456" activeTab="1" xr2:uid="{1ADF6CCC-713A-421D-8775-3569663813B7}"/>
  </bookViews>
  <sheets>
    <sheet name="cleaned_orders" sheetId="1" r:id="rId1"/>
    <sheet name="dup_check" sheetId="4" r:id="rId2"/>
    <sheet name="business_rules" sheetId="3" r:id="rId3"/>
  </sheets>
  <definedNames>
    <definedName name="_xlnm._FilterDatabase" localSheetId="1" hidden="1">dup_check!$A$1:$AE$913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3" i="4" l="1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2" i="4"/>
  <c r="AA913" i="4"/>
  <c r="Z913" i="4"/>
  <c r="V913" i="4"/>
  <c r="AA912" i="4"/>
  <c r="Z912" i="4"/>
  <c r="V912" i="4"/>
  <c r="AA911" i="4"/>
  <c r="Z911" i="4"/>
  <c r="V911" i="4"/>
  <c r="AA910" i="4"/>
  <c r="Z910" i="4"/>
  <c r="Y910" i="4"/>
  <c r="V910" i="4"/>
  <c r="AA909" i="4"/>
  <c r="Z909" i="4"/>
  <c r="Y909" i="4"/>
  <c r="V909" i="4"/>
  <c r="AA908" i="4"/>
  <c r="Z908" i="4"/>
  <c r="V908" i="4"/>
  <c r="AA907" i="4"/>
  <c r="Z907" i="4"/>
  <c r="V907" i="4"/>
  <c r="AA906" i="4"/>
  <c r="Z906" i="4"/>
  <c r="V906" i="4"/>
  <c r="AA905" i="4"/>
  <c r="Z905" i="4"/>
  <c r="Y905" i="4"/>
  <c r="V905" i="4"/>
  <c r="AA904" i="4"/>
  <c r="Z904" i="4"/>
  <c r="V904" i="4"/>
  <c r="AA903" i="4"/>
  <c r="Z903" i="4"/>
  <c r="V903" i="4"/>
  <c r="AA902" i="4"/>
  <c r="Z902" i="4"/>
  <c r="V902" i="4"/>
  <c r="AA901" i="4"/>
  <c r="Z901" i="4"/>
  <c r="Y901" i="4"/>
  <c r="V901" i="4"/>
  <c r="AA900" i="4"/>
  <c r="Z900" i="4"/>
  <c r="Y900" i="4"/>
  <c r="V900" i="4"/>
  <c r="AA899" i="4"/>
  <c r="Z899" i="4"/>
  <c r="Y899" i="4"/>
  <c r="V899" i="4"/>
  <c r="AA898" i="4"/>
  <c r="Z898" i="4"/>
  <c r="V898" i="4"/>
  <c r="AA897" i="4"/>
  <c r="Z897" i="4"/>
  <c r="V897" i="4"/>
  <c r="AA896" i="4"/>
  <c r="Z896" i="4"/>
  <c r="Y896" i="4"/>
  <c r="V896" i="4"/>
  <c r="AA895" i="4"/>
  <c r="Z895" i="4"/>
  <c r="V895" i="4"/>
  <c r="AA894" i="4"/>
  <c r="Z894" i="4"/>
  <c r="V894" i="4"/>
  <c r="AA893" i="4"/>
  <c r="Z893" i="4"/>
  <c r="V893" i="4"/>
  <c r="AA892" i="4"/>
  <c r="Z892" i="4"/>
  <c r="V892" i="4"/>
  <c r="AA891" i="4"/>
  <c r="Z891" i="4"/>
  <c r="Y891" i="4"/>
  <c r="V891" i="4"/>
  <c r="AA890" i="4"/>
  <c r="Z890" i="4"/>
  <c r="V890" i="4"/>
  <c r="AA889" i="4"/>
  <c r="Z889" i="4"/>
  <c r="V889" i="4"/>
  <c r="AA888" i="4"/>
  <c r="Z888" i="4"/>
  <c r="Y888" i="4"/>
  <c r="V888" i="4"/>
  <c r="AA887" i="4"/>
  <c r="Z887" i="4"/>
  <c r="V887" i="4"/>
  <c r="AA886" i="4"/>
  <c r="Z886" i="4"/>
  <c r="V886" i="4"/>
  <c r="AA885" i="4"/>
  <c r="Z885" i="4"/>
  <c r="Y885" i="4"/>
  <c r="V885" i="4"/>
  <c r="AA884" i="4"/>
  <c r="Z884" i="4"/>
  <c r="V884" i="4"/>
  <c r="AA883" i="4"/>
  <c r="Z883" i="4"/>
  <c r="V883" i="4"/>
  <c r="AA882" i="4"/>
  <c r="Z882" i="4"/>
  <c r="Y882" i="4"/>
  <c r="V882" i="4"/>
  <c r="AA881" i="4"/>
  <c r="Z881" i="4"/>
  <c r="Y881" i="4"/>
  <c r="V881" i="4"/>
  <c r="AA880" i="4"/>
  <c r="Z880" i="4"/>
  <c r="V880" i="4"/>
  <c r="AA879" i="4"/>
  <c r="Z879" i="4"/>
  <c r="Y879" i="4"/>
  <c r="V879" i="4"/>
  <c r="AA878" i="4"/>
  <c r="Z878" i="4"/>
  <c r="V878" i="4"/>
  <c r="AA877" i="4"/>
  <c r="Z877" i="4"/>
  <c r="Y877" i="4"/>
  <c r="V877" i="4"/>
  <c r="AA876" i="4"/>
  <c r="Z876" i="4"/>
  <c r="V876" i="4"/>
  <c r="AA875" i="4"/>
  <c r="Z875" i="4"/>
  <c r="V875" i="4"/>
  <c r="AA874" i="4"/>
  <c r="Z874" i="4"/>
  <c r="Y874" i="4"/>
  <c r="V874" i="4"/>
  <c r="AA873" i="4"/>
  <c r="Z873" i="4"/>
  <c r="V873" i="4"/>
  <c r="AA872" i="4"/>
  <c r="Z872" i="4"/>
  <c r="V872" i="4"/>
  <c r="AA871" i="4"/>
  <c r="Z871" i="4"/>
  <c r="Y871" i="4"/>
  <c r="V871" i="4"/>
  <c r="AA870" i="4"/>
  <c r="Z870" i="4"/>
  <c r="V870" i="4"/>
  <c r="AA869" i="4"/>
  <c r="Z869" i="4"/>
  <c r="V869" i="4"/>
  <c r="AA868" i="4"/>
  <c r="Z868" i="4"/>
  <c r="V868" i="4"/>
  <c r="AA867" i="4"/>
  <c r="Z867" i="4"/>
  <c r="V867" i="4"/>
  <c r="AA866" i="4"/>
  <c r="Z866" i="4"/>
  <c r="V866" i="4"/>
  <c r="AA865" i="4"/>
  <c r="Z865" i="4"/>
  <c r="V865" i="4"/>
  <c r="AA864" i="4"/>
  <c r="Z864" i="4"/>
  <c r="V864" i="4"/>
  <c r="AA863" i="4"/>
  <c r="Z863" i="4"/>
  <c r="V863" i="4"/>
  <c r="AA862" i="4"/>
  <c r="Z862" i="4"/>
  <c r="V862" i="4"/>
  <c r="AA861" i="4"/>
  <c r="Z861" i="4"/>
  <c r="V861" i="4"/>
  <c r="AA860" i="4"/>
  <c r="Z860" i="4"/>
  <c r="V860" i="4"/>
  <c r="AA859" i="4"/>
  <c r="Z859" i="4"/>
  <c r="V859" i="4"/>
  <c r="AA858" i="4"/>
  <c r="Z858" i="4"/>
  <c r="Y858" i="4"/>
  <c r="V858" i="4"/>
  <c r="AA857" i="4"/>
  <c r="Z857" i="4"/>
  <c r="Y857" i="4"/>
  <c r="V857" i="4"/>
  <c r="AA856" i="4"/>
  <c r="Z856" i="4"/>
  <c r="V856" i="4"/>
  <c r="AA855" i="4"/>
  <c r="Z855" i="4"/>
  <c r="Y855" i="4"/>
  <c r="V855" i="4"/>
  <c r="AA854" i="4"/>
  <c r="Z854" i="4"/>
  <c r="V854" i="4"/>
  <c r="AA853" i="4"/>
  <c r="Z853" i="4"/>
  <c r="Y853" i="4"/>
  <c r="V853" i="4"/>
  <c r="AA852" i="4"/>
  <c r="Z852" i="4"/>
  <c r="Y852" i="4"/>
  <c r="V852" i="4"/>
  <c r="AA851" i="4"/>
  <c r="Z851" i="4"/>
  <c r="Y851" i="4"/>
  <c r="V851" i="4"/>
  <c r="AA850" i="4"/>
  <c r="Z850" i="4"/>
  <c r="V850" i="4"/>
  <c r="AA849" i="4"/>
  <c r="Z849" i="4"/>
  <c r="Y849" i="4"/>
  <c r="V849" i="4"/>
  <c r="AA848" i="4"/>
  <c r="Z848" i="4"/>
  <c r="V848" i="4"/>
  <c r="AA847" i="4"/>
  <c r="Z847" i="4"/>
  <c r="V847" i="4"/>
  <c r="AA846" i="4"/>
  <c r="Z846" i="4"/>
  <c r="V846" i="4"/>
  <c r="AA845" i="4"/>
  <c r="Z845" i="4"/>
  <c r="Y845" i="4"/>
  <c r="V845" i="4"/>
  <c r="AA844" i="4"/>
  <c r="Z844" i="4"/>
  <c r="Y844" i="4"/>
  <c r="V844" i="4"/>
  <c r="AA843" i="4"/>
  <c r="Z843" i="4"/>
  <c r="Y843" i="4"/>
  <c r="V843" i="4"/>
  <c r="AA842" i="4"/>
  <c r="Z842" i="4"/>
  <c r="Y842" i="4"/>
  <c r="V842" i="4"/>
  <c r="AA841" i="4"/>
  <c r="Z841" i="4"/>
  <c r="V841" i="4"/>
  <c r="AA840" i="4"/>
  <c r="Z840" i="4"/>
  <c r="V840" i="4"/>
  <c r="AA839" i="4"/>
  <c r="Z839" i="4"/>
  <c r="Y839" i="4"/>
  <c r="V839" i="4"/>
  <c r="AA838" i="4"/>
  <c r="Z838" i="4"/>
  <c r="V838" i="4"/>
  <c r="AA837" i="4"/>
  <c r="Z837" i="4"/>
  <c r="Y837" i="4"/>
  <c r="V837" i="4"/>
  <c r="AA836" i="4"/>
  <c r="Z836" i="4"/>
  <c r="V836" i="4"/>
  <c r="AA835" i="4"/>
  <c r="Z835" i="4"/>
  <c r="Y835" i="4"/>
  <c r="V835" i="4"/>
  <c r="AA834" i="4"/>
  <c r="Z834" i="4"/>
  <c r="V834" i="4"/>
  <c r="AA833" i="4"/>
  <c r="Z833" i="4"/>
  <c r="Y833" i="4"/>
  <c r="V833" i="4"/>
  <c r="AA832" i="4"/>
  <c r="Z832" i="4"/>
  <c r="Y832" i="4"/>
  <c r="V832" i="4"/>
  <c r="AA831" i="4"/>
  <c r="Z831" i="4"/>
  <c r="V831" i="4"/>
  <c r="AA830" i="4"/>
  <c r="Z830" i="4"/>
  <c r="V830" i="4"/>
  <c r="AA829" i="4"/>
  <c r="Z829" i="4"/>
  <c r="Y829" i="4"/>
  <c r="V829" i="4"/>
  <c r="AA828" i="4"/>
  <c r="Z828" i="4"/>
  <c r="Y828" i="4"/>
  <c r="V828" i="4"/>
  <c r="AA827" i="4"/>
  <c r="Z827" i="4"/>
  <c r="V827" i="4"/>
  <c r="AA826" i="4"/>
  <c r="Z826" i="4"/>
  <c r="V826" i="4"/>
  <c r="AA825" i="4"/>
  <c r="Z825" i="4"/>
  <c r="Y825" i="4"/>
  <c r="V825" i="4"/>
  <c r="AA824" i="4"/>
  <c r="Z824" i="4"/>
  <c r="Y824" i="4"/>
  <c r="V824" i="4"/>
  <c r="AA823" i="4"/>
  <c r="Z823" i="4"/>
  <c r="Y823" i="4"/>
  <c r="V823" i="4"/>
  <c r="AA822" i="4"/>
  <c r="Z822" i="4"/>
  <c r="V822" i="4"/>
  <c r="AA821" i="4"/>
  <c r="Z821" i="4"/>
  <c r="V821" i="4"/>
  <c r="AA820" i="4"/>
  <c r="Z820" i="4"/>
  <c r="Y820" i="4"/>
  <c r="V820" i="4"/>
  <c r="AA819" i="4"/>
  <c r="Z819" i="4"/>
  <c r="Y819" i="4"/>
  <c r="V819" i="4"/>
  <c r="AA818" i="4"/>
  <c r="Z818" i="4"/>
  <c r="V818" i="4"/>
  <c r="AA817" i="4"/>
  <c r="Z817" i="4"/>
  <c r="V817" i="4"/>
  <c r="AA816" i="4"/>
  <c r="Z816" i="4"/>
  <c r="V816" i="4"/>
  <c r="AA815" i="4"/>
  <c r="Z815" i="4"/>
  <c r="V815" i="4"/>
  <c r="AA814" i="4"/>
  <c r="Z814" i="4"/>
  <c r="Y814" i="4"/>
  <c r="V814" i="4"/>
  <c r="AA813" i="4"/>
  <c r="Z813" i="4"/>
  <c r="V813" i="4"/>
  <c r="AA812" i="4"/>
  <c r="Z812" i="4"/>
  <c r="V812" i="4"/>
  <c r="AA811" i="4"/>
  <c r="Z811" i="4"/>
  <c r="Y811" i="4"/>
  <c r="V811" i="4"/>
  <c r="AA810" i="4"/>
  <c r="Z810" i="4"/>
  <c r="Y810" i="4"/>
  <c r="V810" i="4"/>
  <c r="AA809" i="4"/>
  <c r="Z809" i="4"/>
  <c r="V809" i="4"/>
  <c r="AA808" i="4"/>
  <c r="Z808" i="4"/>
  <c r="V808" i="4"/>
  <c r="AA807" i="4"/>
  <c r="Z807" i="4"/>
  <c r="Y807" i="4"/>
  <c r="V807" i="4"/>
  <c r="AA806" i="4"/>
  <c r="Z806" i="4"/>
  <c r="V806" i="4"/>
  <c r="AA805" i="4"/>
  <c r="Z805" i="4"/>
  <c r="Y805" i="4"/>
  <c r="V805" i="4"/>
  <c r="AA804" i="4"/>
  <c r="Z804" i="4"/>
  <c r="V804" i="4"/>
  <c r="AA803" i="4"/>
  <c r="Z803" i="4"/>
  <c r="Y803" i="4"/>
  <c r="V803" i="4"/>
  <c r="AA802" i="4"/>
  <c r="Z802" i="4"/>
  <c r="V802" i="4"/>
  <c r="AA801" i="4"/>
  <c r="Z801" i="4"/>
  <c r="Y801" i="4"/>
  <c r="V801" i="4"/>
  <c r="AA800" i="4"/>
  <c r="Z800" i="4"/>
  <c r="Y800" i="4"/>
  <c r="V800" i="4"/>
  <c r="AA799" i="4"/>
  <c r="Z799" i="4"/>
  <c r="V799" i="4"/>
  <c r="AA798" i="4"/>
  <c r="Z798" i="4"/>
  <c r="V798" i="4"/>
  <c r="AA797" i="4"/>
  <c r="Z797" i="4"/>
  <c r="Y797" i="4"/>
  <c r="V797" i="4"/>
  <c r="AA796" i="4"/>
  <c r="Z796" i="4"/>
  <c r="V796" i="4"/>
  <c r="AA795" i="4"/>
  <c r="Z795" i="4"/>
  <c r="Y795" i="4"/>
  <c r="V795" i="4"/>
  <c r="AA794" i="4"/>
  <c r="Z794" i="4"/>
  <c r="Y794" i="4"/>
  <c r="V794" i="4"/>
  <c r="AA793" i="4"/>
  <c r="Z793" i="4"/>
  <c r="V793" i="4"/>
  <c r="AA792" i="4"/>
  <c r="Z792" i="4"/>
  <c r="Y792" i="4"/>
  <c r="V792" i="4"/>
  <c r="AA791" i="4"/>
  <c r="Z791" i="4"/>
  <c r="Y791" i="4"/>
  <c r="V791" i="4"/>
  <c r="AA790" i="4"/>
  <c r="Z790" i="4"/>
  <c r="V790" i="4"/>
  <c r="AA789" i="4"/>
  <c r="Z789" i="4"/>
  <c r="V789" i="4"/>
  <c r="AA788" i="4"/>
  <c r="Z788" i="4"/>
  <c r="Y788" i="4"/>
  <c r="V788" i="4"/>
  <c r="AA787" i="4"/>
  <c r="Z787" i="4"/>
  <c r="V787" i="4"/>
  <c r="AA786" i="4"/>
  <c r="Z786" i="4"/>
  <c r="V786" i="4"/>
  <c r="AA785" i="4"/>
  <c r="Z785" i="4"/>
  <c r="V785" i="4"/>
  <c r="AA784" i="4"/>
  <c r="Z784" i="4"/>
  <c r="Y784" i="4"/>
  <c r="V784" i="4"/>
  <c r="AA783" i="4"/>
  <c r="Z783" i="4"/>
  <c r="Y783" i="4"/>
  <c r="V783" i="4"/>
  <c r="AA782" i="4"/>
  <c r="Z782" i="4"/>
  <c r="V782" i="4"/>
  <c r="AA781" i="4"/>
  <c r="Z781" i="4"/>
  <c r="V781" i="4"/>
  <c r="AA780" i="4"/>
  <c r="Z780" i="4"/>
  <c r="V780" i="4"/>
  <c r="AA779" i="4"/>
  <c r="Z779" i="4"/>
  <c r="V779" i="4"/>
  <c r="AA778" i="4"/>
  <c r="Z778" i="4"/>
  <c r="Y778" i="4"/>
  <c r="V778" i="4"/>
  <c r="AA777" i="4"/>
  <c r="Z777" i="4"/>
  <c r="V777" i="4"/>
  <c r="AA776" i="4"/>
  <c r="Z776" i="4"/>
  <c r="Y776" i="4"/>
  <c r="V776" i="4"/>
  <c r="AA775" i="4"/>
  <c r="Z775" i="4"/>
  <c r="Y775" i="4"/>
  <c r="V775" i="4"/>
  <c r="AA774" i="4"/>
  <c r="Z774" i="4"/>
  <c r="V774" i="4"/>
  <c r="AA773" i="4"/>
  <c r="Z773" i="4"/>
  <c r="V773" i="4"/>
  <c r="AA772" i="4"/>
  <c r="Z772" i="4"/>
  <c r="V772" i="4"/>
  <c r="AA771" i="4"/>
  <c r="Z771" i="4"/>
  <c r="V771" i="4"/>
  <c r="AA770" i="4"/>
  <c r="Z770" i="4"/>
  <c r="V770" i="4"/>
  <c r="AA769" i="4"/>
  <c r="Z769" i="4"/>
  <c r="V769" i="4"/>
  <c r="AA768" i="4"/>
  <c r="Z768" i="4"/>
  <c r="V768" i="4"/>
  <c r="AA767" i="4"/>
  <c r="Z767" i="4"/>
  <c r="Y767" i="4"/>
  <c r="V767" i="4"/>
  <c r="AA766" i="4"/>
  <c r="Z766" i="4"/>
  <c r="Y766" i="4"/>
  <c r="V766" i="4"/>
  <c r="AA765" i="4"/>
  <c r="Z765" i="4"/>
  <c r="Y765" i="4"/>
  <c r="V765" i="4"/>
  <c r="AA764" i="4"/>
  <c r="Z764" i="4"/>
  <c r="V764" i="4"/>
  <c r="AA763" i="4"/>
  <c r="Z763" i="4"/>
  <c r="Y763" i="4"/>
  <c r="V763" i="4"/>
  <c r="AA762" i="4"/>
  <c r="Z762" i="4"/>
  <c r="Y762" i="4"/>
  <c r="V762" i="4"/>
  <c r="AA761" i="4"/>
  <c r="Z761" i="4"/>
  <c r="V761" i="4"/>
  <c r="AA760" i="4"/>
  <c r="Z760" i="4"/>
  <c r="V760" i="4"/>
  <c r="AA759" i="4"/>
  <c r="Z759" i="4"/>
  <c r="V759" i="4"/>
  <c r="AA758" i="4"/>
  <c r="Z758" i="4"/>
  <c r="V758" i="4"/>
  <c r="AA757" i="4"/>
  <c r="Z757" i="4"/>
  <c r="V757" i="4"/>
  <c r="AA756" i="4"/>
  <c r="Z756" i="4"/>
  <c r="V756" i="4"/>
  <c r="AA755" i="4"/>
  <c r="Z755" i="4"/>
  <c r="Y755" i="4"/>
  <c r="V755" i="4"/>
  <c r="AA754" i="4"/>
  <c r="Z754" i="4"/>
  <c r="V754" i="4"/>
  <c r="AA753" i="4"/>
  <c r="Z753" i="4"/>
  <c r="Y753" i="4"/>
  <c r="V753" i="4"/>
  <c r="AA752" i="4"/>
  <c r="Z752" i="4"/>
  <c r="V752" i="4"/>
  <c r="AA751" i="4"/>
  <c r="Z751" i="4"/>
  <c r="Y751" i="4"/>
  <c r="V751" i="4"/>
  <c r="AA750" i="4"/>
  <c r="Z750" i="4"/>
  <c r="Y750" i="4"/>
  <c r="V750" i="4"/>
  <c r="AA749" i="4"/>
  <c r="Z749" i="4"/>
  <c r="Y749" i="4"/>
  <c r="V749" i="4"/>
  <c r="AA748" i="4"/>
  <c r="Z748" i="4"/>
  <c r="Y748" i="4"/>
  <c r="V748" i="4"/>
  <c r="AA747" i="4"/>
  <c r="Z747" i="4"/>
  <c r="V747" i="4"/>
  <c r="AA746" i="4"/>
  <c r="Z746" i="4"/>
  <c r="V746" i="4"/>
  <c r="AA745" i="4"/>
  <c r="Z745" i="4"/>
  <c r="V745" i="4"/>
  <c r="AA744" i="4"/>
  <c r="Z744" i="4"/>
  <c r="V744" i="4"/>
  <c r="AA743" i="4"/>
  <c r="Z743" i="4"/>
  <c r="V743" i="4"/>
  <c r="AA742" i="4"/>
  <c r="Z742" i="4"/>
  <c r="V742" i="4"/>
  <c r="AA741" i="4"/>
  <c r="Z741" i="4"/>
  <c r="V741" i="4"/>
  <c r="AA740" i="4"/>
  <c r="Z740" i="4"/>
  <c r="Y740" i="4"/>
  <c r="V740" i="4"/>
  <c r="AA739" i="4"/>
  <c r="Z739" i="4"/>
  <c r="Y739" i="4"/>
  <c r="V739" i="4"/>
  <c r="AA738" i="4"/>
  <c r="Z738" i="4"/>
  <c r="V738" i="4"/>
  <c r="AA737" i="4"/>
  <c r="Z737" i="4"/>
  <c r="Y737" i="4"/>
  <c r="V737" i="4"/>
  <c r="AA736" i="4"/>
  <c r="Z736" i="4"/>
  <c r="V736" i="4"/>
  <c r="AA735" i="4"/>
  <c r="Z735" i="4"/>
  <c r="V735" i="4"/>
  <c r="AA734" i="4"/>
  <c r="Z734" i="4"/>
  <c r="Y734" i="4"/>
  <c r="V734" i="4"/>
  <c r="AA733" i="4"/>
  <c r="Z733" i="4"/>
  <c r="Y733" i="4"/>
  <c r="V733" i="4"/>
  <c r="AA732" i="4"/>
  <c r="Z732" i="4"/>
  <c r="V732" i="4"/>
  <c r="AA731" i="4"/>
  <c r="Z731" i="4"/>
  <c r="V731" i="4"/>
  <c r="AA730" i="4"/>
  <c r="Z730" i="4"/>
  <c r="Y730" i="4"/>
  <c r="V730" i="4"/>
  <c r="AA729" i="4"/>
  <c r="Z729" i="4"/>
  <c r="V729" i="4"/>
  <c r="AA728" i="4"/>
  <c r="Z728" i="4"/>
  <c r="Y728" i="4"/>
  <c r="V728" i="4"/>
  <c r="AA727" i="4"/>
  <c r="Z727" i="4"/>
  <c r="V727" i="4"/>
  <c r="AA726" i="4"/>
  <c r="Z726" i="4"/>
  <c r="V726" i="4"/>
  <c r="AA725" i="4"/>
  <c r="Z725" i="4"/>
  <c r="V725" i="4"/>
  <c r="AA724" i="4"/>
  <c r="Z724" i="4"/>
  <c r="Y724" i="4"/>
  <c r="V724" i="4"/>
  <c r="AA723" i="4"/>
  <c r="Z723" i="4"/>
  <c r="V723" i="4"/>
  <c r="AA722" i="4"/>
  <c r="Z722" i="4"/>
  <c r="Y722" i="4"/>
  <c r="V722" i="4"/>
  <c r="AA721" i="4"/>
  <c r="Z721" i="4"/>
  <c r="V721" i="4"/>
  <c r="AA720" i="4"/>
  <c r="Z720" i="4"/>
  <c r="V720" i="4"/>
  <c r="AA719" i="4"/>
  <c r="Z719" i="4"/>
  <c r="V719" i="4"/>
  <c r="AA718" i="4"/>
  <c r="Z718" i="4"/>
  <c r="V718" i="4"/>
  <c r="AA717" i="4"/>
  <c r="Z717" i="4"/>
  <c r="V717" i="4"/>
  <c r="AA716" i="4"/>
  <c r="Z716" i="4"/>
  <c r="Y716" i="4"/>
  <c r="V716" i="4"/>
  <c r="AA715" i="4"/>
  <c r="Z715" i="4"/>
  <c r="V715" i="4"/>
  <c r="AA714" i="4"/>
  <c r="Z714" i="4"/>
  <c r="V714" i="4"/>
  <c r="AA713" i="4"/>
  <c r="Z713" i="4"/>
  <c r="V713" i="4"/>
  <c r="AA712" i="4"/>
  <c r="Z712" i="4"/>
  <c r="V712" i="4"/>
  <c r="AA711" i="4"/>
  <c r="Z711" i="4"/>
  <c r="V711" i="4"/>
  <c r="AA710" i="4"/>
  <c r="Z710" i="4"/>
  <c r="V710" i="4"/>
  <c r="AA709" i="4"/>
  <c r="Z709" i="4"/>
  <c r="Y709" i="4"/>
  <c r="V709" i="4"/>
  <c r="AA708" i="4"/>
  <c r="Z708" i="4"/>
  <c r="V708" i="4"/>
  <c r="AA707" i="4"/>
  <c r="Z707" i="4"/>
  <c r="V707" i="4"/>
  <c r="AA706" i="4"/>
  <c r="Z706" i="4"/>
  <c r="Y706" i="4"/>
  <c r="V706" i="4"/>
  <c r="AA705" i="4"/>
  <c r="Z705" i="4"/>
  <c r="V705" i="4"/>
  <c r="AA704" i="4"/>
  <c r="Z704" i="4"/>
  <c r="Y704" i="4"/>
  <c r="V704" i="4"/>
  <c r="AA703" i="4"/>
  <c r="Z703" i="4"/>
  <c r="Y703" i="4"/>
  <c r="V703" i="4"/>
  <c r="AA702" i="4"/>
  <c r="Z702" i="4"/>
  <c r="Y702" i="4"/>
  <c r="V702" i="4"/>
  <c r="AA701" i="4"/>
  <c r="Z701" i="4"/>
  <c r="Y701" i="4"/>
  <c r="V701" i="4"/>
  <c r="AA700" i="4"/>
  <c r="Z700" i="4"/>
  <c r="V700" i="4"/>
  <c r="AA699" i="4"/>
  <c r="Z699" i="4"/>
  <c r="V699" i="4"/>
  <c r="AA698" i="4"/>
  <c r="Z698" i="4"/>
  <c r="Y698" i="4"/>
  <c r="V698" i="4"/>
  <c r="AA697" i="4"/>
  <c r="Z697" i="4"/>
  <c r="Y697" i="4"/>
  <c r="V697" i="4"/>
  <c r="AA696" i="4"/>
  <c r="Z696" i="4"/>
  <c r="V696" i="4"/>
  <c r="AA695" i="4"/>
  <c r="Z695" i="4"/>
  <c r="V695" i="4"/>
  <c r="AA694" i="4"/>
  <c r="Z694" i="4"/>
  <c r="V694" i="4"/>
  <c r="AA693" i="4"/>
  <c r="Z693" i="4"/>
  <c r="V693" i="4"/>
  <c r="AA692" i="4"/>
  <c r="Z692" i="4"/>
  <c r="V692" i="4"/>
  <c r="AA691" i="4"/>
  <c r="Z691" i="4"/>
  <c r="V691" i="4"/>
  <c r="AA690" i="4"/>
  <c r="Z690" i="4"/>
  <c r="V690" i="4"/>
  <c r="AA689" i="4"/>
  <c r="Z689" i="4"/>
  <c r="V689" i="4"/>
  <c r="AA688" i="4"/>
  <c r="Z688" i="4"/>
  <c r="Y688" i="4"/>
  <c r="V688" i="4"/>
  <c r="AA687" i="4"/>
  <c r="Z687" i="4"/>
  <c r="V687" i="4"/>
  <c r="AA686" i="4"/>
  <c r="Z686" i="4"/>
  <c r="V686" i="4"/>
  <c r="AA685" i="4"/>
  <c r="Z685" i="4"/>
  <c r="V685" i="4"/>
  <c r="AA684" i="4"/>
  <c r="Z684" i="4"/>
  <c r="V684" i="4"/>
  <c r="AA683" i="4"/>
  <c r="Z683" i="4"/>
  <c r="V683" i="4"/>
  <c r="AA682" i="4"/>
  <c r="Z682" i="4"/>
  <c r="Y682" i="4"/>
  <c r="V682" i="4"/>
  <c r="AA681" i="4"/>
  <c r="Z681" i="4"/>
  <c r="Y681" i="4"/>
  <c r="V681" i="4"/>
  <c r="AA680" i="4"/>
  <c r="Z680" i="4"/>
  <c r="Y680" i="4"/>
  <c r="V680" i="4"/>
  <c r="AA679" i="4"/>
  <c r="Z679" i="4"/>
  <c r="V679" i="4"/>
  <c r="AA678" i="4"/>
  <c r="Z678" i="4"/>
  <c r="V678" i="4"/>
  <c r="AA677" i="4"/>
  <c r="Z677" i="4"/>
  <c r="Y677" i="4"/>
  <c r="V677" i="4"/>
  <c r="AA676" i="4"/>
  <c r="Z676" i="4"/>
  <c r="V676" i="4"/>
  <c r="AA675" i="4"/>
  <c r="Z675" i="4"/>
  <c r="Y675" i="4"/>
  <c r="V675" i="4"/>
  <c r="AA674" i="4"/>
  <c r="Z674" i="4"/>
  <c r="V674" i="4"/>
  <c r="AA673" i="4"/>
  <c r="Z673" i="4"/>
  <c r="V673" i="4"/>
  <c r="AA672" i="4"/>
  <c r="Z672" i="4"/>
  <c r="V672" i="4"/>
  <c r="AA671" i="4"/>
  <c r="Z671" i="4"/>
  <c r="Y671" i="4"/>
  <c r="V671" i="4"/>
  <c r="AA670" i="4"/>
  <c r="Z670" i="4"/>
  <c r="V670" i="4"/>
  <c r="AA669" i="4"/>
  <c r="Z669" i="4"/>
  <c r="V669" i="4"/>
  <c r="AA668" i="4"/>
  <c r="Z668" i="4"/>
  <c r="Y668" i="4"/>
  <c r="V668" i="4"/>
  <c r="AA667" i="4"/>
  <c r="Z667" i="4"/>
  <c r="Y667" i="4"/>
  <c r="V667" i="4"/>
  <c r="AA666" i="4"/>
  <c r="Z666" i="4"/>
  <c r="V666" i="4"/>
  <c r="AA665" i="4"/>
  <c r="Z665" i="4"/>
  <c r="Y665" i="4"/>
  <c r="V665" i="4"/>
  <c r="AA664" i="4"/>
  <c r="Z664" i="4"/>
  <c r="Y664" i="4"/>
  <c r="V664" i="4"/>
  <c r="AA663" i="4"/>
  <c r="Z663" i="4"/>
  <c r="V663" i="4"/>
  <c r="AA662" i="4"/>
  <c r="Z662" i="4"/>
  <c r="V662" i="4"/>
  <c r="AA661" i="4"/>
  <c r="Z661" i="4"/>
  <c r="Y661" i="4"/>
  <c r="V661" i="4"/>
  <c r="AA660" i="4"/>
  <c r="Z660" i="4"/>
  <c r="Y660" i="4"/>
  <c r="V660" i="4"/>
  <c r="AA659" i="4"/>
  <c r="Z659" i="4"/>
  <c r="V659" i="4"/>
  <c r="AA658" i="4"/>
  <c r="Z658" i="4"/>
  <c r="Y658" i="4"/>
  <c r="V658" i="4"/>
  <c r="AA657" i="4"/>
  <c r="Z657" i="4"/>
  <c r="V657" i="4"/>
  <c r="AA656" i="4"/>
  <c r="Z656" i="4"/>
  <c r="V656" i="4"/>
  <c r="AA655" i="4"/>
  <c r="Z655" i="4"/>
  <c r="Y655" i="4"/>
  <c r="V655" i="4"/>
  <c r="AA654" i="4"/>
  <c r="Z654" i="4"/>
  <c r="V654" i="4"/>
  <c r="AA653" i="4"/>
  <c r="Z653" i="4"/>
  <c r="V653" i="4"/>
  <c r="AA652" i="4"/>
  <c r="Z652" i="4"/>
  <c r="V652" i="4"/>
  <c r="AA651" i="4"/>
  <c r="Z651" i="4"/>
  <c r="V651" i="4"/>
  <c r="AA650" i="4"/>
  <c r="Z650" i="4"/>
  <c r="V650" i="4"/>
  <c r="AA649" i="4"/>
  <c r="Z649" i="4"/>
  <c r="V649" i="4"/>
  <c r="AA648" i="4"/>
  <c r="Z648" i="4"/>
  <c r="V648" i="4"/>
  <c r="AA647" i="4"/>
  <c r="Z647" i="4"/>
  <c r="Y647" i="4"/>
  <c r="V647" i="4"/>
  <c r="AA646" i="4"/>
  <c r="Z646" i="4"/>
  <c r="Y646" i="4"/>
  <c r="V646" i="4"/>
  <c r="AA645" i="4"/>
  <c r="Z645" i="4"/>
  <c r="V645" i="4"/>
  <c r="AA644" i="4"/>
  <c r="Z644" i="4"/>
  <c r="V644" i="4"/>
  <c r="AA643" i="4"/>
  <c r="Z643" i="4"/>
  <c r="V643" i="4"/>
  <c r="AA642" i="4"/>
  <c r="Z642" i="4"/>
  <c r="V642" i="4"/>
  <c r="AA641" i="4"/>
  <c r="Z641" i="4"/>
  <c r="V641" i="4"/>
  <c r="AA640" i="4"/>
  <c r="Z640" i="4"/>
  <c r="V640" i="4"/>
  <c r="AA639" i="4"/>
  <c r="Z639" i="4"/>
  <c r="Y639" i="4"/>
  <c r="V639" i="4"/>
  <c r="AA638" i="4"/>
  <c r="Z638" i="4"/>
  <c r="V638" i="4"/>
  <c r="AA637" i="4"/>
  <c r="Z637" i="4"/>
  <c r="V637" i="4"/>
  <c r="AA636" i="4"/>
  <c r="Z636" i="4"/>
  <c r="V636" i="4"/>
  <c r="AA635" i="4"/>
  <c r="Z635" i="4"/>
  <c r="V635" i="4"/>
  <c r="AA634" i="4"/>
  <c r="Z634" i="4"/>
  <c r="V634" i="4"/>
  <c r="AA633" i="4"/>
  <c r="Z633" i="4"/>
  <c r="V633" i="4"/>
  <c r="AA632" i="4"/>
  <c r="Z632" i="4"/>
  <c r="V632" i="4"/>
  <c r="AA631" i="4"/>
  <c r="Z631" i="4"/>
  <c r="V631" i="4"/>
  <c r="AA630" i="4"/>
  <c r="Z630" i="4"/>
  <c r="Y630" i="4"/>
  <c r="V630" i="4"/>
  <c r="AA629" i="4"/>
  <c r="Z629" i="4"/>
  <c r="V629" i="4"/>
  <c r="AA628" i="4"/>
  <c r="Z628" i="4"/>
  <c r="V628" i="4"/>
  <c r="AA627" i="4"/>
  <c r="Z627" i="4"/>
  <c r="V627" i="4"/>
  <c r="AA626" i="4"/>
  <c r="Z626" i="4"/>
  <c r="V626" i="4"/>
  <c r="AA625" i="4"/>
  <c r="Z625" i="4"/>
  <c r="V625" i="4"/>
  <c r="AA624" i="4"/>
  <c r="Z624" i="4"/>
  <c r="Y624" i="4"/>
  <c r="V624" i="4"/>
  <c r="AA623" i="4"/>
  <c r="Z623" i="4"/>
  <c r="Y623" i="4"/>
  <c r="V623" i="4"/>
  <c r="AA622" i="4"/>
  <c r="Z622" i="4"/>
  <c r="Y622" i="4"/>
  <c r="V622" i="4"/>
  <c r="AA621" i="4"/>
  <c r="Z621" i="4"/>
  <c r="V621" i="4"/>
  <c r="AA620" i="4"/>
  <c r="Z620" i="4"/>
  <c r="V620" i="4"/>
  <c r="AA619" i="4"/>
  <c r="Z619" i="4"/>
  <c r="V619" i="4"/>
  <c r="AA618" i="4"/>
  <c r="Z618" i="4"/>
  <c r="V618" i="4"/>
  <c r="AA617" i="4"/>
  <c r="Z617" i="4"/>
  <c r="Y617" i="4"/>
  <c r="V617" i="4"/>
  <c r="AA616" i="4"/>
  <c r="Z616" i="4"/>
  <c r="V616" i="4"/>
  <c r="AA615" i="4"/>
  <c r="Z615" i="4"/>
  <c r="Y615" i="4"/>
  <c r="V615" i="4"/>
  <c r="AA614" i="4"/>
  <c r="Z614" i="4"/>
  <c r="Y614" i="4"/>
  <c r="V614" i="4"/>
  <c r="AA613" i="4"/>
  <c r="Z613" i="4"/>
  <c r="V613" i="4"/>
  <c r="AA612" i="4"/>
  <c r="Z612" i="4"/>
  <c r="Y612" i="4"/>
  <c r="V612" i="4"/>
  <c r="AA611" i="4"/>
  <c r="Z611" i="4"/>
  <c r="Y611" i="4"/>
  <c r="V611" i="4"/>
  <c r="AA610" i="4"/>
  <c r="Z610" i="4"/>
  <c r="V610" i="4"/>
  <c r="AA609" i="4"/>
  <c r="Z609" i="4"/>
  <c r="V609" i="4"/>
  <c r="AA608" i="4"/>
  <c r="Z608" i="4"/>
  <c r="Y608" i="4"/>
  <c r="V608" i="4"/>
  <c r="AA607" i="4"/>
  <c r="Z607" i="4"/>
  <c r="Y607" i="4"/>
  <c r="V607" i="4"/>
  <c r="AA606" i="4"/>
  <c r="Z606" i="4"/>
  <c r="Y606" i="4"/>
  <c r="V606" i="4"/>
  <c r="AA605" i="4"/>
  <c r="Z605" i="4"/>
  <c r="V605" i="4"/>
  <c r="AA604" i="4"/>
  <c r="Z604" i="4"/>
  <c r="Y604" i="4"/>
  <c r="V604" i="4"/>
  <c r="AA603" i="4"/>
  <c r="Z603" i="4"/>
  <c r="Y603" i="4"/>
  <c r="V603" i="4"/>
  <c r="AA602" i="4"/>
  <c r="Z602" i="4"/>
  <c r="V602" i="4"/>
  <c r="AA601" i="4"/>
  <c r="Z601" i="4"/>
  <c r="V601" i="4"/>
  <c r="AA600" i="4"/>
  <c r="Z600" i="4"/>
  <c r="V600" i="4"/>
  <c r="AA599" i="4"/>
  <c r="Z599" i="4"/>
  <c r="Y599" i="4"/>
  <c r="V599" i="4"/>
  <c r="AA598" i="4"/>
  <c r="Z598" i="4"/>
  <c r="Y598" i="4"/>
  <c r="V598" i="4"/>
  <c r="AA597" i="4"/>
  <c r="Z597" i="4"/>
  <c r="V597" i="4"/>
  <c r="AA596" i="4"/>
  <c r="Z596" i="4"/>
  <c r="V596" i="4"/>
  <c r="AA595" i="4"/>
  <c r="Z595" i="4"/>
  <c r="V595" i="4"/>
  <c r="AA594" i="4"/>
  <c r="Z594" i="4"/>
  <c r="V594" i="4"/>
  <c r="AA593" i="4"/>
  <c r="Z593" i="4"/>
  <c r="V593" i="4"/>
  <c r="AA592" i="4"/>
  <c r="Z592" i="4"/>
  <c r="Y592" i="4"/>
  <c r="V592" i="4"/>
  <c r="AA591" i="4"/>
  <c r="Z591" i="4"/>
  <c r="V591" i="4"/>
  <c r="AA590" i="4"/>
  <c r="Z590" i="4"/>
  <c r="Y590" i="4"/>
  <c r="V590" i="4"/>
  <c r="AA589" i="4"/>
  <c r="Z589" i="4"/>
  <c r="Y589" i="4"/>
  <c r="V589" i="4"/>
  <c r="AA588" i="4"/>
  <c r="Z588" i="4"/>
  <c r="Y588" i="4"/>
  <c r="V588" i="4"/>
  <c r="AA587" i="4"/>
  <c r="Z587" i="4"/>
  <c r="Y587" i="4"/>
  <c r="V587" i="4"/>
  <c r="AA586" i="4"/>
  <c r="Z586" i="4"/>
  <c r="V586" i="4"/>
  <c r="AA585" i="4"/>
  <c r="Z585" i="4"/>
  <c r="Y585" i="4"/>
  <c r="V585" i="4"/>
  <c r="AA584" i="4"/>
  <c r="Z584" i="4"/>
  <c r="Y584" i="4"/>
  <c r="V584" i="4"/>
  <c r="AA583" i="4"/>
  <c r="Z583" i="4"/>
  <c r="Y583" i="4"/>
  <c r="V583" i="4"/>
  <c r="AA582" i="4"/>
  <c r="Z582" i="4"/>
  <c r="Y582" i="4"/>
  <c r="V582" i="4"/>
  <c r="AA581" i="4"/>
  <c r="Z581" i="4"/>
  <c r="V581" i="4"/>
  <c r="AA580" i="4"/>
  <c r="Z580" i="4"/>
  <c r="V580" i="4"/>
  <c r="AA579" i="4"/>
  <c r="Z579" i="4"/>
  <c r="V579" i="4"/>
  <c r="AA578" i="4"/>
  <c r="Z578" i="4"/>
  <c r="Y578" i="4"/>
  <c r="V578" i="4"/>
  <c r="AA577" i="4"/>
  <c r="Z577" i="4"/>
  <c r="V577" i="4"/>
  <c r="AA576" i="4"/>
  <c r="Z576" i="4"/>
  <c r="V576" i="4"/>
  <c r="AA575" i="4"/>
  <c r="Z575" i="4"/>
  <c r="V575" i="4"/>
  <c r="AA574" i="4"/>
  <c r="Z574" i="4"/>
  <c r="V574" i="4"/>
  <c r="AA573" i="4"/>
  <c r="Z573" i="4"/>
  <c r="Y573" i="4"/>
  <c r="V573" i="4"/>
  <c r="AA572" i="4"/>
  <c r="Z572" i="4"/>
  <c r="Y572" i="4"/>
  <c r="V572" i="4"/>
  <c r="AA571" i="4"/>
  <c r="Z571" i="4"/>
  <c r="V571" i="4"/>
  <c r="AA570" i="4"/>
  <c r="Z570" i="4"/>
  <c r="V570" i="4"/>
  <c r="AA569" i="4"/>
  <c r="Z569" i="4"/>
  <c r="V569" i="4"/>
  <c r="AA568" i="4"/>
  <c r="Z568" i="4"/>
  <c r="V568" i="4"/>
  <c r="AA567" i="4"/>
  <c r="Z567" i="4"/>
  <c r="V567" i="4"/>
  <c r="AA566" i="4"/>
  <c r="Z566" i="4"/>
  <c r="V566" i="4"/>
  <c r="AA565" i="4"/>
  <c r="Z565" i="4"/>
  <c r="V565" i="4"/>
  <c r="AA564" i="4"/>
  <c r="Z564" i="4"/>
  <c r="V564" i="4"/>
  <c r="AA563" i="4"/>
  <c r="Z563" i="4"/>
  <c r="Y563" i="4"/>
  <c r="V563" i="4"/>
  <c r="AA562" i="4"/>
  <c r="Z562" i="4"/>
  <c r="V562" i="4"/>
  <c r="AA561" i="4"/>
  <c r="Z561" i="4"/>
  <c r="Y561" i="4"/>
  <c r="V561" i="4"/>
  <c r="AA560" i="4"/>
  <c r="Z560" i="4"/>
  <c r="Y560" i="4"/>
  <c r="V560" i="4"/>
  <c r="AA559" i="4"/>
  <c r="Z559" i="4"/>
  <c r="Y559" i="4"/>
  <c r="V559" i="4"/>
  <c r="AA558" i="4"/>
  <c r="Z558" i="4"/>
  <c r="Y558" i="4"/>
  <c r="V558" i="4"/>
  <c r="AA557" i="4"/>
  <c r="Z557" i="4"/>
  <c r="V557" i="4"/>
  <c r="AA556" i="4"/>
  <c r="Z556" i="4"/>
  <c r="Y556" i="4"/>
  <c r="V556" i="4"/>
  <c r="AA555" i="4"/>
  <c r="Z555" i="4"/>
  <c r="V555" i="4"/>
  <c r="AA554" i="4"/>
  <c r="Z554" i="4"/>
  <c r="Y554" i="4"/>
  <c r="V554" i="4"/>
  <c r="AA553" i="4"/>
  <c r="Z553" i="4"/>
  <c r="Y553" i="4"/>
  <c r="V553" i="4"/>
  <c r="AA552" i="4"/>
  <c r="Z552" i="4"/>
  <c r="V552" i="4"/>
  <c r="AA551" i="4"/>
  <c r="Z551" i="4"/>
  <c r="V551" i="4"/>
  <c r="AA550" i="4"/>
  <c r="Z550" i="4"/>
  <c r="V550" i="4"/>
  <c r="AA549" i="4"/>
  <c r="Z549" i="4"/>
  <c r="V549" i="4"/>
  <c r="AA548" i="4"/>
  <c r="Z548" i="4"/>
  <c r="V548" i="4"/>
  <c r="AA547" i="4"/>
  <c r="Z547" i="4"/>
  <c r="V547" i="4"/>
  <c r="AA546" i="4"/>
  <c r="Z546" i="4"/>
  <c r="Y546" i="4"/>
  <c r="V546" i="4"/>
  <c r="AA545" i="4"/>
  <c r="Z545" i="4"/>
  <c r="Y545" i="4"/>
  <c r="V545" i="4"/>
  <c r="AA544" i="4"/>
  <c r="Z544" i="4"/>
  <c r="V544" i="4"/>
  <c r="AA543" i="4"/>
  <c r="Z543" i="4"/>
  <c r="V543" i="4"/>
  <c r="AA542" i="4"/>
  <c r="Z542" i="4"/>
  <c r="Y542" i="4"/>
  <c r="V542" i="4"/>
  <c r="AA541" i="4"/>
  <c r="Z541" i="4"/>
  <c r="V541" i="4"/>
  <c r="AA540" i="4"/>
  <c r="Z540" i="4"/>
  <c r="Y540" i="4"/>
  <c r="V540" i="4"/>
  <c r="AA539" i="4"/>
  <c r="Z539" i="4"/>
  <c r="V539" i="4"/>
  <c r="AA538" i="4"/>
  <c r="Z538" i="4"/>
  <c r="V538" i="4"/>
  <c r="AA537" i="4"/>
  <c r="Z537" i="4"/>
  <c r="V537" i="4"/>
  <c r="AA536" i="4"/>
  <c r="Z536" i="4"/>
  <c r="V536" i="4"/>
  <c r="AA535" i="4"/>
  <c r="Z535" i="4"/>
  <c r="Y535" i="4"/>
  <c r="V535" i="4"/>
  <c r="AA534" i="4"/>
  <c r="Z534" i="4"/>
  <c r="V534" i="4"/>
  <c r="AA533" i="4"/>
  <c r="Z533" i="4"/>
  <c r="Y533" i="4"/>
  <c r="V533" i="4"/>
  <c r="AA532" i="4"/>
  <c r="Z532" i="4"/>
  <c r="V532" i="4"/>
  <c r="AA531" i="4"/>
  <c r="Z531" i="4"/>
  <c r="V531" i="4"/>
  <c r="AA530" i="4"/>
  <c r="Z530" i="4"/>
  <c r="Y530" i="4"/>
  <c r="V530" i="4"/>
  <c r="AA529" i="4"/>
  <c r="Z529" i="4"/>
  <c r="V529" i="4"/>
  <c r="AA528" i="4"/>
  <c r="Z528" i="4"/>
  <c r="V528" i="4"/>
  <c r="AA527" i="4"/>
  <c r="Z527" i="4"/>
  <c r="V527" i="4"/>
  <c r="AA526" i="4"/>
  <c r="Z526" i="4"/>
  <c r="Y526" i="4"/>
  <c r="V526" i="4"/>
  <c r="AA525" i="4"/>
  <c r="Z525" i="4"/>
  <c r="V525" i="4"/>
  <c r="AA524" i="4"/>
  <c r="Z524" i="4"/>
  <c r="V524" i="4"/>
  <c r="AA523" i="4"/>
  <c r="Z523" i="4"/>
  <c r="V523" i="4"/>
  <c r="AA522" i="4"/>
  <c r="Z522" i="4"/>
  <c r="V522" i="4"/>
  <c r="AA521" i="4"/>
  <c r="Z521" i="4"/>
  <c r="V521" i="4"/>
  <c r="AA520" i="4"/>
  <c r="Z520" i="4"/>
  <c r="Y520" i="4"/>
  <c r="V520" i="4"/>
  <c r="AA519" i="4"/>
  <c r="Z519" i="4"/>
  <c r="V519" i="4"/>
  <c r="AA518" i="4"/>
  <c r="Z518" i="4"/>
  <c r="Y518" i="4"/>
  <c r="V518" i="4"/>
  <c r="AA517" i="4"/>
  <c r="Z517" i="4"/>
  <c r="Y517" i="4"/>
  <c r="V517" i="4"/>
  <c r="AA516" i="4"/>
  <c r="Z516" i="4"/>
  <c r="V516" i="4"/>
  <c r="AA515" i="4"/>
  <c r="Z515" i="4"/>
  <c r="Y515" i="4"/>
  <c r="V515" i="4"/>
  <c r="AA514" i="4"/>
  <c r="Z514" i="4"/>
  <c r="V514" i="4"/>
  <c r="AA513" i="4"/>
  <c r="Z513" i="4"/>
  <c r="V513" i="4"/>
  <c r="AA512" i="4"/>
  <c r="Z512" i="4"/>
  <c r="V512" i="4"/>
  <c r="AA511" i="4"/>
  <c r="Z511" i="4"/>
  <c r="Y511" i="4"/>
  <c r="V511" i="4"/>
  <c r="AA510" i="4"/>
  <c r="Z510" i="4"/>
  <c r="Y510" i="4"/>
  <c r="V510" i="4"/>
  <c r="AA509" i="4"/>
  <c r="Z509" i="4"/>
  <c r="V509" i="4"/>
  <c r="AA508" i="4"/>
  <c r="Z508" i="4"/>
  <c r="V508" i="4"/>
  <c r="AA507" i="4"/>
  <c r="Z507" i="4"/>
  <c r="Y507" i="4"/>
  <c r="V507" i="4"/>
  <c r="AA506" i="4"/>
  <c r="Z506" i="4"/>
  <c r="V506" i="4"/>
  <c r="AA505" i="4"/>
  <c r="Z505" i="4"/>
  <c r="V505" i="4"/>
  <c r="AA504" i="4"/>
  <c r="Z504" i="4"/>
  <c r="V504" i="4"/>
  <c r="AA503" i="4"/>
  <c r="Z503" i="4"/>
  <c r="Y503" i="4"/>
  <c r="V503" i="4"/>
  <c r="AA502" i="4"/>
  <c r="Z502" i="4"/>
  <c r="Y502" i="4"/>
  <c r="V502" i="4"/>
  <c r="AA501" i="4"/>
  <c r="Z501" i="4"/>
  <c r="V501" i="4"/>
  <c r="AA500" i="4"/>
  <c r="Z500" i="4"/>
  <c r="Y500" i="4"/>
  <c r="V500" i="4"/>
  <c r="AA499" i="4"/>
  <c r="Z499" i="4"/>
  <c r="V499" i="4"/>
  <c r="AA498" i="4"/>
  <c r="Z498" i="4"/>
  <c r="V498" i="4"/>
  <c r="AA497" i="4"/>
  <c r="Z497" i="4"/>
  <c r="V497" i="4"/>
  <c r="AA496" i="4"/>
  <c r="Z496" i="4"/>
  <c r="Y496" i="4"/>
  <c r="V496" i="4"/>
  <c r="AA495" i="4"/>
  <c r="Z495" i="4"/>
  <c r="V495" i="4"/>
  <c r="AA494" i="4"/>
  <c r="Z494" i="4"/>
  <c r="Y494" i="4"/>
  <c r="V494" i="4"/>
  <c r="AA493" i="4"/>
  <c r="Z493" i="4"/>
  <c r="V493" i="4"/>
  <c r="AA492" i="4"/>
  <c r="Z492" i="4"/>
  <c r="Y492" i="4"/>
  <c r="V492" i="4"/>
  <c r="AA491" i="4"/>
  <c r="Z491" i="4"/>
  <c r="V491" i="4"/>
  <c r="AA490" i="4"/>
  <c r="Z490" i="4"/>
  <c r="V490" i="4"/>
  <c r="AA489" i="4"/>
  <c r="Z489" i="4"/>
  <c r="Y489" i="4"/>
  <c r="V489" i="4"/>
  <c r="AA488" i="4"/>
  <c r="Z488" i="4"/>
  <c r="Y488" i="4"/>
  <c r="V488" i="4"/>
  <c r="AA487" i="4"/>
  <c r="Z487" i="4"/>
  <c r="V487" i="4"/>
  <c r="AA486" i="4"/>
  <c r="Z486" i="4"/>
  <c r="Y486" i="4"/>
  <c r="V486" i="4"/>
  <c r="AA485" i="4"/>
  <c r="Z485" i="4"/>
  <c r="V485" i="4"/>
  <c r="AA484" i="4"/>
  <c r="Z484" i="4"/>
  <c r="V484" i="4"/>
  <c r="AA483" i="4"/>
  <c r="Z483" i="4"/>
  <c r="Y483" i="4"/>
  <c r="V483" i="4"/>
  <c r="AA482" i="4"/>
  <c r="Z482" i="4"/>
  <c r="Y482" i="4"/>
  <c r="V482" i="4"/>
  <c r="AA481" i="4"/>
  <c r="Z481" i="4"/>
  <c r="Y481" i="4"/>
  <c r="V481" i="4"/>
  <c r="AA480" i="4"/>
  <c r="Z480" i="4"/>
  <c r="Y480" i="4"/>
  <c r="V480" i="4"/>
  <c r="AA479" i="4"/>
  <c r="Z479" i="4"/>
  <c r="V479" i="4"/>
  <c r="AA478" i="4"/>
  <c r="Z478" i="4"/>
  <c r="V478" i="4"/>
  <c r="AA477" i="4"/>
  <c r="Z477" i="4"/>
  <c r="V477" i="4"/>
  <c r="AA476" i="4"/>
  <c r="Z476" i="4"/>
  <c r="V476" i="4"/>
  <c r="AA475" i="4"/>
  <c r="Z475" i="4"/>
  <c r="Y475" i="4"/>
  <c r="V475" i="4"/>
  <c r="AA474" i="4"/>
  <c r="Z474" i="4"/>
  <c r="V474" i="4"/>
  <c r="AA473" i="4"/>
  <c r="Z473" i="4"/>
  <c r="Y473" i="4"/>
  <c r="V473" i="4"/>
  <c r="AA472" i="4"/>
  <c r="Z472" i="4"/>
  <c r="Y472" i="4"/>
  <c r="V472" i="4"/>
  <c r="AA471" i="4"/>
  <c r="Z471" i="4"/>
  <c r="Y471" i="4"/>
  <c r="V471" i="4"/>
  <c r="AA470" i="4"/>
  <c r="Z470" i="4"/>
  <c r="Y470" i="4"/>
  <c r="V470" i="4"/>
  <c r="AA469" i="4"/>
  <c r="Z469" i="4"/>
  <c r="V469" i="4"/>
  <c r="AA468" i="4"/>
  <c r="Z468" i="4"/>
  <c r="Y468" i="4"/>
  <c r="V468" i="4"/>
  <c r="AA467" i="4"/>
  <c r="Z467" i="4"/>
  <c r="Y467" i="4"/>
  <c r="V467" i="4"/>
  <c r="AA466" i="4"/>
  <c r="Z466" i="4"/>
  <c r="Y466" i="4"/>
  <c r="V466" i="4"/>
  <c r="AA465" i="4"/>
  <c r="Z465" i="4"/>
  <c r="V465" i="4"/>
  <c r="AA464" i="4"/>
  <c r="Z464" i="4"/>
  <c r="V464" i="4"/>
  <c r="AA463" i="4"/>
  <c r="Z463" i="4"/>
  <c r="V463" i="4"/>
  <c r="AA462" i="4"/>
  <c r="Z462" i="4"/>
  <c r="Y462" i="4"/>
  <c r="V462" i="4"/>
  <c r="AA461" i="4"/>
  <c r="Z461" i="4"/>
  <c r="V461" i="4"/>
  <c r="AA460" i="4"/>
  <c r="Z460" i="4"/>
  <c r="Y460" i="4"/>
  <c r="V460" i="4"/>
  <c r="AA459" i="4"/>
  <c r="Z459" i="4"/>
  <c r="V459" i="4"/>
  <c r="AA458" i="4"/>
  <c r="Z458" i="4"/>
  <c r="V458" i="4"/>
  <c r="AA457" i="4"/>
  <c r="Z457" i="4"/>
  <c r="V457" i="4"/>
  <c r="AA456" i="4"/>
  <c r="Z456" i="4"/>
  <c r="V456" i="4"/>
  <c r="AA455" i="4"/>
  <c r="Z455" i="4"/>
  <c r="V455" i="4"/>
  <c r="AA454" i="4"/>
  <c r="Z454" i="4"/>
  <c r="V454" i="4"/>
  <c r="AA453" i="4"/>
  <c r="Z453" i="4"/>
  <c r="V453" i="4"/>
  <c r="AA452" i="4"/>
  <c r="Z452" i="4"/>
  <c r="V452" i="4"/>
  <c r="AA451" i="4"/>
  <c r="Z451" i="4"/>
  <c r="V451" i="4"/>
  <c r="AA450" i="4"/>
  <c r="Z450" i="4"/>
  <c r="V450" i="4"/>
  <c r="AA449" i="4"/>
  <c r="Z449" i="4"/>
  <c r="Y449" i="4"/>
  <c r="V449" i="4"/>
  <c r="AA448" i="4"/>
  <c r="Z448" i="4"/>
  <c r="V448" i="4"/>
  <c r="AA447" i="4"/>
  <c r="Z447" i="4"/>
  <c r="V447" i="4"/>
  <c r="AA446" i="4"/>
  <c r="Z446" i="4"/>
  <c r="V446" i="4"/>
  <c r="AA445" i="4"/>
  <c r="Z445" i="4"/>
  <c r="V445" i="4"/>
  <c r="AA444" i="4"/>
  <c r="Z444" i="4"/>
  <c r="V444" i="4"/>
  <c r="AA443" i="4"/>
  <c r="Z443" i="4"/>
  <c r="V443" i="4"/>
  <c r="AA442" i="4"/>
  <c r="Z442" i="4"/>
  <c r="V442" i="4"/>
  <c r="AA441" i="4"/>
  <c r="Z441" i="4"/>
  <c r="Y441" i="4"/>
  <c r="V441" i="4"/>
  <c r="AA440" i="4"/>
  <c r="Z440" i="4"/>
  <c r="Y440" i="4"/>
  <c r="V440" i="4"/>
  <c r="AA439" i="4"/>
  <c r="Z439" i="4"/>
  <c r="V439" i="4"/>
  <c r="AA438" i="4"/>
  <c r="Z438" i="4"/>
  <c r="V438" i="4"/>
  <c r="AA437" i="4"/>
  <c r="Z437" i="4"/>
  <c r="Y437" i="4"/>
  <c r="V437" i="4"/>
  <c r="AA436" i="4"/>
  <c r="Z436" i="4"/>
  <c r="V436" i="4"/>
  <c r="AA435" i="4"/>
  <c r="Z435" i="4"/>
  <c r="V435" i="4"/>
  <c r="AA434" i="4"/>
  <c r="Z434" i="4"/>
  <c r="Y434" i="4"/>
  <c r="V434" i="4"/>
  <c r="AA433" i="4"/>
  <c r="Z433" i="4"/>
  <c r="Y433" i="4"/>
  <c r="V433" i="4"/>
  <c r="AA432" i="4"/>
  <c r="Z432" i="4"/>
  <c r="Y432" i="4"/>
  <c r="V432" i="4"/>
  <c r="AA431" i="4"/>
  <c r="Z431" i="4"/>
  <c r="V431" i="4"/>
  <c r="AA430" i="4"/>
  <c r="Z430" i="4"/>
  <c r="V430" i="4"/>
  <c r="AA429" i="4"/>
  <c r="Z429" i="4"/>
  <c r="Y429" i="4"/>
  <c r="V429" i="4"/>
  <c r="AA428" i="4"/>
  <c r="Z428" i="4"/>
  <c r="Y428" i="4"/>
  <c r="V428" i="4"/>
  <c r="AA427" i="4"/>
  <c r="Z427" i="4"/>
  <c r="Y427" i="4"/>
  <c r="V427" i="4"/>
  <c r="AA426" i="4"/>
  <c r="Z426" i="4"/>
  <c r="V426" i="4"/>
  <c r="AA425" i="4"/>
  <c r="Z425" i="4"/>
  <c r="V425" i="4"/>
  <c r="AA424" i="4"/>
  <c r="Z424" i="4"/>
  <c r="Y424" i="4"/>
  <c r="V424" i="4"/>
  <c r="AA423" i="4"/>
  <c r="Z423" i="4"/>
  <c r="V423" i="4"/>
  <c r="AA422" i="4"/>
  <c r="Z422" i="4"/>
  <c r="V422" i="4"/>
  <c r="AA421" i="4"/>
  <c r="Z421" i="4"/>
  <c r="Y421" i="4"/>
  <c r="V421" i="4"/>
  <c r="AA420" i="4"/>
  <c r="Z420" i="4"/>
  <c r="V420" i="4"/>
  <c r="AA419" i="4"/>
  <c r="Z419" i="4"/>
  <c r="V419" i="4"/>
  <c r="AA418" i="4"/>
  <c r="Z418" i="4"/>
  <c r="Y418" i="4"/>
  <c r="V418" i="4"/>
  <c r="AA417" i="4"/>
  <c r="Z417" i="4"/>
  <c r="V417" i="4"/>
  <c r="AA416" i="4"/>
  <c r="Z416" i="4"/>
  <c r="Y416" i="4"/>
  <c r="V416" i="4"/>
  <c r="AA415" i="4"/>
  <c r="Z415" i="4"/>
  <c r="V415" i="4"/>
  <c r="AA414" i="4"/>
  <c r="Z414" i="4"/>
  <c r="V414" i="4"/>
  <c r="AA413" i="4"/>
  <c r="Z413" i="4"/>
  <c r="V413" i="4"/>
  <c r="AA412" i="4"/>
  <c r="Z412" i="4"/>
  <c r="Y412" i="4"/>
  <c r="V412" i="4"/>
  <c r="AA411" i="4"/>
  <c r="Z411" i="4"/>
  <c r="V411" i="4"/>
  <c r="AA410" i="4"/>
  <c r="Z410" i="4"/>
  <c r="V410" i="4"/>
  <c r="AA409" i="4"/>
  <c r="Z409" i="4"/>
  <c r="V409" i="4"/>
  <c r="AA408" i="4"/>
  <c r="Z408" i="4"/>
  <c r="V408" i="4"/>
  <c r="AA407" i="4"/>
  <c r="Z407" i="4"/>
  <c r="Y407" i="4"/>
  <c r="V407" i="4"/>
  <c r="AA406" i="4"/>
  <c r="Z406" i="4"/>
  <c r="Y406" i="4"/>
  <c r="V406" i="4"/>
  <c r="AA405" i="4"/>
  <c r="Z405" i="4"/>
  <c r="Y405" i="4"/>
  <c r="V405" i="4"/>
  <c r="AA404" i="4"/>
  <c r="Z404" i="4"/>
  <c r="Y404" i="4"/>
  <c r="V404" i="4"/>
  <c r="AA403" i="4"/>
  <c r="Z403" i="4"/>
  <c r="V403" i="4"/>
  <c r="AA402" i="4"/>
  <c r="Z402" i="4"/>
  <c r="Y402" i="4"/>
  <c r="V402" i="4"/>
  <c r="AA401" i="4"/>
  <c r="Z401" i="4"/>
  <c r="V401" i="4"/>
  <c r="AA400" i="4"/>
  <c r="Z400" i="4"/>
  <c r="V400" i="4"/>
  <c r="AA399" i="4"/>
  <c r="Z399" i="4"/>
  <c r="V399" i="4"/>
  <c r="AA398" i="4"/>
  <c r="Z398" i="4"/>
  <c r="V398" i="4"/>
  <c r="AA397" i="4"/>
  <c r="Z397" i="4"/>
  <c r="V397" i="4"/>
  <c r="AA396" i="4"/>
  <c r="Z396" i="4"/>
  <c r="V396" i="4"/>
  <c r="AA395" i="4"/>
  <c r="Z395" i="4"/>
  <c r="Y395" i="4"/>
  <c r="V395" i="4"/>
  <c r="AA394" i="4"/>
  <c r="Z394" i="4"/>
  <c r="V394" i="4"/>
  <c r="AA393" i="4"/>
  <c r="Z393" i="4"/>
  <c r="Y393" i="4"/>
  <c r="V393" i="4"/>
  <c r="AA392" i="4"/>
  <c r="Z392" i="4"/>
  <c r="V392" i="4"/>
  <c r="AA391" i="4"/>
  <c r="Z391" i="4"/>
  <c r="V391" i="4"/>
  <c r="AA390" i="4"/>
  <c r="Z390" i="4"/>
  <c r="Y390" i="4"/>
  <c r="V390" i="4"/>
  <c r="AA389" i="4"/>
  <c r="Z389" i="4"/>
  <c r="Y389" i="4"/>
  <c r="V389" i="4"/>
  <c r="AA388" i="4"/>
  <c r="Z388" i="4"/>
  <c r="V388" i="4"/>
  <c r="AA387" i="4"/>
  <c r="Z387" i="4"/>
  <c r="V387" i="4"/>
  <c r="AA386" i="4"/>
  <c r="Z386" i="4"/>
  <c r="V386" i="4"/>
  <c r="AA385" i="4"/>
  <c r="Z385" i="4"/>
  <c r="Y385" i="4"/>
  <c r="V385" i="4"/>
  <c r="AA384" i="4"/>
  <c r="Z384" i="4"/>
  <c r="Y384" i="4"/>
  <c r="V384" i="4"/>
  <c r="AA383" i="4"/>
  <c r="Z383" i="4"/>
  <c r="V383" i="4"/>
  <c r="AA382" i="4"/>
  <c r="Z382" i="4"/>
  <c r="V382" i="4"/>
  <c r="AA381" i="4"/>
  <c r="Z381" i="4"/>
  <c r="V381" i="4"/>
  <c r="AA380" i="4"/>
  <c r="Z380" i="4"/>
  <c r="V380" i="4"/>
  <c r="AA379" i="4"/>
  <c r="Z379" i="4"/>
  <c r="V379" i="4"/>
  <c r="AA378" i="4"/>
  <c r="Z378" i="4"/>
  <c r="Y378" i="4"/>
  <c r="V378" i="4"/>
  <c r="AA377" i="4"/>
  <c r="Z377" i="4"/>
  <c r="Y377" i="4"/>
  <c r="V377" i="4"/>
  <c r="AA376" i="4"/>
  <c r="Z376" i="4"/>
  <c r="V376" i="4"/>
  <c r="AA375" i="4"/>
  <c r="Z375" i="4"/>
  <c r="V375" i="4"/>
  <c r="AA374" i="4"/>
  <c r="Z374" i="4"/>
  <c r="V374" i="4"/>
  <c r="AA373" i="4"/>
  <c r="Z373" i="4"/>
  <c r="Y373" i="4"/>
  <c r="V373" i="4"/>
  <c r="AA372" i="4"/>
  <c r="Z372" i="4"/>
  <c r="V372" i="4"/>
  <c r="AA371" i="4"/>
  <c r="Z371" i="4"/>
  <c r="Y371" i="4"/>
  <c r="V371" i="4"/>
  <c r="AA370" i="4"/>
  <c r="Z370" i="4"/>
  <c r="V370" i="4"/>
  <c r="AA369" i="4"/>
  <c r="Z369" i="4"/>
  <c r="Y369" i="4"/>
  <c r="V369" i="4"/>
  <c r="AA368" i="4"/>
  <c r="Z368" i="4"/>
  <c r="V368" i="4"/>
  <c r="AA367" i="4"/>
  <c r="Z367" i="4"/>
  <c r="V367" i="4"/>
  <c r="AA366" i="4"/>
  <c r="Z366" i="4"/>
  <c r="V366" i="4"/>
  <c r="AA365" i="4"/>
  <c r="Z365" i="4"/>
  <c r="V365" i="4"/>
  <c r="AA364" i="4"/>
  <c r="Z364" i="4"/>
  <c r="V364" i="4"/>
  <c r="AA363" i="4"/>
  <c r="Z363" i="4"/>
  <c r="V363" i="4"/>
  <c r="AA362" i="4"/>
  <c r="Z362" i="4"/>
  <c r="V362" i="4"/>
  <c r="AA361" i="4"/>
  <c r="Z361" i="4"/>
  <c r="V361" i="4"/>
  <c r="AA360" i="4"/>
  <c r="Z360" i="4"/>
  <c r="V360" i="4"/>
  <c r="AA359" i="4"/>
  <c r="Z359" i="4"/>
  <c r="Y359" i="4"/>
  <c r="V359" i="4"/>
  <c r="AA358" i="4"/>
  <c r="Z358" i="4"/>
  <c r="V358" i="4"/>
  <c r="AA357" i="4"/>
  <c r="Z357" i="4"/>
  <c r="V357" i="4"/>
  <c r="AA356" i="4"/>
  <c r="Z356" i="4"/>
  <c r="Y356" i="4"/>
  <c r="V356" i="4"/>
  <c r="AA355" i="4"/>
  <c r="Z355" i="4"/>
  <c r="V355" i="4"/>
  <c r="AA354" i="4"/>
  <c r="Z354" i="4"/>
  <c r="Y354" i="4"/>
  <c r="V354" i="4"/>
  <c r="AA353" i="4"/>
  <c r="Z353" i="4"/>
  <c r="V353" i="4"/>
  <c r="AA352" i="4"/>
  <c r="Z352" i="4"/>
  <c r="V352" i="4"/>
  <c r="AA351" i="4"/>
  <c r="Z351" i="4"/>
  <c r="Y351" i="4"/>
  <c r="V351" i="4"/>
  <c r="AA350" i="4"/>
  <c r="Z350" i="4"/>
  <c r="V350" i="4"/>
  <c r="AA349" i="4"/>
  <c r="Z349" i="4"/>
  <c r="V349" i="4"/>
  <c r="AA348" i="4"/>
  <c r="Z348" i="4"/>
  <c r="V348" i="4"/>
  <c r="AA347" i="4"/>
  <c r="Z347" i="4"/>
  <c r="V347" i="4"/>
  <c r="AA346" i="4"/>
  <c r="Z346" i="4"/>
  <c r="V346" i="4"/>
  <c r="AA345" i="4"/>
  <c r="Z345" i="4"/>
  <c r="Y345" i="4"/>
  <c r="V345" i="4"/>
  <c r="AA344" i="4"/>
  <c r="Z344" i="4"/>
  <c r="Y344" i="4"/>
  <c r="V344" i="4"/>
  <c r="AA343" i="4"/>
  <c r="Z343" i="4"/>
  <c r="V343" i="4"/>
  <c r="AA342" i="4"/>
  <c r="Z342" i="4"/>
  <c r="Y342" i="4"/>
  <c r="V342" i="4"/>
  <c r="AA341" i="4"/>
  <c r="Z341" i="4"/>
  <c r="V341" i="4"/>
  <c r="AA340" i="4"/>
  <c r="Z340" i="4"/>
  <c r="V340" i="4"/>
  <c r="AA339" i="4"/>
  <c r="Z339" i="4"/>
  <c r="V339" i="4"/>
  <c r="AA338" i="4"/>
  <c r="Z338" i="4"/>
  <c r="Y338" i="4"/>
  <c r="V338" i="4"/>
  <c r="AA337" i="4"/>
  <c r="Z337" i="4"/>
  <c r="V337" i="4"/>
  <c r="AA336" i="4"/>
  <c r="Z336" i="4"/>
  <c r="V336" i="4"/>
  <c r="AA335" i="4"/>
  <c r="Z335" i="4"/>
  <c r="Y335" i="4"/>
  <c r="V335" i="4"/>
  <c r="AA334" i="4"/>
  <c r="Z334" i="4"/>
  <c r="Y334" i="4"/>
  <c r="V334" i="4"/>
  <c r="AA333" i="4"/>
  <c r="Z333" i="4"/>
  <c r="V333" i="4"/>
  <c r="AA332" i="4"/>
  <c r="Z332" i="4"/>
  <c r="V332" i="4"/>
  <c r="AA331" i="4"/>
  <c r="Z331" i="4"/>
  <c r="V331" i="4"/>
  <c r="AA330" i="4"/>
  <c r="Z330" i="4"/>
  <c r="Y330" i="4"/>
  <c r="V330" i="4"/>
  <c r="AA329" i="4"/>
  <c r="Z329" i="4"/>
  <c r="V329" i="4"/>
  <c r="AA328" i="4"/>
  <c r="Z328" i="4"/>
  <c r="Y328" i="4"/>
  <c r="V328" i="4"/>
  <c r="AA327" i="4"/>
  <c r="Z327" i="4"/>
  <c r="V327" i="4"/>
  <c r="AA326" i="4"/>
  <c r="Z326" i="4"/>
  <c r="Y326" i="4"/>
  <c r="V326" i="4"/>
  <c r="AA325" i="4"/>
  <c r="Z325" i="4"/>
  <c r="V325" i="4"/>
  <c r="AA324" i="4"/>
  <c r="Z324" i="4"/>
  <c r="Y324" i="4"/>
  <c r="V324" i="4"/>
  <c r="AA323" i="4"/>
  <c r="Z323" i="4"/>
  <c r="V323" i="4"/>
  <c r="AA322" i="4"/>
  <c r="Z322" i="4"/>
  <c r="Y322" i="4"/>
  <c r="V322" i="4"/>
  <c r="AA321" i="4"/>
  <c r="Z321" i="4"/>
  <c r="Y321" i="4"/>
  <c r="V321" i="4"/>
  <c r="AA320" i="4"/>
  <c r="Z320" i="4"/>
  <c r="V320" i="4"/>
  <c r="AA319" i="4"/>
  <c r="Z319" i="4"/>
  <c r="Y319" i="4"/>
  <c r="V319" i="4"/>
  <c r="AA318" i="4"/>
  <c r="Z318" i="4"/>
  <c r="Y318" i="4"/>
  <c r="V318" i="4"/>
  <c r="AA317" i="4"/>
  <c r="Z317" i="4"/>
  <c r="V317" i="4"/>
  <c r="AA316" i="4"/>
  <c r="Z316" i="4"/>
  <c r="V316" i="4"/>
  <c r="AA315" i="4"/>
  <c r="Z315" i="4"/>
  <c r="V315" i="4"/>
  <c r="AA314" i="4"/>
  <c r="Z314" i="4"/>
  <c r="Y314" i="4"/>
  <c r="V314" i="4"/>
  <c r="AA313" i="4"/>
  <c r="Z313" i="4"/>
  <c r="Y313" i="4"/>
  <c r="V313" i="4"/>
  <c r="AA312" i="4"/>
  <c r="Z312" i="4"/>
  <c r="V312" i="4"/>
  <c r="AA311" i="4"/>
  <c r="Z311" i="4"/>
  <c r="V311" i="4"/>
  <c r="AA310" i="4"/>
  <c r="Z310" i="4"/>
  <c r="V310" i="4"/>
  <c r="AA309" i="4"/>
  <c r="Z309" i="4"/>
  <c r="Y309" i="4"/>
  <c r="V309" i="4"/>
  <c r="AA308" i="4"/>
  <c r="Z308" i="4"/>
  <c r="V308" i="4"/>
  <c r="AA307" i="4"/>
  <c r="Z307" i="4"/>
  <c r="V307" i="4"/>
  <c r="AA306" i="4"/>
  <c r="Z306" i="4"/>
  <c r="V306" i="4"/>
  <c r="AA305" i="4"/>
  <c r="Z305" i="4"/>
  <c r="V305" i="4"/>
  <c r="AA304" i="4"/>
  <c r="Z304" i="4"/>
  <c r="V304" i="4"/>
  <c r="AA303" i="4"/>
  <c r="Z303" i="4"/>
  <c r="Y303" i="4"/>
  <c r="V303" i="4"/>
  <c r="AA302" i="4"/>
  <c r="Z302" i="4"/>
  <c r="Y302" i="4"/>
  <c r="V302" i="4"/>
  <c r="AA301" i="4"/>
  <c r="Z301" i="4"/>
  <c r="V301" i="4"/>
  <c r="AA300" i="4"/>
  <c r="Z300" i="4"/>
  <c r="Y300" i="4"/>
  <c r="V300" i="4"/>
  <c r="AA299" i="4"/>
  <c r="Z299" i="4"/>
  <c r="Y299" i="4"/>
  <c r="V299" i="4"/>
  <c r="AA298" i="4"/>
  <c r="Z298" i="4"/>
  <c r="Y298" i="4"/>
  <c r="V298" i="4"/>
  <c r="AA297" i="4"/>
  <c r="Z297" i="4"/>
  <c r="V297" i="4"/>
  <c r="AA296" i="4"/>
  <c r="Z296" i="4"/>
  <c r="Y296" i="4"/>
  <c r="V296" i="4"/>
  <c r="AA295" i="4"/>
  <c r="Z295" i="4"/>
  <c r="V295" i="4"/>
  <c r="AA294" i="4"/>
  <c r="Z294" i="4"/>
  <c r="Y294" i="4"/>
  <c r="V294" i="4"/>
  <c r="AA293" i="4"/>
  <c r="Z293" i="4"/>
  <c r="V293" i="4"/>
  <c r="AA292" i="4"/>
  <c r="Z292" i="4"/>
  <c r="Y292" i="4"/>
  <c r="V292" i="4"/>
  <c r="AA291" i="4"/>
  <c r="Z291" i="4"/>
  <c r="Y291" i="4"/>
  <c r="V291" i="4"/>
  <c r="AA290" i="4"/>
  <c r="Z290" i="4"/>
  <c r="V290" i="4"/>
  <c r="AA289" i="4"/>
  <c r="Z289" i="4"/>
  <c r="Y289" i="4"/>
  <c r="V289" i="4"/>
  <c r="AA288" i="4"/>
  <c r="Z288" i="4"/>
  <c r="Y288" i="4"/>
  <c r="V288" i="4"/>
  <c r="AA287" i="4"/>
  <c r="Z287" i="4"/>
  <c r="V287" i="4"/>
  <c r="AA286" i="4"/>
  <c r="Z286" i="4"/>
  <c r="V286" i="4"/>
  <c r="AA285" i="4"/>
  <c r="Z285" i="4"/>
  <c r="V285" i="4"/>
  <c r="AA284" i="4"/>
  <c r="Z284" i="4"/>
  <c r="Y284" i="4"/>
  <c r="V284" i="4"/>
  <c r="AA283" i="4"/>
  <c r="Z283" i="4"/>
  <c r="Y283" i="4"/>
  <c r="V283" i="4"/>
  <c r="AA282" i="4"/>
  <c r="Z282" i="4"/>
  <c r="V282" i="4"/>
  <c r="AA281" i="4"/>
  <c r="Z281" i="4"/>
  <c r="V281" i="4"/>
  <c r="AA280" i="4"/>
  <c r="Z280" i="4"/>
  <c r="V280" i="4"/>
  <c r="AA279" i="4"/>
  <c r="Z279" i="4"/>
  <c r="V279" i="4"/>
  <c r="AA278" i="4"/>
  <c r="Z278" i="4"/>
  <c r="Y278" i="4"/>
  <c r="V278" i="4"/>
  <c r="AA277" i="4"/>
  <c r="Z277" i="4"/>
  <c r="Y277" i="4"/>
  <c r="V277" i="4"/>
  <c r="AA276" i="4"/>
  <c r="Z276" i="4"/>
  <c r="V276" i="4"/>
  <c r="AA275" i="4"/>
  <c r="Z275" i="4"/>
  <c r="V275" i="4"/>
  <c r="AA274" i="4"/>
  <c r="Z274" i="4"/>
  <c r="V274" i="4"/>
  <c r="AA273" i="4"/>
  <c r="Z273" i="4"/>
  <c r="V273" i="4"/>
  <c r="AA272" i="4"/>
  <c r="Z272" i="4"/>
  <c r="V272" i="4"/>
  <c r="AA271" i="4"/>
  <c r="Z271" i="4"/>
  <c r="V271" i="4"/>
  <c r="AA270" i="4"/>
  <c r="Z270" i="4"/>
  <c r="V270" i="4"/>
  <c r="AA269" i="4"/>
  <c r="Z269" i="4"/>
  <c r="Y269" i="4"/>
  <c r="V269" i="4"/>
  <c r="AA268" i="4"/>
  <c r="Z268" i="4"/>
  <c r="V268" i="4"/>
  <c r="AA267" i="4"/>
  <c r="Z267" i="4"/>
  <c r="Y267" i="4"/>
  <c r="V267" i="4"/>
  <c r="AA266" i="4"/>
  <c r="Z266" i="4"/>
  <c r="Y266" i="4"/>
  <c r="V266" i="4"/>
  <c r="AA265" i="4"/>
  <c r="Z265" i="4"/>
  <c r="V265" i="4"/>
  <c r="AA264" i="4"/>
  <c r="Z264" i="4"/>
  <c r="Y264" i="4"/>
  <c r="V264" i="4"/>
  <c r="AA263" i="4"/>
  <c r="Z263" i="4"/>
  <c r="V263" i="4"/>
  <c r="AA262" i="4"/>
  <c r="Z262" i="4"/>
  <c r="Y262" i="4"/>
  <c r="V262" i="4"/>
  <c r="AA261" i="4"/>
  <c r="Z261" i="4"/>
  <c r="V261" i="4"/>
  <c r="AA260" i="4"/>
  <c r="Z260" i="4"/>
  <c r="V260" i="4"/>
  <c r="AA259" i="4"/>
  <c r="Z259" i="4"/>
  <c r="V259" i="4"/>
  <c r="AA258" i="4"/>
  <c r="Z258" i="4"/>
  <c r="Y258" i="4"/>
  <c r="V258" i="4"/>
  <c r="AA257" i="4"/>
  <c r="Z257" i="4"/>
  <c r="Y257" i="4"/>
  <c r="V257" i="4"/>
  <c r="AA256" i="4"/>
  <c r="Z256" i="4"/>
  <c r="V256" i="4"/>
  <c r="AA255" i="4"/>
  <c r="Z255" i="4"/>
  <c r="Y255" i="4"/>
  <c r="V255" i="4"/>
  <c r="AA254" i="4"/>
  <c r="Z254" i="4"/>
  <c r="Y254" i="4"/>
  <c r="V254" i="4"/>
  <c r="AA253" i="4"/>
  <c r="Z253" i="4"/>
  <c r="Y253" i="4"/>
  <c r="V253" i="4"/>
  <c r="AA252" i="4"/>
  <c r="Z252" i="4"/>
  <c r="V252" i="4"/>
  <c r="AA251" i="4"/>
  <c r="Z251" i="4"/>
  <c r="V251" i="4"/>
  <c r="AA250" i="4"/>
  <c r="Z250" i="4"/>
  <c r="V250" i="4"/>
  <c r="AA249" i="4"/>
  <c r="Z249" i="4"/>
  <c r="Y249" i="4"/>
  <c r="V249" i="4"/>
  <c r="AA248" i="4"/>
  <c r="Z248" i="4"/>
  <c r="V248" i="4"/>
  <c r="AA247" i="4"/>
  <c r="Z247" i="4"/>
  <c r="V247" i="4"/>
  <c r="AA246" i="4"/>
  <c r="Z246" i="4"/>
  <c r="V246" i="4"/>
  <c r="AA245" i="4"/>
  <c r="Z245" i="4"/>
  <c r="Y245" i="4"/>
  <c r="V245" i="4"/>
  <c r="AA244" i="4"/>
  <c r="Z244" i="4"/>
  <c r="V244" i="4"/>
  <c r="AA243" i="4"/>
  <c r="Z243" i="4"/>
  <c r="Y243" i="4"/>
  <c r="V243" i="4"/>
  <c r="AA242" i="4"/>
  <c r="Z242" i="4"/>
  <c r="V242" i="4"/>
  <c r="AA241" i="4"/>
  <c r="Z241" i="4"/>
  <c r="Y241" i="4"/>
  <c r="V241" i="4"/>
  <c r="AA240" i="4"/>
  <c r="Z240" i="4"/>
  <c r="V240" i="4"/>
  <c r="AA239" i="4"/>
  <c r="Z239" i="4"/>
  <c r="V239" i="4"/>
  <c r="AA238" i="4"/>
  <c r="Z238" i="4"/>
  <c r="V238" i="4"/>
  <c r="AA237" i="4"/>
  <c r="Z237" i="4"/>
  <c r="V237" i="4"/>
  <c r="AA236" i="4"/>
  <c r="Z236" i="4"/>
  <c r="Y236" i="4"/>
  <c r="V236" i="4"/>
  <c r="AA235" i="4"/>
  <c r="Z235" i="4"/>
  <c r="Y235" i="4"/>
  <c r="V235" i="4"/>
  <c r="AA234" i="4"/>
  <c r="Z234" i="4"/>
  <c r="V234" i="4"/>
  <c r="AA233" i="4"/>
  <c r="Z233" i="4"/>
  <c r="Y233" i="4"/>
  <c r="V233" i="4"/>
  <c r="AA232" i="4"/>
  <c r="Z232" i="4"/>
  <c r="Y232" i="4"/>
  <c r="V232" i="4"/>
  <c r="AA231" i="4"/>
  <c r="Z231" i="4"/>
  <c r="Y231" i="4"/>
  <c r="V231" i="4"/>
  <c r="AA230" i="4"/>
  <c r="Z230" i="4"/>
  <c r="V230" i="4"/>
  <c r="AA229" i="4"/>
  <c r="Z229" i="4"/>
  <c r="Y229" i="4"/>
  <c r="V229" i="4"/>
  <c r="AA228" i="4"/>
  <c r="Z228" i="4"/>
  <c r="Y228" i="4"/>
  <c r="V228" i="4"/>
  <c r="AA227" i="4"/>
  <c r="Z227" i="4"/>
  <c r="V227" i="4"/>
  <c r="AA226" i="4"/>
  <c r="Z226" i="4"/>
  <c r="Y226" i="4"/>
  <c r="V226" i="4"/>
  <c r="AA225" i="4"/>
  <c r="Z225" i="4"/>
  <c r="Y225" i="4"/>
  <c r="V225" i="4"/>
  <c r="AA224" i="4"/>
  <c r="Z224" i="4"/>
  <c r="Y224" i="4"/>
  <c r="V224" i="4"/>
  <c r="AA223" i="4"/>
  <c r="Z223" i="4"/>
  <c r="V223" i="4"/>
  <c r="AA222" i="4"/>
  <c r="Z222" i="4"/>
  <c r="V222" i="4"/>
  <c r="AA221" i="4"/>
  <c r="Z221" i="4"/>
  <c r="Y221" i="4"/>
  <c r="V221" i="4"/>
  <c r="AA220" i="4"/>
  <c r="Z220" i="4"/>
  <c r="V220" i="4"/>
  <c r="AA219" i="4"/>
  <c r="Z219" i="4"/>
  <c r="V219" i="4"/>
  <c r="AA218" i="4"/>
  <c r="Z218" i="4"/>
  <c r="V218" i="4"/>
  <c r="AA217" i="4"/>
  <c r="Z217" i="4"/>
  <c r="V217" i="4"/>
  <c r="AA216" i="4"/>
  <c r="Z216" i="4"/>
  <c r="V216" i="4"/>
  <c r="AA215" i="4"/>
  <c r="Z215" i="4"/>
  <c r="V215" i="4"/>
  <c r="AA214" i="4"/>
  <c r="Z214" i="4"/>
  <c r="V214" i="4"/>
  <c r="AA213" i="4"/>
  <c r="Z213" i="4"/>
  <c r="V213" i="4"/>
  <c r="AA212" i="4"/>
  <c r="Z212" i="4"/>
  <c r="V212" i="4"/>
  <c r="AA211" i="4"/>
  <c r="Z211" i="4"/>
  <c r="V211" i="4"/>
  <c r="AA210" i="4"/>
  <c r="Z210" i="4"/>
  <c r="Y210" i="4"/>
  <c r="V210" i="4"/>
  <c r="AA209" i="4"/>
  <c r="Z209" i="4"/>
  <c r="V209" i="4"/>
  <c r="AA208" i="4"/>
  <c r="Z208" i="4"/>
  <c r="V208" i="4"/>
  <c r="AA207" i="4"/>
  <c r="Z207" i="4"/>
  <c r="Y207" i="4"/>
  <c r="V207" i="4"/>
  <c r="AA206" i="4"/>
  <c r="Z206" i="4"/>
  <c r="V206" i="4"/>
  <c r="AA205" i="4"/>
  <c r="Z205" i="4"/>
  <c r="Y205" i="4"/>
  <c r="V205" i="4"/>
  <c r="AA204" i="4"/>
  <c r="Z204" i="4"/>
  <c r="V204" i="4"/>
  <c r="AA203" i="4"/>
  <c r="Z203" i="4"/>
  <c r="Y203" i="4"/>
  <c r="V203" i="4"/>
  <c r="AA202" i="4"/>
  <c r="Z202" i="4"/>
  <c r="Y202" i="4"/>
  <c r="V202" i="4"/>
  <c r="AA201" i="4"/>
  <c r="Z201" i="4"/>
  <c r="Y201" i="4"/>
  <c r="V201" i="4"/>
  <c r="AA200" i="4"/>
  <c r="Z200" i="4"/>
  <c r="V200" i="4"/>
  <c r="AA199" i="4"/>
  <c r="Z199" i="4"/>
  <c r="Y199" i="4"/>
  <c r="V199" i="4"/>
  <c r="AA198" i="4"/>
  <c r="Z198" i="4"/>
  <c r="V198" i="4"/>
  <c r="AA197" i="4"/>
  <c r="Z197" i="4"/>
  <c r="Y197" i="4"/>
  <c r="V197" i="4"/>
  <c r="AA196" i="4"/>
  <c r="Z196" i="4"/>
  <c r="Y196" i="4"/>
  <c r="V196" i="4"/>
  <c r="AA195" i="4"/>
  <c r="Z195" i="4"/>
  <c r="V195" i="4"/>
  <c r="AA194" i="4"/>
  <c r="Z194" i="4"/>
  <c r="Y194" i="4"/>
  <c r="V194" i="4"/>
  <c r="AA193" i="4"/>
  <c r="Z193" i="4"/>
  <c r="V193" i="4"/>
  <c r="AA192" i="4"/>
  <c r="Z192" i="4"/>
  <c r="Y192" i="4"/>
  <c r="V192" i="4"/>
  <c r="AA191" i="4"/>
  <c r="Z191" i="4"/>
  <c r="Y191" i="4"/>
  <c r="V191" i="4"/>
  <c r="AA190" i="4"/>
  <c r="Z190" i="4"/>
  <c r="V190" i="4"/>
  <c r="AA189" i="4"/>
  <c r="Z189" i="4"/>
  <c r="Y189" i="4"/>
  <c r="V189" i="4"/>
  <c r="AA188" i="4"/>
  <c r="Z188" i="4"/>
  <c r="V188" i="4"/>
  <c r="AA187" i="4"/>
  <c r="Z187" i="4"/>
  <c r="Y187" i="4"/>
  <c r="V187" i="4"/>
  <c r="AA186" i="4"/>
  <c r="Z186" i="4"/>
  <c r="V186" i="4"/>
  <c r="AA185" i="4"/>
  <c r="Z185" i="4"/>
  <c r="V185" i="4"/>
  <c r="AA184" i="4"/>
  <c r="Z184" i="4"/>
  <c r="V184" i="4"/>
  <c r="AA183" i="4"/>
  <c r="Z183" i="4"/>
  <c r="V183" i="4"/>
  <c r="AA182" i="4"/>
  <c r="Z182" i="4"/>
  <c r="V182" i="4"/>
  <c r="AA181" i="4"/>
  <c r="Z181" i="4"/>
  <c r="Y181" i="4"/>
  <c r="V181" i="4"/>
  <c r="AA180" i="4"/>
  <c r="Z180" i="4"/>
  <c r="Y180" i="4"/>
  <c r="V180" i="4"/>
  <c r="AA179" i="4"/>
  <c r="Z179" i="4"/>
  <c r="Y179" i="4"/>
  <c r="V179" i="4"/>
  <c r="AA178" i="4"/>
  <c r="Z178" i="4"/>
  <c r="Y178" i="4"/>
  <c r="V178" i="4"/>
  <c r="AA177" i="4"/>
  <c r="Z177" i="4"/>
  <c r="V177" i="4"/>
  <c r="AA176" i="4"/>
  <c r="Z176" i="4"/>
  <c r="Y176" i="4"/>
  <c r="V176" i="4"/>
  <c r="AA175" i="4"/>
  <c r="Z175" i="4"/>
  <c r="V175" i="4"/>
  <c r="AA174" i="4"/>
  <c r="Z174" i="4"/>
  <c r="V174" i="4"/>
  <c r="AA173" i="4"/>
  <c r="Z173" i="4"/>
  <c r="Y173" i="4"/>
  <c r="V173" i="4"/>
  <c r="AA172" i="4"/>
  <c r="Z172" i="4"/>
  <c r="V172" i="4"/>
  <c r="AA171" i="4"/>
  <c r="Z171" i="4"/>
  <c r="Y171" i="4"/>
  <c r="V171" i="4"/>
  <c r="AA170" i="4"/>
  <c r="Z170" i="4"/>
  <c r="V170" i="4"/>
  <c r="AA169" i="4"/>
  <c r="Z169" i="4"/>
  <c r="Y169" i="4"/>
  <c r="V169" i="4"/>
  <c r="AA168" i="4"/>
  <c r="Z168" i="4"/>
  <c r="V168" i="4"/>
  <c r="AA167" i="4"/>
  <c r="Z167" i="4"/>
  <c r="V167" i="4"/>
  <c r="AA166" i="4"/>
  <c r="Z166" i="4"/>
  <c r="V166" i="4"/>
  <c r="AA165" i="4"/>
  <c r="Z165" i="4"/>
  <c r="Y165" i="4"/>
  <c r="V165" i="4"/>
  <c r="AA164" i="4"/>
  <c r="Z164" i="4"/>
  <c r="Y164" i="4"/>
  <c r="V164" i="4"/>
  <c r="AA163" i="4"/>
  <c r="Z163" i="4"/>
  <c r="V163" i="4"/>
  <c r="AA162" i="4"/>
  <c r="Z162" i="4"/>
  <c r="V162" i="4"/>
  <c r="AA161" i="4"/>
  <c r="Z161" i="4"/>
  <c r="Y161" i="4"/>
  <c r="V161" i="4"/>
  <c r="AA160" i="4"/>
  <c r="Z160" i="4"/>
  <c r="Y160" i="4"/>
  <c r="V160" i="4"/>
  <c r="AA159" i="4"/>
  <c r="Z159" i="4"/>
  <c r="V159" i="4"/>
  <c r="AA158" i="4"/>
  <c r="Z158" i="4"/>
  <c r="Y158" i="4"/>
  <c r="V158" i="4"/>
  <c r="AA157" i="4"/>
  <c r="Z157" i="4"/>
  <c r="V157" i="4"/>
  <c r="AA156" i="4"/>
  <c r="Z156" i="4"/>
  <c r="Y156" i="4"/>
  <c r="V156" i="4"/>
  <c r="AA155" i="4"/>
  <c r="Z155" i="4"/>
  <c r="Y155" i="4"/>
  <c r="V155" i="4"/>
  <c r="AA154" i="4"/>
  <c r="Z154" i="4"/>
  <c r="Y154" i="4"/>
  <c r="V154" i="4"/>
  <c r="AA153" i="4"/>
  <c r="Z153" i="4"/>
  <c r="Y153" i="4"/>
  <c r="V153" i="4"/>
  <c r="AA152" i="4"/>
  <c r="Z152" i="4"/>
  <c r="Y152" i="4"/>
  <c r="V152" i="4"/>
  <c r="AA151" i="4"/>
  <c r="Z151" i="4"/>
  <c r="V151" i="4"/>
  <c r="AA150" i="4"/>
  <c r="Z150" i="4"/>
  <c r="Y150" i="4"/>
  <c r="V150" i="4"/>
  <c r="AA149" i="4"/>
  <c r="Z149" i="4"/>
  <c r="Y149" i="4"/>
  <c r="V149" i="4"/>
  <c r="AA148" i="4"/>
  <c r="Z148" i="4"/>
  <c r="Y148" i="4"/>
  <c r="V148" i="4"/>
  <c r="AA147" i="4"/>
  <c r="Z147" i="4"/>
  <c r="Y147" i="4"/>
  <c r="V147" i="4"/>
  <c r="AA146" i="4"/>
  <c r="Z146" i="4"/>
  <c r="V146" i="4"/>
  <c r="AA145" i="4"/>
  <c r="Z145" i="4"/>
  <c r="V145" i="4"/>
  <c r="AA144" i="4"/>
  <c r="Z144" i="4"/>
  <c r="Y144" i="4"/>
  <c r="V144" i="4"/>
  <c r="AA143" i="4"/>
  <c r="Z143" i="4"/>
  <c r="V143" i="4"/>
  <c r="AA142" i="4"/>
  <c r="Z142" i="4"/>
  <c r="Y142" i="4"/>
  <c r="V142" i="4"/>
  <c r="AA141" i="4"/>
  <c r="Z141" i="4"/>
  <c r="V141" i="4"/>
  <c r="AA140" i="4"/>
  <c r="Z140" i="4"/>
  <c r="V140" i="4"/>
  <c r="AA139" i="4"/>
  <c r="Z139" i="4"/>
  <c r="V139" i="4"/>
  <c r="AA138" i="4"/>
  <c r="Z138" i="4"/>
  <c r="V138" i="4"/>
  <c r="AA137" i="4"/>
  <c r="Z137" i="4"/>
  <c r="V137" i="4"/>
  <c r="AA136" i="4"/>
  <c r="Z136" i="4"/>
  <c r="Y136" i="4"/>
  <c r="V136" i="4"/>
  <c r="AA135" i="4"/>
  <c r="Z135" i="4"/>
  <c r="Y135" i="4"/>
  <c r="V135" i="4"/>
  <c r="AA134" i="4"/>
  <c r="Z134" i="4"/>
  <c r="V134" i="4"/>
  <c r="AA133" i="4"/>
  <c r="Z133" i="4"/>
  <c r="V133" i="4"/>
  <c r="AA132" i="4"/>
  <c r="Z132" i="4"/>
  <c r="Y132" i="4"/>
  <c r="V132" i="4"/>
  <c r="AA131" i="4"/>
  <c r="Z131" i="4"/>
  <c r="V131" i="4"/>
  <c r="AA130" i="4"/>
  <c r="Z130" i="4"/>
  <c r="V130" i="4"/>
  <c r="AA129" i="4"/>
  <c r="Z129" i="4"/>
  <c r="V129" i="4"/>
  <c r="AA128" i="4"/>
  <c r="Z128" i="4"/>
  <c r="V128" i="4"/>
  <c r="AA127" i="4"/>
  <c r="Z127" i="4"/>
  <c r="Y127" i="4"/>
  <c r="V127" i="4"/>
  <c r="AA126" i="4"/>
  <c r="Z126" i="4"/>
  <c r="Y126" i="4"/>
  <c r="V126" i="4"/>
  <c r="AA125" i="4"/>
  <c r="Z125" i="4"/>
  <c r="V125" i="4"/>
  <c r="AA124" i="4"/>
  <c r="Z124" i="4"/>
  <c r="Y124" i="4"/>
  <c r="V124" i="4"/>
  <c r="AA123" i="4"/>
  <c r="Z123" i="4"/>
  <c r="V123" i="4"/>
  <c r="AA122" i="4"/>
  <c r="Z122" i="4"/>
  <c r="V122" i="4"/>
  <c r="AA121" i="4"/>
  <c r="Z121" i="4"/>
  <c r="V121" i="4"/>
  <c r="AA120" i="4"/>
  <c r="Z120" i="4"/>
  <c r="V120" i="4"/>
  <c r="AA119" i="4"/>
  <c r="Z119" i="4"/>
  <c r="Y119" i="4"/>
  <c r="V119" i="4"/>
  <c r="AA118" i="4"/>
  <c r="Z118" i="4"/>
  <c r="Y118" i="4"/>
  <c r="V118" i="4"/>
  <c r="AA117" i="4"/>
  <c r="Z117" i="4"/>
  <c r="Y117" i="4"/>
  <c r="V117" i="4"/>
  <c r="AA116" i="4"/>
  <c r="Z116" i="4"/>
  <c r="V116" i="4"/>
  <c r="AA115" i="4"/>
  <c r="Z115" i="4"/>
  <c r="V115" i="4"/>
  <c r="AA114" i="4"/>
  <c r="Z114" i="4"/>
  <c r="Y114" i="4"/>
  <c r="V114" i="4"/>
  <c r="AA113" i="4"/>
  <c r="Z113" i="4"/>
  <c r="V113" i="4"/>
  <c r="AA112" i="4"/>
  <c r="Z112" i="4"/>
  <c r="V112" i="4"/>
  <c r="AA111" i="4"/>
  <c r="Z111" i="4"/>
  <c r="Y111" i="4"/>
  <c r="V111" i="4"/>
  <c r="AA110" i="4"/>
  <c r="Z110" i="4"/>
  <c r="Y110" i="4"/>
  <c r="V110" i="4"/>
  <c r="AA109" i="4"/>
  <c r="Z109" i="4"/>
  <c r="Y109" i="4"/>
  <c r="V109" i="4"/>
  <c r="AA108" i="4"/>
  <c r="Z108" i="4"/>
  <c r="V108" i="4"/>
  <c r="AA107" i="4"/>
  <c r="Z107" i="4"/>
  <c r="V107" i="4"/>
  <c r="AA106" i="4"/>
  <c r="Z106" i="4"/>
  <c r="Y106" i="4"/>
  <c r="V106" i="4"/>
  <c r="AA105" i="4"/>
  <c r="Z105" i="4"/>
  <c r="V105" i="4"/>
  <c r="AA104" i="4"/>
  <c r="Z104" i="4"/>
  <c r="V104" i="4"/>
  <c r="AA103" i="4"/>
  <c r="Z103" i="4"/>
  <c r="V103" i="4"/>
  <c r="AA102" i="4"/>
  <c r="Z102" i="4"/>
  <c r="V102" i="4"/>
  <c r="AA101" i="4"/>
  <c r="Z101" i="4"/>
  <c r="V101" i="4"/>
  <c r="AA100" i="4"/>
  <c r="Z100" i="4"/>
  <c r="Y100" i="4"/>
  <c r="V100" i="4"/>
  <c r="AA99" i="4"/>
  <c r="Z99" i="4"/>
  <c r="V99" i="4"/>
  <c r="AA98" i="4"/>
  <c r="Z98" i="4"/>
  <c r="V98" i="4"/>
  <c r="AA97" i="4"/>
  <c r="Z97" i="4"/>
  <c r="V97" i="4"/>
  <c r="AA96" i="4"/>
  <c r="Z96" i="4"/>
  <c r="Y96" i="4"/>
  <c r="V96" i="4"/>
  <c r="AA95" i="4"/>
  <c r="Z95" i="4"/>
  <c r="Y95" i="4"/>
  <c r="V95" i="4"/>
  <c r="AA94" i="4"/>
  <c r="Z94" i="4"/>
  <c r="Y94" i="4"/>
  <c r="V94" i="4"/>
  <c r="AA93" i="4"/>
  <c r="Z93" i="4"/>
  <c r="V93" i="4"/>
  <c r="AA92" i="4"/>
  <c r="Z92" i="4"/>
  <c r="V92" i="4"/>
  <c r="AA91" i="4"/>
  <c r="Z91" i="4"/>
  <c r="V91" i="4"/>
  <c r="AA90" i="4"/>
  <c r="Z90" i="4"/>
  <c r="V90" i="4"/>
  <c r="AA89" i="4"/>
  <c r="Z89" i="4"/>
  <c r="V89" i="4"/>
  <c r="AA88" i="4"/>
  <c r="Z88" i="4"/>
  <c r="V88" i="4"/>
  <c r="AA87" i="4"/>
  <c r="Z87" i="4"/>
  <c r="Y87" i="4"/>
  <c r="V87" i="4"/>
  <c r="AA86" i="4"/>
  <c r="Z86" i="4"/>
  <c r="V86" i="4"/>
  <c r="AA85" i="4"/>
  <c r="Z85" i="4"/>
  <c r="V85" i="4"/>
  <c r="AA84" i="4"/>
  <c r="Z84" i="4"/>
  <c r="Y84" i="4"/>
  <c r="V84" i="4"/>
  <c r="AA83" i="4"/>
  <c r="Z83" i="4"/>
  <c r="Y83" i="4"/>
  <c r="V83" i="4"/>
  <c r="AA82" i="4"/>
  <c r="Z82" i="4"/>
  <c r="V82" i="4"/>
  <c r="AA81" i="4"/>
  <c r="Z81" i="4"/>
  <c r="V81" i="4"/>
  <c r="AA80" i="4"/>
  <c r="Z80" i="4"/>
  <c r="V80" i="4"/>
  <c r="AA79" i="4"/>
  <c r="Z79" i="4"/>
  <c r="V79" i="4"/>
  <c r="AA78" i="4"/>
  <c r="Z78" i="4"/>
  <c r="V78" i="4"/>
  <c r="AA77" i="4"/>
  <c r="Z77" i="4"/>
  <c r="Y77" i="4"/>
  <c r="V77" i="4"/>
  <c r="AA76" i="4"/>
  <c r="Z76" i="4"/>
  <c r="V76" i="4"/>
  <c r="AA75" i="4"/>
  <c r="Z75" i="4"/>
  <c r="Y75" i="4"/>
  <c r="V75" i="4"/>
  <c r="AA74" i="4"/>
  <c r="Z74" i="4"/>
  <c r="Y74" i="4"/>
  <c r="V74" i="4"/>
  <c r="AA73" i="4"/>
  <c r="Z73" i="4"/>
  <c r="V73" i="4"/>
  <c r="AA72" i="4"/>
  <c r="Z72" i="4"/>
  <c r="V72" i="4"/>
  <c r="AA71" i="4"/>
  <c r="Z71" i="4"/>
  <c r="Y71" i="4"/>
  <c r="V71" i="4"/>
  <c r="AA70" i="4"/>
  <c r="Z70" i="4"/>
  <c r="V70" i="4"/>
  <c r="AA69" i="4"/>
  <c r="Z69" i="4"/>
  <c r="V69" i="4"/>
  <c r="AA68" i="4"/>
  <c r="Z68" i="4"/>
  <c r="Y68" i="4"/>
  <c r="V68" i="4"/>
  <c r="AA67" i="4"/>
  <c r="Z67" i="4"/>
  <c r="Y67" i="4"/>
  <c r="V67" i="4"/>
  <c r="AA66" i="4"/>
  <c r="Z66" i="4"/>
  <c r="Y66" i="4"/>
  <c r="V66" i="4"/>
  <c r="AA65" i="4"/>
  <c r="Z65" i="4"/>
  <c r="Y65" i="4"/>
  <c r="V65" i="4"/>
  <c r="AA64" i="4"/>
  <c r="Z64" i="4"/>
  <c r="Y64" i="4"/>
  <c r="V64" i="4"/>
  <c r="AA63" i="4"/>
  <c r="Z63" i="4"/>
  <c r="Y63" i="4"/>
  <c r="V63" i="4"/>
  <c r="AA62" i="4"/>
  <c r="Z62" i="4"/>
  <c r="V62" i="4"/>
  <c r="AA61" i="4"/>
  <c r="Z61" i="4"/>
  <c r="V61" i="4"/>
  <c r="AA60" i="4"/>
  <c r="Z60" i="4"/>
  <c r="Y60" i="4"/>
  <c r="V60" i="4"/>
  <c r="AA59" i="4"/>
  <c r="Z59" i="4"/>
  <c r="Y59" i="4"/>
  <c r="V59" i="4"/>
  <c r="AA58" i="4"/>
  <c r="Z58" i="4"/>
  <c r="Y58" i="4"/>
  <c r="V58" i="4"/>
  <c r="AA57" i="4"/>
  <c r="Z57" i="4"/>
  <c r="V57" i="4"/>
  <c r="AA56" i="4"/>
  <c r="Z56" i="4"/>
  <c r="Y56" i="4"/>
  <c r="V56" i="4"/>
  <c r="AA55" i="4"/>
  <c r="Z55" i="4"/>
  <c r="Y55" i="4"/>
  <c r="V55" i="4"/>
  <c r="AA54" i="4"/>
  <c r="Z54" i="4"/>
  <c r="Y54" i="4"/>
  <c r="V54" i="4"/>
  <c r="AA53" i="4"/>
  <c r="Z53" i="4"/>
  <c r="V53" i="4"/>
  <c r="AA52" i="4"/>
  <c r="Z52" i="4"/>
  <c r="V52" i="4"/>
  <c r="AA51" i="4"/>
  <c r="Z51" i="4"/>
  <c r="Y51" i="4"/>
  <c r="V51" i="4"/>
  <c r="AA50" i="4"/>
  <c r="Z50" i="4"/>
  <c r="Y50" i="4"/>
  <c r="V50" i="4"/>
  <c r="AA49" i="4"/>
  <c r="Z49" i="4"/>
  <c r="V49" i="4"/>
  <c r="AA48" i="4"/>
  <c r="Z48" i="4"/>
  <c r="V48" i="4"/>
  <c r="AA47" i="4"/>
  <c r="Z47" i="4"/>
  <c r="V47" i="4"/>
  <c r="AA46" i="4"/>
  <c r="Z46" i="4"/>
  <c r="V46" i="4"/>
  <c r="AA45" i="4"/>
  <c r="Z45" i="4"/>
  <c r="V45" i="4"/>
  <c r="AA44" i="4"/>
  <c r="Z44" i="4"/>
  <c r="Y44" i="4"/>
  <c r="V44" i="4"/>
  <c r="AA43" i="4"/>
  <c r="Z43" i="4"/>
  <c r="V43" i="4"/>
  <c r="AA42" i="4"/>
  <c r="Z42" i="4"/>
  <c r="V42" i="4"/>
  <c r="AA41" i="4"/>
  <c r="Z41" i="4"/>
  <c r="V41" i="4"/>
  <c r="AA40" i="4"/>
  <c r="Z40" i="4"/>
  <c r="V40" i="4"/>
  <c r="AA39" i="4"/>
  <c r="Z39" i="4"/>
  <c r="V39" i="4"/>
  <c r="AA38" i="4"/>
  <c r="Z38" i="4"/>
  <c r="V38" i="4"/>
  <c r="AA37" i="4"/>
  <c r="Z37" i="4"/>
  <c r="Y37" i="4"/>
  <c r="V37" i="4"/>
  <c r="AA36" i="4"/>
  <c r="Z36" i="4"/>
  <c r="Y36" i="4"/>
  <c r="V36" i="4"/>
  <c r="AA35" i="4"/>
  <c r="Z35" i="4"/>
  <c r="V35" i="4"/>
  <c r="AA34" i="4"/>
  <c r="Z34" i="4"/>
  <c r="Y34" i="4"/>
  <c r="V34" i="4"/>
  <c r="AA33" i="4"/>
  <c r="Z33" i="4"/>
  <c r="V33" i="4"/>
  <c r="AA32" i="4"/>
  <c r="Z32" i="4"/>
  <c r="Y32" i="4"/>
  <c r="V32" i="4"/>
  <c r="AA31" i="4"/>
  <c r="Z31" i="4"/>
  <c r="V31" i="4"/>
  <c r="AA30" i="4"/>
  <c r="Z30" i="4"/>
  <c r="V30" i="4"/>
  <c r="AA29" i="4"/>
  <c r="Z29" i="4"/>
  <c r="Y29" i="4"/>
  <c r="V29" i="4"/>
  <c r="AA28" i="4"/>
  <c r="Z28" i="4"/>
  <c r="Y28" i="4"/>
  <c r="V28" i="4"/>
  <c r="AA27" i="4"/>
  <c r="Z27" i="4"/>
  <c r="V27" i="4"/>
  <c r="AA26" i="4"/>
  <c r="Z26" i="4"/>
  <c r="Y26" i="4"/>
  <c r="V26" i="4"/>
  <c r="AA25" i="4"/>
  <c r="Z25" i="4"/>
  <c r="V25" i="4"/>
  <c r="AA24" i="4"/>
  <c r="Z24" i="4"/>
  <c r="V24" i="4"/>
  <c r="AA23" i="4"/>
  <c r="Z23" i="4"/>
  <c r="Y23" i="4"/>
  <c r="V23" i="4"/>
  <c r="AA22" i="4"/>
  <c r="Z22" i="4"/>
  <c r="V22" i="4"/>
  <c r="AA21" i="4"/>
  <c r="Z21" i="4"/>
  <c r="Y21" i="4"/>
  <c r="V21" i="4"/>
  <c r="AA20" i="4"/>
  <c r="Z20" i="4"/>
  <c r="V20" i="4"/>
  <c r="AA19" i="4"/>
  <c r="Z19" i="4"/>
  <c r="V19" i="4"/>
  <c r="AA18" i="4"/>
  <c r="Z18" i="4"/>
  <c r="V18" i="4"/>
  <c r="AA17" i="4"/>
  <c r="Z17" i="4"/>
  <c r="V17" i="4"/>
  <c r="AA16" i="4"/>
  <c r="Z16" i="4"/>
  <c r="Y16" i="4"/>
  <c r="V16" i="4"/>
  <c r="AA15" i="4"/>
  <c r="Z15" i="4"/>
  <c r="Y15" i="4"/>
  <c r="V15" i="4"/>
  <c r="AA14" i="4"/>
  <c r="Z14" i="4"/>
  <c r="Y14" i="4"/>
  <c r="V14" i="4"/>
  <c r="AA13" i="4"/>
  <c r="Z13" i="4"/>
  <c r="V13" i="4"/>
  <c r="AA12" i="4"/>
  <c r="Z12" i="4"/>
  <c r="Y12" i="4"/>
  <c r="V12" i="4"/>
  <c r="AA11" i="4"/>
  <c r="Z11" i="4"/>
  <c r="V11" i="4"/>
  <c r="AA10" i="4"/>
  <c r="Z10" i="4"/>
  <c r="V10" i="4"/>
  <c r="AA9" i="4"/>
  <c r="Z9" i="4"/>
  <c r="V9" i="4"/>
  <c r="AA8" i="4"/>
  <c r="Z8" i="4"/>
  <c r="V8" i="4"/>
  <c r="AA7" i="4"/>
  <c r="Z7" i="4"/>
  <c r="V7" i="4"/>
  <c r="AA6" i="4"/>
  <c r="Z6" i="4"/>
  <c r="Y6" i="4"/>
  <c r="V6" i="4"/>
  <c r="AA5" i="4"/>
  <c r="Z5" i="4"/>
  <c r="Y5" i="4"/>
  <c r="V5" i="4"/>
  <c r="AA4" i="4"/>
  <c r="Z4" i="4"/>
  <c r="V4" i="4"/>
  <c r="AA3" i="4"/>
  <c r="Z3" i="4"/>
  <c r="Y3" i="4"/>
  <c r="V3" i="4"/>
  <c r="AA2" i="4"/>
  <c r="Z2" i="4"/>
  <c r="Y2" i="4"/>
  <c r="V2" i="4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2" i="1"/>
  <c r="X933" i="1"/>
  <c r="W933" i="1"/>
  <c r="V933" i="1"/>
  <c r="X932" i="1"/>
  <c r="W932" i="1"/>
  <c r="V932" i="1"/>
  <c r="X931" i="1"/>
  <c r="W931" i="1"/>
  <c r="V931" i="1"/>
  <c r="X930" i="1"/>
  <c r="W930" i="1"/>
  <c r="V930" i="1"/>
  <c r="X929" i="1"/>
  <c r="W929" i="1"/>
  <c r="V929" i="1"/>
  <c r="X928" i="1"/>
  <c r="W928" i="1"/>
  <c r="V928" i="1"/>
  <c r="X927" i="1"/>
  <c r="W927" i="1"/>
  <c r="V927" i="1"/>
  <c r="X926" i="1"/>
  <c r="W926" i="1"/>
  <c r="V926" i="1"/>
  <c r="X925" i="1"/>
  <c r="W925" i="1"/>
  <c r="V925" i="1"/>
  <c r="X924" i="1"/>
  <c r="W924" i="1"/>
  <c r="V924" i="1"/>
  <c r="X923" i="1"/>
  <c r="W923" i="1"/>
  <c r="V923" i="1"/>
  <c r="X922" i="1"/>
  <c r="W922" i="1"/>
  <c r="V922" i="1"/>
  <c r="X921" i="1"/>
  <c r="W921" i="1"/>
  <c r="V921" i="1"/>
  <c r="X920" i="1"/>
  <c r="W920" i="1"/>
  <c r="V920" i="1"/>
  <c r="X919" i="1"/>
  <c r="W919" i="1"/>
  <c r="V919" i="1"/>
  <c r="X918" i="1"/>
  <c r="W918" i="1"/>
  <c r="V918" i="1"/>
  <c r="X917" i="1"/>
  <c r="W917" i="1"/>
  <c r="V917" i="1"/>
  <c r="X916" i="1"/>
  <c r="W916" i="1"/>
  <c r="V916" i="1"/>
  <c r="X915" i="1"/>
  <c r="W915" i="1"/>
  <c r="V915" i="1"/>
  <c r="X914" i="1"/>
  <c r="W914" i="1"/>
  <c r="V914" i="1"/>
  <c r="X913" i="1"/>
  <c r="W913" i="1"/>
  <c r="V913" i="1"/>
  <c r="X912" i="1"/>
  <c r="W912" i="1"/>
  <c r="V912" i="1"/>
  <c r="X911" i="1"/>
  <c r="W911" i="1"/>
  <c r="V911" i="1"/>
  <c r="X910" i="1"/>
  <c r="W910" i="1"/>
  <c r="V910" i="1"/>
  <c r="X909" i="1"/>
  <c r="W909" i="1"/>
  <c r="V909" i="1"/>
  <c r="X908" i="1"/>
  <c r="W908" i="1"/>
  <c r="V908" i="1"/>
  <c r="X907" i="1"/>
  <c r="W907" i="1"/>
  <c r="V907" i="1"/>
  <c r="X906" i="1"/>
  <c r="W906" i="1"/>
  <c r="V906" i="1"/>
  <c r="X905" i="1"/>
  <c r="W905" i="1"/>
  <c r="V905" i="1"/>
  <c r="X904" i="1"/>
  <c r="W904" i="1"/>
  <c r="V904" i="1"/>
  <c r="X903" i="1"/>
  <c r="W903" i="1"/>
  <c r="V903" i="1"/>
  <c r="X902" i="1"/>
  <c r="W902" i="1"/>
  <c r="V902" i="1"/>
  <c r="X901" i="1"/>
  <c r="W901" i="1"/>
  <c r="V901" i="1"/>
  <c r="X900" i="1"/>
  <c r="W900" i="1"/>
  <c r="V900" i="1"/>
  <c r="X899" i="1"/>
  <c r="W899" i="1"/>
  <c r="V899" i="1"/>
  <c r="X898" i="1"/>
  <c r="W898" i="1"/>
  <c r="V898" i="1"/>
  <c r="X897" i="1"/>
  <c r="W897" i="1"/>
  <c r="V897" i="1"/>
  <c r="X896" i="1"/>
  <c r="W896" i="1"/>
  <c r="V896" i="1"/>
  <c r="X895" i="1"/>
  <c r="W895" i="1"/>
  <c r="V895" i="1"/>
  <c r="X894" i="1"/>
  <c r="W894" i="1"/>
  <c r="V894" i="1"/>
  <c r="X893" i="1"/>
  <c r="W893" i="1"/>
  <c r="V893" i="1"/>
  <c r="X892" i="1"/>
  <c r="W892" i="1"/>
  <c r="V892" i="1"/>
  <c r="X891" i="1"/>
  <c r="W891" i="1"/>
  <c r="V891" i="1"/>
  <c r="X890" i="1"/>
  <c r="W890" i="1"/>
  <c r="V890" i="1"/>
  <c r="X889" i="1"/>
  <c r="W889" i="1"/>
  <c r="V889" i="1"/>
  <c r="X888" i="1"/>
  <c r="W888" i="1"/>
  <c r="V888" i="1"/>
  <c r="X887" i="1"/>
  <c r="W887" i="1"/>
  <c r="V887" i="1"/>
  <c r="X886" i="1"/>
  <c r="W886" i="1"/>
  <c r="V886" i="1"/>
  <c r="X885" i="1"/>
  <c r="W885" i="1"/>
  <c r="V885" i="1"/>
  <c r="X884" i="1"/>
  <c r="W884" i="1"/>
  <c r="V884" i="1"/>
  <c r="X883" i="1"/>
  <c r="W883" i="1"/>
  <c r="V883" i="1"/>
  <c r="X882" i="1"/>
  <c r="W882" i="1"/>
  <c r="V882" i="1"/>
  <c r="X881" i="1"/>
  <c r="W881" i="1"/>
  <c r="V881" i="1"/>
  <c r="X880" i="1"/>
  <c r="W880" i="1"/>
  <c r="V880" i="1"/>
  <c r="X879" i="1"/>
  <c r="W879" i="1"/>
  <c r="V879" i="1"/>
  <c r="X878" i="1"/>
  <c r="W878" i="1"/>
  <c r="V878" i="1"/>
  <c r="X877" i="1"/>
  <c r="W877" i="1"/>
  <c r="V877" i="1"/>
  <c r="X876" i="1"/>
  <c r="W876" i="1"/>
  <c r="V876" i="1"/>
  <c r="X875" i="1"/>
  <c r="W875" i="1"/>
  <c r="V875" i="1"/>
  <c r="X874" i="1"/>
  <c r="W874" i="1"/>
  <c r="V874" i="1"/>
  <c r="X873" i="1"/>
  <c r="W873" i="1"/>
  <c r="V873" i="1"/>
  <c r="X872" i="1"/>
  <c r="W872" i="1"/>
  <c r="V872" i="1"/>
  <c r="X871" i="1"/>
  <c r="W871" i="1"/>
  <c r="V871" i="1"/>
  <c r="X870" i="1"/>
  <c r="W870" i="1"/>
  <c r="V870" i="1"/>
  <c r="X869" i="1"/>
  <c r="W869" i="1"/>
  <c r="V869" i="1"/>
  <c r="X868" i="1"/>
  <c r="W868" i="1"/>
  <c r="V868" i="1"/>
  <c r="X867" i="1"/>
  <c r="W867" i="1"/>
  <c r="V867" i="1"/>
  <c r="X866" i="1"/>
  <c r="W866" i="1"/>
  <c r="V866" i="1"/>
  <c r="X865" i="1"/>
  <c r="W865" i="1"/>
  <c r="V865" i="1"/>
  <c r="X864" i="1"/>
  <c r="W864" i="1"/>
  <c r="V864" i="1"/>
  <c r="X863" i="1"/>
  <c r="W863" i="1"/>
  <c r="V863" i="1"/>
  <c r="X862" i="1"/>
  <c r="W862" i="1"/>
  <c r="V862" i="1"/>
  <c r="X861" i="1"/>
  <c r="W861" i="1"/>
  <c r="V861" i="1"/>
  <c r="X860" i="1"/>
  <c r="W860" i="1"/>
  <c r="V860" i="1"/>
  <c r="X859" i="1"/>
  <c r="W859" i="1"/>
  <c r="V859" i="1"/>
  <c r="X858" i="1"/>
  <c r="W858" i="1"/>
  <c r="V858" i="1"/>
  <c r="X857" i="1"/>
  <c r="W857" i="1"/>
  <c r="V857" i="1"/>
  <c r="X856" i="1"/>
  <c r="W856" i="1"/>
  <c r="V856" i="1"/>
  <c r="X855" i="1"/>
  <c r="W855" i="1"/>
  <c r="V855" i="1"/>
  <c r="X854" i="1"/>
  <c r="W854" i="1"/>
  <c r="V854" i="1"/>
  <c r="X853" i="1"/>
  <c r="W853" i="1"/>
  <c r="V853" i="1"/>
  <c r="X852" i="1"/>
  <c r="W852" i="1"/>
  <c r="V852" i="1"/>
  <c r="X851" i="1"/>
  <c r="W851" i="1"/>
  <c r="V851" i="1"/>
  <c r="X850" i="1"/>
  <c r="W850" i="1"/>
  <c r="V850" i="1"/>
  <c r="X849" i="1"/>
  <c r="W849" i="1"/>
  <c r="V849" i="1"/>
  <c r="X848" i="1"/>
  <c r="W848" i="1"/>
  <c r="V848" i="1"/>
  <c r="X847" i="1"/>
  <c r="W847" i="1"/>
  <c r="V847" i="1"/>
  <c r="X846" i="1"/>
  <c r="W846" i="1"/>
  <c r="V846" i="1"/>
  <c r="X845" i="1"/>
  <c r="W845" i="1"/>
  <c r="V845" i="1"/>
  <c r="X844" i="1"/>
  <c r="W844" i="1"/>
  <c r="V844" i="1"/>
  <c r="X843" i="1"/>
  <c r="W843" i="1"/>
  <c r="V843" i="1"/>
  <c r="X842" i="1"/>
  <c r="W842" i="1"/>
  <c r="V842" i="1"/>
  <c r="X841" i="1"/>
  <c r="W841" i="1"/>
  <c r="V841" i="1"/>
  <c r="X840" i="1"/>
  <c r="W840" i="1"/>
  <c r="V840" i="1"/>
  <c r="X839" i="1"/>
  <c r="W839" i="1"/>
  <c r="V839" i="1"/>
  <c r="X838" i="1"/>
  <c r="W838" i="1"/>
  <c r="V838" i="1"/>
  <c r="X837" i="1"/>
  <c r="W837" i="1"/>
  <c r="V837" i="1"/>
  <c r="X836" i="1"/>
  <c r="W836" i="1"/>
  <c r="V836" i="1"/>
  <c r="X835" i="1"/>
  <c r="W835" i="1"/>
  <c r="V835" i="1"/>
  <c r="X834" i="1"/>
  <c r="W834" i="1"/>
  <c r="V834" i="1"/>
  <c r="X833" i="1"/>
  <c r="W833" i="1"/>
  <c r="V833" i="1"/>
  <c r="X832" i="1"/>
  <c r="W832" i="1"/>
  <c r="V832" i="1"/>
  <c r="X831" i="1"/>
  <c r="W831" i="1"/>
  <c r="V831" i="1"/>
  <c r="X830" i="1"/>
  <c r="W830" i="1"/>
  <c r="V830" i="1"/>
  <c r="X829" i="1"/>
  <c r="W829" i="1"/>
  <c r="V829" i="1"/>
  <c r="X828" i="1"/>
  <c r="W828" i="1"/>
  <c r="V828" i="1"/>
  <c r="X827" i="1"/>
  <c r="W827" i="1"/>
  <c r="V827" i="1"/>
  <c r="X826" i="1"/>
  <c r="W826" i="1"/>
  <c r="V826" i="1"/>
  <c r="X825" i="1"/>
  <c r="W825" i="1"/>
  <c r="V825" i="1"/>
  <c r="X824" i="1"/>
  <c r="W824" i="1"/>
  <c r="V824" i="1"/>
  <c r="X823" i="1"/>
  <c r="W823" i="1"/>
  <c r="V823" i="1"/>
  <c r="X822" i="1"/>
  <c r="W822" i="1"/>
  <c r="V822" i="1"/>
  <c r="X821" i="1"/>
  <c r="W821" i="1"/>
  <c r="V821" i="1"/>
  <c r="X820" i="1"/>
  <c r="W820" i="1"/>
  <c r="V820" i="1"/>
  <c r="X819" i="1"/>
  <c r="W819" i="1"/>
  <c r="V819" i="1"/>
  <c r="X818" i="1"/>
  <c r="W818" i="1"/>
  <c r="V818" i="1"/>
  <c r="X817" i="1"/>
  <c r="W817" i="1"/>
  <c r="V817" i="1"/>
  <c r="X816" i="1"/>
  <c r="W816" i="1"/>
  <c r="V816" i="1"/>
  <c r="X815" i="1"/>
  <c r="W815" i="1"/>
  <c r="V815" i="1"/>
  <c r="X814" i="1"/>
  <c r="W814" i="1"/>
  <c r="V814" i="1"/>
  <c r="X813" i="1"/>
  <c r="W813" i="1"/>
  <c r="V813" i="1"/>
  <c r="X812" i="1"/>
  <c r="W812" i="1"/>
  <c r="V812" i="1"/>
  <c r="X811" i="1"/>
  <c r="W811" i="1"/>
  <c r="V811" i="1"/>
  <c r="X810" i="1"/>
  <c r="W810" i="1"/>
  <c r="V810" i="1"/>
  <c r="X809" i="1"/>
  <c r="W809" i="1"/>
  <c r="V809" i="1"/>
  <c r="X808" i="1"/>
  <c r="W808" i="1"/>
  <c r="V808" i="1"/>
  <c r="X807" i="1"/>
  <c r="W807" i="1"/>
  <c r="V807" i="1"/>
  <c r="X806" i="1"/>
  <c r="W806" i="1"/>
  <c r="V806" i="1"/>
  <c r="X805" i="1"/>
  <c r="W805" i="1"/>
  <c r="V805" i="1"/>
  <c r="X804" i="1"/>
  <c r="W804" i="1"/>
  <c r="V804" i="1"/>
  <c r="X803" i="1"/>
  <c r="W803" i="1"/>
  <c r="V803" i="1"/>
  <c r="X802" i="1"/>
  <c r="W802" i="1"/>
  <c r="V802" i="1"/>
  <c r="X801" i="1"/>
  <c r="W801" i="1"/>
  <c r="V801" i="1"/>
  <c r="X800" i="1"/>
  <c r="W800" i="1"/>
  <c r="V800" i="1"/>
  <c r="X799" i="1"/>
  <c r="W799" i="1"/>
  <c r="V799" i="1"/>
  <c r="X798" i="1"/>
  <c r="W798" i="1"/>
  <c r="V798" i="1"/>
  <c r="X797" i="1"/>
  <c r="W797" i="1"/>
  <c r="V797" i="1"/>
  <c r="X796" i="1"/>
  <c r="W796" i="1"/>
  <c r="V796" i="1"/>
  <c r="X795" i="1"/>
  <c r="W795" i="1"/>
  <c r="V795" i="1"/>
  <c r="X794" i="1"/>
  <c r="W794" i="1"/>
  <c r="V794" i="1"/>
  <c r="X793" i="1"/>
  <c r="W793" i="1"/>
  <c r="V793" i="1"/>
  <c r="X792" i="1"/>
  <c r="W792" i="1"/>
  <c r="V792" i="1"/>
  <c r="X791" i="1"/>
  <c r="W791" i="1"/>
  <c r="V791" i="1"/>
  <c r="X790" i="1"/>
  <c r="W790" i="1"/>
  <c r="V790" i="1"/>
  <c r="X789" i="1"/>
  <c r="W789" i="1"/>
  <c r="V789" i="1"/>
  <c r="X788" i="1"/>
  <c r="W788" i="1"/>
  <c r="V788" i="1"/>
  <c r="X787" i="1"/>
  <c r="W787" i="1"/>
  <c r="V787" i="1"/>
  <c r="X786" i="1"/>
  <c r="W786" i="1"/>
  <c r="V786" i="1"/>
  <c r="X785" i="1"/>
  <c r="W785" i="1"/>
  <c r="V785" i="1"/>
  <c r="X784" i="1"/>
  <c r="W784" i="1"/>
  <c r="V784" i="1"/>
  <c r="X783" i="1"/>
  <c r="W783" i="1"/>
  <c r="V783" i="1"/>
  <c r="X782" i="1"/>
  <c r="W782" i="1"/>
  <c r="V782" i="1"/>
  <c r="X781" i="1"/>
  <c r="W781" i="1"/>
  <c r="V781" i="1"/>
  <c r="X780" i="1"/>
  <c r="W780" i="1"/>
  <c r="V780" i="1"/>
  <c r="X779" i="1"/>
  <c r="W779" i="1"/>
  <c r="V779" i="1"/>
  <c r="X778" i="1"/>
  <c r="W778" i="1"/>
  <c r="V778" i="1"/>
  <c r="X777" i="1"/>
  <c r="W777" i="1"/>
  <c r="V777" i="1"/>
  <c r="X776" i="1"/>
  <c r="W776" i="1"/>
  <c r="V776" i="1"/>
  <c r="X775" i="1"/>
  <c r="W775" i="1"/>
  <c r="V775" i="1"/>
  <c r="X774" i="1"/>
  <c r="W774" i="1"/>
  <c r="V774" i="1"/>
  <c r="X773" i="1"/>
  <c r="W773" i="1"/>
  <c r="V773" i="1"/>
  <c r="X772" i="1"/>
  <c r="W772" i="1"/>
  <c r="V772" i="1"/>
  <c r="X771" i="1"/>
  <c r="W771" i="1"/>
  <c r="V771" i="1"/>
  <c r="X770" i="1"/>
  <c r="W770" i="1"/>
  <c r="V770" i="1"/>
  <c r="X769" i="1"/>
  <c r="W769" i="1"/>
  <c r="V769" i="1"/>
  <c r="X768" i="1"/>
  <c r="W768" i="1"/>
  <c r="V768" i="1"/>
  <c r="X767" i="1"/>
  <c r="W767" i="1"/>
  <c r="V767" i="1"/>
  <c r="X766" i="1"/>
  <c r="W766" i="1"/>
  <c r="V766" i="1"/>
  <c r="X765" i="1"/>
  <c r="W765" i="1"/>
  <c r="V765" i="1"/>
  <c r="X764" i="1"/>
  <c r="W764" i="1"/>
  <c r="V764" i="1"/>
  <c r="X763" i="1"/>
  <c r="W763" i="1"/>
  <c r="V763" i="1"/>
  <c r="X762" i="1"/>
  <c r="W762" i="1"/>
  <c r="V762" i="1"/>
  <c r="X761" i="1"/>
  <c r="W761" i="1"/>
  <c r="V761" i="1"/>
  <c r="X760" i="1"/>
  <c r="W760" i="1"/>
  <c r="V760" i="1"/>
  <c r="X759" i="1"/>
  <c r="W759" i="1"/>
  <c r="V759" i="1"/>
  <c r="X758" i="1"/>
  <c r="W758" i="1"/>
  <c r="V758" i="1"/>
  <c r="X757" i="1"/>
  <c r="W757" i="1"/>
  <c r="V757" i="1"/>
  <c r="X756" i="1"/>
  <c r="W756" i="1"/>
  <c r="V756" i="1"/>
  <c r="X755" i="1"/>
  <c r="W755" i="1"/>
  <c r="V755" i="1"/>
  <c r="X754" i="1"/>
  <c r="W754" i="1"/>
  <c r="V754" i="1"/>
  <c r="X753" i="1"/>
  <c r="W753" i="1"/>
  <c r="V753" i="1"/>
  <c r="X752" i="1"/>
  <c r="W752" i="1"/>
  <c r="V752" i="1"/>
  <c r="X751" i="1"/>
  <c r="W751" i="1"/>
  <c r="V751" i="1"/>
  <c r="X750" i="1"/>
  <c r="W750" i="1"/>
  <c r="V750" i="1"/>
  <c r="X749" i="1"/>
  <c r="W749" i="1"/>
  <c r="V749" i="1"/>
  <c r="X748" i="1"/>
  <c r="W748" i="1"/>
  <c r="V748" i="1"/>
  <c r="X747" i="1"/>
  <c r="W747" i="1"/>
  <c r="V747" i="1"/>
  <c r="X746" i="1"/>
  <c r="W746" i="1"/>
  <c r="V746" i="1"/>
  <c r="X745" i="1"/>
  <c r="W745" i="1"/>
  <c r="V745" i="1"/>
  <c r="X744" i="1"/>
  <c r="W744" i="1"/>
  <c r="V744" i="1"/>
  <c r="X743" i="1"/>
  <c r="W743" i="1"/>
  <c r="V743" i="1"/>
  <c r="X742" i="1"/>
  <c r="W742" i="1"/>
  <c r="V742" i="1"/>
  <c r="X741" i="1"/>
  <c r="W741" i="1"/>
  <c r="V741" i="1"/>
  <c r="X740" i="1"/>
  <c r="W740" i="1"/>
  <c r="V740" i="1"/>
  <c r="X739" i="1"/>
  <c r="W739" i="1"/>
  <c r="V739" i="1"/>
  <c r="X738" i="1"/>
  <c r="W738" i="1"/>
  <c r="V738" i="1"/>
  <c r="X737" i="1"/>
  <c r="W737" i="1"/>
  <c r="V737" i="1"/>
  <c r="X736" i="1"/>
  <c r="W736" i="1"/>
  <c r="V736" i="1"/>
  <c r="X735" i="1"/>
  <c r="W735" i="1"/>
  <c r="V735" i="1"/>
  <c r="X734" i="1"/>
  <c r="W734" i="1"/>
  <c r="V734" i="1"/>
  <c r="X733" i="1"/>
  <c r="W733" i="1"/>
  <c r="V733" i="1"/>
  <c r="X732" i="1"/>
  <c r="W732" i="1"/>
  <c r="V732" i="1"/>
  <c r="X731" i="1"/>
  <c r="W731" i="1"/>
  <c r="V731" i="1"/>
  <c r="X730" i="1"/>
  <c r="W730" i="1"/>
  <c r="V730" i="1"/>
  <c r="X729" i="1"/>
  <c r="W729" i="1"/>
  <c r="V729" i="1"/>
  <c r="X728" i="1"/>
  <c r="W728" i="1"/>
  <c r="V728" i="1"/>
  <c r="X727" i="1"/>
  <c r="W727" i="1"/>
  <c r="V727" i="1"/>
  <c r="X726" i="1"/>
  <c r="W726" i="1"/>
  <c r="V726" i="1"/>
  <c r="X725" i="1"/>
  <c r="W725" i="1"/>
  <c r="V725" i="1"/>
  <c r="X724" i="1"/>
  <c r="W724" i="1"/>
  <c r="V724" i="1"/>
  <c r="X723" i="1"/>
  <c r="W723" i="1"/>
  <c r="V723" i="1"/>
  <c r="X722" i="1"/>
  <c r="W722" i="1"/>
  <c r="V722" i="1"/>
  <c r="X721" i="1"/>
  <c r="W721" i="1"/>
  <c r="V721" i="1"/>
  <c r="X720" i="1"/>
  <c r="W720" i="1"/>
  <c r="V720" i="1"/>
  <c r="X719" i="1"/>
  <c r="W719" i="1"/>
  <c r="V719" i="1"/>
  <c r="X718" i="1"/>
  <c r="W718" i="1"/>
  <c r="V718" i="1"/>
  <c r="X717" i="1"/>
  <c r="W717" i="1"/>
  <c r="V717" i="1"/>
  <c r="X716" i="1"/>
  <c r="W716" i="1"/>
  <c r="V716" i="1"/>
  <c r="X715" i="1"/>
  <c r="W715" i="1"/>
  <c r="V715" i="1"/>
  <c r="X714" i="1"/>
  <c r="W714" i="1"/>
  <c r="V714" i="1"/>
  <c r="X713" i="1"/>
  <c r="W713" i="1"/>
  <c r="V713" i="1"/>
  <c r="X712" i="1"/>
  <c r="W712" i="1"/>
  <c r="V712" i="1"/>
  <c r="X711" i="1"/>
  <c r="W711" i="1"/>
  <c r="V711" i="1"/>
  <c r="X710" i="1"/>
  <c r="W710" i="1"/>
  <c r="V710" i="1"/>
  <c r="X709" i="1"/>
  <c r="W709" i="1"/>
  <c r="V709" i="1"/>
  <c r="X708" i="1"/>
  <c r="W708" i="1"/>
  <c r="V708" i="1"/>
  <c r="X707" i="1"/>
  <c r="W707" i="1"/>
  <c r="V707" i="1"/>
  <c r="X706" i="1"/>
  <c r="W706" i="1"/>
  <c r="V706" i="1"/>
  <c r="X705" i="1"/>
  <c r="W705" i="1"/>
  <c r="V705" i="1"/>
  <c r="X704" i="1"/>
  <c r="W704" i="1"/>
  <c r="V704" i="1"/>
  <c r="X703" i="1"/>
  <c r="W703" i="1"/>
  <c r="V703" i="1"/>
  <c r="X702" i="1"/>
  <c r="W702" i="1"/>
  <c r="V702" i="1"/>
  <c r="X701" i="1"/>
  <c r="W701" i="1"/>
  <c r="V701" i="1"/>
  <c r="X700" i="1"/>
  <c r="W700" i="1"/>
  <c r="V700" i="1"/>
  <c r="X699" i="1"/>
  <c r="W699" i="1"/>
  <c r="V699" i="1"/>
  <c r="X698" i="1"/>
  <c r="W698" i="1"/>
  <c r="V698" i="1"/>
  <c r="X697" i="1"/>
  <c r="W697" i="1"/>
  <c r="V697" i="1"/>
  <c r="X696" i="1"/>
  <c r="W696" i="1"/>
  <c r="V696" i="1"/>
  <c r="X695" i="1"/>
  <c r="W695" i="1"/>
  <c r="V695" i="1"/>
  <c r="X694" i="1"/>
  <c r="W694" i="1"/>
  <c r="V694" i="1"/>
  <c r="X693" i="1"/>
  <c r="W693" i="1"/>
  <c r="V693" i="1"/>
  <c r="X692" i="1"/>
  <c r="W692" i="1"/>
  <c r="V692" i="1"/>
  <c r="X691" i="1"/>
  <c r="W691" i="1"/>
  <c r="V691" i="1"/>
  <c r="X690" i="1"/>
  <c r="W690" i="1"/>
  <c r="V690" i="1"/>
  <c r="X689" i="1"/>
  <c r="W689" i="1"/>
  <c r="V689" i="1"/>
  <c r="X688" i="1"/>
  <c r="W688" i="1"/>
  <c r="V688" i="1"/>
  <c r="X687" i="1"/>
  <c r="W687" i="1"/>
  <c r="V687" i="1"/>
  <c r="X686" i="1"/>
  <c r="W686" i="1"/>
  <c r="V686" i="1"/>
  <c r="X685" i="1"/>
  <c r="W685" i="1"/>
  <c r="V685" i="1"/>
  <c r="X684" i="1"/>
  <c r="W684" i="1"/>
  <c r="V684" i="1"/>
  <c r="X683" i="1"/>
  <c r="W683" i="1"/>
  <c r="V683" i="1"/>
  <c r="X682" i="1"/>
  <c r="W682" i="1"/>
  <c r="V682" i="1"/>
  <c r="X681" i="1"/>
  <c r="W681" i="1"/>
  <c r="V681" i="1"/>
  <c r="X680" i="1"/>
  <c r="W680" i="1"/>
  <c r="V680" i="1"/>
  <c r="X679" i="1"/>
  <c r="W679" i="1"/>
  <c r="V679" i="1"/>
  <c r="X678" i="1"/>
  <c r="W678" i="1"/>
  <c r="V678" i="1"/>
  <c r="X677" i="1"/>
  <c r="W677" i="1"/>
  <c r="V677" i="1"/>
  <c r="X676" i="1"/>
  <c r="W676" i="1"/>
  <c r="V676" i="1"/>
  <c r="X675" i="1"/>
  <c r="W675" i="1"/>
  <c r="V675" i="1"/>
  <c r="X674" i="1"/>
  <c r="W674" i="1"/>
  <c r="V674" i="1"/>
  <c r="X673" i="1"/>
  <c r="W673" i="1"/>
  <c r="V673" i="1"/>
  <c r="X672" i="1"/>
  <c r="W672" i="1"/>
  <c r="V672" i="1"/>
  <c r="X671" i="1"/>
  <c r="W671" i="1"/>
  <c r="V671" i="1"/>
  <c r="X670" i="1"/>
  <c r="W670" i="1"/>
  <c r="V670" i="1"/>
  <c r="X669" i="1"/>
  <c r="W669" i="1"/>
  <c r="V669" i="1"/>
  <c r="X668" i="1"/>
  <c r="W668" i="1"/>
  <c r="V668" i="1"/>
  <c r="X667" i="1"/>
  <c r="W667" i="1"/>
  <c r="V667" i="1"/>
  <c r="X666" i="1"/>
  <c r="W666" i="1"/>
  <c r="V666" i="1"/>
  <c r="X665" i="1"/>
  <c r="W665" i="1"/>
  <c r="V665" i="1"/>
  <c r="X664" i="1"/>
  <c r="W664" i="1"/>
  <c r="V664" i="1"/>
  <c r="X663" i="1"/>
  <c r="W663" i="1"/>
  <c r="V663" i="1"/>
  <c r="X662" i="1"/>
  <c r="W662" i="1"/>
  <c r="V662" i="1"/>
  <c r="X661" i="1"/>
  <c r="W661" i="1"/>
  <c r="V661" i="1"/>
  <c r="X660" i="1"/>
  <c r="W660" i="1"/>
  <c r="V660" i="1"/>
  <c r="X659" i="1"/>
  <c r="W659" i="1"/>
  <c r="V659" i="1"/>
  <c r="X658" i="1"/>
  <c r="W658" i="1"/>
  <c r="V658" i="1"/>
  <c r="X657" i="1"/>
  <c r="W657" i="1"/>
  <c r="V657" i="1"/>
  <c r="X656" i="1"/>
  <c r="W656" i="1"/>
  <c r="V656" i="1"/>
  <c r="X655" i="1"/>
  <c r="W655" i="1"/>
  <c r="V655" i="1"/>
  <c r="X654" i="1"/>
  <c r="W654" i="1"/>
  <c r="V654" i="1"/>
  <c r="X653" i="1"/>
  <c r="W653" i="1"/>
  <c r="V653" i="1"/>
  <c r="X652" i="1"/>
  <c r="W652" i="1"/>
  <c r="V652" i="1"/>
  <c r="X651" i="1"/>
  <c r="W651" i="1"/>
  <c r="V651" i="1"/>
  <c r="X650" i="1"/>
  <c r="W650" i="1"/>
  <c r="V650" i="1"/>
  <c r="X649" i="1"/>
  <c r="W649" i="1"/>
  <c r="V649" i="1"/>
  <c r="X648" i="1"/>
  <c r="W648" i="1"/>
  <c r="V648" i="1"/>
  <c r="X647" i="1"/>
  <c r="W647" i="1"/>
  <c r="V647" i="1"/>
  <c r="X646" i="1"/>
  <c r="W646" i="1"/>
  <c r="V646" i="1"/>
  <c r="X645" i="1"/>
  <c r="W645" i="1"/>
  <c r="V645" i="1"/>
  <c r="X644" i="1"/>
  <c r="W644" i="1"/>
  <c r="V644" i="1"/>
  <c r="X643" i="1"/>
  <c r="W643" i="1"/>
  <c r="V643" i="1"/>
  <c r="X642" i="1"/>
  <c r="W642" i="1"/>
  <c r="V642" i="1"/>
  <c r="X641" i="1"/>
  <c r="W641" i="1"/>
  <c r="V641" i="1"/>
  <c r="X640" i="1"/>
  <c r="W640" i="1"/>
  <c r="V640" i="1"/>
  <c r="X639" i="1"/>
  <c r="W639" i="1"/>
  <c r="V639" i="1"/>
  <c r="X638" i="1"/>
  <c r="W638" i="1"/>
  <c r="V638" i="1"/>
  <c r="X637" i="1"/>
  <c r="W637" i="1"/>
  <c r="V637" i="1"/>
  <c r="X636" i="1"/>
  <c r="W636" i="1"/>
  <c r="V636" i="1"/>
  <c r="X635" i="1"/>
  <c r="W635" i="1"/>
  <c r="V635" i="1"/>
  <c r="X634" i="1"/>
  <c r="W634" i="1"/>
  <c r="V634" i="1"/>
  <c r="X633" i="1"/>
  <c r="W633" i="1"/>
  <c r="V633" i="1"/>
  <c r="X632" i="1"/>
  <c r="W632" i="1"/>
  <c r="V632" i="1"/>
  <c r="X631" i="1"/>
  <c r="W631" i="1"/>
  <c r="V631" i="1"/>
  <c r="X630" i="1"/>
  <c r="W630" i="1"/>
  <c r="V630" i="1"/>
  <c r="X629" i="1"/>
  <c r="W629" i="1"/>
  <c r="V629" i="1"/>
  <c r="X628" i="1"/>
  <c r="W628" i="1"/>
  <c r="V628" i="1"/>
  <c r="X627" i="1"/>
  <c r="W627" i="1"/>
  <c r="V627" i="1"/>
  <c r="X626" i="1"/>
  <c r="W626" i="1"/>
  <c r="V626" i="1"/>
  <c r="X625" i="1"/>
  <c r="W625" i="1"/>
  <c r="V625" i="1"/>
  <c r="X624" i="1"/>
  <c r="W624" i="1"/>
  <c r="V624" i="1"/>
  <c r="X623" i="1"/>
  <c r="W623" i="1"/>
  <c r="V623" i="1"/>
  <c r="X622" i="1"/>
  <c r="W622" i="1"/>
  <c r="V622" i="1"/>
  <c r="X621" i="1"/>
  <c r="W621" i="1"/>
  <c r="V621" i="1"/>
  <c r="X620" i="1"/>
  <c r="W620" i="1"/>
  <c r="V620" i="1"/>
  <c r="X619" i="1"/>
  <c r="W619" i="1"/>
  <c r="V619" i="1"/>
  <c r="X618" i="1"/>
  <c r="W618" i="1"/>
  <c r="V618" i="1"/>
  <c r="X617" i="1"/>
  <c r="W617" i="1"/>
  <c r="V617" i="1"/>
  <c r="X616" i="1"/>
  <c r="W616" i="1"/>
  <c r="V616" i="1"/>
  <c r="X615" i="1"/>
  <c r="W615" i="1"/>
  <c r="V615" i="1"/>
  <c r="X614" i="1"/>
  <c r="W614" i="1"/>
  <c r="V614" i="1"/>
  <c r="X613" i="1"/>
  <c r="W613" i="1"/>
  <c r="V613" i="1"/>
  <c r="X612" i="1"/>
  <c r="W612" i="1"/>
  <c r="V612" i="1"/>
  <c r="X611" i="1"/>
  <c r="W611" i="1"/>
  <c r="V611" i="1"/>
  <c r="X610" i="1"/>
  <c r="W610" i="1"/>
  <c r="V610" i="1"/>
  <c r="X609" i="1"/>
  <c r="W609" i="1"/>
  <c r="V609" i="1"/>
  <c r="X608" i="1"/>
  <c r="W608" i="1"/>
  <c r="V608" i="1"/>
  <c r="X607" i="1"/>
  <c r="W607" i="1"/>
  <c r="V607" i="1"/>
  <c r="X606" i="1"/>
  <c r="W606" i="1"/>
  <c r="V606" i="1"/>
  <c r="X605" i="1"/>
  <c r="W605" i="1"/>
  <c r="V605" i="1"/>
  <c r="X604" i="1"/>
  <c r="W604" i="1"/>
  <c r="V604" i="1"/>
  <c r="X603" i="1"/>
  <c r="W603" i="1"/>
  <c r="V603" i="1"/>
  <c r="X602" i="1"/>
  <c r="W602" i="1"/>
  <c r="V602" i="1"/>
  <c r="X601" i="1"/>
  <c r="W601" i="1"/>
  <c r="V601" i="1"/>
  <c r="X600" i="1"/>
  <c r="W600" i="1"/>
  <c r="V600" i="1"/>
  <c r="X599" i="1"/>
  <c r="W599" i="1"/>
  <c r="V599" i="1"/>
  <c r="X598" i="1"/>
  <c r="W598" i="1"/>
  <c r="V598" i="1"/>
  <c r="X597" i="1"/>
  <c r="W597" i="1"/>
  <c r="V597" i="1"/>
  <c r="X596" i="1"/>
  <c r="W596" i="1"/>
  <c r="V596" i="1"/>
  <c r="X595" i="1"/>
  <c r="W595" i="1"/>
  <c r="V595" i="1"/>
  <c r="X594" i="1"/>
  <c r="W594" i="1"/>
  <c r="V594" i="1"/>
  <c r="X593" i="1"/>
  <c r="W593" i="1"/>
  <c r="V593" i="1"/>
  <c r="X592" i="1"/>
  <c r="W592" i="1"/>
  <c r="V592" i="1"/>
  <c r="X591" i="1"/>
  <c r="W591" i="1"/>
  <c r="V591" i="1"/>
  <c r="X590" i="1"/>
  <c r="W590" i="1"/>
  <c r="V590" i="1"/>
  <c r="X589" i="1"/>
  <c r="W589" i="1"/>
  <c r="V589" i="1"/>
  <c r="X588" i="1"/>
  <c r="W588" i="1"/>
  <c r="V588" i="1"/>
  <c r="X587" i="1"/>
  <c r="W587" i="1"/>
  <c r="V587" i="1"/>
  <c r="X586" i="1"/>
  <c r="W586" i="1"/>
  <c r="V586" i="1"/>
  <c r="X585" i="1"/>
  <c r="W585" i="1"/>
  <c r="V585" i="1"/>
  <c r="X584" i="1"/>
  <c r="W584" i="1"/>
  <c r="V584" i="1"/>
  <c r="X583" i="1"/>
  <c r="W583" i="1"/>
  <c r="V583" i="1"/>
  <c r="X582" i="1"/>
  <c r="W582" i="1"/>
  <c r="V582" i="1"/>
  <c r="X581" i="1"/>
  <c r="W581" i="1"/>
  <c r="V581" i="1"/>
  <c r="X580" i="1"/>
  <c r="W580" i="1"/>
  <c r="V580" i="1"/>
  <c r="X579" i="1"/>
  <c r="W579" i="1"/>
  <c r="V579" i="1"/>
  <c r="X578" i="1"/>
  <c r="W578" i="1"/>
  <c r="V578" i="1"/>
  <c r="X577" i="1"/>
  <c r="W577" i="1"/>
  <c r="V577" i="1"/>
  <c r="X576" i="1"/>
  <c r="W576" i="1"/>
  <c r="V576" i="1"/>
  <c r="X575" i="1"/>
  <c r="W575" i="1"/>
  <c r="V575" i="1"/>
  <c r="X574" i="1"/>
  <c r="W574" i="1"/>
  <c r="V574" i="1"/>
  <c r="X573" i="1"/>
  <c r="W573" i="1"/>
  <c r="V573" i="1"/>
  <c r="X572" i="1"/>
  <c r="W572" i="1"/>
  <c r="V572" i="1"/>
  <c r="X571" i="1"/>
  <c r="W571" i="1"/>
  <c r="V571" i="1"/>
  <c r="X570" i="1"/>
  <c r="W570" i="1"/>
  <c r="V570" i="1"/>
  <c r="X569" i="1"/>
  <c r="W569" i="1"/>
  <c r="V569" i="1"/>
  <c r="X568" i="1"/>
  <c r="W568" i="1"/>
  <c r="V568" i="1"/>
  <c r="X567" i="1"/>
  <c r="W567" i="1"/>
  <c r="V567" i="1"/>
  <c r="X566" i="1"/>
  <c r="W566" i="1"/>
  <c r="V566" i="1"/>
  <c r="X565" i="1"/>
  <c r="W565" i="1"/>
  <c r="V565" i="1"/>
  <c r="X564" i="1"/>
  <c r="W564" i="1"/>
  <c r="V564" i="1"/>
  <c r="X563" i="1"/>
  <c r="W563" i="1"/>
  <c r="V563" i="1"/>
  <c r="X562" i="1"/>
  <c r="W562" i="1"/>
  <c r="V562" i="1"/>
  <c r="X561" i="1"/>
  <c r="W561" i="1"/>
  <c r="V561" i="1"/>
  <c r="X560" i="1"/>
  <c r="W560" i="1"/>
  <c r="V560" i="1"/>
  <c r="X559" i="1"/>
  <c r="W559" i="1"/>
  <c r="V559" i="1"/>
  <c r="X558" i="1"/>
  <c r="W558" i="1"/>
  <c r="V558" i="1"/>
  <c r="X557" i="1"/>
  <c r="W557" i="1"/>
  <c r="V557" i="1"/>
  <c r="X556" i="1"/>
  <c r="W556" i="1"/>
  <c r="V556" i="1"/>
  <c r="X555" i="1"/>
  <c r="W555" i="1"/>
  <c r="V555" i="1"/>
  <c r="X554" i="1"/>
  <c r="W554" i="1"/>
  <c r="V554" i="1"/>
  <c r="X553" i="1"/>
  <c r="W553" i="1"/>
  <c r="V553" i="1"/>
  <c r="X552" i="1"/>
  <c r="W552" i="1"/>
  <c r="V552" i="1"/>
  <c r="X551" i="1"/>
  <c r="W551" i="1"/>
  <c r="V551" i="1"/>
  <c r="X550" i="1"/>
  <c r="W550" i="1"/>
  <c r="V550" i="1"/>
  <c r="X549" i="1"/>
  <c r="W549" i="1"/>
  <c r="V549" i="1"/>
  <c r="X548" i="1"/>
  <c r="W548" i="1"/>
  <c r="V548" i="1"/>
  <c r="X547" i="1"/>
  <c r="W547" i="1"/>
  <c r="V547" i="1"/>
  <c r="X546" i="1"/>
  <c r="W546" i="1"/>
  <c r="V546" i="1"/>
  <c r="X545" i="1"/>
  <c r="W545" i="1"/>
  <c r="V545" i="1"/>
  <c r="X544" i="1"/>
  <c r="W544" i="1"/>
  <c r="V544" i="1"/>
  <c r="X543" i="1"/>
  <c r="W543" i="1"/>
  <c r="V543" i="1"/>
  <c r="X542" i="1"/>
  <c r="W542" i="1"/>
  <c r="V542" i="1"/>
  <c r="X541" i="1"/>
  <c r="W541" i="1"/>
  <c r="V541" i="1"/>
  <c r="X540" i="1"/>
  <c r="W540" i="1"/>
  <c r="V540" i="1"/>
  <c r="X539" i="1"/>
  <c r="W539" i="1"/>
  <c r="V539" i="1"/>
  <c r="X538" i="1"/>
  <c r="W538" i="1"/>
  <c r="V538" i="1"/>
  <c r="X537" i="1"/>
  <c r="W537" i="1"/>
  <c r="V537" i="1"/>
  <c r="X536" i="1"/>
  <c r="W536" i="1"/>
  <c r="V536" i="1"/>
  <c r="X535" i="1"/>
  <c r="W535" i="1"/>
  <c r="V535" i="1"/>
  <c r="X534" i="1"/>
  <c r="W534" i="1"/>
  <c r="V534" i="1"/>
  <c r="X533" i="1"/>
  <c r="W533" i="1"/>
  <c r="V533" i="1"/>
  <c r="X532" i="1"/>
  <c r="W532" i="1"/>
  <c r="V532" i="1"/>
  <c r="X531" i="1"/>
  <c r="W531" i="1"/>
  <c r="V531" i="1"/>
  <c r="X530" i="1"/>
  <c r="W530" i="1"/>
  <c r="V530" i="1"/>
  <c r="X529" i="1"/>
  <c r="W529" i="1"/>
  <c r="V529" i="1"/>
  <c r="X528" i="1"/>
  <c r="W528" i="1"/>
  <c r="V528" i="1"/>
  <c r="X527" i="1"/>
  <c r="W527" i="1"/>
  <c r="V527" i="1"/>
  <c r="X526" i="1"/>
  <c r="W526" i="1"/>
  <c r="V526" i="1"/>
  <c r="X525" i="1"/>
  <c r="W525" i="1"/>
  <c r="V525" i="1"/>
  <c r="X524" i="1"/>
  <c r="W524" i="1"/>
  <c r="V524" i="1"/>
  <c r="X523" i="1"/>
  <c r="W523" i="1"/>
  <c r="V523" i="1"/>
  <c r="X522" i="1"/>
  <c r="W522" i="1"/>
  <c r="V522" i="1"/>
  <c r="X521" i="1"/>
  <c r="W521" i="1"/>
  <c r="V521" i="1"/>
  <c r="X520" i="1"/>
  <c r="W520" i="1"/>
  <c r="V520" i="1"/>
  <c r="X519" i="1"/>
  <c r="W519" i="1"/>
  <c r="V519" i="1"/>
  <c r="X518" i="1"/>
  <c r="W518" i="1"/>
  <c r="V518" i="1"/>
  <c r="X517" i="1"/>
  <c r="W517" i="1"/>
  <c r="V517" i="1"/>
  <c r="X516" i="1"/>
  <c r="W516" i="1"/>
  <c r="V516" i="1"/>
  <c r="X515" i="1"/>
  <c r="W515" i="1"/>
  <c r="V515" i="1"/>
  <c r="X514" i="1"/>
  <c r="W514" i="1"/>
  <c r="V514" i="1"/>
  <c r="X513" i="1"/>
  <c r="W513" i="1"/>
  <c r="V513" i="1"/>
  <c r="X512" i="1"/>
  <c r="W512" i="1"/>
  <c r="V512" i="1"/>
  <c r="X511" i="1"/>
  <c r="W511" i="1"/>
  <c r="V511" i="1"/>
  <c r="X510" i="1"/>
  <c r="W510" i="1"/>
  <c r="V510" i="1"/>
  <c r="X509" i="1"/>
  <c r="W509" i="1"/>
  <c r="V509" i="1"/>
  <c r="X508" i="1"/>
  <c r="W508" i="1"/>
  <c r="V508" i="1"/>
  <c r="X507" i="1"/>
  <c r="W507" i="1"/>
  <c r="V507" i="1"/>
  <c r="X506" i="1"/>
  <c r="W506" i="1"/>
  <c r="V506" i="1"/>
  <c r="X505" i="1"/>
  <c r="W505" i="1"/>
  <c r="V505" i="1"/>
  <c r="X504" i="1"/>
  <c r="W504" i="1"/>
  <c r="V504" i="1"/>
  <c r="X503" i="1"/>
  <c r="W503" i="1"/>
  <c r="V503" i="1"/>
  <c r="X502" i="1"/>
  <c r="W502" i="1"/>
  <c r="V502" i="1"/>
  <c r="X501" i="1"/>
  <c r="W501" i="1"/>
  <c r="V501" i="1"/>
  <c r="X500" i="1"/>
  <c r="W500" i="1"/>
  <c r="V500" i="1"/>
  <c r="X499" i="1"/>
  <c r="W499" i="1"/>
  <c r="V499" i="1"/>
  <c r="X498" i="1"/>
  <c r="W498" i="1"/>
  <c r="V498" i="1"/>
  <c r="X497" i="1"/>
  <c r="W497" i="1"/>
  <c r="V497" i="1"/>
  <c r="X496" i="1"/>
  <c r="W496" i="1"/>
  <c r="V496" i="1"/>
  <c r="X495" i="1"/>
  <c r="W495" i="1"/>
  <c r="V495" i="1"/>
  <c r="X494" i="1"/>
  <c r="W494" i="1"/>
  <c r="V494" i="1"/>
  <c r="X493" i="1"/>
  <c r="W493" i="1"/>
  <c r="V493" i="1"/>
  <c r="X492" i="1"/>
  <c r="W492" i="1"/>
  <c r="V492" i="1"/>
  <c r="X491" i="1"/>
  <c r="W491" i="1"/>
  <c r="V491" i="1"/>
  <c r="X490" i="1"/>
  <c r="W490" i="1"/>
  <c r="V490" i="1"/>
  <c r="X489" i="1"/>
  <c r="W489" i="1"/>
  <c r="V489" i="1"/>
  <c r="X488" i="1"/>
  <c r="W488" i="1"/>
  <c r="V488" i="1"/>
  <c r="X487" i="1"/>
  <c r="W487" i="1"/>
  <c r="V487" i="1"/>
  <c r="X486" i="1"/>
  <c r="W486" i="1"/>
  <c r="V486" i="1"/>
  <c r="X485" i="1"/>
  <c r="W485" i="1"/>
  <c r="V485" i="1"/>
  <c r="X484" i="1"/>
  <c r="W484" i="1"/>
  <c r="V484" i="1"/>
  <c r="X483" i="1"/>
  <c r="W483" i="1"/>
  <c r="V483" i="1"/>
  <c r="X482" i="1"/>
  <c r="W482" i="1"/>
  <c r="V482" i="1"/>
  <c r="X481" i="1"/>
  <c r="W481" i="1"/>
  <c r="V481" i="1"/>
  <c r="X480" i="1"/>
  <c r="W480" i="1"/>
  <c r="V480" i="1"/>
  <c r="X479" i="1"/>
  <c r="W479" i="1"/>
  <c r="V479" i="1"/>
  <c r="X478" i="1"/>
  <c r="W478" i="1"/>
  <c r="V478" i="1"/>
  <c r="X477" i="1"/>
  <c r="W477" i="1"/>
  <c r="V477" i="1"/>
  <c r="X476" i="1"/>
  <c r="W476" i="1"/>
  <c r="V476" i="1"/>
  <c r="X475" i="1"/>
  <c r="W475" i="1"/>
  <c r="V475" i="1"/>
  <c r="X474" i="1"/>
  <c r="W474" i="1"/>
  <c r="V474" i="1"/>
  <c r="X473" i="1"/>
  <c r="W473" i="1"/>
  <c r="V473" i="1"/>
  <c r="X472" i="1"/>
  <c r="W472" i="1"/>
  <c r="V472" i="1"/>
  <c r="X471" i="1"/>
  <c r="W471" i="1"/>
  <c r="V471" i="1"/>
  <c r="X470" i="1"/>
  <c r="W470" i="1"/>
  <c r="V470" i="1"/>
  <c r="X469" i="1"/>
  <c r="W469" i="1"/>
  <c r="V469" i="1"/>
  <c r="X468" i="1"/>
  <c r="W468" i="1"/>
  <c r="V468" i="1"/>
  <c r="X467" i="1"/>
  <c r="W467" i="1"/>
  <c r="V467" i="1"/>
  <c r="X466" i="1"/>
  <c r="W466" i="1"/>
  <c r="V466" i="1"/>
  <c r="X465" i="1"/>
  <c r="W465" i="1"/>
  <c r="V465" i="1"/>
  <c r="X464" i="1"/>
  <c r="W464" i="1"/>
  <c r="V464" i="1"/>
  <c r="X463" i="1"/>
  <c r="W463" i="1"/>
  <c r="V463" i="1"/>
  <c r="X462" i="1"/>
  <c r="W462" i="1"/>
  <c r="V462" i="1"/>
  <c r="X461" i="1"/>
  <c r="W461" i="1"/>
  <c r="V461" i="1"/>
  <c r="X460" i="1"/>
  <c r="W460" i="1"/>
  <c r="V460" i="1"/>
  <c r="X459" i="1"/>
  <c r="W459" i="1"/>
  <c r="V459" i="1"/>
  <c r="X458" i="1"/>
  <c r="W458" i="1"/>
  <c r="V458" i="1"/>
  <c r="X457" i="1"/>
  <c r="W457" i="1"/>
  <c r="V457" i="1"/>
  <c r="X456" i="1"/>
  <c r="W456" i="1"/>
  <c r="V456" i="1"/>
  <c r="X455" i="1"/>
  <c r="W455" i="1"/>
  <c r="V455" i="1"/>
  <c r="X454" i="1"/>
  <c r="W454" i="1"/>
  <c r="V454" i="1"/>
  <c r="X453" i="1"/>
  <c r="W453" i="1"/>
  <c r="V453" i="1"/>
  <c r="X452" i="1"/>
  <c r="W452" i="1"/>
  <c r="V452" i="1"/>
  <c r="X451" i="1"/>
  <c r="W451" i="1"/>
  <c r="V451" i="1"/>
  <c r="X450" i="1"/>
  <c r="W450" i="1"/>
  <c r="V450" i="1"/>
  <c r="X449" i="1"/>
  <c r="W449" i="1"/>
  <c r="V449" i="1"/>
  <c r="X448" i="1"/>
  <c r="W448" i="1"/>
  <c r="V448" i="1"/>
  <c r="X447" i="1"/>
  <c r="W447" i="1"/>
  <c r="V447" i="1"/>
  <c r="X446" i="1"/>
  <c r="W446" i="1"/>
  <c r="V446" i="1"/>
  <c r="X445" i="1"/>
  <c r="W445" i="1"/>
  <c r="V445" i="1"/>
  <c r="X444" i="1"/>
  <c r="W444" i="1"/>
  <c r="V444" i="1"/>
  <c r="X443" i="1"/>
  <c r="W443" i="1"/>
  <c r="V443" i="1"/>
  <c r="X442" i="1"/>
  <c r="W442" i="1"/>
  <c r="V442" i="1"/>
  <c r="X441" i="1"/>
  <c r="W441" i="1"/>
  <c r="V441" i="1"/>
  <c r="X440" i="1"/>
  <c r="W440" i="1"/>
  <c r="V440" i="1"/>
  <c r="X439" i="1"/>
  <c r="W439" i="1"/>
  <c r="V439" i="1"/>
  <c r="X438" i="1"/>
  <c r="W438" i="1"/>
  <c r="V438" i="1"/>
  <c r="X437" i="1"/>
  <c r="W437" i="1"/>
  <c r="V437" i="1"/>
  <c r="X436" i="1"/>
  <c r="W436" i="1"/>
  <c r="V436" i="1"/>
  <c r="X435" i="1"/>
  <c r="W435" i="1"/>
  <c r="V435" i="1"/>
  <c r="X434" i="1"/>
  <c r="W434" i="1"/>
  <c r="V434" i="1"/>
  <c r="X433" i="1"/>
  <c r="W433" i="1"/>
  <c r="V433" i="1"/>
  <c r="X432" i="1"/>
  <c r="W432" i="1"/>
  <c r="V432" i="1"/>
  <c r="X431" i="1"/>
  <c r="W431" i="1"/>
  <c r="V431" i="1"/>
  <c r="X430" i="1"/>
  <c r="W430" i="1"/>
  <c r="V430" i="1"/>
  <c r="X429" i="1"/>
  <c r="W429" i="1"/>
  <c r="V429" i="1"/>
  <c r="X428" i="1"/>
  <c r="W428" i="1"/>
  <c r="V428" i="1"/>
  <c r="X427" i="1"/>
  <c r="W427" i="1"/>
  <c r="V427" i="1"/>
  <c r="X426" i="1"/>
  <c r="W426" i="1"/>
  <c r="V426" i="1"/>
  <c r="X425" i="1"/>
  <c r="W425" i="1"/>
  <c r="V425" i="1"/>
  <c r="X424" i="1"/>
  <c r="W424" i="1"/>
  <c r="V424" i="1"/>
  <c r="X423" i="1"/>
  <c r="W423" i="1"/>
  <c r="V423" i="1"/>
  <c r="X422" i="1"/>
  <c r="W422" i="1"/>
  <c r="V422" i="1"/>
  <c r="X421" i="1"/>
  <c r="W421" i="1"/>
  <c r="V421" i="1"/>
  <c r="X420" i="1"/>
  <c r="W420" i="1"/>
  <c r="V420" i="1"/>
  <c r="X419" i="1"/>
  <c r="W419" i="1"/>
  <c r="V419" i="1"/>
  <c r="X418" i="1"/>
  <c r="W418" i="1"/>
  <c r="V418" i="1"/>
  <c r="X417" i="1"/>
  <c r="W417" i="1"/>
  <c r="V417" i="1"/>
  <c r="X416" i="1"/>
  <c r="W416" i="1"/>
  <c r="V416" i="1"/>
  <c r="X415" i="1"/>
  <c r="W415" i="1"/>
  <c r="V415" i="1"/>
  <c r="X414" i="1"/>
  <c r="W414" i="1"/>
  <c r="V414" i="1"/>
  <c r="X413" i="1"/>
  <c r="W413" i="1"/>
  <c r="V413" i="1"/>
  <c r="X412" i="1"/>
  <c r="W412" i="1"/>
  <c r="V412" i="1"/>
  <c r="X411" i="1"/>
  <c r="W411" i="1"/>
  <c r="V411" i="1"/>
  <c r="X410" i="1"/>
  <c r="W410" i="1"/>
  <c r="V410" i="1"/>
  <c r="X409" i="1"/>
  <c r="W409" i="1"/>
  <c r="V409" i="1"/>
  <c r="X408" i="1"/>
  <c r="W408" i="1"/>
  <c r="V408" i="1"/>
  <c r="X407" i="1"/>
  <c r="W407" i="1"/>
  <c r="V407" i="1"/>
  <c r="X406" i="1"/>
  <c r="W406" i="1"/>
  <c r="V406" i="1"/>
  <c r="X405" i="1"/>
  <c r="W405" i="1"/>
  <c r="V405" i="1"/>
  <c r="X404" i="1"/>
  <c r="W404" i="1"/>
  <c r="V404" i="1"/>
  <c r="X403" i="1"/>
  <c r="W403" i="1"/>
  <c r="V403" i="1"/>
  <c r="X402" i="1"/>
  <c r="W402" i="1"/>
  <c r="V402" i="1"/>
  <c r="X401" i="1"/>
  <c r="W401" i="1"/>
  <c r="V401" i="1"/>
  <c r="X400" i="1"/>
  <c r="W400" i="1"/>
  <c r="V400" i="1"/>
  <c r="X399" i="1"/>
  <c r="W399" i="1"/>
  <c r="V399" i="1"/>
  <c r="X398" i="1"/>
  <c r="W398" i="1"/>
  <c r="V398" i="1"/>
  <c r="X397" i="1"/>
  <c r="W397" i="1"/>
  <c r="V397" i="1"/>
  <c r="X396" i="1"/>
  <c r="W396" i="1"/>
  <c r="V396" i="1"/>
  <c r="X395" i="1"/>
  <c r="W395" i="1"/>
  <c r="V395" i="1"/>
  <c r="X394" i="1"/>
  <c r="W394" i="1"/>
  <c r="V394" i="1"/>
  <c r="X393" i="1"/>
  <c r="W393" i="1"/>
  <c r="V393" i="1"/>
  <c r="X392" i="1"/>
  <c r="W392" i="1"/>
  <c r="V392" i="1"/>
  <c r="X391" i="1"/>
  <c r="W391" i="1"/>
  <c r="V391" i="1"/>
  <c r="X390" i="1"/>
  <c r="W390" i="1"/>
  <c r="V390" i="1"/>
  <c r="X389" i="1"/>
  <c r="W389" i="1"/>
  <c r="V389" i="1"/>
  <c r="X388" i="1"/>
  <c r="W388" i="1"/>
  <c r="V388" i="1"/>
  <c r="X387" i="1"/>
  <c r="W387" i="1"/>
  <c r="V387" i="1"/>
  <c r="X386" i="1"/>
  <c r="W386" i="1"/>
  <c r="V386" i="1"/>
  <c r="X385" i="1"/>
  <c r="W385" i="1"/>
  <c r="V385" i="1"/>
  <c r="X384" i="1"/>
  <c r="W384" i="1"/>
  <c r="V384" i="1"/>
  <c r="X383" i="1"/>
  <c r="W383" i="1"/>
  <c r="V383" i="1"/>
  <c r="X382" i="1"/>
  <c r="W382" i="1"/>
  <c r="V382" i="1"/>
  <c r="X381" i="1"/>
  <c r="W381" i="1"/>
  <c r="V381" i="1"/>
  <c r="X380" i="1"/>
  <c r="W380" i="1"/>
  <c r="V380" i="1"/>
  <c r="X379" i="1"/>
  <c r="W379" i="1"/>
  <c r="V379" i="1"/>
  <c r="X378" i="1"/>
  <c r="W378" i="1"/>
  <c r="V378" i="1"/>
  <c r="X377" i="1"/>
  <c r="W377" i="1"/>
  <c r="V377" i="1"/>
  <c r="X376" i="1"/>
  <c r="W376" i="1"/>
  <c r="V376" i="1"/>
  <c r="X375" i="1"/>
  <c r="W375" i="1"/>
  <c r="V375" i="1"/>
  <c r="X374" i="1"/>
  <c r="W374" i="1"/>
  <c r="V374" i="1"/>
  <c r="X373" i="1"/>
  <c r="W373" i="1"/>
  <c r="V373" i="1"/>
  <c r="X372" i="1"/>
  <c r="W372" i="1"/>
  <c r="V372" i="1"/>
  <c r="X371" i="1"/>
  <c r="W371" i="1"/>
  <c r="V371" i="1"/>
  <c r="X370" i="1"/>
  <c r="W370" i="1"/>
  <c r="V370" i="1"/>
  <c r="X369" i="1"/>
  <c r="W369" i="1"/>
  <c r="V369" i="1"/>
  <c r="X368" i="1"/>
  <c r="W368" i="1"/>
  <c r="V368" i="1"/>
  <c r="X367" i="1"/>
  <c r="W367" i="1"/>
  <c r="V367" i="1"/>
  <c r="X366" i="1"/>
  <c r="W366" i="1"/>
  <c r="V366" i="1"/>
  <c r="X365" i="1"/>
  <c r="W365" i="1"/>
  <c r="V365" i="1"/>
  <c r="X364" i="1"/>
  <c r="W364" i="1"/>
  <c r="V364" i="1"/>
  <c r="X363" i="1"/>
  <c r="W363" i="1"/>
  <c r="V363" i="1"/>
  <c r="X362" i="1"/>
  <c r="W362" i="1"/>
  <c r="V362" i="1"/>
  <c r="X361" i="1"/>
  <c r="W361" i="1"/>
  <c r="V361" i="1"/>
  <c r="X360" i="1"/>
  <c r="W360" i="1"/>
  <c r="V360" i="1"/>
  <c r="X359" i="1"/>
  <c r="W359" i="1"/>
  <c r="V359" i="1"/>
  <c r="X358" i="1"/>
  <c r="W358" i="1"/>
  <c r="V358" i="1"/>
  <c r="X357" i="1"/>
  <c r="W357" i="1"/>
  <c r="V357" i="1"/>
  <c r="X356" i="1"/>
  <c r="W356" i="1"/>
  <c r="V356" i="1"/>
  <c r="X355" i="1"/>
  <c r="W355" i="1"/>
  <c r="V355" i="1"/>
  <c r="X354" i="1"/>
  <c r="W354" i="1"/>
  <c r="V354" i="1"/>
  <c r="X353" i="1"/>
  <c r="W353" i="1"/>
  <c r="V353" i="1"/>
  <c r="X352" i="1"/>
  <c r="W352" i="1"/>
  <c r="V352" i="1"/>
  <c r="X351" i="1"/>
  <c r="W351" i="1"/>
  <c r="V351" i="1"/>
  <c r="X350" i="1"/>
  <c r="W350" i="1"/>
  <c r="V350" i="1"/>
  <c r="X349" i="1"/>
  <c r="W349" i="1"/>
  <c r="V349" i="1"/>
  <c r="X348" i="1"/>
  <c r="W348" i="1"/>
  <c r="V348" i="1"/>
  <c r="X347" i="1"/>
  <c r="W347" i="1"/>
  <c r="V347" i="1"/>
  <c r="X346" i="1"/>
  <c r="W346" i="1"/>
  <c r="V346" i="1"/>
  <c r="X345" i="1"/>
  <c r="W345" i="1"/>
  <c r="V345" i="1"/>
  <c r="X344" i="1"/>
  <c r="W344" i="1"/>
  <c r="V344" i="1"/>
  <c r="X343" i="1"/>
  <c r="W343" i="1"/>
  <c r="V343" i="1"/>
  <c r="X342" i="1"/>
  <c r="W342" i="1"/>
  <c r="V342" i="1"/>
  <c r="X341" i="1"/>
  <c r="W341" i="1"/>
  <c r="V341" i="1"/>
  <c r="X340" i="1"/>
  <c r="W340" i="1"/>
  <c r="V340" i="1"/>
  <c r="X339" i="1"/>
  <c r="W339" i="1"/>
  <c r="V339" i="1"/>
  <c r="X338" i="1"/>
  <c r="W338" i="1"/>
  <c r="V338" i="1"/>
  <c r="X337" i="1"/>
  <c r="W337" i="1"/>
  <c r="V337" i="1"/>
  <c r="X336" i="1"/>
  <c r="W336" i="1"/>
  <c r="V336" i="1"/>
  <c r="X335" i="1"/>
  <c r="W335" i="1"/>
  <c r="V335" i="1"/>
  <c r="X334" i="1"/>
  <c r="W334" i="1"/>
  <c r="V334" i="1"/>
  <c r="X333" i="1"/>
  <c r="W333" i="1"/>
  <c r="V333" i="1"/>
  <c r="X332" i="1"/>
  <c r="W332" i="1"/>
  <c r="V332" i="1"/>
  <c r="X331" i="1"/>
  <c r="W331" i="1"/>
  <c r="V331" i="1"/>
  <c r="X330" i="1"/>
  <c r="W330" i="1"/>
  <c r="V330" i="1"/>
  <c r="X329" i="1"/>
  <c r="W329" i="1"/>
  <c r="V329" i="1"/>
  <c r="X328" i="1"/>
  <c r="W328" i="1"/>
  <c r="V328" i="1"/>
  <c r="X327" i="1"/>
  <c r="W327" i="1"/>
  <c r="V327" i="1"/>
  <c r="X326" i="1"/>
  <c r="W326" i="1"/>
  <c r="V326" i="1"/>
  <c r="X325" i="1"/>
  <c r="W325" i="1"/>
  <c r="V325" i="1"/>
  <c r="X324" i="1"/>
  <c r="W324" i="1"/>
  <c r="V324" i="1"/>
  <c r="X323" i="1"/>
  <c r="W323" i="1"/>
  <c r="V323" i="1"/>
  <c r="X322" i="1"/>
  <c r="W322" i="1"/>
  <c r="V322" i="1"/>
  <c r="X321" i="1"/>
  <c r="W321" i="1"/>
  <c r="V321" i="1"/>
  <c r="X320" i="1"/>
  <c r="W320" i="1"/>
  <c r="V320" i="1"/>
  <c r="X319" i="1"/>
  <c r="W319" i="1"/>
  <c r="V319" i="1"/>
  <c r="X318" i="1"/>
  <c r="W318" i="1"/>
  <c r="V318" i="1"/>
  <c r="X317" i="1"/>
  <c r="W317" i="1"/>
  <c r="V317" i="1"/>
  <c r="X316" i="1"/>
  <c r="W316" i="1"/>
  <c r="V316" i="1"/>
  <c r="X315" i="1"/>
  <c r="W315" i="1"/>
  <c r="V315" i="1"/>
  <c r="X314" i="1"/>
  <c r="W314" i="1"/>
  <c r="V314" i="1"/>
  <c r="X313" i="1"/>
  <c r="W313" i="1"/>
  <c r="V313" i="1"/>
  <c r="X312" i="1"/>
  <c r="W312" i="1"/>
  <c r="V312" i="1"/>
  <c r="X311" i="1"/>
  <c r="W311" i="1"/>
  <c r="V311" i="1"/>
  <c r="X310" i="1"/>
  <c r="W310" i="1"/>
  <c r="V310" i="1"/>
  <c r="X309" i="1"/>
  <c r="W309" i="1"/>
  <c r="V309" i="1"/>
  <c r="X308" i="1"/>
  <c r="W308" i="1"/>
  <c r="V308" i="1"/>
  <c r="X307" i="1"/>
  <c r="W307" i="1"/>
  <c r="V307" i="1"/>
  <c r="X306" i="1"/>
  <c r="W306" i="1"/>
  <c r="V306" i="1"/>
  <c r="X305" i="1"/>
  <c r="W305" i="1"/>
  <c r="V305" i="1"/>
  <c r="X304" i="1"/>
  <c r="W304" i="1"/>
  <c r="V304" i="1"/>
  <c r="X303" i="1"/>
  <c r="W303" i="1"/>
  <c r="V303" i="1"/>
  <c r="X302" i="1"/>
  <c r="W302" i="1"/>
  <c r="V302" i="1"/>
  <c r="X301" i="1"/>
  <c r="W301" i="1"/>
  <c r="V301" i="1"/>
  <c r="X300" i="1"/>
  <c r="W300" i="1"/>
  <c r="V300" i="1"/>
  <c r="X299" i="1"/>
  <c r="W299" i="1"/>
  <c r="V299" i="1"/>
  <c r="X298" i="1"/>
  <c r="W298" i="1"/>
  <c r="V298" i="1"/>
  <c r="X297" i="1"/>
  <c r="W297" i="1"/>
  <c r="V297" i="1"/>
  <c r="X296" i="1"/>
  <c r="W296" i="1"/>
  <c r="V296" i="1"/>
  <c r="X295" i="1"/>
  <c r="W295" i="1"/>
  <c r="V295" i="1"/>
  <c r="X294" i="1"/>
  <c r="W294" i="1"/>
  <c r="V294" i="1"/>
  <c r="X293" i="1"/>
  <c r="W293" i="1"/>
  <c r="V293" i="1"/>
  <c r="X292" i="1"/>
  <c r="W292" i="1"/>
  <c r="V292" i="1"/>
  <c r="X291" i="1"/>
  <c r="W291" i="1"/>
  <c r="V291" i="1"/>
  <c r="X290" i="1"/>
  <c r="W290" i="1"/>
  <c r="V290" i="1"/>
  <c r="X289" i="1"/>
  <c r="W289" i="1"/>
  <c r="V289" i="1"/>
  <c r="X288" i="1"/>
  <c r="W288" i="1"/>
  <c r="V288" i="1"/>
  <c r="X287" i="1"/>
  <c r="W287" i="1"/>
  <c r="V287" i="1"/>
  <c r="X286" i="1"/>
  <c r="W286" i="1"/>
  <c r="V286" i="1"/>
  <c r="X285" i="1"/>
  <c r="W285" i="1"/>
  <c r="V285" i="1"/>
  <c r="X284" i="1"/>
  <c r="W284" i="1"/>
  <c r="V284" i="1"/>
  <c r="X283" i="1"/>
  <c r="W283" i="1"/>
  <c r="V283" i="1"/>
  <c r="X282" i="1"/>
  <c r="W282" i="1"/>
  <c r="V282" i="1"/>
  <c r="X281" i="1"/>
  <c r="W281" i="1"/>
  <c r="V281" i="1"/>
  <c r="X280" i="1"/>
  <c r="W280" i="1"/>
  <c r="V280" i="1"/>
  <c r="X279" i="1"/>
  <c r="W279" i="1"/>
  <c r="V279" i="1"/>
  <c r="X278" i="1"/>
  <c r="W278" i="1"/>
  <c r="V278" i="1"/>
  <c r="X277" i="1"/>
  <c r="W277" i="1"/>
  <c r="V277" i="1"/>
  <c r="X276" i="1"/>
  <c r="W276" i="1"/>
  <c r="V276" i="1"/>
  <c r="X275" i="1"/>
  <c r="W275" i="1"/>
  <c r="V275" i="1"/>
  <c r="X274" i="1"/>
  <c r="W274" i="1"/>
  <c r="V274" i="1"/>
  <c r="X273" i="1"/>
  <c r="W273" i="1"/>
  <c r="V273" i="1"/>
  <c r="X272" i="1"/>
  <c r="W272" i="1"/>
  <c r="V272" i="1"/>
  <c r="X271" i="1"/>
  <c r="W271" i="1"/>
  <c r="V271" i="1"/>
  <c r="X270" i="1"/>
  <c r="W270" i="1"/>
  <c r="V270" i="1"/>
  <c r="X269" i="1"/>
  <c r="W269" i="1"/>
  <c r="V269" i="1"/>
  <c r="X268" i="1"/>
  <c r="W268" i="1"/>
  <c r="V268" i="1"/>
  <c r="X267" i="1"/>
  <c r="W267" i="1"/>
  <c r="V267" i="1"/>
  <c r="X266" i="1"/>
  <c r="W266" i="1"/>
  <c r="V266" i="1"/>
  <c r="X265" i="1"/>
  <c r="W265" i="1"/>
  <c r="V265" i="1"/>
  <c r="X264" i="1"/>
  <c r="W264" i="1"/>
  <c r="V264" i="1"/>
  <c r="X263" i="1"/>
  <c r="W263" i="1"/>
  <c r="V263" i="1"/>
  <c r="X262" i="1"/>
  <c r="W262" i="1"/>
  <c r="V262" i="1"/>
  <c r="X261" i="1"/>
  <c r="W261" i="1"/>
  <c r="V261" i="1"/>
  <c r="X260" i="1"/>
  <c r="W260" i="1"/>
  <c r="V260" i="1"/>
  <c r="X259" i="1"/>
  <c r="W259" i="1"/>
  <c r="V259" i="1"/>
  <c r="X258" i="1"/>
  <c r="W258" i="1"/>
  <c r="V258" i="1"/>
  <c r="X257" i="1"/>
  <c r="W257" i="1"/>
  <c r="V257" i="1"/>
  <c r="X256" i="1"/>
  <c r="W256" i="1"/>
  <c r="V256" i="1"/>
  <c r="X255" i="1"/>
  <c r="W255" i="1"/>
  <c r="V255" i="1"/>
  <c r="X254" i="1"/>
  <c r="W254" i="1"/>
  <c r="V254" i="1"/>
  <c r="X253" i="1"/>
  <c r="W253" i="1"/>
  <c r="V253" i="1"/>
  <c r="X252" i="1"/>
  <c r="W252" i="1"/>
  <c r="V252" i="1"/>
  <c r="X251" i="1"/>
  <c r="W251" i="1"/>
  <c r="V251" i="1"/>
  <c r="X250" i="1"/>
  <c r="W250" i="1"/>
  <c r="V250" i="1"/>
  <c r="X249" i="1"/>
  <c r="W249" i="1"/>
  <c r="V249" i="1"/>
  <c r="X248" i="1"/>
  <c r="W248" i="1"/>
  <c r="V248" i="1"/>
  <c r="X247" i="1"/>
  <c r="W247" i="1"/>
  <c r="V247" i="1"/>
  <c r="X246" i="1"/>
  <c r="W246" i="1"/>
  <c r="V246" i="1"/>
  <c r="X245" i="1"/>
  <c r="W245" i="1"/>
  <c r="V245" i="1"/>
  <c r="X244" i="1"/>
  <c r="W244" i="1"/>
  <c r="V244" i="1"/>
  <c r="X243" i="1"/>
  <c r="W243" i="1"/>
  <c r="V243" i="1"/>
  <c r="X242" i="1"/>
  <c r="W242" i="1"/>
  <c r="V242" i="1"/>
  <c r="X241" i="1"/>
  <c r="W241" i="1"/>
  <c r="V241" i="1"/>
  <c r="X240" i="1"/>
  <c r="W240" i="1"/>
  <c r="V240" i="1"/>
  <c r="X239" i="1"/>
  <c r="W239" i="1"/>
  <c r="V239" i="1"/>
  <c r="X238" i="1"/>
  <c r="W238" i="1"/>
  <c r="V238" i="1"/>
  <c r="X237" i="1"/>
  <c r="W237" i="1"/>
  <c r="V237" i="1"/>
  <c r="X236" i="1"/>
  <c r="W236" i="1"/>
  <c r="V236" i="1"/>
  <c r="X235" i="1"/>
  <c r="W235" i="1"/>
  <c r="V235" i="1"/>
  <c r="X234" i="1"/>
  <c r="W234" i="1"/>
  <c r="V234" i="1"/>
  <c r="X233" i="1"/>
  <c r="W233" i="1"/>
  <c r="V233" i="1"/>
  <c r="X232" i="1"/>
  <c r="W232" i="1"/>
  <c r="V232" i="1"/>
  <c r="X231" i="1"/>
  <c r="W231" i="1"/>
  <c r="V231" i="1"/>
  <c r="X230" i="1"/>
  <c r="W230" i="1"/>
  <c r="V230" i="1"/>
  <c r="X229" i="1"/>
  <c r="W229" i="1"/>
  <c r="V229" i="1"/>
  <c r="X228" i="1"/>
  <c r="W228" i="1"/>
  <c r="V228" i="1"/>
  <c r="X227" i="1"/>
  <c r="W227" i="1"/>
  <c r="V227" i="1"/>
  <c r="X226" i="1"/>
  <c r="W226" i="1"/>
  <c r="V226" i="1"/>
  <c r="X225" i="1"/>
  <c r="W225" i="1"/>
  <c r="V225" i="1"/>
  <c r="X224" i="1"/>
  <c r="W224" i="1"/>
  <c r="V224" i="1"/>
  <c r="X223" i="1"/>
  <c r="W223" i="1"/>
  <c r="V223" i="1"/>
  <c r="X222" i="1"/>
  <c r="W222" i="1"/>
  <c r="V222" i="1"/>
  <c r="X221" i="1"/>
  <c r="W221" i="1"/>
  <c r="V221" i="1"/>
  <c r="X220" i="1"/>
  <c r="W220" i="1"/>
  <c r="V220" i="1"/>
  <c r="X219" i="1"/>
  <c r="W219" i="1"/>
  <c r="V219" i="1"/>
  <c r="X218" i="1"/>
  <c r="W218" i="1"/>
  <c r="V218" i="1"/>
  <c r="X217" i="1"/>
  <c r="W217" i="1"/>
  <c r="V217" i="1"/>
  <c r="X216" i="1"/>
  <c r="W216" i="1"/>
  <c r="V216" i="1"/>
  <c r="X215" i="1"/>
  <c r="W215" i="1"/>
  <c r="V215" i="1"/>
  <c r="X214" i="1"/>
  <c r="W214" i="1"/>
  <c r="V214" i="1"/>
  <c r="X213" i="1"/>
  <c r="W213" i="1"/>
  <c r="V213" i="1"/>
  <c r="X212" i="1"/>
  <c r="W212" i="1"/>
  <c r="V212" i="1"/>
  <c r="X211" i="1"/>
  <c r="W211" i="1"/>
  <c r="V211" i="1"/>
  <c r="X210" i="1"/>
  <c r="W210" i="1"/>
  <c r="V210" i="1"/>
  <c r="X209" i="1"/>
  <c r="W209" i="1"/>
  <c r="V209" i="1"/>
  <c r="X208" i="1"/>
  <c r="W208" i="1"/>
  <c r="V208" i="1"/>
  <c r="X207" i="1"/>
  <c r="W207" i="1"/>
  <c r="V207" i="1"/>
  <c r="X206" i="1"/>
  <c r="W206" i="1"/>
  <c r="V206" i="1"/>
  <c r="X205" i="1"/>
  <c r="W205" i="1"/>
  <c r="V205" i="1"/>
  <c r="X204" i="1"/>
  <c r="W204" i="1"/>
  <c r="V204" i="1"/>
  <c r="X203" i="1"/>
  <c r="W203" i="1"/>
  <c r="V203" i="1"/>
  <c r="X202" i="1"/>
  <c r="W202" i="1"/>
  <c r="V202" i="1"/>
  <c r="X201" i="1"/>
  <c r="W201" i="1"/>
  <c r="V201" i="1"/>
  <c r="X200" i="1"/>
  <c r="W200" i="1"/>
  <c r="V200" i="1"/>
  <c r="X199" i="1"/>
  <c r="W199" i="1"/>
  <c r="V199" i="1"/>
  <c r="X198" i="1"/>
  <c r="W198" i="1"/>
  <c r="V198" i="1"/>
  <c r="X197" i="1"/>
  <c r="W197" i="1"/>
  <c r="V197" i="1"/>
  <c r="X196" i="1"/>
  <c r="W196" i="1"/>
  <c r="V196" i="1"/>
  <c r="X195" i="1"/>
  <c r="W195" i="1"/>
  <c r="V195" i="1"/>
  <c r="X194" i="1"/>
  <c r="W194" i="1"/>
  <c r="V194" i="1"/>
  <c r="X193" i="1"/>
  <c r="W193" i="1"/>
  <c r="V193" i="1"/>
  <c r="X192" i="1"/>
  <c r="W192" i="1"/>
  <c r="V192" i="1"/>
  <c r="X191" i="1"/>
  <c r="W191" i="1"/>
  <c r="V191" i="1"/>
  <c r="X190" i="1"/>
  <c r="W190" i="1"/>
  <c r="V190" i="1"/>
  <c r="X189" i="1"/>
  <c r="W189" i="1"/>
  <c r="V189" i="1"/>
  <c r="X188" i="1"/>
  <c r="W188" i="1"/>
  <c r="V188" i="1"/>
  <c r="X187" i="1"/>
  <c r="W187" i="1"/>
  <c r="V187" i="1"/>
  <c r="X186" i="1"/>
  <c r="W186" i="1"/>
  <c r="V186" i="1"/>
  <c r="X185" i="1"/>
  <c r="W185" i="1"/>
  <c r="V185" i="1"/>
  <c r="X184" i="1"/>
  <c r="W184" i="1"/>
  <c r="V184" i="1"/>
  <c r="X183" i="1"/>
  <c r="W183" i="1"/>
  <c r="V183" i="1"/>
  <c r="X182" i="1"/>
  <c r="W182" i="1"/>
  <c r="V182" i="1"/>
  <c r="X181" i="1"/>
  <c r="W181" i="1"/>
  <c r="V181" i="1"/>
  <c r="X180" i="1"/>
  <c r="W180" i="1"/>
  <c r="V180" i="1"/>
  <c r="X179" i="1"/>
  <c r="W179" i="1"/>
  <c r="V179" i="1"/>
  <c r="X178" i="1"/>
  <c r="W178" i="1"/>
  <c r="V178" i="1"/>
  <c r="X177" i="1"/>
  <c r="W177" i="1"/>
  <c r="V177" i="1"/>
  <c r="X176" i="1"/>
  <c r="W176" i="1"/>
  <c r="V176" i="1"/>
  <c r="X175" i="1"/>
  <c r="W175" i="1"/>
  <c r="V175" i="1"/>
  <c r="X174" i="1"/>
  <c r="W174" i="1"/>
  <c r="V174" i="1"/>
  <c r="X173" i="1"/>
  <c r="W173" i="1"/>
  <c r="V173" i="1"/>
  <c r="X172" i="1"/>
  <c r="W172" i="1"/>
  <c r="V172" i="1"/>
  <c r="X171" i="1"/>
  <c r="W171" i="1"/>
  <c r="V171" i="1"/>
  <c r="X170" i="1"/>
  <c r="W170" i="1"/>
  <c r="V170" i="1"/>
  <c r="X169" i="1"/>
  <c r="W169" i="1"/>
  <c r="V169" i="1"/>
  <c r="X168" i="1"/>
  <c r="W168" i="1"/>
  <c r="V168" i="1"/>
  <c r="X167" i="1"/>
  <c r="W167" i="1"/>
  <c r="V167" i="1"/>
  <c r="X166" i="1"/>
  <c r="W166" i="1"/>
  <c r="V166" i="1"/>
  <c r="X165" i="1"/>
  <c r="W165" i="1"/>
  <c r="V165" i="1"/>
  <c r="X164" i="1"/>
  <c r="W164" i="1"/>
  <c r="V164" i="1"/>
  <c r="X163" i="1"/>
  <c r="W163" i="1"/>
  <c r="V163" i="1"/>
  <c r="X162" i="1"/>
  <c r="W162" i="1"/>
  <c r="V162" i="1"/>
  <c r="X161" i="1"/>
  <c r="W161" i="1"/>
  <c r="V161" i="1"/>
  <c r="X160" i="1"/>
  <c r="W160" i="1"/>
  <c r="V160" i="1"/>
  <c r="X159" i="1"/>
  <c r="W159" i="1"/>
  <c r="V159" i="1"/>
  <c r="X158" i="1"/>
  <c r="W158" i="1"/>
  <c r="V158" i="1"/>
  <c r="X157" i="1"/>
  <c r="W157" i="1"/>
  <c r="V157" i="1"/>
  <c r="X156" i="1"/>
  <c r="W156" i="1"/>
  <c r="V156" i="1"/>
  <c r="X155" i="1"/>
  <c r="W155" i="1"/>
  <c r="V155" i="1"/>
  <c r="X154" i="1"/>
  <c r="W154" i="1"/>
  <c r="V154" i="1"/>
  <c r="X153" i="1"/>
  <c r="W153" i="1"/>
  <c r="V153" i="1"/>
  <c r="X152" i="1"/>
  <c r="W152" i="1"/>
  <c r="V152" i="1"/>
  <c r="X151" i="1"/>
  <c r="W151" i="1"/>
  <c r="V151" i="1"/>
  <c r="X150" i="1"/>
  <c r="W150" i="1"/>
  <c r="V150" i="1"/>
  <c r="X149" i="1"/>
  <c r="W149" i="1"/>
  <c r="V149" i="1"/>
  <c r="X148" i="1"/>
  <c r="W148" i="1"/>
  <c r="V148" i="1"/>
  <c r="X147" i="1"/>
  <c r="W147" i="1"/>
  <c r="V147" i="1"/>
  <c r="X146" i="1"/>
  <c r="W146" i="1"/>
  <c r="V146" i="1"/>
  <c r="X145" i="1"/>
  <c r="W145" i="1"/>
  <c r="V145" i="1"/>
  <c r="X144" i="1"/>
  <c r="W144" i="1"/>
  <c r="V144" i="1"/>
  <c r="X143" i="1"/>
  <c r="W143" i="1"/>
  <c r="V143" i="1"/>
  <c r="X142" i="1"/>
  <c r="W142" i="1"/>
  <c r="V142" i="1"/>
  <c r="X141" i="1"/>
  <c r="W141" i="1"/>
  <c r="V141" i="1"/>
  <c r="X140" i="1"/>
  <c r="W140" i="1"/>
  <c r="V140" i="1"/>
  <c r="X139" i="1"/>
  <c r="W139" i="1"/>
  <c r="V139" i="1"/>
  <c r="X138" i="1"/>
  <c r="W138" i="1"/>
  <c r="V138" i="1"/>
  <c r="X137" i="1"/>
  <c r="W137" i="1"/>
  <c r="V137" i="1"/>
  <c r="X136" i="1"/>
  <c r="W136" i="1"/>
  <c r="V136" i="1"/>
  <c r="X135" i="1"/>
  <c r="W135" i="1"/>
  <c r="V135" i="1"/>
  <c r="X134" i="1"/>
  <c r="W134" i="1"/>
  <c r="V134" i="1"/>
  <c r="X133" i="1"/>
  <c r="W133" i="1"/>
  <c r="V133" i="1"/>
  <c r="X132" i="1"/>
  <c r="W132" i="1"/>
  <c r="V132" i="1"/>
  <c r="X131" i="1"/>
  <c r="W131" i="1"/>
  <c r="V131" i="1"/>
  <c r="X130" i="1"/>
  <c r="W130" i="1"/>
  <c r="V130" i="1"/>
  <c r="X129" i="1"/>
  <c r="W129" i="1"/>
  <c r="V129" i="1"/>
  <c r="X128" i="1"/>
  <c r="W128" i="1"/>
  <c r="V128" i="1"/>
  <c r="X127" i="1"/>
  <c r="W127" i="1"/>
  <c r="V127" i="1"/>
  <c r="X126" i="1"/>
  <c r="W126" i="1"/>
  <c r="V126" i="1"/>
  <c r="X125" i="1"/>
  <c r="W125" i="1"/>
  <c r="V125" i="1"/>
  <c r="X124" i="1"/>
  <c r="W124" i="1"/>
  <c r="V124" i="1"/>
  <c r="X123" i="1"/>
  <c r="W123" i="1"/>
  <c r="V123" i="1"/>
  <c r="X122" i="1"/>
  <c r="W122" i="1"/>
  <c r="V122" i="1"/>
  <c r="X121" i="1"/>
  <c r="W121" i="1"/>
  <c r="V121" i="1"/>
  <c r="X120" i="1"/>
  <c r="W120" i="1"/>
  <c r="V120" i="1"/>
  <c r="X119" i="1"/>
  <c r="W119" i="1"/>
  <c r="V119" i="1"/>
  <c r="X118" i="1"/>
  <c r="W118" i="1"/>
  <c r="V118" i="1"/>
  <c r="X117" i="1"/>
  <c r="W117" i="1"/>
  <c r="V117" i="1"/>
  <c r="X116" i="1"/>
  <c r="W116" i="1"/>
  <c r="V116" i="1"/>
  <c r="X115" i="1"/>
  <c r="W115" i="1"/>
  <c r="V115" i="1"/>
  <c r="X114" i="1"/>
  <c r="W114" i="1"/>
  <c r="V114" i="1"/>
  <c r="X113" i="1"/>
  <c r="W113" i="1"/>
  <c r="V113" i="1"/>
  <c r="X112" i="1"/>
  <c r="W112" i="1"/>
  <c r="V112" i="1"/>
  <c r="X111" i="1"/>
  <c r="W111" i="1"/>
  <c r="V111" i="1"/>
  <c r="X110" i="1"/>
  <c r="W110" i="1"/>
  <c r="V110" i="1"/>
  <c r="X109" i="1"/>
  <c r="W109" i="1"/>
  <c r="V109" i="1"/>
  <c r="X108" i="1"/>
  <c r="W108" i="1"/>
  <c r="V108" i="1"/>
  <c r="X107" i="1"/>
  <c r="W107" i="1"/>
  <c r="V107" i="1"/>
  <c r="X106" i="1"/>
  <c r="W106" i="1"/>
  <c r="V106" i="1"/>
  <c r="X105" i="1"/>
  <c r="W105" i="1"/>
  <c r="V105" i="1"/>
  <c r="X104" i="1"/>
  <c r="W104" i="1"/>
  <c r="V104" i="1"/>
  <c r="X103" i="1"/>
  <c r="W103" i="1"/>
  <c r="V103" i="1"/>
  <c r="X102" i="1"/>
  <c r="W102" i="1"/>
  <c r="V102" i="1"/>
  <c r="X101" i="1"/>
  <c r="W101" i="1"/>
  <c r="V101" i="1"/>
  <c r="X100" i="1"/>
  <c r="W100" i="1"/>
  <c r="V100" i="1"/>
  <c r="X99" i="1"/>
  <c r="W99" i="1"/>
  <c r="V99" i="1"/>
  <c r="X98" i="1"/>
  <c r="W98" i="1"/>
  <c r="V98" i="1"/>
  <c r="X97" i="1"/>
  <c r="W97" i="1"/>
  <c r="V97" i="1"/>
  <c r="X96" i="1"/>
  <c r="W96" i="1"/>
  <c r="V96" i="1"/>
  <c r="X95" i="1"/>
  <c r="W95" i="1"/>
  <c r="V95" i="1"/>
  <c r="X94" i="1"/>
  <c r="W94" i="1"/>
  <c r="V94" i="1"/>
  <c r="X93" i="1"/>
  <c r="W93" i="1"/>
  <c r="V93" i="1"/>
  <c r="X92" i="1"/>
  <c r="W92" i="1"/>
  <c r="V92" i="1"/>
  <c r="X91" i="1"/>
  <c r="W91" i="1"/>
  <c r="V91" i="1"/>
  <c r="X90" i="1"/>
  <c r="W90" i="1"/>
  <c r="V90" i="1"/>
  <c r="X89" i="1"/>
  <c r="W89" i="1"/>
  <c r="V89" i="1"/>
  <c r="X88" i="1"/>
  <c r="W88" i="1"/>
  <c r="V88" i="1"/>
  <c r="X87" i="1"/>
  <c r="W87" i="1"/>
  <c r="V87" i="1"/>
  <c r="X86" i="1"/>
  <c r="W86" i="1"/>
  <c r="V86" i="1"/>
  <c r="X85" i="1"/>
  <c r="W85" i="1"/>
  <c r="V85" i="1"/>
  <c r="X84" i="1"/>
  <c r="W84" i="1"/>
  <c r="V84" i="1"/>
  <c r="X83" i="1"/>
  <c r="W83" i="1"/>
  <c r="V83" i="1"/>
  <c r="X82" i="1"/>
  <c r="W82" i="1"/>
  <c r="V82" i="1"/>
  <c r="X81" i="1"/>
  <c r="W81" i="1"/>
  <c r="V81" i="1"/>
  <c r="X80" i="1"/>
  <c r="W80" i="1"/>
  <c r="V80" i="1"/>
  <c r="X79" i="1"/>
  <c r="W79" i="1"/>
  <c r="V79" i="1"/>
  <c r="X78" i="1"/>
  <c r="W78" i="1"/>
  <c r="V78" i="1"/>
  <c r="X77" i="1"/>
  <c r="W77" i="1"/>
  <c r="V77" i="1"/>
  <c r="X76" i="1"/>
  <c r="W76" i="1"/>
  <c r="V76" i="1"/>
  <c r="X75" i="1"/>
  <c r="W75" i="1"/>
  <c r="V75" i="1"/>
  <c r="X74" i="1"/>
  <c r="W74" i="1"/>
  <c r="V74" i="1"/>
  <c r="X73" i="1"/>
  <c r="W73" i="1"/>
  <c r="V73" i="1"/>
  <c r="X72" i="1"/>
  <c r="W72" i="1"/>
  <c r="V72" i="1"/>
  <c r="X71" i="1"/>
  <c r="W71" i="1"/>
  <c r="V71" i="1"/>
  <c r="X70" i="1"/>
  <c r="W70" i="1"/>
  <c r="V70" i="1"/>
  <c r="X69" i="1"/>
  <c r="W69" i="1"/>
  <c r="V69" i="1"/>
  <c r="X68" i="1"/>
  <c r="W68" i="1"/>
  <c r="V68" i="1"/>
  <c r="X67" i="1"/>
  <c r="W67" i="1"/>
  <c r="V67" i="1"/>
  <c r="X66" i="1"/>
  <c r="W66" i="1"/>
  <c r="V66" i="1"/>
  <c r="X65" i="1"/>
  <c r="W65" i="1"/>
  <c r="V65" i="1"/>
  <c r="X64" i="1"/>
  <c r="W64" i="1"/>
  <c r="V64" i="1"/>
  <c r="X63" i="1"/>
  <c r="W63" i="1"/>
  <c r="V63" i="1"/>
  <c r="X62" i="1"/>
  <c r="W62" i="1"/>
  <c r="V62" i="1"/>
  <c r="X61" i="1"/>
  <c r="W61" i="1"/>
  <c r="V61" i="1"/>
  <c r="X60" i="1"/>
  <c r="W60" i="1"/>
  <c r="V60" i="1"/>
  <c r="X59" i="1"/>
  <c r="W59" i="1"/>
  <c r="V59" i="1"/>
  <c r="X58" i="1"/>
  <c r="W58" i="1"/>
  <c r="V58" i="1"/>
  <c r="X57" i="1"/>
  <c r="W57" i="1"/>
  <c r="V57" i="1"/>
  <c r="X56" i="1"/>
  <c r="W56" i="1"/>
  <c r="V56" i="1"/>
  <c r="X55" i="1"/>
  <c r="W55" i="1"/>
  <c r="V55" i="1"/>
  <c r="X54" i="1"/>
  <c r="W54" i="1"/>
  <c r="V54" i="1"/>
  <c r="X53" i="1"/>
  <c r="W53" i="1"/>
  <c r="V53" i="1"/>
  <c r="X52" i="1"/>
  <c r="W52" i="1"/>
  <c r="V52" i="1"/>
  <c r="X51" i="1"/>
  <c r="W51" i="1"/>
  <c r="V51" i="1"/>
  <c r="X50" i="1"/>
  <c r="W50" i="1"/>
  <c r="V50" i="1"/>
  <c r="X49" i="1"/>
  <c r="W49" i="1"/>
  <c r="V49" i="1"/>
  <c r="X48" i="1"/>
  <c r="W48" i="1"/>
  <c r="V48" i="1"/>
  <c r="X47" i="1"/>
  <c r="W47" i="1"/>
  <c r="V47" i="1"/>
  <c r="X46" i="1"/>
  <c r="W46" i="1"/>
  <c r="V46" i="1"/>
  <c r="X45" i="1"/>
  <c r="W45" i="1"/>
  <c r="V45" i="1"/>
  <c r="X44" i="1"/>
  <c r="W44" i="1"/>
  <c r="V44" i="1"/>
  <c r="X43" i="1"/>
  <c r="W43" i="1"/>
  <c r="V43" i="1"/>
  <c r="X42" i="1"/>
  <c r="W42" i="1"/>
  <c r="V42" i="1"/>
  <c r="X41" i="1"/>
  <c r="W41" i="1"/>
  <c r="V41" i="1"/>
  <c r="X40" i="1"/>
  <c r="W40" i="1"/>
  <c r="V40" i="1"/>
  <c r="X39" i="1"/>
  <c r="W39" i="1"/>
  <c r="V39" i="1"/>
  <c r="X38" i="1"/>
  <c r="W38" i="1"/>
  <c r="V38" i="1"/>
  <c r="X37" i="1"/>
  <c r="W37" i="1"/>
  <c r="V37" i="1"/>
  <c r="X36" i="1"/>
  <c r="W36" i="1"/>
  <c r="V36" i="1"/>
  <c r="X35" i="1"/>
  <c r="W35" i="1"/>
  <c r="V35" i="1"/>
  <c r="X34" i="1"/>
  <c r="W34" i="1"/>
  <c r="V34" i="1"/>
  <c r="X33" i="1"/>
  <c r="W33" i="1"/>
  <c r="V33" i="1"/>
  <c r="X32" i="1"/>
  <c r="W32" i="1"/>
  <c r="V32" i="1"/>
  <c r="X31" i="1"/>
  <c r="W31" i="1"/>
  <c r="V31" i="1"/>
  <c r="X30" i="1"/>
  <c r="W30" i="1"/>
  <c r="V30" i="1"/>
  <c r="X29" i="1"/>
  <c r="W29" i="1"/>
  <c r="V29" i="1"/>
  <c r="X28" i="1"/>
  <c r="W28" i="1"/>
  <c r="V28" i="1"/>
  <c r="X27" i="1"/>
  <c r="W27" i="1"/>
  <c r="V27" i="1"/>
  <c r="X26" i="1"/>
  <c r="W26" i="1"/>
  <c r="V26" i="1"/>
  <c r="X25" i="1"/>
  <c r="W25" i="1"/>
  <c r="V25" i="1"/>
  <c r="X24" i="1"/>
  <c r="W24" i="1"/>
  <c r="V24" i="1"/>
  <c r="X23" i="1"/>
  <c r="W23" i="1"/>
  <c r="V23" i="1"/>
  <c r="X22" i="1"/>
  <c r="W22" i="1"/>
  <c r="V22" i="1"/>
  <c r="X21" i="1"/>
  <c r="W21" i="1"/>
  <c r="V21" i="1"/>
  <c r="X20" i="1"/>
  <c r="W20" i="1"/>
  <c r="V20" i="1"/>
  <c r="X19" i="1"/>
  <c r="W19" i="1"/>
  <c r="V19" i="1"/>
  <c r="X18" i="1"/>
  <c r="W18" i="1"/>
  <c r="V18" i="1"/>
  <c r="X17" i="1"/>
  <c r="W17" i="1"/>
  <c r="V17" i="1"/>
  <c r="X16" i="1"/>
  <c r="W16" i="1"/>
  <c r="V16" i="1"/>
  <c r="X15" i="1"/>
  <c r="W15" i="1"/>
  <c r="V15" i="1"/>
  <c r="X14" i="1"/>
  <c r="W14" i="1"/>
  <c r="V14" i="1"/>
  <c r="X13" i="1"/>
  <c r="W13" i="1"/>
  <c r="V13" i="1"/>
  <c r="X12" i="1"/>
  <c r="W12" i="1"/>
  <c r="V12" i="1"/>
  <c r="X11" i="1"/>
  <c r="W11" i="1"/>
  <c r="V11" i="1"/>
  <c r="X10" i="1"/>
  <c r="W10" i="1"/>
  <c r="V10" i="1"/>
  <c r="X9" i="1"/>
  <c r="W9" i="1"/>
  <c r="V9" i="1"/>
  <c r="X8" i="1"/>
  <c r="W8" i="1"/>
  <c r="V8" i="1"/>
  <c r="X7" i="1"/>
  <c r="W7" i="1"/>
  <c r="V7" i="1"/>
  <c r="X6" i="1"/>
  <c r="W6" i="1"/>
  <c r="V6" i="1"/>
  <c r="X5" i="1"/>
  <c r="W5" i="1"/>
  <c r="V5" i="1"/>
  <c r="X4" i="1"/>
  <c r="W4" i="1"/>
  <c r="V4" i="1"/>
  <c r="X3" i="1"/>
  <c r="W3" i="1"/>
  <c r="V3" i="1"/>
  <c r="X2" i="1"/>
  <c r="W2" i="1"/>
  <c r="V2" i="1"/>
  <c r="AE3" i="4" l="1"/>
  <c r="AE4" i="4"/>
  <c r="AE5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AE41" i="4"/>
  <c r="AE42" i="4"/>
  <c r="AE43" i="4"/>
  <c r="AE44" i="4"/>
  <c r="AE45" i="4"/>
  <c r="AE46" i="4"/>
  <c r="AE47" i="4"/>
  <c r="AE48" i="4"/>
  <c r="AE49" i="4"/>
  <c r="AE50" i="4"/>
  <c r="AE51" i="4"/>
  <c r="AE52" i="4"/>
  <c r="AE53" i="4"/>
  <c r="AE54" i="4"/>
  <c r="AE55" i="4"/>
  <c r="AE56" i="4"/>
  <c r="AE57" i="4"/>
  <c r="AE58" i="4"/>
  <c r="AE59" i="4"/>
  <c r="AE60" i="4"/>
  <c r="AE61" i="4"/>
  <c r="AE62" i="4"/>
  <c r="AE63" i="4"/>
  <c r="AE64" i="4"/>
  <c r="AE65" i="4"/>
  <c r="AE66" i="4"/>
  <c r="AE67" i="4"/>
  <c r="AE68" i="4"/>
  <c r="AE69" i="4"/>
  <c r="AE70" i="4"/>
  <c r="AE71" i="4"/>
  <c r="AE72" i="4"/>
  <c r="AE73" i="4"/>
  <c r="AE74" i="4"/>
  <c r="AE75" i="4"/>
  <c r="AE76" i="4"/>
  <c r="AE77" i="4"/>
  <c r="AE78" i="4"/>
  <c r="AE79" i="4"/>
  <c r="AE80" i="4"/>
  <c r="AE81" i="4"/>
  <c r="AE82" i="4"/>
  <c r="AE83" i="4"/>
  <c r="AE84" i="4"/>
  <c r="AE85" i="4"/>
  <c r="AE86" i="4"/>
  <c r="AE87" i="4"/>
  <c r="AE88" i="4"/>
  <c r="AE89" i="4"/>
  <c r="AE90" i="4"/>
  <c r="AE91" i="4"/>
  <c r="AE92" i="4"/>
  <c r="AE93" i="4"/>
  <c r="AE94" i="4"/>
  <c r="AE95" i="4"/>
  <c r="AE96" i="4"/>
  <c r="AE97" i="4"/>
  <c r="AE98" i="4"/>
  <c r="AE99" i="4"/>
  <c r="AE100" i="4"/>
  <c r="AE101" i="4"/>
  <c r="AE102" i="4"/>
  <c r="AE103" i="4"/>
  <c r="AE104" i="4"/>
  <c r="AE105" i="4"/>
  <c r="AE106" i="4"/>
  <c r="AE107" i="4"/>
  <c r="AE108" i="4"/>
  <c r="AE109" i="4"/>
  <c r="AE110" i="4"/>
  <c r="AE111" i="4"/>
  <c r="AE112" i="4"/>
  <c r="AE113" i="4"/>
  <c r="AE114" i="4"/>
  <c r="AE115" i="4"/>
  <c r="AE116" i="4"/>
  <c r="AE117" i="4"/>
  <c r="AE118" i="4"/>
  <c r="AE119" i="4"/>
  <c r="AE120" i="4"/>
  <c r="AE121" i="4"/>
  <c r="AE122" i="4"/>
  <c r="AE123" i="4"/>
  <c r="AE124" i="4"/>
  <c r="AE125" i="4"/>
  <c r="AE126" i="4"/>
  <c r="AE127" i="4"/>
  <c r="AE128" i="4"/>
  <c r="AE129" i="4"/>
  <c r="AE130" i="4"/>
  <c r="AE131" i="4"/>
  <c r="AE132" i="4"/>
  <c r="AE133" i="4"/>
  <c r="AE134" i="4"/>
  <c r="AE135" i="4"/>
  <c r="AE136" i="4"/>
  <c r="AE137" i="4"/>
  <c r="AE138" i="4"/>
  <c r="AE139" i="4"/>
  <c r="AE140" i="4"/>
  <c r="AE141" i="4"/>
  <c r="AE142" i="4"/>
  <c r="AE143" i="4"/>
  <c r="AE144" i="4"/>
  <c r="AE145" i="4"/>
  <c r="AE146" i="4"/>
  <c r="AE147" i="4"/>
  <c r="AE148" i="4"/>
  <c r="AE149" i="4"/>
  <c r="AE150" i="4"/>
  <c r="AE151" i="4"/>
  <c r="AE152" i="4"/>
  <c r="AE153" i="4"/>
  <c r="AE154" i="4"/>
  <c r="AE155" i="4"/>
  <c r="AE156" i="4"/>
  <c r="AE157" i="4"/>
  <c r="AE158" i="4"/>
  <c r="AE159" i="4"/>
  <c r="AE160" i="4"/>
  <c r="AE161" i="4"/>
  <c r="AE162" i="4"/>
  <c r="AE163" i="4"/>
  <c r="AE164" i="4"/>
  <c r="AE165" i="4"/>
  <c r="AE166" i="4"/>
  <c r="AE167" i="4"/>
  <c r="AE168" i="4"/>
  <c r="AE169" i="4"/>
  <c r="AE170" i="4"/>
  <c r="AE171" i="4"/>
  <c r="AE172" i="4"/>
  <c r="AE173" i="4"/>
  <c r="AE174" i="4"/>
  <c r="AE175" i="4"/>
  <c r="AE176" i="4"/>
  <c r="AE177" i="4"/>
  <c r="AE178" i="4"/>
  <c r="AE179" i="4"/>
  <c r="AE180" i="4"/>
  <c r="AE181" i="4"/>
  <c r="AE182" i="4"/>
  <c r="AE183" i="4"/>
  <c r="AE184" i="4"/>
  <c r="AE185" i="4"/>
  <c r="AE186" i="4"/>
  <c r="AE187" i="4"/>
  <c r="AE188" i="4"/>
  <c r="AE189" i="4"/>
  <c r="AE190" i="4"/>
  <c r="AE191" i="4"/>
  <c r="AE192" i="4"/>
  <c r="AE193" i="4"/>
  <c r="AE194" i="4"/>
  <c r="AE195" i="4"/>
  <c r="AE196" i="4"/>
  <c r="AE197" i="4"/>
  <c r="AE198" i="4"/>
  <c r="AE199" i="4"/>
  <c r="AE200" i="4"/>
  <c r="AE201" i="4"/>
  <c r="AE202" i="4"/>
  <c r="AE203" i="4"/>
  <c r="AE204" i="4"/>
  <c r="AE205" i="4"/>
  <c r="AE206" i="4"/>
  <c r="AE207" i="4"/>
  <c r="AE208" i="4"/>
  <c r="AE209" i="4"/>
  <c r="AE210" i="4"/>
  <c r="AE211" i="4"/>
  <c r="AE212" i="4"/>
  <c r="AE213" i="4"/>
  <c r="AE214" i="4"/>
  <c r="AE215" i="4"/>
  <c r="AE216" i="4"/>
  <c r="AE217" i="4"/>
  <c r="AE218" i="4"/>
  <c r="AE219" i="4"/>
  <c r="AE220" i="4"/>
  <c r="AE221" i="4"/>
  <c r="AE222" i="4"/>
  <c r="AE223" i="4"/>
  <c r="AE224" i="4"/>
  <c r="AE225" i="4"/>
  <c r="AE226" i="4"/>
  <c r="AE227" i="4"/>
  <c r="AE228" i="4"/>
  <c r="AE229" i="4"/>
  <c r="AE230" i="4"/>
  <c r="AE231" i="4"/>
  <c r="AE232" i="4"/>
  <c r="AE233" i="4"/>
  <c r="AE234" i="4"/>
  <c r="AE235" i="4"/>
  <c r="AE236" i="4"/>
  <c r="AE237" i="4"/>
  <c r="AE238" i="4"/>
  <c r="AE239" i="4"/>
  <c r="AE240" i="4"/>
  <c r="AE241" i="4"/>
  <c r="AE242" i="4"/>
  <c r="AE243" i="4"/>
  <c r="AE244" i="4"/>
  <c r="AE245" i="4"/>
  <c r="AE246" i="4"/>
  <c r="AE247" i="4"/>
  <c r="AE248" i="4"/>
  <c r="AE249" i="4"/>
  <c r="AE250" i="4"/>
  <c r="AE251" i="4"/>
  <c r="AE252" i="4"/>
  <c r="AE253" i="4"/>
  <c r="AE254" i="4"/>
  <c r="AE255" i="4"/>
  <c r="AE256" i="4"/>
  <c r="AE257" i="4"/>
  <c r="AE258" i="4"/>
  <c r="AE259" i="4"/>
  <c r="AE260" i="4"/>
  <c r="AE261" i="4"/>
  <c r="AE262" i="4"/>
  <c r="AE263" i="4"/>
  <c r="AE264" i="4"/>
  <c r="AE265" i="4"/>
  <c r="AE266" i="4"/>
  <c r="AE267" i="4"/>
  <c r="AE268" i="4"/>
  <c r="AE269" i="4"/>
  <c r="AE270" i="4"/>
  <c r="AE271" i="4"/>
  <c r="AE272" i="4"/>
  <c r="AE273" i="4"/>
  <c r="AE274" i="4"/>
  <c r="AE275" i="4"/>
  <c r="AE276" i="4"/>
  <c r="AE277" i="4"/>
  <c r="AE278" i="4"/>
  <c r="AE279" i="4"/>
  <c r="AE280" i="4"/>
  <c r="AE281" i="4"/>
  <c r="AE282" i="4"/>
  <c r="AE283" i="4"/>
  <c r="AE284" i="4"/>
  <c r="AE285" i="4"/>
  <c r="AE286" i="4"/>
  <c r="AE287" i="4"/>
  <c r="AE288" i="4"/>
  <c r="AE289" i="4"/>
  <c r="AE290" i="4"/>
  <c r="AE291" i="4"/>
  <c r="AE292" i="4"/>
  <c r="AE293" i="4"/>
  <c r="AE294" i="4"/>
  <c r="AE295" i="4"/>
  <c r="AE296" i="4"/>
  <c r="AE297" i="4"/>
  <c r="AE298" i="4"/>
  <c r="AE299" i="4"/>
  <c r="AE300" i="4"/>
  <c r="AE301" i="4"/>
  <c r="AE302" i="4"/>
  <c r="AE303" i="4"/>
  <c r="AE304" i="4"/>
  <c r="AE305" i="4"/>
  <c r="AE306" i="4"/>
  <c r="AE307" i="4"/>
  <c r="AE308" i="4"/>
  <c r="AE309" i="4"/>
  <c r="AE310" i="4"/>
  <c r="AE311" i="4"/>
  <c r="AE312" i="4"/>
  <c r="AE313" i="4"/>
  <c r="AE314" i="4"/>
  <c r="AE315" i="4"/>
  <c r="AE316" i="4"/>
  <c r="AE317" i="4"/>
  <c r="AE318" i="4"/>
  <c r="AE319" i="4"/>
  <c r="AE320" i="4"/>
  <c r="AE321" i="4"/>
  <c r="AE322" i="4"/>
  <c r="AE323" i="4"/>
  <c r="AE324" i="4"/>
  <c r="AE325" i="4"/>
  <c r="AE326" i="4"/>
  <c r="AE327" i="4"/>
  <c r="AE328" i="4"/>
  <c r="AE329" i="4"/>
  <c r="AE330" i="4"/>
  <c r="AE331" i="4"/>
  <c r="AE332" i="4"/>
  <c r="AE333" i="4"/>
  <c r="AE334" i="4"/>
  <c r="AE335" i="4"/>
  <c r="AE336" i="4"/>
  <c r="AE337" i="4"/>
  <c r="AE338" i="4"/>
  <c r="AE339" i="4"/>
  <c r="AE340" i="4"/>
  <c r="AE341" i="4"/>
  <c r="AE342" i="4"/>
  <c r="AE343" i="4"/>
  <c r="AE344" i="4"/>
  <c r="AE345" i="4"/>
  <c r="AE346" i="4"/>
  <c r="AE347" i="4"/>
  <c r="AE348" i="4"/>
  <c r="AE349" i="4"/>
  <c r="AE350" i="4"/>
  <c r="AE351" i="4"/>
  <c r="AE352" i="4"/>
  <c r="AE353" i="4"/>
  <c r="AE354" i="4"/>
  <c r="AE355" i="4"/>
  <c r="AE356" i="4"/>
  <c r="AE357" i="4"/>
  <c r="AE358" i="4"/>
  <c r="AE359" i="4"/>
  <c r="AE360" i="4"/>
  <c r="AE361" i="4"/>
  <c r="AE362" i="4"/>
  <c r="AE363" i="4"/>
  <c r="AE364" i="4"/>
  <c r="AE365" i="4"/>
  <c r="AE366" i="4"/>
  <c r="AE367" i="4"/>
  <c r="AE368" i="4"/>
  <c r="AE369" i="4"/>
  <c r="AE370" i="4"/>
  <c r="AE371" i="4"/>
  <c r="AE372" i="4"/>
  <c r="AE373" i="4"/>
  <c r="AE374" i="4"/>
  <c r="AE375" i="4"/>
  <c r="AE376" i="4"/>
  <c r="AE377" i="4"/>
  <c r="AE378" i="4"/>
  <c r="AE379" i="4"/>
  <c r="AE380" i="4"/>
  <c r="AE381" i="4"/>
  <c r="AE382" i="4"/>
  <c r="AE383" i="4"/>
  <c r="AE384" i="4"/>
  <c r="AE385" i="4"/>
  <c r="AE386" i="4"/>
  <c r="AE387" i="4"/>
  <c r="AE388" i="4"/>
  <c r="AE389" i="4"/>
  <c r="AE390" i="4"/>
  <c r="AE391" i="4"/>
  <c r="AE392" i="4"/>
  <c r="AE393" i="4"/>
  <c r="AE394" i="4"/>
  <c r="AE395" i="4"/>
  <c r="AE396" i="4"/>
  <c r="AE397" i="4"/>
  <c r="AE398" i="4"/>
  <c r="AE399" i="4"/>
  <c r="AE400" i="4"/>
  <c r="AE401" i="4"/>
  <c r="AE402" i="4"/>
  <c r="AE403" i="4"/>
  <c r="AE404" i="4"/>
  <c r="AE405" i="4"/>
  <c r="AE406" i="4"/>
  <c r="AE407" i="4"/>
  <c r="AE408" i="4"/>
  <c r="AE409" i="4"/>
  <c r="AE410" i="4"/>
  <c r="AE411" i="4"/>
  <c r="AE412" i="4"/>
  <c r="AE413" i="4"/>
  <c r="AE414" i="4"/>
  <c r="AE415" i="4"/>
  <c r="AE416" i="4"/>
  <c r="AE417" i="4"/>
  <c r="AE418" i="4"/>
  <c r="AE419" i="4"/>
  <c r="AE420" i="4"/>
  <c r="AE421" i="4"/>
  <c r="AE422" i="4"/>
  <c r="AE423" i="4"/>
  <c r="AE424" i="4"/>
  <c r="AE425" i="4"/>
  <c r="AE426" i="4"/>
  <c r="AE427" i="4"/>
  <c r="AE428" i="4"/>
  <c r="AE429" i="4"/>
  <c r="AE430" i="4"/>
  <c r="AE431" i="4"/>
  <c r="AE432" i="4"/>
  <c r="AE433" i="4"/>
  <c r="AE434" i="4"/>
  <c r="AE435" i="4"/>
  <c r="AE436" i="4"/>
  <c r="AE437" i="4"/>
  <c r="AE438" i="4"/>
  <c r="AE439" i="4"/>
  <c r="AE440" i="4"/>
  <c r="AE441" i="4"/>
  <c r="AE442" i="4"/>
  <c r="AE443" i="4"/>
  <c r="AE444" i="4"/>
  <c r="AE445" i="4"/>
  <c r="AE446" i="4"/>
  <c r="AE447" i="4"/>
  <c r="AE448" i="4"/>
  <c r="AE449" i="4"/>
  <c r="AE450" i="4"/>
  <c r="AE451" i="4"/>
  <c r="AE452" i="4"/>
  <c r="AE453" i="4"/>
  <c r="AE454" i="4"/>
  <c r="AE455" i="4"/>
  <c r="AE456" i="4"/>
  <c r="AE457" i="4"/>
  <c r="AE458" i="4"/>
  <c r="AE459" i="4"/>
  <c r="AE460" i="4"/>
  <c r="AE461" i="4"/>
  <c r="AE462" i="4"/>
  <c r="AE463" i="4"/>
  <c r="AE464" i="4"/>
  <c r="AE465" i="4"/>
  <c r="AE466" i="4"/>
  <c r="AE467" i="4"/>
  <c r="AE468" i="4"/>
  <c r="AE469" i="4"/>
  <c r="AE470" i="4"/>
  <c r="AE471" i="4"/>
  <c r="AE472" i="4"/>
  <c r="AE473" i="4"/>
  <c r="AE474" i="4"/>
  <c r="AE475" i="4"/>
  <c r="AE476" i="4"/>
  <c r="AE477" i="4"/>
  <c r="AE478" i="4"/>
  <c r="AE479" i="4"/>
  <c r="AE480" i="4"/>
  <c r="AE481" i="4"/>
  <c r="AE482" i="4"/>
  <c r="AE483" i="4"/>
  <c r="AE484" i="4"/>
  <c r="AE485" i="4"/>
  <c r="AE486" i="4"/>
  <c r="AE487" i="4"/>
  <c r="AE488" i="4"/>
  <c r="AE489" i="4"/>
  <c r="AE490" i="4"/>
  <c r="AE491" i="4"/>
  <c r="AE492" i="4"/>
  <c r="AE493" i="4"/>
  <c r="AE494" i="4"/>
  <c r="AE495" i="4"/>
  <c r="AE496" i="4"/>
  <c r="AE497" i="4"/>
  <c r="AE498" i="4"/>
  <c r="AE499" i="4"/>
  <c r="AE500" i="4"/>
  <c r="AE501" i="4"/>
  <c r="AE502" i="4"/>
  <c r="AE503" i="4"/>
  <c r="AE504" i="4"/>
  <c r="AE505" i="4"/>
  <c r="AE506" i="4"/>
  <c r="AE507" i="4"/>
  <c r="AE508" i="4"/>
  <c r="AE509" i="4"/>
  <c r="AE510" i="4"/>
  <c r="AE511" i="4"/>
  <c r="AE512" i="4"/>
  <c r="AE513" i="4"/>
  <c r="AE514" i="4"/>
  <c r="AE515" i="4"/>
  <c r="AE516" i="4"/>
  <c r="AE517" i="4"/>
  <c r="AE518" i="4"/>
  <c r="AE519" i="4"/>
  <c r="AE520" i="4"/>
  <c r="AE521" i="4"/>
  <c r="AE522" i="4"/>
  <c r="AE523" i="4"/>
  <c r="AE524" i="4"/>
  <c r="AE525" i="4"/>
  <c r="AE526" i="4"/>
  <c r="AE527" i="4"/>
  <c r="AE528" i="4"/>
  <c r="AE529" i="4"/>
  <c r="AE530" i="4"/>
  <c r="AE531" i="4"/>
  <c r="AE532" i="4"/>
  <c r="AE533" i="4"/>
  <c r="AE534" i="4"/>
  <c r="AE535" i="4"/>
  <c r="AE536" i="4"/>
  <c r="AE537" i="4"/>
  <c r="AE538" i="4"/>
  <c r="AE539" i="4"/>
  <c r="AE540" i="4"/>
  <c r="AE541" i="4"/>
  <c r="AE542" i="4"/>
  <c r="AE543" i="4"/>
  <c r="AE544" i="4"/>
  <c r="AE545" i="4"/>
  <c r="AE546" i="4"/>
  <c r="AE547" i="4"/>
  <c r="AE548" i="4"/>
  <c r="AE549" i="4"/>
  <c r="AE550" i="4"/>
  <c r="AE551" i="4"/>
  <c r="AE552" i="4"/>
  <c r="AE553" i="4"/>
  <c r="AE554" i="4"/>
  <c r="AE555" i="4"/>
  <c r="AE556" i="4"/>
  <c r="AE557" i="4"/>
  <c r="AE558" i="4"/>
  <c r="AE559" i="4"/>
  <c r="AE560" i="4"/>
  <c r="AE561" i="4"/>
  <c r="AE562" i="4"/>
  <c r="AE563" i="4"/>
  <c r="AE564" i="4"/>
  <c r="AE565" i="4"/>
  <c r="AE566" i="4"/>
  <c r="AE567" i="4"/>
  <c r="AE568" i="4"/>
  <c r="AE569" i="4"/>
  <c r="AE570" i="4"/>
  <c r="AE571" i="4"/>
  <c r="AE572" i="4"/>
  <c r="AE573" i="4"/>
  <c r="AE574" i="4"/>
  <c r="AE575" i="4"/>
  <c r="AE576" i="4"/>
  <c r="AE577" i="4"/>
  <c r="AE578" i="4"/>
  <c r="AE579" i="4"/>
  <c r="AE580" i="4"/>
  <c r="AE581" i="4"/>
  <c r="AE582" i="4"/>
  <c r="AE583" i="4"/>
  <c r="AE584" i="4"/>
  <c r="AE585" i="4"/>
  <c r="AE586" i="4"/>
  <c r="AE587" i="4"/>
  <c r="AE588" i="4"/>
  <c r="AE589" i="4"/>
  <c r="AE590" i="4"/>
  <c r="AE591" i="4"/>
  <c r="AE592" i="4"/>
  <c r="AE593" i="4"/>
  <c r="AE594" i="4"/>
  <c r="AE595" i="4"/>
  <c r="AE596" i="4"/>
  <c r="AE597" i="4"/>
  <c r="AE598" i="4"/>
  <c r="AE599" i="4"/>
  <c r="AE600" i="4"/>
  <c r="AE601" i="4"/>
  <c r="AE602" i="4"/>
  <c r="AE603" i="4"/>
  <c r="AE604" i="4"/>
  <c r="AE605" i="4"/>
  <c r="AE606" i="4"/>
  <c r="AE607" i="4"/>
  <c r="AE608" i="4"/>
  <c r="AE609" i="4"/>
  <c r="AE610" i="4"/>
  <c r="AE611" i="4"/>
  <c r="AE612" i="4"/>
  <c r="AE613" i="4"/>
  <c r="AE614" i="4"/>
  <c r="AE615" i="4"/>
  <c r="AE616" i="4"/>
  <c r="AE617" i="4"/>
  <c r="AE618" i="4"/>
  <c r="AE619" i="4"/>
  <c r="AE620" i="4"/>
  <c r="AE621" i="4"/>
  <c r="AE622" i="4"/>
  <c r="AE623" i="4"/>
  <c r="AE624" i="4"/>
  <c r="AE625" i="4"/>
  <c r="AE626" i="4"/>
  <c r="AE627" i="4"/>
  <c r="AE628" i="4"/>
  <c r="AE629" i="4"/>
  <c r="AE630" i="4"/>
  <c r="AE631" i="4"/>
  <c r="AE632" i="4"/>
  <c r="AE633" i="4"/>
  <c r="AE634" i="4"/>
  <c r="AE635" i="4"/>
  <c r="AE636" i="4"/>
  <c r="AE637" i="4"/>
  <c r="AE638" i="4"/>
  <c r="AE639" i="4"/>
  <c r="AE640" i="4"/>
  <c r="AE641" i="4"/>
  <c r="AE642" i="4"/>
  <c r="AE643" i="4"/>
  <c r="AE644" i="4"/>
  <c r="AE645" i="4"/>
  <c r="AE646" i="4"/>
  <c r="AE647" i="4"/>
  <c r="AE648" i="4"/>
  <c r="AE649" i="4"/>
  <c r="AE650" i="4"/>
  <c r="AE651" i="4"/>
  <c r="AE652" i="4"/>
  <c r="AE653" i="4"/>
  <c r="AE654" i="4"/>
  <c r="AE655" i="4"/>
  <c r="AE656" i="4"/>
  <c r="AE657" i="4"/>
  <c r="AE658" i="4"/>
  <c r="AE659" i="4"/>
  <c r="AE660" i="4"/>
  <c r="AE661" i="4"/>
  <c r="AE662" i="4"/>
  <c r="AE663" i="4"/>
  <c r="AE664" i="4"/>
  <c r="AE665" i="4"/>
  <c r="AE666" i="4"/>
  <c r="AE667" i="4"/>
  <c r="AE668" i="4"/>
  <c r="AE669" i="4"/>
  <c r="AE670" i="4"/>
  <c r="AE671" i="4"/>
  <c r="AE672" i="4"/>
  <c r="AE673" i="4"/>
  <c r="AE674" i="4"/>
  <c r="AE675" i="4"/>
  <c r="AE676" i="4"/>
  <c r="AE677" i="4"/>
  <c r="AE678" i="4"/>
  <c r="AE679" i="4"/>
  <c r="AE680" i="4"/>
  <c r="AE681" i="4"/>
  <c r="AE682" i="4"/>
  <c r="AE683" i="4"/>
  <c r="AE684" i="4"/>
  <c r="AE685" i="4"/>
  <c r="AE686" i="4"/>
  <c r="AE687" i="4"/>
  <c r="AE688" i="4"/>
  <c r="AE689" i="4"/>
  <c r="AE690" i="4"/>
  <c r="AE691" i="4"/>
  <c r="AE692" i="4"/>
  <c r="AE693" i="4"/>
  <c r="AE694" i="4"/>
  <c r="AE695" i="4"/>
  <c r="AE696" i="4"/>
  <c r="AE697" i="4"/>
  <c r="AE698" i="4"/>
  <c r="AE699" i="4"/>
  <c r="AE700" i="4"/>
  <c r="AE701" i="4"/>
  <c r="AE702" i="4"/>
  <c r="AE703" i="4"/>
  <c r="AE704" i="4"/>
  <c r="AE705" i="4"/>
  <c r="AE706" i="4"/>
  <c r="AE707" i="4"/>
  <c r="AE708" i="4"/>
  <c r="AE709" i="4"/>
  <c r="AE710" i="4"/>
  <c r="AE711" i="4"/>
  <c r="AE712" i="4"/>
  <c r="AE713" i="4"/>
  <c r="AE714" i="4"/>
  <c r="AE715" i="4"/>
  <c r="AE716" i="4"/>
  <c r="AE717" i="4"/>
  <c r="AE718" i="4"/>
  <c r="AE719" i="4"/>
  <c r="AE720" i="4"/>
  <c r="AE721" i="4"/>
  <c r="AE722" i="4"/>
  <c r="AE723" i="4"/>
  <c r="AE724" i="4"/>
  <c r="AE725" i="4"/>
  <c r="AE726" i="4"/>
  <c r="AE727" i="4"/>
  <c r="AE728" i="4"/>
  <c r="AE729" i="4"/>
  <c r="AE730" i="4"/>
  <c r="AE731" i="4"/>
  <c r="AE732" i="4"/>
  <c r="AE733" i="4"/>
  <c r="AE734" i="4"/>
  <c r="AE735" i="4"/>
  <c r="AE736" i="4"/>
  <c r="AE737" i="4"/>
  <c r="AE738" i="4"/>
  <c r="AE739" i="4"/>
  <c r="AE740" i="4"/>
  <c r="AE741" i="4"/>
  <c r="AE742" i="4"/>
  <c r="AE743" i="4"/>
  <c r="AE744" i="4"/>
  <c r="AE745" i="4"/>
  <c r="AE746" i="4"/>
  <c r="AE747" i="4"/>
  <c r="AE748" i="4"/>
  <c r="AE749" i="4"/>
  <c r="AE750" i="4"/>
  <c r="AE751" i="4"/>
  <c r="AE752" i="4"/>
  <c r="AE753" i="4"/>
  <c r="AE754" i="4"/>
  <c r="AE755" i="4"/>
  <c r="AE756" i="4"/>
  <c r="AE757" i="4"/>
  <c r="AE758" i="4"/>
  <c r="AE759" i="4"/>
  <c r="AE760" i="4"/>
  <c r="AE761" i="4"/>
  <c r="AE762" i="4"/>
  <c r="AE763" i="4"/>
  <c r="AE764" i="4"/>
  <c r="AE765" i="4"/>
  <c r="AE766" i="4"/>
  <c r="AE767" i="4"/>
  <c r="AE768" i="4"/>
  <c r="AE769" i="4"/>
  <c r="AE770" i="4"/>
  <c r="AE771" i="4"/>
  <c r="AE772" i="4"/>
  <c r="AE773" i="4"/>
  <c r="AE774" i="4"/>
  <c r="AE775" i="4"/>
  <c r="AE776" i="4"/>
  <c r="AE777" i="4"/>
  <c r="AE778" i="4"/>
  <c r="AE779" i="4"/>
  <c r="AE780" i="4"/>
  <c r="AE781" i="4"/>
  <c r="AE782" i="4"/>
  <c r="AE783" i="4"/>
  <c r="AE784" i="4"/>
  <c r="AE785" i="4"/>
  <c r="AE786" i="4"/>
  <c r="AE787" i="4"/>
  <c r="AE788" i="4"/>
  <c r="AE789" i="4"/>
  <c r="AE790" i="4"/>
  <c r="AE791" i="4"/>
  <c r="AE792" i="4"/>
  <c r="AE793" i="4"/>
  <c r="AE794" i="4"/>
  <c r="AE795" i="4"/>
  <c r="AE796" i="4"/>
  <c r="AE797" i="4"/>
  <c r="AE798" i="4"/>
  <c r="AE799" i="4"/>
  <c r="AE800" i="4"/>
  <c r="AE801" i="4"/>
  <c r="AE802" i="4"/>
  <c r="AE803" i="4"/>
  <c r="AE804" i="4"/>
  <c r="AE805" i="4"/>
  <c r="AE806" i="4"/>
  <c r="AE807" i="4"/>
  <c r="AE808" i="4"/>
  <c r="AE809" i="4"/>
  <c r="AE810" i="4"/>
  <c r="AE811" i="4"/>
  <c r="AE812" i="4"/>
  <c r="AE813" i="4"/>
  <c r="AE814" i="4"/>
  <c r="AE815" i="4"/>
  <c r="AE816" i="4"/>
  <c r="AE817" i="4"/>
  <c r="AE818" i="4"/>
  <c r="AE819" i="4"/>
  <c r="AE820" i="4"/>
  <c r="AE821" i="4"/>
  <c r="AE822" i="4"/>
  <c r="AE823" i="4"/>
  <c r="AE824" i="4"/>
  <c r="AE825" i="4"/>
  <c r="AE826" i="4"/>
  <c r="AE827" i="4"/>
  <c r="AE828" i="4"/>
  <c r="AE829" i="4"/>
  <c r="AE830" i="4"/>
  <c r="AE831" i="4"/>
  <c r="AE832" i="4"/>
  <c r="AE833" i="4"/>
  <c r="AE834" i="4"/>
  <c r="AE835" i="4"/>
  <c r="AE836" i="4"/>
  <c r="AE837" i="4"/>
  <c r="AE838" i="4"/>
  <c r="AE839" i="4"/>
  <c r="AE840" i="4"/>
  <c r="AE841" i="4"/>
  <c r="AE842" i="4"/>
  <c r="AE843" i="4"/>
  <c r="AE844" i="4"/>
  <c r="AE845" i="4"/>
  <c r="AE846" i="4"/>
  <c r="AE847" i="4"/>
  <c r="AE848" i="4"/>
  <c r="AE849" i="4"/>
  <c r="AE850" i="4"/>
  <c r="AE851" i="4"/>
  <c r="AE852" i="4"/>
  <c r="AE853" i="4"/>
  <c r="AE854" i="4"/>
  <c r="AE855" i="4"/>
  <c r="AE856" i="4"/>
  <c r="AE857" i="4"/>
  <c r="AE858" i="4"/>
  <c r="AE859" i="4"/>
  <c r="AE860" i="4"/>
  <c r="AE861" i="4"/>
  <c r="AE862" i="4"/>
  <c r="AE863" i="4"/>
  <c r="AE864" i="4"/>
  <c r="AE865" i="4"/>
  <c r="AE866" i="4"/>
  <c r="AE867" i="4"/>
  <c r="AE868" i="4"/>
  <c r="AE869" i="4"/>
  <c r="AE870" i="4"/>
  <c r="AE871" i="4"/>
  <c r="AE872" i="4"/>
  <c r="AE873" i="4"/>
  <c r="AE874" i="4"/>
  <c r="AE875" i="4"/>
  <c r="AE876" i="4"/>
  <c r="AE877" i="4"/>
  <c r="AE878" i="4"/>
  <c r="AE879" i="4"/>
  <c r="AE880" i="4"/>
  <c r="AE881" i="4"/>
  <c r="AE882" i="4"/>
  <c r="AE883" i="4"/>
  <c r="AE884" i="4"/>
  <c r="AE885" i="4"/>
  <c r="AE886" i="4"/>
  <c r="AE887" i="4"/>
  <c r="AE888" i="4"/>
  <c r="AE889" i="4"/>
  <c r="AE890" i="4"/>
  <c r="AE891" i="4"/>
  <c r="AE892" i="4"/>
  <c r="AE893" i="4"/>
  <c r="AE894" i="4"/>
  <c r="AE895" i="4"/>
  <c r="AE896" i="4"/>
  <c r="AE897" i="4"/>
  <c r="AE898" i="4"/>
  <c r="AE899" i="4"/>
  <c r="AE900" i="4"/>
  <c r="AE901" i="4"/>
  <c r="AE902" i="4"/>
  <c r="AE903" i="4"/>
  <c r="AE904" i="4"/>
  <c r="AE905" i="4"/>
  <c r="AE906" i="4"/>
  <c r="AE907" i="4"/>
  <c r="AE908" i="4"/>
  <c r="AE909" i="4"/>
  <c r="AE910" i="4"/>
  <c r="AE911" i="4"/>
  <c r="AE912" i="4"/>
  <c r="AE913" i="4"/>
  <c r="AE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2" i="4"/>
  <c r="AD913" i="4"/>
  <c r="AC913" i="4"/>
  <c r="AB913" i="4"/>
  <c r="AD912" i="4"/>
  <c r="AC912" i="4"/>
  <c r="AB912" i="4"/>
  <c r="AD911" i="4"/>
  <c r="AC911" i="4"/>
  <c r="AB911" i="4"/>
  <c r="AD910" i="4"/>
  <c r="AC910" i="4"/>
  <c r="AB910" i="4"/>
  <c r="AD909" i="4"/>
  <c r="AC909" i="4"/>
  <c r="AB909" i="4"/>
  <c r="AD908" i="4"/>
  <c r="AC908" i="4"/>
  <c r="AB908" i="4"/>
  <c r="AD907" i="4"/>
  <c r="AC907" i="4"/>
  <c r="AB907" i="4"/>
  <c r="AD906" i="4"/>
  <c r="AC906" i="4"/>
  <c r="AB906" i="4"/>
  <c r="AD905" i="4"/>
  <c r="AC905" i="4"/>
  <c r="AB905" i="4"/>
  <c r="AD904" i="4"/>
  <c r="AC904" i="4"/>
  <c r="AB904" i="4"/>
  <c r="AD903" i="4"/>
  <c r="AC903" i="4"/>
  <c r="AB903" i="4"/>
  <c r="AD902" i="4"/>
  <c r="AC902" i="4"/>
  <c r="AB902" i="4"/>
  <c r="AD901" i="4"/>
  <c r="AC901" i="4"/>
  <c r="AB901" i="4"/>
  <c r="AD900" i="4"/>
  <c r="AC900" i="4"/>
  <c r="AB900" i="4"/>
  <c r="AD899" i="4"/>
  <c r="AC899" i="4"/>
  <c r="AB899" i="4"/>
  <c r="AD898" i="4"/>
  <c r="AC898" i="4"/>
  <c r="AB898" i="4"/>
  <c r="AD897" i="4"/>
  <c r="AC897" i="4"/>
  <c r="AB897" i="4"/>
  <c r="AD896" i="4"/>
  <c r="AC896" i="4"/>
  <c r="AB896" i="4"/>
  <c r="AD895" i="4"/>
  <c r="AC895" i="4"/>
  <c r="AB895" i="4"/>
  <c r="AD894" i="4"/>
  <c r="AC894" i="4"/>
  <c r="AB894" i="4"/>
  <c r="AD893" i="4"/>
  <c r="AC893" i="4"/>
  <c r="AB893" i="4"/>
  <c r="AD892" i="4"/>
  <c r="AC892" i="4"/>
  <c r="AB892" i="4"/>
  <c r="AD891" i="4"/>
  <c r="AC891" i="4"/>
  <c r="AB891" i="4"/>
  <c r="AD890" i="4"/>
  <c r="AC890" i="4"/>
  <c r="AB890" i="4"/>
  <c r="AD889" i="4"/>
  <c r="AC889" i="4"/>
  <c r="AB889" i="4"/>
  <c r="AD888" i="4"/>
  <c r="AC888" i="4"/>
  <c r="AB888" i="4"/>
  <c r="AD887" i="4"/>
  <c r="AC887" i="4"/>
  <c r="AB887" i="4"/>
  <c r="AD886" i="4"/>
  <c r="AC886" i="4"/>
  <c r="AB886" i="4"/>
  <c r="AD885" i="4"/>
  <c r="AC885" i="4"/>
  <c r="AB885" i="4"/>
  <c r="AD884" i="4"/>
  <c r="AC884" i="4"/>
  <c r="AB884" i="4"/>
  <c r="AD883" i="4"/>
  <c r="AC883" i="4"/>
  <c r="AB883" i="4"/>
  <c r="AD882" i="4"/>
  <c r="AC882" i="4"/>
  <c r="AB882" i="4"/>
  <c r="AD881" i="4"/>
  <c r="AC881" i="4"/>
  <c r="AB881" i="4"/>
  <c r="AD880" i="4"/>
  <c r="AC880" i="4"/>
  <c r="AB880" i="4"/>
  <c r="AD879" i="4"/>
  <c r="AC879" i="4"/>
  <c r="AB879" i="4"/>
  <c r="AD878" i="4"/>
  <c r="AC878" i="4"/>
  <c r="AB878" i="4"/>
  <c r="AD877" i="4"/>
  <c r="AC877" i="4"/>
  <c r="AB877" i="4"/>
  <c r="AD876" i="4"/>
  <c r="AC876" i="4"/>
  <c r="AB876" i="4"/>
  <c r="AD875" i="4"/>
  <c r="AC875" i="4"/>
  <c r="AB875" i="4"/>
  <c r="AD874" i="4"/>
  <c r="AC874" i="4"/>
  <c r="AB874" i="4"/>
  <c r="AD873" i="4"/>
  <c r="AC873" i="4"/>
  <c r="AB873" i="4"/>
  <c r="AD872" i="4"/>
  <c r="AC872" i="4"/>
  <c r="AB872" i="4"/>
  <c r="AD871" i="4"/>
  <c r="AC871" i="4"/>
  <c r="AB871" i="4"/>
  <c r="AD870" i="4"/>
  <c r="AC870" i="4"/>
  <c r="AB870" i="4"/>
  <c r="AD869" i="4"/>
  <c r="AC869" i="4"/>
  <c r="AB869" i="4"/>
  <c r="AD868" i="4"/>
  <c r="AC868" i="4"/>
  <c r="AB868" i="4"/>
  <c r="AD867" i="4"/>
  <c r="AC867" i="4"/>
  <c r="AB867" i="4"/>
  <c r="AD866" i="4"/>
  <c r="AC866" i="4"/>
  <c r="AB866" i="4"/>
  <c r="AD865" i="4"/>
  <c r="AC865" i="4"/>
  <c r="AB865" i="4"/>
  <c r="AD864" i="4"/>
  <c r="AC864" i="4"/>
  <c r="AB864" i="4"/>
  <c r="AD863" i="4"/>
  <c r="AC863" i="4"/>
  <c r="AB863" i="4"/>
  <c r="AD862" i="4"/>
  <c r="AC862" i="4"/>
  <c r="AB862" i="4"/>
  <c r="AD861" i="4"/>
  <c r="AC861" i="4"/>
  <c r="AB861" i="4"/>
  <c r="AD860" i="4"/>
  <c r="AC860" i="4"/>
  <c r="AB860" i="4"/>
  <c r="AD859" i="4"/>
  <c r="AC859" i="4"/>
  <c r="AB859" i="4"/>
  <c r="AD858" i="4"/>
  <c r="AC858" i="4"/>
  <c r="AB858" i="4"/>
  <c r="AD857" i="4"/>
  <c r="AC857" i="4"/>
  <c r="AB857" i="4"/>
  <c r="AD856" i="4"/>
  <c r="AC856" i="4"/>
  <c r="AB856" i="4"/>
  <c r="AD855" i="4"/>
  <c r="AC855" i="4"/>
  <c r="AB855" i="4"/>
  <c r="AD854" i="4"/>
  <c r="AC854" i="4"/>
  <c r="AB854" i="4"/>
  <c r="AD853" i="4"/>
  <c r="AC853" i="4"/>
  <c r="AB853" i="4"/>
  <c r="AD852" i="4"/>
  <c r="AC852" i="4"/>
  <c r="AB852" i="4"/>
  <c r="AD851" i="4"/>
  <c r="AC851" i="4"/>
  <c r="AB851" i="4"/>
  <c r="AD850" i="4"/>
  <c r="AC850" i="4"/>
  <c r="AB850" i="4"/>
  <c r="AD849" i="4"/>
  <c r="AC849" i="4"/>
  <c r="AB849" i="4"/>
  <c r="AD848" i="4"/>
  <c r="AC848" i="4"/>
  <c r="AB848" i="4"/>
  <c r="AD847" i="4"/>
  <c r="AC847" i="4"/>
  <c r="AB847" i="4"/>
  <c r="AD846" i="4"/>
  <c r="AC846" i="4"/>
  <c r="AB846" i="4"/>
  <c r="AD845" i="4"/>
  <c r="AC845" i="4"/>
  <c r="AB845" i="4"/>
  <c r="AD844" i="4"/>
  <c r="AC844" i="4"/>
  <c r="AB844" i="4"/>
  <c r="AD843" i="4"/>
  <c r="AC843" i="4"/>
  <c r="AB843" i="4"/>
  <c r="AD842" i="4"/>
  <c r="AC842" i="4"/>
  <c r="AB842" i="4"/>
  <c r="AD841" i="4"/>
  <c r="AC841" i="4"/>
  <c r="AB841" i="4"/>
  <c r="AD840" i="4"/>
  <c r="AC840" i="4"/>
  <c r="AB840" i="4"/>
  <c r="AD839" i="4"/>
  <c r="AC839" i="4"/>
  <c r="AB839" i="4"/>
  <c r="AD838" i="4"/>
  <c r="AC838" i="4"/>
  <c r="AB838" i="4"/>
  <c r="AD837" i="4"/>
  <c r="AC837" i="4"/>
  <c r="AB837" i="4"/>
  <c r="AD836" i="4"/>
  <c r="AC836" i="4"/>
  <c r="AB836" i="4"/>
  <c r="AD835" i="4"/>
  <c r="AC835" i="4"/>
  <c r="AB835" i="4"/>
  <c r="AD834" i="4"/>
  <c r="AC834" i="4"/>
  <c r="AB834" i="4"/>
  <c r="AD833" i="4"/>
  <c r="AC833" i="4"/>
  <c r="AB833" i="4"/>
  <c r="AD832" i="4"/>
  <c r="AC832" i="4"/>
  <c r="AB832" i="4"/>
  <c r="AD831" i="4"/>
  <c r="AC831" i="4"/>
  <c r="AB831" i="4"/>
  <c r="AD830" i="4"/>
  <c r="AC830" i="4"/>
  <c r="AB830" i="4"/>
  <c r="AD829" i="4"/>
  <c r="AC829" i="4"/>
  <c r="AB829" i="4"/>
  <c r="AD828" i="4"/>
  <c r="AC828" i="4"/>
  <c r="AB828" i="4"/>
  <c r="AD827" i="4"/>
  <c r="AC827" i="4"/>
  <c r="AB827" i="4"/>
  <c r="AD826" i="4"/>
  <c r="AC826" i="4"/>
  <c r="AB826" i="4"/>
  <c r="AD825" i="4"/>
  <c r="AC825" i="4"/>
  <c r="AB825" i="4"/>
  <c r="AD824" i="4"/>
  <c r="AC824" i="4"/>
  <c r="AB824" i="4"/>
  <c r="AD823" i="4"/>
  <c r="AC823" i="4"/>
  <c r="AB823" i="4"/>
  <c r="AD822" i="4"/>
  <c r="AC822" i="4"/>
  <c r="AB822" i="4"/>
  <c r="AD821" i="4"/>
  <c r="AC821" i="4"/>
  <c r="AB821" i="4"/>
  <c r="AD820" i="4"/>
  <c r="AC820" i="4"/>
  <c r="AB820" i="4"/>
  <c r="AD819" i="4"/>
  <c r="AC819" i="4"/>
  <c r="AB819" i="4"/>
  <c r="AD818" i="4"/>
  <c r="AC818" i="4"/>
  <c r="AB818" i="4"/>
  <c r="AD817" i="4"/>
  <c r="AC817" i="4"/>
  <c r="AB817" i="4"/>
  <c r="AD816" i="4"/>
  <c r="AC816" i="4"/>
  <c r="AB816" i="4"/>
  <c r="AD815" i="4"/>
  <c r="AC815" i="4"/>
  <c r="AB815" i="4"/>
  <c r="AD814" i="4"/>
  <c r="AC814" i="4"/>
  <c r="AB814" i="4"/>
  <c r="AD813" i="4"/>
  <c r="AC813" i="4"/>
  <c r="AB813" i="4"/>
  <c r="AD812" i="4"/>
  <c r="AC812" i="4"/>
  <c r="AB812" i="4"/>
  <c r="AD811" i="4"/>
  <c r="AC811" i="4"/>
  <c r="AB811" i="4"/>
  <c r="AD810" i="4"/>
  <c r="AC810" i="4"/>
  <c r="AB810" i="4"/>
  <c r="AD809" i="4"/>
  <c r="AC809" i="4"/>
  <c r="AB809" i="4"/>
  <c r="AD808" i="4"/>
  <c r="AC808" i="4"/>
  <c r="AB808" i="4"/>
  <c r="AD807" i="4"/>
  <c r="AC807" i="4"/>
  <c r="AB807" i="4"/>
  <c r="AD806" i="4"/>
  <c r="AC806" i="4"/>
  <c r="AB806" i="4"/>
  <c r="AD805" i="4"/>
  <c r="AC805" i="4"/>
  <c r="AB805" i="4"/>
  <c r="AD804" i="4"/>
  <c r="AC804" i="4"/>
  <c r="AB804" i="4"/>
  <c r="AD803" i="4"/>
  <c r="AC803" i="4"/>
  <c r="AB803" i="4"/>
  <c r="AD802" i="4"/>
  <c r="AC802" i="4"/>
  <c r="AB802" i="4"/>
  <c r="AD801" i="4"/>
  <c r="AC801" i="4"/>
  <c r="AB801" i="4"/>
  <c r="AD800" i="4"/>
  <c r="AC800" i="4"/>
  <c r="AB800" i="4"/>
  <c r="AD799" i="4"/>
  <c r="AC799" i="4"/>
  <c r="AB799" i="4"/>
  <c r="AD798" i="4"/>
  <c r="AC798" i="4"/>
  <c r="AB798" i="4"/>
  <c r="AD797" i="4"/>
  <c r="AC797" i="4"/>
  <c r="AB797" i="4"/>
  <c r="AD796" i="4"/>
  <c r="AC796" i="4"/>
  <c r="AB795" i="4"/>
  <c r="AD794" i="4"/>
  <c r="AC794" i="4"/>
  <c r="AB794" i="4"/>
  <c r="AD793" i="4"/>
  <c r="AC793" i="4"/>
  <c r="AB793" i="4"/>
  <c r="AD792" i="4"/>
  <c r="AC792" i="4"/>
  <c r="AB791" i="4"/>
  <c r="AD785" i="4"/>
  <c r="AC785" i="4"/>
  <c r="AB785" i="4"/>
  <c r="AD782" i="4"/>
  <c r="AC782" i="4"/>
  <c r="AB782" i="4"/>
  <c r="AC779" i="4"/>
  <c r="AD777" i="4"/>
  <c r="AC777" i="4"/>
  <c r="AD773" i="4"/>
  <c r="AC773" i="4"/>
  <c r="AB773" i="4"/>
  <c r="AD771" i="4"/>
  <c r="AC771" i="4"/>
  <c r="AB771" i="4"/>
  <c r="AD769" i="4"/>
  <c r="AC769" i="4"/>
  <c r="AD768" i="4"/>
  <c r="AB768" i="4"/>
  <c r="AC766" i="4"/>
  <c r="AC763" i="4"/>
  <c r="AD761" i="4"/>
  <c r="AC761" i="4"/>
  <c r="AB761" i="4"/>
  <c r="AD758" i="4"/>
  <c r="AC758" i="4"/>
  <c r="AD755" i="4"/>
  <c r="AC755" i="4"/>
  <c r="AD753" i="4"/>
  <c r="AC753" i="4"/>
  <c r="AB753" i="4"/>
  <c r="AC750" i="4"/>
  <c r="AC746" i="4"/>
  <c r="AD744" i="4"/>
  <c r="AC744" i="4"/>
  <c r="AB744" i="4"/>
  <c r="AD742" i="4"/>
  <c r="AC742" i="4"/>
  <c r="AB742" i="4"/>
  <c r="AD740" i="4"/>
  <c r="AC740" i="4"/>
  <c r="AB740" i="4"/>
  <c r="AD738" i="4"/>
  <c r="AC738" i="4"/>
  <c r="AB738" i="4"/>
  <c r="AD736" i="4"/>
  <c r="AD734" i="4"/>
  <c r="AC734" i="4"/>
  <c r="AB734" i="4"/>
  <c r="AD732" i="4"/>
  <c r="AB732" i="4"/>
  <c r="AD730" i="4"/>
  <c r="AC730" i="4"/>
  <c r="AB730" i="4"/>
  <c r="AD728" i="4"/>
  <c r="AC728" i="4"/>
  <c r="AB728" i="4"/>
  <c r="AD726" i="4"/>
  <c r="AC726" i="4"/>
  <c r="AB726" i="4"/>
  <c r="AD722" i="4"/>
  <c r="AC722" i="4"/>
  <c r="AD720" i="4"/>
  <c r="AC720" i="4"/>
  <c r="AB720" i="4"/>
  <c r="AC718" i="4"/>
  <c r="AC716" i="4"/>
  <c r="AB716" i="4"/>
  <c r="AD715" i="4"/>
  <c r="AC715" i="4"/>
  <c r="AB715" i="4"/>
  <c r="AD712" i="4"/>
  <c r="AB712" i="4"/>
  <c r="AD711" i="4"/>
  <c r="AC711" i="4"/>
  <c r="AB711" i="4"/>
  <c r="AD709" i="4"/>
  <c r="AC709" i="4"/>
  <c r="AB709" i="4"/>
  <c r="AB708" i="4"/>
  <c r="AD707" i="4"/>
  <c r="AC707" i="4"/>
  <c r="AB707" i="4"/>
  <c r="AC705" i="4"/>
  <c r="AD702" i="4"/>
  <c r="AC702" i="4"/>
  <c r="AB702" i="4"/>
  <c r="AD700" i="4"/>
  <c r="AB699" i="4"/>
  <c r="AC698" i="4"/>
  <c r="AC696" i="4"/>
  <c r="AB694" i="4"/>
  <c r="AD692" i="4"/>
  <c r="AC692" i="4"/>
  <c r="AB692" i="4"/>
  <c r="AD690" i="4"/>
  <c r="AC690" i="4"/>
  <c r="AB690" i="4"/>
  <c r="AC689" i="4"/>
  <c r="AD688" i="4"/>
  <c r="AC688" i="4"/>
  <c r="AB688" i="4"/>
  <c r="AD685" i="4"/>
  <c r="AC685" i="4"/>
  <c r="AB685" i="4"/>
  <c r="AC683" i="4"/>
  <c r="AD681" i="4"/>
  <c r="AC681" i="4"/>
  <c r="AB681" i="4"/>
  <c r="AD674" i="4"/>
  <c r="AC674" i="4"/>
  <c r="AD672" i="4"/>
  <c r="AB670" i="4"/>
  <c r="AD668" i="4"/>
  <c r="AB668" i="4"/>
  <c r="AD666" i="4"/>
  <c r="AB666" i="4"/>
  <c r="AB664" i="4"/>
  <c r="AD662" i="4"/>
  <c r="AB660" i="4"/>
  <c r="AD658" i="4"/>
  <c r="AC658" i="4"/>
  <c r="AB657" i="4"/>
  <c r="AD656" i="4"/>
  <c r="AC656" i="4"/>
  <c r="AC654" i="4"/>
  <c r="AD652" i="4"/>
  <c r="AC652" i="4"/>
  <c r="AB652" i="4"/>
  <c r="AB650" i="4"/>
  <c r="AD648" i="4"/>
  <c r="AC648" i="4"/>
  <c r="AD646" i="4"/>
  <c r="AC646" i="4"/>
  <c r="AD644" i="4"/>
  <c r="AB644" i="4"/>
  <c r="AD642" i="4"/>
  <c r="AB642" i="4"/>
  <c r="AD640" i="4"/>
  <c r="AD637" i="4"/>
  <c r="AC637" i="4"/>
  <c r="AB637" i="4"/>
  <c r="AC635" i="4"/>
  <c r="AD633" i="4"/>
  <c r="AC633" i="4"/>
  <c r="AD631" i="4"/>
  <c r="AC631" i="4"/>
  <c r="AB631" i="4"/>
  <c r="AD628" i="4"/>
  <c r="AB628" i="4"/>
  <c r="AD625" i="4"/>
  <c r="AC625" i="4"/>
  <c r="AD623" i="4"/>
  <c r="AB623" i="4"/>
  <c r="AD621" i="4"/>
  <c r="AC621" i="4"/>
  <c r="AB619" i="4"/>
  <c r="AB617" i="4"/>
  <c r="AC615" i="4"/>
  <c r="AD613" i="4"/>
  <c r="AC613" i="4"/>
  <c r="AD611" i="4"/>
  <c r="AB611" i="4"/>
  <c r="AB609" i="4"/>
  <c r="AC605" i="4"/>
  <c r="AB605" i="4"/>
  <c r="AC601" i="4"/>
  <c r="AB599" i="4"/>
  <c r="AD597" i="4"/>
  <c r="AB597" i="4"/>
  <c r="AC595" i="4"/>
  <c r="AC593" i="4"/>
  <c r="AC591" i="4"/>
  <c r="AB587" i="4"/>
  <c r="AD585" i="4"/>
  <c r="AB585" i="4"/>
  <c r="AD583" i="4"/>
  <c r="AC583" i="4"/>
  <c r="AB583" i="4"/>
  <c r="AD581" i="4"/>
  <c r="AB581" i="4"/>
  <c r="AD578" i="4"/>
  <c r="AD576" i="4"/>
  <c r="AC576" i="4"/>
  <c r="AD574" i="4"/>
  <c r="AC574" i="4"/>
  <c r="AD572" i="4"/>
  <c r="AB572" i="4"/>
  <c r="AC570" i="4"/>
  <c r="AD568" i="4"/>
  <c r="AC568" i="4"/>
  <c r="AD566" i="4"/>
  <c r="AC566" i="4"/>
  <c r="AB566" i="4"/>
  <c r="AD564" i="4"/>
  <c r="AB564" i="4"/>
  <c r="AC562" i="4"/>
  <c r="AD560" i="4"/>
  <c r="AC558" i="4"/>
  <c r="AD555" i="4"/>
  <c r="AB555" i="4"/>
  <c r="AD552" i="4"/>
  <c r="AC552" i="4"/>
  <c r="AD550" i="4"/>
  <c r="AC550" i="4"/>
  <c r="AB550" i="4"/>
  <c r="AD549" i="4"/>
  <c r="AB549" i="4"/>
  <c r="AD548" i="4"/>
  <c r="AC548" i="4"/>
  <c r="AB548" i="4"/>
  <c r="AD546" i="4"/>
  <c r="AC546" i="4"/>
  <c r="AB546" i="4"/>
  <c r="AD544" i="4"/>
  <c r="AB544" i="4"/>
  <c r="AD543" i="4"/>
  <c r="AC543" i="4"/>
  <c r="AD541" i="4"/>
  <c r="AC541" i="4"/>
  <c r="AC539" i="4"/>
  <c r="AC537" i="4"/>
  <c r="AD535" i="4"/>
  <c r="AC535" i="4"/>
  <c r="AD533" i="4"/>
  <c r="AD531" i="4"/>
  <c r="AB531" i="4"/>
  <c r="AB529" i="4"/>
  <c r="AD527" i="4"/>
  <c r="AC527" i="4"/>
  <c r="AD525" i="4"/>
  <c r="AC525" i="4"/>
  <c r="AB525" i="4"/>
  <c r="AD523" i="4"/>
  <c r="AC523" i="4"/>
  <c r="AB523" i="4"/>
  <c r="AD521" i="4"/>
  <c r="AC521" i="4"/>
  <c r="AD519" i="4"/>
  <c r="AC519" i="4"/>
  <c r="AD516" i="4"/>
  <c r="AB516" i="4"/>
  <c r="AD513" i="4"/>
  <c r="AC513" i="4"/>
  <c r="AD508" i="4"/>
  <c r="AC508" i="4"/>
  <c r="AD506" i="4"/>
  <c r="AC506" i="4"/>
  <c r="AB506" i="4"/>
  <c r="AD504" i="4"/>
  <c r="AD503" i="4"/>
  <c r="AC503" i="4"/>
  <c r="AB503" i="4"/>
  <c r="AC499" i="4"/>
  <c r="AB499" i="4"/>
  <c r="AB497" i="4"/>
  <c r="AB495" i="4"/>
  <c r="AD493" i="4"/>
  <c r="AB493" i="4"/>
  <c r="AC490" i="4"/>
  <c r="AD488" i="4"/>
  <c r="AC488" i="4"/>
  <c r="AD486" i="4"/>
  <c r="AC486" i="4"/>
  <c r="AB486" i="4"/>
  <c r="AB484" i="4"/>
  <c r="AC483" i="4"/>
  <c r="AB482" i="4"/>
  <c r="AD480" i="4"/>
  <c r="AD477" i="4"/>
  <c r="AB477" i="4"/>
  <c r="AD476" i="4"/>
  <c r="AC476" i="4"/>
  <c r="AB476" i="4"/>
  <c r="AC475" i="4"/>
  <c r="AD474" i="4"/>
  <c r="AC474" i="4"/>
  <c r="AB472" i="4"/>
  <c r="AB470" i="4"/>
  <c r="AD468" i="4"/>
  <c r="AC468" i="4"/>
  <c r="AB468" i="4"/>
  <c r="AC466" i="4"/>
  <c r="AD464" i="4"/>
  <c r="AB464" i="4"/>
  <c r="AC462" i="4"/>
  <c r="AD460" i="4"/>
  <c r="AB460" i="4"/>
  <c r="AD458" i="4"/>
  <c r="AB458" i="4"/>
  <c r="AD456" i="4"/>
  <c r="AC456" i="4"/>
  <c r="AD454" i="4"/>
  <c r="AD452" i="4"/>
  <c r="AC452" i="4"/>
  <c r="AD450" i="4"/>
  <c r="AB450" i="4"/>
  <c r="AD448" i="4"/>
  <c r="AD446" i="4"/>
  <c r="AB446" i="4"/>
  <c r="AC444" i="4"/>
  <c r="AC442" i="4"/>
  <c r="AB440" i="4"/>
  <c r="AD438" i="4"/>
  <c r="AC438" i="4"/>
  <c r="AD434" i="4"/>
  <c r="AC434" i="4"/>
  <c r="AC432" i="4"/>
  <c r="AD430" i="4"/>
  <c r="AC430" i="4"/>
  <c r="AD428" i="4"/>
  <c r="AB428" i="4"/>
  <c r="AD426" i="4"/>
  <c r="AC426" i="4"/>
  <c r="AD424" i="4"/>
  <c r="AB424" i="4"/>
  <c r="AD422" i="4"/>
  <c r="AC422" i="4"/>
  <c r="AB422" i="4"/>
  <c r="AD420" i="4"/>
  <c r="AC420" i="4"/>
  <c r="AB420" i="4"/>
  <c r="AD418" i="4"/>
  <c r="AC418" i="4"/>
  <c r="AB415" i="4"/>
  <c r="AD414" i="4"/>
  <c r="AB414" i="4"/>
  <c r="AC412" i="4"/>
  <c r="AC410" i="4"/>
  <c r="AD408" i="4"/>
  <c r="AC408" i="4"/>
  <c r="AB408" i="4"/>
  <c r="AD404" i="4"/>
  <c r="AB404" i="4"/>
  <c r="AC402" i="4"/>
  <c r="AC400" i="4"/>
  <c r="AD398" i="4"/>
  <c r="AC398" i="4"/>
  <c r="AB398" i="4"/>
  <c r="AD396" i="4"/>
  <c r="AC396" i="4"/>
  <c r="AB396" i="4"/>
  <c r="AB394" i="4"/>
  <c r="AC392" i="4"/>
  <c r="AD390" i="4"/>
  <c r="AC390" i="4"/>
  <c r="AD388" i="4"/>
  <c r="AD386" i="4"/>
  <c r="AC386" i="4"/>
  <c r="AD384" i="4"/>
  <c r="AB384" i="4"/>
  <c r="AD383" i="4"/>
  <c r="AC383" i="4"/>
  <c r="AB383" i="4"/>
  <c r="AC382" i="4"/>
  <c r="AC379" i="4"/>
  <c r="AD375" i="4"/>
  <c r="AC375" i="4"/>
  <c r="AB375" i="4"/>
  <c r="AD373" i="4"/>
  <c r="AB373" i="4"/>
  <c r="AD371" i="4"/>
  <c r="AB371" i="4"/>
  <c r="AC369" i="4"/>
  <c r="AD367" i="4"/>
  <c r="AB367" i="4"/>
  <c r="AD365" i="4"/>
  <c r="AB365" i="4"/>
  <c r="AD363" i="4"/>
  <c r="AB363" i="4"/>
  <c r="AD361" i="4"/>
  <c r="AC361" i="4"/>
  <c r="AD359" i="4"/>
  <c r="AC359" i="4"/>
  <c r="AB359" i="4"/>
  <c r="AD357" i="4"/>
  <c r="AB357" i="4"/>
  <c r="AD356" i="4"/>
  <c r="AC356" i="4"/>
  <c r="AB356" i="4"/>
  <c r="AD352" i="4"/>
  <c r="AD350" i="4"/>
  <c r="AB350" i="4"/>
  <c r="AD348" i="4"/>
  <c r="AC347" i="4"/>
  <c r="AD344" i="4"/>
  <c r="AC344" i="4"/>
  <c r="AD341" i="4"/>
  <c r="AB341" i="4"/>
  <c r="AD339" i="4"/>
  <c r="AC339" i="4"/>
  <c r="AD337" i="4"/>
  <c r="AB337" i="4"/>
  <c r="AD335" i="4"/>
  <c r="AB335" i="4"/>
  <c r="AD334" i="4"/>
  <c r="AB334" i="4"/>
  <c r="AD332" i="4"/>
  <c r="AC332" i="4"/>
  <c r="AB332" i="4"/>
  <c r="AB330" i="4"/>
  <c r="AB328" i="4"/>
  <c r="AC326" i="4"/>
  <c r="AC324" i="4"/>
  <c r="AD322" i="4"/>
  <c r="AB322" i="4"/>
  <c r="AC320" i="4"/>
  <c r="AB317" i="4"/>
  <c r="AB315" i="4"/>
  <c r="AD313" i="4"/>
  <c r="AB313" i="4"/>
  <c r="AD310" i="4"/>
  <c r="AB310" i="4"/>
  <c r="AD309" i="4"/>
  <c r="AB309" i="4"/>
  <c r="AB305" i="4"/>
  <c r="AB303" i="4"/>
  <c r="AD301" i="4"/>
  <c r="AB301" i="4"/>
  <c r="AB298" i="4"/>
  <c r="AC296" i="4"/>
  <c r="AC294" i="4"/>
  <c r="AC289" i="4"/>
  <c r="AC287" i="4"/>
  <c r="AD285" i="4"/>
  <c r="AC285" i="4"/>
  <c r="AB285" i="4"/>
  <c r="AB283" i="4"/>
  <c r="AB281" i="4"/>
  <c r="AB279" i="4"/>
  <c r="AD278" i="4"/>
  <c r="AC278" i="4"/>
  <c r="AB278" i="4"/>
  <c r="AD277" i="4"/>
  <c r="AD272" i="4"/>
  <c r="AB272" i="4"/>
  <c r="AD271" i="4"/>
  <c r="AC271" i="4"/>
  <c r="AB271" i="4"/>
  <c r="AD269" i="4"/>
  <c r="AB269" i="4"/>
  <c r="AC267" i="4"/>
  <c r="AB265" i="4"/>
  <c r="AD264" i="4"/>
  <c r="AB264" i="4"/>
  <c r="AB261" i="4"/>
  <c r="AD260" i="4"/>
  <c r="AC260" i="4"/>
  <c r="AC258" i="4"/>
  <c r="AB258" i="4"/>
  <c r="AC257" i="4"/>
  <c r="AD255" i="4"/>
  <c r="AC255" i="4"/>
  <c r="AB255" i="4"/>
  <c r="AD253" i="4"/>
  <c r="AC253" i="4"/>
  <c r="AB253" i="4"/>
  <c r="AD249" i="4"/>
  <c r="AB249" i="4"/>
  <c r="AD248" i="4"/>
  <c r="AB248" i="4"/>
  <c r="AC246" i="4"/>
  <c r="AC244" i="4"/>
  <c r="AC242" i="4"/>
  <c r="AD240" i="4"/>
  <c r="AD238" i="4"/>
  <c r="AB238" i="4"/>
  <c r="AD236" i="4"/>
  <c r="AB236" i="4"/>
  <c r="AD234" i="4"/>
  <c r="AC234" i="4"/>
  <c r="AB232" i="4"/>
  <c r="AB229" i="4"/>
  <c r="AD227" i="4"/>
  <c r="AC227" i="4"/>
  <c r="AD225" i="4"/>
  <c r="AC225" i="4"/>
  <c r="AB225" i="4"/>
  <c r="AD222" i="4"/>
  <c r="AB222" i="4"/>
  <c r="AD220" i="4"/>
  <c r="AB220" i="4"/>
  <c r="AD216" i="4"/>
  <c r="AC216" i="4"/>
  <c r="AD214" i="4"/>
  <c r="AC214" i="4"/>
  <c r="AB214" i="4"/>
  <c r="AD212" i="4"/>
  <c r="AC212" i="4"/>
  <c r="AB212" i="4"/>
  <c r="AD210" i="4"/>
  <c r="AC210" i="4"/>
  <c r="AD206" i="4"/>
  <c r="AB206" i="4"/>
  <c r="AB205" i="4"/>
  <c r="AC203" i="4"/>
  <c r="AD201" i="4"/>
  <c r="AB201" i="4"/>
  <c r="AC199" i="4"/>
  <c r="AD197" i="4"/>
  <c r="AC197" i="4"/>
  <c r="AB197" i="4"/>
  <c r="AC196" i="4"/>
  <c r="AD195" i="4"/>
  <c r="AC195" i="4"/>
  <c r="AB195" i="4"/>
  <c r="AD193" i="4"/>
  <c r="AB193" i="4"/>
  <c r="AD191" i="4"/>
  <c r="AC191" i="4"/>
  <c r="AC189" i="4"/>
  <c r="AD187" i="4"/>
  <c r="AC187" i="4"/>
  <c r="AD185" i="4"/>
  <c r="AC185" i="4"/>
  <c r="AD183" i="4"/>
  <c r="AC183" i="4"/>
  <c r="AB183" i="4"/>
  <c r="AD181" i="4"/>
  <c r="AC181" i="4"/>
  <c r="AD179" i="4"/>
  <c r="AB179" i="4"/>
  <c r="AC177" i="4"/>
  <c r="AB177" i="4"/>
  <c r="AD175" i="4"/>
  <c r="AC175" i="4"/>
  <c r="AC173" i="4"/>
  <c r="AC169" i="4"/>
  <c r="AD167" i="4"/>
  <c r="AB167" i="4"/>
  <c r="AD165" i="4"/>
  <c r="AB165" i="4"/>
  <c r="AD163" i="4"/>
  <c r="AC163" i="4"/>
  <c r="AB163" i="4"/>
  <c r="AD161" i="4"/>
  <c r="AC161" i="4"/>
  <c r="AD159" i="4"/>
  <c r="AB159" i="4"/>
  <c r="AD151" i="4"/>
  <c r="AC149" i="4"/>
  <c r="AD144" i="4"/>
  <c r="AB144" i="4"/>
  <c r="AD142" i="4"/>
  <c r="AC142" i="4"/>
  <c r="AB142" i="4"/>
  <c r="AD140" i="4"/>
  <c r="AB140" i="4"/>
  <c r="AD138" i="4"/>
  <c r="AB138" i="4"/>
  <c r="AD136" i="4"/>
  <c r="AC136" i="4"/>
  <c r="AC134" i="4"/>
  <c r="AD130" i="4"/>
  <c r="AB130" i="4"/>
  <c r="AD129" i="4"/>
  <c r="AC129" i="4"/>
  <c r="AB129" i="4"/>
  <c r="AD126" i="4"/>
  <c r="AB126" i="4"/>
  <c r="AD124" i="4"/>
  <c r="AC124" i="4"/>
  <c r="AD122" i="4"/>
  <c r="AC122" i="4"/>
  <c r="AB122" i="4"/>
  <c r="AD120" i="4"/>
  <c r="AC120" i="4"/>
  <c r="AB120" i="4"/>
  <c r="AC118" i="4"/>
  <c r="AD116" i="4"/>
  <c r="AB116" i="4"/>
  <c r="AD115" i="4"/>
  <c r="AC115" i="4"/>
  <c r="AC113" i="4"/>
  <c r="AD111" i="4"/>
  <c r="AC111" i="4"/>
  <c r="AD109" i="4"/>
  <c r="AB109" i="4"/>
  <c r="AD107" i="4"/>
  <c r="AC107" i="4"/>
  <c r="AD105" i="4"/>
  <c r="AB105" i="4"/>
  <c r="AD103" i="4"/>
  <c r="AC103" i="4"/>
  <c r="AB102" i="4"/>
  <c r="AD101" i="4"/>
  <c r="AC101" i="4"/>
  <c r="AB101" i="4"/>
  <c r="AD98" i="4"/>
  <c r="AC98" i="4"/>
  <c r="AB98" i="4"/>
  <c r="AD96" i="4"/>
  <c r="AB96" i="4"/>
  <c r="AD95" i="4"/>
  <c r="AC95" i="4"/>
  <c r="AD92" i="4"/>
  <c r="AB92" i="4"/>
  <c r="AD90" i="4"/>
  <c r="AC90" i="4"/>
  <c r="AB90" i="4"/>
  <c r="AD88" i="4"/>
  <c r="AC88" i="4"/>
  <c r="AB88" i="4"/>
  <c r="AD86" i="4"/>
  <c r="AB86" i="4"/>
  <c r="AC84" i="4"/>
  <c r="AC82" i="4"/>
  <c r="AD80" i="4"/>
  <c r="AB80" i="4"/>
  <c r="AC78" i="4"/>
  <c r="AD76" i="4"/>
  <c r="AB76" i="4"/>
  <c r="AD75" i="4"/>
  <c r="AC75" i="4"/>
  <c r="AB75" i="4"/>
  <c r="AD74" i="4"/>
  <c r="AB74" i="4"/>
  <c r="AD72" i="4"/>
  <c r="AC72" i="4"/>
  <c r="AB72" i="4"/>
  <c r="AD70" i="4"/>
  <c r="AB70" i="4"/>
  <c r="AD68" i="4"/>
  <c r="AB68" i="4"/>
  <c r="AC66" i="4"/>
  <c r="AD64" i="4"/>
  <c r="AD59" i="4"/>
  <c r="AB59" i="4"/>
  <c r="AC58" i="4"/>
  <c r="AD56" i="4"/>
  <c r="AB56" i="4"/>
  <c r="AC54" i="4"/>
  <c r="AB53" i="4"/>
  <c r="AD52" i="4"/>
  <c r="AC52" i="4"/>
  <c r="AB52" i="4"/>
  <c r="AD48" i="4"/>
  <c r="AB48" i="4"/>
  <c r="AC46" i="4"/>
  <c r="AB46" i="4"/>
  <c r="AD45" i="4"/>
  <c r="AC45" i="4"/>
  <c r="AB45" i="4"/>
  <c r="AC43" i="4"/>
  <c r="AD41" i="4"/>
  <c r="AC41" i="4"/>
  <c r="AD38" i="4"/>
  <c r="AB36" i="4"/>
  <c r="AC34" i="4"/>
  <c r="AC32" i="4"/>
  <c r="AC30" i="4"/>
  <c r="AB30" i="4"/>
  <c r="AD29" i="4"/>
  <c r="AB29" i="4"/>
  <c r="AD27" i="4"/>
  <c r="AB27" i="4"/>
  <c r="AD26" i="4"/>
  <c r="AB26" i="4"/>
  <c r="AD23" i="4"/>
  <c r="AC23" i="4"/>
  <c r="AC21" i="4"/>
  <c r="AB21" i="4"/>
  <c r="AD19" i="4"/>
  <c r="AB19" i="4"/>
  <c r="AD17" i="4"/>
  <c r="AD15" i="4"/>
  <c r="AB15" i="4"/>
  <c r="AD11" i="4"/>
  <c r="AC11" i="4"/>
  <c r="AB11" i="4"/>
  <c r="AD9" i="4"/>
  <c r="AC9" i="4"/>
  <c r="AB9" i="4"/>
  <c r="AD7" i="4"/>
  <c r="AB7" i="4"/>
  <c r="AC5" i="4"/>
  <c r="AB5" i="4"/>
  <c r="AD4" i="4"/>
  <c r="AC4" i="4"/>
  <c r="AD2" i="4"/>
  <c r="AB2" i="4"/>
  <c r="AB796" i="4"/>
  <c r="AB792" i="4"/>
  <c r="AD789" i="4"/>
  <c r="AB789" i="4"/>
  <c r="AD787" i="4"/>
  <c r="AC787" i="4"/>
  <c r="AB787" i="4"/>
  <c r="AD784" i="4"/>
  <c r="AC784" i="4"/>
  <c r="AB784" i="4"/>
  <c r="AD783" i="4"/>
  <c r="AB783" i="4"/>
  <c r="AD780" i="4"/>
  <c r="AC780" i="4"/>
  <c r="AB780" i="4"/>
  <c r="AD779" i="4"/>
  <c r="AB779" i="4"/>
  <c r="AB777" i="4"/>
  <c r="AB776" i="4"/>
  <c r="AD775" i="4"/>
  <c r="AC775" i="4"/>
  <c r="AB775" i="4"/>
  <c r="AB769" i="4"/>
  <c r="AD767" i="4"/>
  <c r="AC767" i="4"/>
  <c r="AB767" i="4"/>
  <c r="AD766" i="4"/>
  <c r="AB766" i="4"/>
  <c r="AC765" i="4"/>
  <c r="AD763" i="4"/>
  <c r="AB763" i="4"/>
  <c r="AD759" i="4"/>
  <c r="AC759" i="4"/>
  <c r="AB759" i="4"/>
  <c r="AB758" i="4"/>
  <c r="AD757" i="4"/>
  <c r="AC757" i="4"/>
  <c r="AB757" i="4"/>
  <c r="AD756" i="4"/>
  <c r="AC756" i="4"/>
  <c r="AB756" i="4"/>
  <c r="AB755" i="4"/>
  <c r="AD754" i="4"/>
  <c r="AC754" i="4"/>
  <c r="AB754" i="4"/>
  <c r="AD752" i="4"/>
  <c r="AB752" i="4"/>
  <c r="AD751" i="4"/>
  <c r="AC751" i="4"/>
  <c r="AB751" i="4"/>
  <c r="AD750" i="4"/>
  <c r="AB750" i="4"/>
  <c r="AC749" i="4"/>
  <c r="AD747" i="4"/>
  <c r="AC747" i="4"/>
  <c r="AB747" i="4"/>
  <c r="AD746" i="4"/>
  <c r="AB746" i="4"/>
  <c r="AC745" i="4"/>
  <c r="AB741" i="4"/>
  <c r="AC736" i="4"/>
  <c r="AB736" i="4"/>
  <c r="AC732" i="4"/>
  <c r="AC729" i="4"/>
  <c r="AB727" i="4"/>
  <c r="AD724" i="4"/>
  <c r="AC724" i="4"/>
  <c r="AB724" i="4"/>
  <c r="AD723" i="4"/>
  <c r="AB723" i="4"/>
  <c r="AB722" i="4"/>
  <c r="AD718" i="4"/>
  <c r="AD716" i="4"/>
  <c r="AC714" i="4"/>
  <c r="AD710" i="4"/>
  <c r="AB710" i="4"/>
  <c r="AC708" i="4"/>
  <c r="AB706" i="4"/>
  <c r="AD705" i="4"/>
  <c r="AB705" i="4"/>
  <c r="AC704" i="4"/>
  <c r="AB701" i="4"/>
  <c r="AC700" i="4"/>
  <c r="AB700" i="4"/>
  <c r="AD699" i="4"/>
  <c r="AC699" i="4"/>
  <c r="AD698" i="4"/>
  <c r="AB698" i="4"/>
  <c r="AD696" i="4"/>
  <c r="AD695" i="4"/>
  <c r="AC695" i="4"/>
  <c r="AB695" i="4"/>
  <c r="AD694" i="4"/>
  <c r="AC694" i="4"/>
  <c r="AB693" i="4"/>
  <c r="AB691" i="4"/>
  <c r="AC687" i="4"/>
  <c r="AD683" i="4"/>
  <c r="AD680" i="4"/>
  <c r="AC680" i="4"/>
  <c r="AB680" i="4"/>
  <c r="AB679" i="4"/>
  <c r="AD678" i="4"/>
  <c r="AC678" i="4"/>
  <c r="AB678" i="4"/>
  <c r="AD677" i="4"/>
  <c r="AC677" i="4"/>
  <c r="AD676" i="4"/>
  <c r="AC676" i="4"/>
  <c r="AB676" i="4"/>
  <c r="AD675" i="4"/>
  <c r="AC675" i="4"/>
  <c r="AB675" i="4"/>
  <c r="AB674" i="4"/>
  <c r="AD673" i="4"/>
  <c r="AC673" i="4"/>
  <c r="AC672" i="4"/>
  <c r="AB672" i="4"/>
  <c r="AD670" i="4"/>
  <c r="AC670" i="4"/>
  <c r="AC669" i="4"/>
  <c r="AC668" i="4"/>
  <c r="AD667" i="4"/>
  <c r="AB667" i="4"/>
  <c r="AC666" i="4"/>
  <c r="AD665" i="4"/>
  <c r="AB665" i="4"/>
  <c r="AD664" i="4"/>
  <c r="AC664" i="4"/>
  <c r="AB663" i="4"/>
  <c r="AC662" i="4"/>
  <c r="AB662" i="4"/>
  <c r="AD660" i="4"/>
  <c r="AC660" i="4"/>
  <c r="AB659" i="4"/>
  <c r="AB658" i="4"/>
  <c r="AD657" i="4"/>
  <c r="AC657" i="4"/>
  <c r="AB656" i="4"/>
  <c r="AB655" i="4"/>
  <c r="AD654" i="4"/>
  <c r="AB654" i="4"/>
  <c r="AB653" i="4"/>
  <c r="AC651" i="4"/>
  <c r="AD650" i="4"/>
  <c r="AC650" i="4"/>
  <c r="AD649" i="4"/>
  <c r="AB649" i="4"/>
  <c r="AB648" i="4"/>
  <c r="AD647" i="4"/>
  <c r="AB647" i="4"/>
  <c r="AB646" i="4"/>
  <c r="AD645" i="4"/>
  <c r="AC645" i="4"/>
  <c r="AB645" i="4"/>
  <c r="AC644" i="4"/>
  <c r="AC642" i="4"/>
  <c r="AC641" i="4"/>
  <c r="AC640" i="4"/>
  <c r="AB640" i="4"/>
  <c r="AD639" i="4"/>
  <c r="AD638" i="4"/>
  <c r="AB638" i="4"/>
  <c r="AB636" i="4"/>
  <c r="AD635" i="4"/>
  <c r="AB635" i="4"/>
  <c r="AD634" i="4"/>
  <c r="AB634" i="4"/>
  <c r="AB633" i="4"/>
  <c r="AB632" i="4"/>
  <c r="AD630" i="4"/>
  <c r="AC630" i="4"/>
  <c r="AB630" i="4"/>
  <c r="AC629" i="4"/>
  <c r="AC628" i="4"/>
  <c r="AD627" i="4"/>
  <c r="AC627" i="4"/>
  <c r="AB627" i="4"/>
  <c r="AB625" i="4"/>
  <c r="AD624" i="4"/>
  <c r="AC624" i="4"/>
  <c r="AB624" i="4"/>
  <c r="AC623" i="4"/>
  <c r="AC622" i="4"/>
  <c r="AB621" i="4"/>
  <c r="AC620" i="4"/>
  <c r="AB620" i="4"/>
  <c r="AD619" i="4"/>
  <c r="AC619" i="4"/>
  <c r="AD617" i="4"/>
  <c r="AC617" i="4"/>
  <c r="AC616" i="4"/>
  <c r="AD615" i="4"/>
  <c r="AB615" i="4"/>
  <c r="AC614" i="4"/>
  <c r="AB613" i="4"/>
  <c r="AD612" i="4"/>
  <c r="AC612" i="4"/>
  <c r="AC611" i="4"/>
  <c r="AC610" i="4"/>
  <c r="AD609" i="4"/>
  <c r="AC609" i="4"/>
  <c r="AD607" i="4"/>
  <c r="AC607" i="4"/>
  <c r="AB607" i="4"/>
  <c r="AD606" i="4"/>
  <c r="AC606" i="4"/>
  <c r="AB606" i="4"/>
  <c r="AD605" i="4"/>
  <c r="AC604" i="4"/>
  <c r="AD603" i="4"/>
  <c r="AC603" i="4"/>
  <c r="AB603" i="4"/>
  <c r="AD601" i="4"/>
  <c r="AB601" i="4"/>
  <c r="AD600" i="4"/>
  <c r="AB600" i="4"/>
  <c r="AD599" i="4"/>
  <c r="AC599" i="4"/>
  <c r="AD598" i="4"/>
  <c r="AB598" i="4"/>
  <c r="AC597" i="4"/>
  <c r="AD596" i="4"/>
  <c r="AB596" i="4"/>
  <c r="AD595" i="4"/>
  <c r="AB595" i="4"/>
  <c r="AC594" i="4"/>
  <c r="AD593" i="4"/>
  <c r="AB593" i="4"/>
  <c r="AD592" i="4"/>
  <c r="AB592" i="4"/>
  <c r="AD591" i="4"/>
  <c r="AB591" i="4"/>
  <c r="AD590" i="4"/>
  <c r="AB590" i="4"/>
  <c r="AD589" i="4"/>
  <c r="AC589" i="4"/>
  <c r="AB589" i="4"/>
  <c r="AB588" i="4"/>
  <c r="AD587" i="4"/>
  <c r="AC587" i="4"/>
  <c r="AD586" i="4"/>
  <c r="AC586" i="4"/>
  <c r="AC585" i="4"/>
  <c r="AC584" i="4"/>
  <c r="AD582" i="4"/>
  <c r="AB582" i="4"/>
  <c r="AC581" i="4"/>
  <c r="AC580" i="4"/>
  <c r="AB579" i="4"/>
  <c r="AC578" i="4"/>
  <c r="AC577" i="4"/>
  <c r="AB576" i="4"/>
  <c r="AC575" i="4"/>
  <c r="AB574" i="4"/>
  <c r="AB573" i="4"/>
  <c r="AC572" i="4"/>
  <c r="AC571" i="4"/>
  <c r="AD570" i="4"/>
  <c r="AB570" i="4"/>
  <c r="AC569" i="4"/>
  <c r="AB568" i="4"/>
  <c r="AD567" i="4"/>
  <c r="AB567" i="4"/>
  <c r="AB565" i="4"/>
  <c r="AC564" i="4"/>
  <c r="AD562" i="4"/>
  <c r="AB562" i="4"/>
  <c r="AC561" i="4"/>
  <c r="AC560" i="4"/>
  <c r="AB560" i="4"/>
  <c r="AD559" i="4"/>
  <c r="AC559" i="4"/>
  <c r="AD558" i="4"/>
  <c r="AB558" i="4"/>
  <c r="AC557" i="4"/>
  <c r="AC555" i="4"/>
  <c r="AD553" i="4"/>
  <c r="AC553" i="4"/>
  <c r="AB553" i="4"/>
  <c r="AB552" i="4"/>
  <c r="AD551" i="4"/>
  <c r="AC551" i="4"/>
  <c r="AB551" i="4"/>
  <c r="AC549" i="4"/>
  <c r="AC547" i="4"/>
  <c r="AB547" i="4"/>
  <c r="AD545" i="4"/>
  <c r="AC545" i="4"/>
  <c r="AC544" i="4"/>
  <c r="AB543" i="4"/>
  <c r="AD542" i="4"/>
  <c r="AC542" i="4"/>
  <c r="AB541" i="4"/>
  <c r="AB540" i="4"/>
  <c r="AD539" i="4"/>
  <c r="AB539" i="4"/>
  <c r="AD538" i="4"/>
  <c r="AB538" i="4"/>
  <c r="AD537" i="4"/>
  <c r="AB537" i="4"/>
  <c r="AC536" i="4"/>
  <c r="AB535" i="4"/>
  <c r="AC534" i="4"/>
  <c r="AB534" i="4"/>
  <c r="AC533" i="4"/>
  <c r="AB533" i="4"/>
  <c r="AC531" i="4"/>
  <c r="AB530" i="4"/>
  <c r="AD529" i="4"/>
  <c r="AC529" i="4"/>
  <c r="AD528" i="4"/>
  <c r="AB528" i="4"/>
  <c r="AB527" i="4"/>
  <c r="AB526" i="4"/>
  <c r="AC522" i="4"/>
  <c r="AB521" i="4"/>
  <c r="AD520" i="4"/>
  <c r="AB520" i="4"/>
  <c r="AB519" i="4"/>
  <c r="AD518" i="4"/>
  <c r="AC518" i="4"/>
  <c r="AB518" i="4"/>
  <c r="AD517" i="4"/>
  <c r="AC517" i="4"/>
  <c r="AC516" i="4"/>
  <c r="AC515" i="4"/>
  <c r="AC514" i="4"/>
  <c r="AB513" i="4"/>
  <c r="AD512" i="4"/>
  <c r="AC512" i="4"/>
  <c r="AB512" i="4"/>
  <c r="AC511" i="4"/>
  <c r="AD510" i="4"/>
  <c r="AC510" i="4"/>
  <c r="AB510" i="4"/>
  <c r="AB509" i="4"/>
  <c r="AB508" i="4"/>
  <c r="AC507" i="4"/>
  <c r="AD505" i="4"/>
  <c r="AC505" i="4"/>
  <c r="AB505" i="4"/>
  <c r="AB504" i="4"/>
  <c r="AD501" i="4"/>
  <c r="AC501" i="4"/>
  <c r="AB501" i="4"/>
  <c r="AD500" i="4"/>
  <c r="AC500" i="4"/>
  <c r="AD499" i="4"/>
  <c r="AD497" i="4"/>
  <c r="AC497" i="4"/>
  <c r="AC496" i="4"/>
  <c r="AD495" i="4"/>
  <c r="AC495" i="4"/>
  <c r="AC493" i="4"/>
  <c r="AD490" i="4"/>
  <c r="AB490" i="4"/>
  <c r="AB488" i="4"/>
  <c r="AD487" i="4"/>
  <c r="AC487" i="4"/>
  <c r="AB487" i="4"/>
  <c r="AD485" i="4"/>
  <c r="AC485" i="4"/>
  <c r="AD484" i="4"/>
  <c r="AC484" i="4"/>
  <c r="AD483" i="4"/>
  <c r="AB483" i="4"/>
  <c r="AD482" i="4"/>
  <c r="AC482" i="4"/>
  <c r="AC481" i="4"/>
  <c r="AC480" i="4"/>
  <c r="AB480" i="4"/>
  <c r="AD479" i="4"/>
  <c r="AB479" i="4"/>
  <c r="AC477" i="4"/>
  <c r="AD475" i="4"/>
  <c r="AB475" i="4"/>
  <c r="AB474" i="4"/>
  <c r="AB473" i="4"/>
  <c r="AD472" i="4"/>
  <c r="AC472" i="4"/>
  <c r="AB471" i="4"/>
  <c r="AD470" i="4"/>
  <c r="AC470" i="4"/>
  <c r="AC469" i="4"/>
  <c r="AC467" i="4"/>
  <c r="AD466" i="4"/>
  <c r="AB466" i="4"/>
  <c r="AB465" i="4"/>
  <c r="AC464" i="4"/>
  <c r="AC463" i="4"/>
  <c r="AD462" i="4"/>
  <c r="AB462" i="4"/>
  <c r="AC461" i="4"/>
  <c r="AC460" i="4"/>
  <c r="AC459" i="4"/>
  <c r="AC458" i="4"/>
  <c r="AD457" i="4"/>
  <c r="AC457" i="4"/>
  <c r="AB456" i="4"/>
  <c r="AC455" i="4"/>
  <c r="AC454" i="4"/>
  <c r="AB454" i="4"/>
  <c r="AD453" i="4"/>
  <c r="AC453" i="4"/>
  <c r="AB453" i="4"/>
  <c r="AB452" i="4"/>
  <c r="AC451" i="4"/>
  <c r="AC450" i="4"/>
  <c r="AB449" i="4"/>
  <c r="AB448" i="4"/>
  <c r="AD447" i="4"/>
  <c r="AC447" i="4"/>
  <c r="AB447" i="4"/>
  <c r="AC446" i="4"/>
  <c r="AC445" i="4"/>
  <c r="AD444" i="4"/>
  <c r="AB444" i="4"/>
  <c r="AD442" i="4"/>
  <c r="AB442" i="4"/>
  <c r="AD441" i="4"/>
  <c r="AB441" i="4"/>
  <c r="AD440" i="4"/>
  <c r="AC440" i="4"/>
  <c r="AB439" i="4"/>
  <c r="AB438" i="4"/>
  <c r="AD437" i="4"/>
  <c r="AC437" i="4"/>
  <c r="AB437" i="4"/>
  <c r="AD436" i="4"/>
  <c r="AC436" i="4"/>
  <c r="AB436" i="4"/>
  <c r="AD435" i="4"/>
  <c r="AC435" i="4"/>
  <c r="AB435" i="4"/>
  <c r="AB434" i="4"/>
  <c r="AD433" i="4"/>
  <c r="AC433" i="4"/>
  <c r="AB433" i="4"/>
  <c r="AD432" i="4"/>
  <c r="AB432" i="4"/>
  <c r="AD431" i="4"/>
  <c r="AC431" i="4"/>
  <c r="AB430" i="4"/>
  <c r="AD429" i="4"/>
  <c r="AC429" i="4"/>
  <c r="AC428" i="4"/>
  <c r="AD427" i="4"/>
  <c r="AB427" i="4"/>
  <c r="AB426" i="4"/>
  <c r="AC425" i="4"/>
  <c r="AC424" i="4"/>
  <c r="AD423" i="4"/>
  <c r="AB423" i="4"/>
  <c r="AD421" i="4"/>
  <c r="AC421" i="4"/>
  <c r="AB421" i="4"/>
  <c r="AD419" i="4"/>
  <c r="AB419" i="4"/>
  <c r="AB418" i="4"/>
  <c r="AD417" i="4"/>
  <c r="AC417" i="4"/>
  <c r="AB417" i="4"/>
  <c r="AC416" i="4"/>
  <c r="AB416" i="4"/>
  <c r="AD415" i="4"/>
  <c r="AC415" i="4"/>
  <c r="AC414" i="4"/>
  <c r="AD413" i="4"/>
  <c r="AB413" i="4"/>
  <c r="AD412" i="4"/>
  <c r="AB412" i="4"/>
  <c r="AC411" i="4"/>
  <c r="AD410" i="4"/>
  <c r="AB410" i="4"/>
  <c r="AD409" i="4"/>
  <c r="AD407" i="4"/>
  <c r="AB407" i="4"/>
  <c r="AD406" i="4"/>
  <c r="AC406" i="4"/>
  <c r="AB406" i="4"/>
  <c r="AD405" i="4"/>
  <c r="AC405" i="4"/>
  <c r="AC404" i="4"/>
  <c r="AC403" i="4"/>
  <c r="AD402" i="4"/>
  <c r="AB402" i="4"/>
  <c r="AD401" i="4"/>
  <c r="AC401" i="4"/>
  <c r="AD400" i="4"/>
  <c r="AB400" i="4"/>
  <c r="AB399" i="4"/>
  <c r="AD397" i="4"/>
  <c r="AB397" i="4"/>
  <c r="AD395" i="4"/>
  <c r="AC395" i="4"/>
  <c r="AD394" i="4"/>
  <c r="AC394" i="4"/>
  <c r="AB393" i="4"/>
  <c r="AD392" i="4"/>
  <c r="AB392" i="4"/>
  <c r="AB390" i="4"/>
  <c r="AD389" i="4"/>
  <c r="AB389" i="4"/>
  <c r="AC388" i="4"/>
  <c r="AB388" i="4"/>
  <c r="AC387" i="4"/>
  <c r="AB386" i="4"/>
  <c r="AB385" i="4"/>
  <c r="AC384" i="4"/>
  <c r="AB381" i="4"/>
  <c r="AD380" i="4"/>
  <c r="AC380" i="4"/>
  <c r="AB380" i="4"/>
  <c r="AD379" i="4"/>
  <c r="AB379" i="4"/>
  <c r="AB378" i="4"/>
  <c r="AD377" i="4"/>
  <c r="AC377" i="4"/>
  <c r="AB377" i="4"/>
  <c r="AC376" i="4"/>
  <c r="AD374" i="4"/>
  <c r="AB374" i="4"/>
  <c r="AC373" i="4"/>
  <c r="AD372" i="4"/>
  <c r="AC372" i="4"/>
  <c r="AC371" i="4"/>
  <c r="AD370" i="4"/>
  <c r="AC370" i="4"/>
  <c r="AD369" i="4"/>
  <c r="AB369" i="4"/>
  <c r="AC368" i="4"/>
  <c r="AC367" i="4"/>
  <c r="AB366" i="4"/>
  <c r="AC365" i="4"/>
  <c r="AC363" i="4"/>
  <c r="AB362" i="4"/>
  <c r="AB361" i="4"/>
  <c r="AC358" i="4"/>
  <c r="AC357" i="4"/>
  <c r="AD355" i="4"/>
  <c r="AB355" i="4"/>
  <c r="AD354" i="4"/>
  <c r="AC354" i="4"/>
  <c r="AB354" i="4"/>
  <c r="AD353" i="4"/>
  <c r="AC353" i="4"/>
  <c r="AB353" i="4"/>
  <c r="AC352" i="4"/>
  <c r="AB352" i="4"/>
  <c r="AB351" i="4"/>
  <c r="AC350" i="4"/>
  <c r="AD349" i="4"/>
  <c r="AB349" i="4"/>
  <c r="AC348" i="4"/>
  <c r="AB348" i="4"/>
  <c r="AD347" i="4"/>
  <c r="AB347" i="4"/>
  <c r="AD346" i="4"/>
  <c r="AC346" i="4"/>
  <c r="AB346" i="4"/>
  <c r="AC345" i="4"/>
  <c r="AB344" i="4"/>
  <c r="AD343" i="4"/>
  <c r="AB343" i="4"/>
  <c r="AD342" i="4"/>
  <c r="AC342" i="4"/>
  <c r="AB342" i="4"/>
  <c r="AC341" i="4"/>
  <c r="AC340" i="4"/>
  <c r="AB339" i="4"/>
  <c r="AB338" i="4"/>
  <c r="AC337" i="4"/>
  <c r="AB336" i="4"/>
  <c r="AC335" i="4"/>
  <c r="AC334" i="4"/>
  <c r="AD331" i="4"/>
  <c r="AB331" i="4"/>
  <c r="AD330" i="4"/>
  <c r="AC330" i="4"/>
  <c r="AC329" i="4"/>
  <c r="AD328" i="4"/>
  <c r="AC328" i="4"/>
  <c r="AD327" i="4"/>
  <c r="AB327" i="4"/>
  <c r="AD326" i="4"/>
  <c r="AB326" i="4"/>
  <c r="AD325" i="4"/>
  <c r="AC325" i="4"/>
  <c r="AD324" i="4"/>
  <c r="AB324" i="4"/>
  <c r="AD323" i="4"/>
  <c r="AC323" i="4"/>
  <c r="AC322" i="4"/>
  <c r="AD321" i="4"/>
  <c r="AB321" i="4"/>
  <c r="AD320" i="4"/>
  <c r="AD319" i="4"/>
  <c r="AC319" i="4"/>
  <c r="AB319" i="4"/>
  <c r="AD318" i="4"/>
  <c r="AB318" i="4"/>
  <c r="AD317" i="4"/>
  <c r="AC317" i="4"/>
  <c r="AD316" i="4"/>
  <c r="AC316" i="4"/>
  <c r="AD315" i="4"/>
  <c r="AC315" i="4"/>
  <c r="AC313" i="4"/>
  <c r="AC312" i="4"/>
  <c r="AB311" i="4"/>
  <c r="AC310" i="4"/>
  <c r="AC309" i="4"/>
  <c r="AC308" i="4"/>
  <c r="AD307" i="4"/>
  <c r="AC307" i="4"/>
  <c r="AB307" i="4"/>
  <c r="AB306" i="4"/>
  <c r="AD305" i="4"/>
  <c r="AC305" i="4"/>
  <c r="AC304" i="4"/>
  <c r="AB304" i="4"/>
  <c r="AD303" i="4"/>
  <c r="AC303" i="4"/>
  <c r="AB302" i="4"/>
  <c r="AC301" i="4"/>
  <c r="AD300" i="4"/>
  <c r="AC300" i="4"/>
  <c r="AC299" i="4"/>
  <c r="AD298" i="4"/>
  <c r="AC298" i="4"/>
  <c r="AB297" i="4"/>
  <c r="AD296" i="4"/>
  <c r="AB296" i="4"/>
  <c r="AB295" i="4"/>
  <c r="AD294" i="4"/>
  <c r="AB294" i="4"/>
  <c r="AD293" i="4"/>
  <c r="AC293" i="4"/>
  <c r="AB293" i="4"/>
  <c r="AD292" i="4"/>
  <c r="AC292" i="4"/>
  <c r="AD291" i="4"/>
  <c r="AC291" i="4"/>
  <c r="AB291" i="4"/>
  <c r="AD290" i="4"/>
  <c r="AC290" i="4"/>
  <c r="AB290" i="4"/>
  <c r="AD289" i="4"/>
  <c r="AB289" i="4"/>
  <c r="AC288" i="4"/>
  <c r="AD287" i="4"/>
  <c r="AB287" i="4"/>
  <c r="AC286" i="4"/>
  <c r="AB286" i="4"/>
  <c r="AB284" i="4"/>
  <c r="AD283" i="4"/>
  <c r="AC283" i="4"/>
  <c r="AC282" i="4"/>
  <c r="AD281" i="4"/>
  <c r="AC281" i="4"/>
  <c r="AC280" i="4"/>
  <c r="AD279" i="4"/>
  <c r="AC279" i="4"/>
  <c r="AB277" i="4"/>
  <c r="AD276" i="4"/>
  <c r="AC276" i="4"/>
  <c r="AB276" i="4"/>
  <c r="AC275" i="4"/>
  <c r="AD274" i="4"/>
  <c r="AC274" i="4"/>
  <c r="AB274" i="4"/>
  <c r="AC272" i="4"/>
  <c r="AD270" i="4"/>
  <c r="AB270" i="4"/>
  <c r="AC269" i="4"/>
  <c r="AC268" i="4"/>
  <c r="AD267" i="4"/>
  <c r="AB267" i="4"/>
  <c r="AD266" i="4"/>
  <c r="AC266" i="4"/>
  <c r="AD265" i="4"/>
  <c r="AC265" i="4"/>
  <c r="AD263" i="4"/>
  <c r="AC263" i="4"/>
  <c r="AB263" i="4"/>
  <c r="AC262" i="4"/>
  <c r="AD261" i="4"/>
  <c r="AC261" i="4"/>
  <c r="AB260" i="4"/>
  <c r="AD258" i="4"/>
  <c r="AD257" i="4"/>
  <c r="AB257" i="4"/>
  <c r="AD256" i="4"/>
  <c r="AB256" i="4"/>
  <c r="AB254" i="4"/>
  <c r="AD252" i="4"/>
  <c r="AB252" i="4"/>
  <c r="AD251" i="4"/>
  <c r="AC251" i="4"/>
  <c r="AB251" i="4"/>
  <c r="AC249" i="4"/>
  <c r="AC248" i="4"/>
  <c r="AD246" i="4"/>
  <c r="AB246" i="4"/>
  <c r="AB245" i="4"/>
  <c r="AD244" i="4"/>
  <c r="AB244" i="4"/>
  <c r="AC243" i="4"/>
  <c r="AD242" i="4"/>
  <c r="AB242" i="4"/>
  <c r="AC241" i="4"/>
  <c r="AC240" i="4"/>
  <c r="AC238" i="4"/>
  <c r="AC237" i="4"/>
  <c r="AC236" i="4"/>
  <c r="AC235" i="4"/>
  <c r="AB234" i="4"/>
  <c r="AB233" i="4"/>
  <c r="AD232" i="4"/>
  <c r="AC232" i="4"/>
  <c r="AC231" i="4"/>
  <c r="AC230" i="4"/>
  <c r="AD229" i="4"/>
  <c r="AC229" i="4"/>
  <c r="AC228" i="4"/>
  <c r="AB227" i="4"/>
  <c r="AD224" i="4"/>
  <c r="AB224" i="4"/>
  <c r="AD223" i="4"/>
  <c r="AC223" i="4"/>
  <c r="AB223" i="4"/>
  <c r="AC222" i="4"/>
  <c r="AC221" i="4"/>
  <c r="AC220" i="4"/>
  <c r="AB219" i="4"/>
  <c r="AD218" i="4"/>
  <c r="AC218" i="4"/>
  <c r="AB216" i="4"/>
  <c r="AC215" i="4"/>
  <c r="AB213" i="4"/>
  <c r="AD211" i="4"/>
  <c r="AB211" i="4"/>
  <c r="AB210" i="4"/>
  <c r="AB209" i="4"/>
  <c r="AD208" i="4"/>
  <c r="AC208" i="4"/>
  <c r="AB208" i="4"/>
  <c r="AC207" i="4"/>
  <c r="AC206" i="4"/>
  <c r="AD205" i="4"/>
  <c r="AC205" i="4"/>
  <c r="AD204" i="4"/>
  <c r="AC204" i="4"/>
  <c r="AD203" i="4"/>
  <c r="AB203" i="4"/>
  <c r="AC202" i="4"/>
  <c r="AC201" i="4"/>
  <c r="AC200" i="4"/>
  <c r="AD199" i="4"/>
  <c r="AB199" i="4"/>
  <c r="AB198" i="4"/>
  <c r="AD196" i="4"/>
  <c r="AD194" i="4"/>
  <c r="AB194" i="4"/>
  <c r="AC193" i="4"/>
  <c r="AD192" i="4"/>
  <c r="AC192" i="4"/>
  <c r="AB191" i="4"/>
  <c r="AB190" i="4"/>
  <c r="AD189" i="4"/>
  <c r="AB189" i="4"/>
  <c r="AB188" i="4"/>
  <c r="AB187" i="4"/>
  <c r="AB186" i="4"/>
  <c r="AB185" i="4"/>
  <c r="AB184" i="4"/>
  <c r="AC182" i="4"/>
  <c r="AB181" i="4"/>
  <c r="AC180" i="4"/>
  <c r="AC179" i="4"/>
  <c r="AB178" i="4"/>
  <c r="AD177" i="4"/>
  <c r="AD176" i="4"/>
  <c r="AB176" i="4"/>
  <c r="AB175" i="4"/>
  <c r="AC174" i="4"/>
  <c r="AD173" i="4"/>
  <c r="AB173" i="4"/>
  <c r="AB172" i="4"/>
  <c r="AD171" i="4"/>
  <c r="AC171" i="4"/>
  <c r="AB171" i="4"/>
  <c r="AD170" i="4"/>
  <c r="AC170" i="4"/>
  <c r="AB170" i="4"/>
  <c r="AD169" i="4"/>
  <c r="AB169" i="4"/>
  <c r="AD168" i="4"/>
  <c r="AB168" i="4"/>
  <c r="AC167" i="4"/>
  <c r="AD166" i="4"/>
  <c r="AB166" i="4"/>
  <c r="AC165" i="4"/>
  <c r="AC164" i="4"/>
  <c r="AC162" i="4"/>
  <c r="AB161" i="4"/>
  <c r="AC160" i="4"/>
  <c r="AC159" i="4"/>
  <c r="AD158" i="4"/>
  <c r="AB158" i="4"/>
  <c r="AD157" i="4"/>
  <c r="AC157" i="4"/>
  <c r="AB157" i="4"/>
  <c r="AD156" i="4"/>
  <c r="AC156" i="4"/>
  <c r="AB156" i="4"/>
  <c r="AD155" i="4"/>
  <c r="AC155" i="4"/>
  <c r="AC153" i="4"/>
  <c r="AC151" i="4"/>
  <c r="AB151" i="4"/>
  <c r="AD149" i="4"/>
  <c r="AB149" i="4"/>
  <c r="AC148" i="4"/>
  <c r="AD146" i="4"/>
  <c r="AC146" i="4"/>
  <c r="AB146" i="4"/>
  <c r="AD145" i="4"/>
  <c r="AC145" i="4"/>
  <c r="AB145" i="4"/>
  <c r="AC144" i="4"/>
  <c r="AC143" i="4"/>
  <c r="AC141" i="4"/>
  <c r="AC140" i="4"/>
  <c r="AC139" i="4"/>
  <c r="AC138" i="4"/>
  <c r="AD137" i="4"/>
  <c r="AC137" i="4"/>
  <c r="AB136" i="4"/>
  <c r="AD135" i="4"/>
  <c r="AC135" i="4"/>
  <c r="AD134" i="4"/>
  <c r="AB134" i="4"/>
  <c r="AD132" i="4"/>
  <c r="AC132" i="4"/>
  <c r="AC131" i="4"/>
  <c r="AC130" i="4"/>
  <c r="AD127" i="4"/>
  <c r="AC127" i="4"/>
  <c r="AB127" i="4"/>
  <c r="AC126" i="4"/>
  <c r="AD125" i="4"/>
  <c r="AC125" i="4"/>
  <c r="AB125" i="4"/>
  <c r="AB124" i="4"/>
  <c r="AC123" i="4"/>
  <c r="AC121" i="4"/>
  <c r="AD119" i="4"/>
  <c r="AC119" i="4"/>
  <c r="AD118" i="4"/>
  <c r="AB118" i="4"/>
  <c r="AB117" i="4"/>
  <c r="AC116" i="4"/>
  <c r="AB115" i="4"/>
  <c r="AC114" i="4"/>
  <c r="AD113" i="4"/>
  <c r="AB113" i="4"/>
  <c r="AD112" i="4"/>
  <c r="AB112" i="4"/>
  <c r="AB111" i="4"/>
  <c r="AC110" i="4"/>
  <c r="AC109" i="4"/>
  <c r="AC108" i="4"/>
  <c r="AB107" i="4"/>
  <c r="AC106" i="4"/>
  <c r="AC105" i="4"/>
  <c r="AD104" i="4"/>
  <c r="AB104" i="4"/>
  <c r="AB103" i="4"/>
  <c r="AC102" i="4"/>
  <c r="AD100" i="4"/>
  <c r="AC100" i="4"/>
  <c r="AC97" i="4"/>
  <c r="AC96" i="4"/>
  <c r="AB95" i="4"/>
  <c r="AD94" i="4"/>
  <c r="AC94" i="4"/>
  <c r="AB94" i="4"/>
  <c r="AD93" i="4"/>
  <c r="AC93" i="4"/>
  <c r="AC92" i="4"/>
  <c r="AD89" i="4"/>
  <c r="AB89" i="4"/>
  <c r="AD87" i="4"/>
  <c r="AB87" i="4"/>
  <c r="AC86" i="4"/>
  <c r="AC85" i="4"/>
  <c r="AD84" i="4"/>
  <c r="AB84" i="4"/>
  <c r="AC83" i="4"/>
  <c r="AB83" i="4"/>
  <c r="AD82" i="4"/>
  <c r="AB82" i="4"/>
  <c r="AC80" i="4"/>
  <c r="AC79" i="4"/>
  <c r="AD78" i="4"/>
  <c r="AC76" i="4"/>
  <c r="AC73" i="4"/>
  <c r="AD71" i="4"/>
  <c r="AC71" i="4"/>
  <c r="AC70" i="4"/>
  <c r="AB69" i="4"/>
  <c r="AC68" i="4"/>
  <c r="AD66" i="4"/>
  <c r="AC65" i="4"/>
  <c r="AC64" i="4"/>
  <c r="AD62" i="4"/>
  <c r="AB62" i="4"/>
  <c r="AD61" i="4"/>
  <c r="AC61" i="4"/>
  <c r="AB61" i="4"/>
  <c r="AD60" i="4"/>
  <c r="AC60" i="4"/>
  <c r="AC59" i="4"/>
  <c r="AD58" i="4"/>
  <c r="AB58" i="4"/>
  <c r="AB57" i="4"/>
  <c r="AC56" i="4"/>
  <c r="AC55" i="4"/>
  <c r="AD54" i="4"/>
  <c r="AB54" i="4"/>
  <c r="AC53" i="4"/>
  <c r="AD51" i="4"/>
  <c r="AB51" i="4"/>
  <c r="AD50" i="4"/>
  <c r="AC50" i="4"/>
  <c r="AB50" i="4"/>
  <c r="AC48" i="4"/>
  <c r="AB47" i="4"/>
  <c r="AD46" i="4"/>
  <c r="AC44" i="4"/>
  <c r="AD43" i="4"/>
  <c r="AB43" i="4"/>
  <c r="AB41" i="4"/>
  <c r="AD40" i="4"/>
  <c r="AC40" i="4"/>
  <c r="AB40" i="4"/>
  <c r="AB39" i="4"/>
  <c r="AC38" i="4"/>
  <c r="AB38" i="4"/>
  <c r="AD37" i="4"/>
  <c r="AC37" i="4"/>
  <c r="AB37" i="4"/>
  <c r="AD36" i="4"/>
  <c r="AC36" i="4"/>
  <c r="AC35" i="4"/>
  <c r="AD34" i="4"/>
  <c r="AB34" i="4"/>
  <c r="AD33" i="4"/>
  <c r="AC33" i="4"/>
  <c r="AD32" i="4"/>
  <c r="AB32" i="4"/>
  <c r="AC31" i="4"/>
  <c r="AD30" i="4"/>
  <c r="AC29" i="4"/>
  <c r="AD28" i="4"/>
  <c r="AB28" i="4"/>
  <c r="AC27" i="4"/>
  <c r="AC26" i="4"/>
  <c r="AD25" i="4"/>
  <c r="AC25" i="4"/>
  <c r="AC24" i="4"/>
  <c r="AB23" i="4"/>
  <c r="AC22" i="4"/>
  <c r="AD21" i="4"/>
  <c r="AB20" i="4"/>
  <c r="AC19" i="4"/>
  <c r="AC17" i="4"/>
  <c r="AC15" i="4"/>
  <c r="AD14" i="4"/>
  <c r="AC14" i="4"/>
  <c r="AD13" i="4"/>
  <c r="AC13" i="4"/>
  <c r="AC12" i="4"/>
  <c r="AD10" i="4"/>
  <c r="AB10" i="4"/>
  <c r="AC8" i="4"/>
  <c r="AC7" i="4"/>
  <c r="AC6" i="4"/>
  <c r="AD5" i="4"/>
  <c r="AB4" i="4"/>
  <c r="AC3" i="4"/>
  <c r="AC2" i="4"/>
  <c r="AD795" i="4"/>
  <c r="AC795" i="4"/>
  <c r="AD791" i="4"/>
  <c r="AC791" i="4"/>
  <c r="AD790" i="4"/>
  <c r="AC790" i="4"/>
  <c r="AB790" i="4"/>
  <c r="AC789" i="4"/>
  <c r="AD788" i="4"/>
  <c r="AC788" i="4"/>
  <c r="AB788" i="4"/>
  <c r="AD786" i="4"/>
  <c r="AC786" i="4"/>
  <c r="AB786" i="4"/>
  <c r="AC783" i="4"/>
  <c r="AD781" i="4"/>
  <c r="AC781" i="4"/>
  <c r="AB781" i="4"/>
  <c r="AD778" i="4"/>
  <c r="AC778" i="4"/>
  <c r="AB778" i="4"/>
  <c r="AD776" i="4"/>
  <c r="AC776" i="4"/>
  <c r="AD774" i="4"/>
  <c r="AC774" i="4"/>
  <c r="AB774" i="4"/>
  <c r="AD772" i="4"/>
  <c r="AC772" i="4"/>
  <c r="AB772" i="4"/>
  <c r="AD770" i="4"/>
  <c r="AC770" i="4"/>
  <c r="AB770" i="4"/>
  <c r="AC768" i="4"/>
  <c r="AD765" i="4"/>
  <c r="AB765" i="4"/>
  <c r="AD764" i="4"/>
  <c r="AC764" i="4"/>
  <c r="AB764" i="4"/>
  <c r="AD762" i="4"/>
  <c r="AC762" i="4"/>
  <c r="AB762" i="4"/>
  <c r="AD760" i="4"/>
  <c r="AC760" i="4"/>
  <c r="AB760" i="4"/>
  <c r="AC752" i="4"/>
  <c r="AD749" i="4"/>
  <c r="AB749" i="4"/>
  <c r="AD748" i="4"/>
  <c r="AC748" i="4"/>
  <c r="AB748" i="4"/>
  <c r="AD745" i="4"/>
  <c r="AB745" i="4"/>
  <c r="AD743" i="4"/>
  <c r="AC743" i="4"/>
  <c r="AB743" i="4"/>
  <c r="AD741" i="4"/>
  <c r="AC741" i="4"/>
  <c r="AD739" i="4"/>
  <c r="AC739" i="4"/>
  <c r="AB739" i="4"/>
  <c r="AD737" i="4"/>
  <c r="AC737" i="4"/>
  <c r="AB737" i="4"/>
  <c r="AD735" i="4"/>
  <c r="AC735" i="4"/>
  <c r="AB735" i="4"/>
  <c r="AD733" i="4"/>
  <c r="AC733" i="4"/>
  <c r="AB733" i="4"/>
  <c r="AD731" i="4"/>
  <c r="AC731" i="4"/>
  <c r="AB731" i="4"/>
  <c r="AD729" i="4"/>
  <c r="AB729" i="4"/>
  <c r="AD727" i="4"/>
  <c r="AC727" i="4"/>
  <c r="AD725" i="4"/>
  <c r="AC725" i="4"/>
  <c r="AB725" i="4"/>
  <c r="AC723" i="4"/>
  <c r="AD721" i="4"/>
  <c r="AC721" i="4"/>
  <c r="AB721" i="4"/>
  <c r="AD719" i="4"/>
  <c r="AC719" i="4"/>
  <c r="AB719" i="4"/>
  <c r="AB718" i="4"/>
  <c r="AD717" i="4"/>
  <c r="AC717" i="4"/>
  <c r="AB717" i="4"/>
  <c r="AD714" i="4"/>
  <c r="AB714" i="4"/>
  <c r="AD713" i="4"/>
  <c r="AC713" i="4"/>
  <c r="AB713" i="4"/>
  <c r="AC712" i="4"/>
  <c r="AC710" i="4"/>
  <c r="AD708" i="4"/>
  <c r="AD706" i="4"/>
  <c r="AC706" i="4"/>
  <c r="AD704" i="4"/>
  <c r="AB704" i="4"/>
  <c r="AD703" i="4"/>
  <c r="AC703" i="4"/>
  <c r="AB703" i="4"/>
  <c r="AD701" i="4"/>
  <c r="AC701" i="4"/>
  <c r="AD697" i="4"/>
  <c r="AC697" i="4"/>
  <c r="AB697" i="4"/>
  <c r="AB696" i="4"/>
  <c r="AD693" i="4"/>
  <c r="AC693" i="4"/>
  <c r="AD691" i="4"/>
  <c r="AC691" i="4"/>
  <c r="AD689" i="4"/>
  <c r="AB689" i="4"/>
  <c r="AD687" i="4"/>
  <c r="AB687" i="4"/>
  <c r="AD686" i="4"/>
  <c r="AC686" i="4"/>
  <c r="AB686" i="4"/>
  <c r="AD684" i="4"/>
  <c r="AC684" i="4"/>
  <c r="AB684" i="4"/>
  <c r="AB683" i="4"/>
  <c r="AD682" i="4"/>
  <c r="AC682" i="4"/>
  <c r="AB682" i="4"/>
  <c r="AD679" i="4"/>
  <c r="AC679" i="4"/>
  <c r="AB677" i="4"/>
  <c r="AB673" i="4"/>
  <c r="AD671" i="4"/>
  <c r="AC671" i="4"/>
  <c r="AB671" i="4"/>
  <c r="AD669" i="4"/>
  <c r="AB669" i="4"/>
  <c r="AC667" i="4"/>
  <c r="AC665" i="4"/>
  <c r="AD663" i="4"/>
  <c r="AC663" i="4"/>
  <c r="AD661" i="4"/>
  <c r="AC661" i="4"/>
  <c r="AB661" i="4"/>
  <c r="AD659" i="4"/>
  <c r="AC659" i="4"/>
  <c r="AD655" i="4"/>
  <c r="AC655" i="4"/>
  <c r="AD653" i="4"/>
  <c r="AC653" i="4"/>
  <c r="AD651" i="4"/>
  <c r="AB651" i="4"/>
  <c r="AC649" i="4"/>
  <c r="AC647" i="4"/>
  <c r="AD643" i="4"/>
  <c r="AC643" i="4"/>
  <c r="AB643" i="4"/>
  <c r="AD641" i="4"/>
  <c r="AB641" i="4"/>
  <c r="AC639" i="4"/>
  <c r="AB639" i="4"/>
  <c r="AC638" i="4"/>
  <c r="AD636" i="4"/>
  <c r="AC636" i="4"/>
  <c r="AC634" i="4"/>
  <c r="AD632" i="4"/>
  <c r="AC632" i="4"/>
  <c r="AD629" i="4"/>
  <c r="AB629" i="4"/>
  <c r="AD626" i="4"/>
  <c r="AC626" i="4"/>
  <c r="AB626" i="4"/>
  <c r="AD622" i="4"/>
  <c r="AB622" i="4"/>
  <c r="AD620" i="4"/>
  <c r="AD618" i="4"/>
  <c r="AC618" i="4"/>
  <c r="AB618" i="4"/>
  <c r="AD616" i="4"/>
  <c r="AB616" i="4"/>
  <c r="AD614" i="4"/>
  <c r="AB614" i="4"/>
  <c r="AB612" i="4"/>
  <c r="AD610" i="4"/>
  <c r="AB610" i="4"/>
  <c r="AD608" i="4"/>
  <c r="AC608" i="4"/>
  <c r="AB608" i="4"/>
  <c r="AD604" i="4"/>
  <c r="AB604" i="4"/>
  <c r="AD602" i="4"/>
  <c r="AC602" i="4"/>
  <c r="AB602" i="4"/>
  <c r="AC600" i="4"/>
  <c r="AC598" i="4"/>
  <c r="AC596" i="4"/>
  <c r="AD594" i="4"/>
  <c r="AB594" i="4"/>
  <c r="AC592" i="4"/>
  <c r="AC590" i="4"/>
  <c r="AD588" i="4"/>
  <c r="AC588" i="4"/>
  <c r="AB586" i="4"/>
  <c r="AD584" i="4"/>
  <c r="AB584" i="4"/>
  <c r="AC582" i="4"/>
  <c r="AD580" i="4"/>
  <c r="AB580" i="4"/>
  <c r="AD579" i="4"/>
  <c r="AC579" i="4"/>
  <c r="AB578" i="4"/>
  <c r="AD577" i="4"/>
  <c r="AB577" i="4"/>
  <c r="AD575" i="4"/>
  <c r="AB575" i="4"/>
  <c r="AD573" i="4"/>
  <c r="AC573" i="4"/>
  <c r="AD571" i="4"/>
  <c r="AB571" i="4"/>
  <c r="AD569" i="4"/>
  <c r="AB569" i="4"/>
  <c r="AC567" i="4"/>
  <c r="AD565" i="4"/>
  <c r="AC565" i="4"/>
  <c r="AD563" i="4"/>
  <c r="AC563" i="4"/>
  <c r="AB563" i="4"/>
  <c r="AD561" i="4"/>
  <c r="AB561" i="4"/>
  <c r="AB559" i="4"/>
  <c r="AD557" i="4"/>
  <c r="AB557" i="4"/>
  <c r="AD556" i="4"/>
  <c r="AC556" i="4"/>
  <c r="AB556" i="4"/>
  <c r="AD554" i="4"/>
  <c r="AC554" i="4"/>
  <c r="AB554" i="4"/>
  <c r="AD547" i="4"/>
  <c r="AB545" i="4"/>
  <c r="AB542" i="4"/>
  <c r="AD540" i="4"/>
  <c r="AC540" i="4"/>
  <c r="AC538" i="4"/>
  <c r="AD536" i="4"/>
  <c r="AB536" i="4"/>
  <c r="AD534" i="4"/>
  <c r="AD532" i="4"/>
  <c r="AC532" i="4"/>
  <c r="AB532" i="4"/>
  <c r="AD530" i="4"/>
  <c r="AC530" i="4"/>
  <c r="AC528" i="4"/>
  <c r="AD526" i="4"/>
  <c r="AC526" i="4"/>
  <c r="AD524" i="4"/>
  <c r="AC524" i="4"/>
  <c r="AB524" i="4"/>
  <c r="AD522" i="4"/>
  <c r="AB522" i="4"/>
  <c r="AC520" i="4"/>
  <c r="AB517" i="4"/>
  <c r="AD515" i="4"/>
  <c r="AB515" i="4"/>
  <c r="AD514" i="4"/>
  <c r="AB514" i="4"/>
  <c r="AD511" i="4"/>
  <c r="AB511" i="4"/>
  <c r="AD509" i="4"/>
  <c r="AC509" i="4"/>
  <c r="AD507" i="4"/>
  <c r="AB507" i="4"/>
  <c r="AC504" i="4"/>
  <c r="AD502" i="4"/>
  <c r="AC502" i="4"/>
  <c r="AB502" i="4"/>
  <c r="AB500" i="4"/>
  <c r="AD498" i="4"/>
  <c r="AC498" i="4"/>
  <c r="AB498" i="4"/>
  <c r="AD496" i="4"/>
  <c r="AB496" i="4"/>
  <c r="AD494" i="4"/>
  <c r="AC494" i="4"/>
  <c r="AB494" i="4"/>
  <c r="AD492" i="4"/>
  <c r="AC492" i="4"/>
  <c r="AB492" i="4"/>
  <c r="AD491" i="4"/>
  <c r="AC491" i="4"/>
  <c r="AB491" i="4"/>
  <c r="AD489" i="4"/>
  <c r="AC489" i="4"/>
  <c r="AB489" i="4"/>
  <c r="AB485" i="4"/>
  <c r="AD481" i="4"/>
  <c r="AB481" i="4"/>
  <c r="AC479" i="4"/>
  <c r="AD478" i="4"/>
  <c r="AC478" i="4"/>
  <c r="AB478" i="4"/>
  <c r="AD473" i="4"/>
  <c r="AC473" i="4"/>
  <c r="AD471" i="4"/>
  <c r="AC471" i="4"/>
  <c r="AD469" i="4"/>
  <c r="AB469" i="4"/>
  <c r="AD467" i="4"/>
  <c r="AB467" i="4"/>
  <c r="AD465" i="4"/>
  <c r="AC465" i="4"/>
  <c r="AD463" i="4"/>
  <c r="AB463" i="4"/>
  <c r="AD461" i="4"/>
  <c r="AB461" i="4"/>
  <c r="AD459" i="4"/>
  <c r="AB459" i="4"/>
  <c r="AB457" i="4"/>
  <c r="AD455" i="4"/>
  <c r="AB455" i="4"/>
  <c r="AD451" i="4"/>
  <c r="AB451" i="4"/>
  <c r="AD449" i="4"/>
  <c r="AC449" i="4"/>
  <c r="AC448" i="4"/>
  <c r="AD445" i="4"/>
  <c r="AB445" i="4"/>
  <c r="AD443" i="4"/>
  <c r="AC443" i="4"/>
  <c r="AB443" i="4"/>
  <c r="AC441" i="4"/>
  <c r="AD439" i="4"/>
  <c r="AC439" i="4"/>
  <c r="AB431" i="4"/>
  <c r="AB429" i="4"/>
  <c r="AC427" i="4"/>
  <c r="AD425" i="4"/>
  <c r="AB425" i="4"/>
  <c r="AC423" i="4"/>
  <c r="AC419" i="4"/>
  <c r="AD416" i="4"/>
  <c r="AC413" i="4"/>
  <c r="AD411" i="4"/>
  <c r="AB411" i="4"/>
  <c r="AC409" i="4"/>
  <c r="AB409" i="4"/>
  <c r="AC407" i="4"/>
  <c r="AB405" i="4"/>
  <c r="AD403" i="4"/>
  <c r="AB403" i="4"/>
  <c r="AB401" i="4"/>
  <c r="AD399" i="4"/>
  <c r="AC399" i="4"/>
  <c r="AC397" i="4"/>
  <c r="AB395" i="4"/>
  <c r="AD393" i="4"/>
  <c r="AC393" i="4"/>
  <c r="AD391" i="4"/>
  <c r="AC391" i="4"/>
  <c r="AB391" i="4"/>
  <c r="AC389" i="4"/>
  <c r="AD387" i="4"/>
  <c r="AB387" i="4"/>
  <c r="AD385" i="4"/>
  <c r="AC385" i="4"/>
  <c r="AD382" i="4"/>
  <c r="AB382" i="4"/>
  <c r="AD381" i="4"/>
  <c r="AC381" i="4"/>
  <c r="AD378" i="4"/>
  <c r="AC378" i="4"/>
  <c r="AD376" i="4"/>
  <c r="AB376" i="4"/>
  <c r="AC374" i="4"/>
  <c r="AB372" i="4"/>
  <c r="AB370" i="4"/>
  <c r="AD368" i="4"/>
  <c r="AB368" i="4"/>
  <c r="AD366" i="4"/>
  <c r="AC366" i="4"/>
  <c r="AD364" i="4"/>
  <c r="AC364" i="4"/>
  <c r="AB364" i="4"/>
  <c r="AD362" i="4"/>
  <c r="AC362" i="4"/>
  <c r="AD360" i="4"/>
  <c r="AC360" i="4"/>
  <c r="AB360" i="4"/>
  <c r="AD358" i="4"/>
  <c r="AB358" i="4"/>
  <c r="AC355" i="4"/>
  <c r="AD351" i="4"/>
  <c r="AC351" i="4"/>
  <c r="AC349" i="4"/>
  <c r="AD345" i="4"/>
  <c r="AB345" i="4"/>
  <c r="AC343" i="4"/>
  <c r="AD340" i="4"/>
  <c r="AB340" i="4"/>
  <c r="AD338" i="4"/>
  <c r="AC338" i="4"/>
  <c r="AD336" i="4"/>
  <c r="AC336" i="4"/>
  <c r="AD333" i="4"/>
  <c r="AC333" i="4"/>
  <c r="AB333" i="4"/>
  <c r="AC331" i="4"/>
  <c r="AD329" i="4"/>
  <c r="AB329" i="4"/>
  <c r="AC327" i="4"/>
  <c r="AB325" i="4"/>
  <c r="AB323" i="4"/>
  <c r="AC321" i="4"/>
  <c r="AB320" i="4"/>
  <c r="AC318" i="4"/>
  <c r="AB316" i="4"/>
  <c r="AD314" i="4"/>
  <c r="AC314" i="4"/>
  <c r="AB314" i="4"/>
  <c r="AD312" i="4"/>
  <c r="AB312" i="4"/>
  <c r="AD311" i="4"/>
  <c r="AC311" i="4"/>
  <c r="AD308" i="4"/>
  <c r="AB308" i="4"/>
  <c r="AD306" i="4"/>
  <c r="AC306" i="4"/>
  <c r="AD304" i="4"/>
  <c r="AD302" i="4"/>
  <c r="AC302" i="4"/>
  <c r="AB300" i="4"/>
  <c r="AD299" i="4"/>
  <c r="AB299" i="4"/>
  <c r="AD297" i="4"/>
  <c r="AC297" i="4"/>
  <c r="AD295" i="4"/>
  <c r="AC295" i="4"/>
  <c r="AB292" i="4"/>
  <c r="AD288" i="4"/>
  <c r="AB288" i="4"/>
  <c r="AD286" i="4"/>
  <c r="AD284" i="4"/>
  <c r="AC284" i="4"/>
  <c r="AD282" i="4"/>
  <c r="AB282" i="4"/>
  <c r="AD280" i="4"/>
  <c r="AB280" i="4"/>
  <c r="AC277" i="4"/>
  <c r="AD275" i="4"/>
  <c r="AB275" i="4"/>
  <c r="AD273" i="4"/>
  <c r="AC273" i="4"/>
  <c r="AB273" i="4"/>
  <c r="AC270" i="4"/>
  <c r="AD268" i="4"/>
  <c r="AB268" i="4"/>
  <c r="AB266" i="4"/>
  <c r="AC264" i="4"/>
  <c r="AD262" i="4"/>
  <c r="AB262" i="4"/>
  <c r="AD259" i="4"/>
  <c r="AC259" i="4"/>
  <c r="AB259" i="4"/>
  <c r="AC256" i="4"/>
  <c r="AD254" i="4"/>
  <c r="AC254" i="4"/>
  <c r="AC252" i="4"/>
  <c r="AD250" i="4"/>
  <c r="AC250" i="4"/>
  <c r="AB250" i="4"/>
  <c r="AD247" i="4"/>
  <c r="AC247" i="4"/>
  <c r="AB247" i="4"/>
  <c r="AD245" i="4"/>
  <c r="AC245" i="4"/>
  <c r="AD243" i="4"/>
  <c r="AB243" i="4"/>
  <c r="AD241" i="4"/>
  <c r="AB241" i="4"/>
  <c r="AB240" i="4"/>
  <c r="AD239" i="4"/>
  <c r="AC239" i="4"/>
  <c r="AB239" i="4"/>
  <c r="AD237" i="4"/>
  <c r="AB237" i="4"/>
  <c r="AD235" i="4"/>
  <c r="AB235" i="4"/>
  <c r="AD233" i="4"/>
  <c r="AC233" i="4"/>
  <c r="AD231" i="4"/>
  <c r="AB231" i="4"/>
  <c r="AD230" i="4"/>
  <c r="AB230" i="4"/>
  <c r="AD228" i="4"/>
  <c r="AB228" i="4"/>
  <c r="AD226" i="4"/>
  <c r="AC226" i="4"/>
  <c r="AB226" i="4"/>
  <c r="AC224" i="4"/>
  <c r="AD221" i="4"/>
  <c r="AB221" i="4"/>
  <c r="AD219" i="4"/>
  <c r="AC219" i="4"/>
  <c r="AB218" i="4"/>
  <c r="AD217" i="4"/>
  <c r="AC217" i="4"/>
  <c r="AB217" i="4"/>
  <c r="AD215" i="4"/>
  <c r="AB215" i="4"/>
  <c r="AD213" i="4"/>
  <c r="AC213" i="4"/>
  <c r="AC211" i="4"/>
  <c r="AD209" i="4"/>
  <c r="AC209" i="4"/>
  <c r="AD207" i="4"/>
  <c r="AB207" i="4"/>
  <c r="AB204" i="4"/>
  <c r="AD202" i="4"/>
  <c r="AB202" i="4"/>
  <c r="AD200" i="4"/>
  <c r="AB200" i="4"/>
  <c r="AD198" i="4"/>
  <c r="AC198" i="4"/>
  <c r="AB196" i="4"/>
  <c r="AC194" i="4"/>
  <c r="AB192" i="4"/>
  <c r="AD190" i="4"/>
  <c r="AC190" i="4"/>
  <c r="AD188" i="4"/>
  <c r="AC188" i="4"/>
  <c r="AD186" i="4"/>
  <c r="AC186" i="4"/>
  <c r="AD184" i="4"/>
  <c r="AC184" i="4"/>
  <c r="AD182" i="4"/>
  <c r="AB182" i="4"/>
  <c r="AD180" i="4"/>
  <c r="AB180" i="4"/>
  <c r="AD178" i="4"/>
  <c r="AC178" i="4"/>
  <c r="AC176" i="4"/>
  <c r="AD174" i="4"/>
  <c r="AB174" i="4"/>
  <c r="AD172" i="4"/>
  <c r="AC172" i="4"/>
  <c r="AC168" i="4"/>
  <c r="AC166" i="4"/>
  <c r="AD164" i="4"/>
  <c r="AB164" i="4"/>
  <c r="AD162" i="4"/>
  <c r="AB162" i="4"/>
  <c r="AD160" i="4"/>
  <c r="AB160" i="4"/>
  <c r="AC158" i="4"/>
  <c r="AB155" i="4"/>
  <c r="AD154" i="4"/>
  <c r="AC154" i="4"/>
  <c r="AB154" i="4"/>
  <c r="AD153" i="4"/>
  <c r="AB153" i="4"/>
  <c r="AD152" i="4"/>
  <c r="AC152" i="4"/>
  <c r="AB152" i="4"/>
  <c r="AD150" i="4"/>
  <c r="AC150" i="4"/>
  <c r="AB150" i="4"/>
  <c r="AD148" i="4"/>
  <c r="AB148" i="4"/>
  <c r="AD147" i="4"/>
  <c r="AC147" i="4"/>
  <c r="AB147" i="4"/>
  <c r="AD143" i="4"/>
  <c r="AB143" i="4"/>
  <c r="AD141" i="4"/>
  <c r="AB141" i="4"/>
  <c r="AD139" i="4"/>
  <c r="AB139" i="4"/>
  <c r="AB137" i="4"/>
  <c r="AB135" i="4"/>
  <c r="AD133" i="4"/>
  <c r="AC133" i="4"/>
  <c r="AB133" i="4"/>
  <c r="AB132" i="4"/>
  <c r="AD131" i="4"/>
  <c r="AB131" i="4"/>
  <c r="AD128" i="4"/>
  <c r="AC128" i="4"/>
  <c r="AB128" i="4"/>
  <c r="AD123" i="4"/>
  <c r="AB123" i="4"/>
  <c r="AD121" i="4"/>
  <c r="AB121" i="4"/>
  <c r="AB119" i="4"/>
  <c r="AD117" i="4"/>
  <c r="AC117" i="4"/>
  <c r="AD114" i="4"/>
  <c r="AB114" i="4"/>
  <c r="AC112" i="4"/>
  <c r="AD110" i="4"/>
  <c r="AB110" i="4"/>
  <c r="AD108" i="4"/>
  <c r="AB108" i="4"/>
  <c r="AD106" i="4"/>
  <c r="AB106" i="4"/>
  <c r="AC104" i="4"/>
  <c r="AD102" i="4"/>
  <c r="AB100" i="4"/>
  <c r="AD99" i="4"/>
  <c r="AC99" i="4"/>
  <c r="AB99" i="4"/>
  <c r="AD97" i="4"/>
  <c r="AB97" i="4"/>
  <c r="AB93" i="4"/>
  <c r="AD91" i="4"/>
  <c r="AC91" i="4"/>
  <c r="AB91" i="4"/>
  <c r="AC89" i="4"/>
  <c r="AC87" i="4"/>
  <c r="AD85" i="4"/>
  <c r="AB85" i="4"/>
  <c r="AD83" i="4"/>
  <c r="AD81" i="4"/>
  <c r="AC81" i="4"/>
  <c r="AB81" i="4"/>
  <c r="AD79" i="4"/>
  <c r="AB79" i="4"/>
  <c r="AB78" i="4"/>
  <c r="AD77" i="4"/>
  <c r="AC77" i="4"/>
  <c r="AB77" i="4"/>
  <c r="AC74" i="4"/>
  <c r="AD73" i="4"/>
  <c r="AB73" i="4"/>
  <c r="AB71" i="4"/>
  <c r="AD69" i="4"/>
  <c r="AC69" i="4"/>
  <c r="AD67" i="4"/>
  <c r="AC67" i="4"/>
  <c r="AB67" i="4"/>
  <c r="AB66" i="4"/>
  <c r="AD65" i="4"/>
  <c r="AB65" i="4"/>
  <c r="AB64" i="4"/>
  <c r="AD63" i="4"/>
  <c r="AC63" i="4"/>
  <c r="AB63" i="4"/>
  <c r="AC62" i="4"/>
  <c r="AB60" i="4"/>
  <c r="AD57" i="4"/>
  <c r="AC57" i="4"/>
  <c r="AD55" i="4"/>
  <c r="AB55" i="4"/>
  <c r="AD53" i="4"/>
  <c r="AC51" i="4"/>
  <c r="AD49" i="4"/>
  <c r="AC49" i="4"/>
  <c r="AB49" i="4"/>
  <c r="AD47" i="4"/>
  <c r="AC47" i="4"/>
  <c r="AD44" i="4"/>
  <c r="AB44" i="4"/>
  <c r="AD42" i="4"/>
  <c r="AC42" i="4"/>
  <c r="AB42" i="4"/>
  <c r="AD39" i="4"/>
  <c r="AC39" i="4"/>
  <c r="AD35" i="4"/>
  <c r="AB35" i="4"/>
  <c r="AB33" i="4"/>
  <c r="AD31" i="4"/>
  <c r="AB31" i="4"/>
  <c r="AC28" i="4"/>
  <c r="AB25" i="4"/>
  <c r="AD24" i="4"/>
  <c r="AB24" i="4"/>
  <c r="AD22" i="4"/>
  <c r="AB22" i="4"/>
  <c r="AD20" i="4"/>
  <c r="AC20" i="4"/>
  <c r="AD18" i="4"/>
  <c r="AC18" i="4"/>
  <c r="AB18" i="4"/>
  <c r="AB17" i="4"/>
  <c r="AD16" i="4"/>
  <c r="AC16" i="4"/>
  <c r="AB16" i="4"/>
  <c r="AB14" i="4"/>
  <c r="AB13" i="4"/>
  <c r="AD12" i="4"/>
  <c r="AB12" i="4"/>
  <c r="AC10" i="4"/>
  <c r="AD8" i="4"/>
  <c r="AB8" i="4"/>
  <c r="AD6" i="4"/>
  <c r="AB6" i="4"/>
  <c r="AD3" i="4"/>
  <c r="AB3" i="4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9" i="1"/>
  <c r="AC441" i="1"/>
  <c r="AC442" i="1"/>
  <c r="AC444" i="1"/>
  <c r="AC445" i="1"/>
  <c r="AC447" i="1"/>
  <c r="AC450" i="1"/>
  <c r="AC451" i="1"/>
  <c r="AC453" i="1"/>
  <c r="AC455" i="1"/>
  <c r="AC457" i="1"/>
  <c r="AC459" i="1"/>
  <c r="AC461" i="1"/>
  <c r="AC463" i="1"/>
  <c r="AC465" i="1"/>
  <c r="AC467" i="1"/>
  <c r="AC469" i="1"/>
  <c r="AC471" i="1"/>
  <c r="AC473" i="1"/>
  <c r="AC475" i="1"/>
  <c r="AC477" i="1"/>
  <c r="AC479" i="1"/>
  <c r="AC480" i="1"/>
  <c r="AC482" i="1"/>
  <c r="AC483" i="1"/>
  <c r="AC485" i="1"/>
  <c r="AC487" i="1"/>
  <c r="AC489" i="1"/>
  <c r="AC492" i="1"/>
  <c r="AC494" i="1"/>
  <c r="AC496" i="1"/>
  <c r="AC498" i="1"/>
  <c r="AC499" i="1"/>
  <c r="AC501" i="1"/>
  <c r="AC502" i="1"/>
  <c r="AC504" i="1"/>
  <c r="AC506" i="1"/>
  <c r="AC508" i="1"/>
  <c r="AC510" i="1"/>
  <c r="AC512" i="1"/>
  <c r="AC513" i="1"/>
  <c r="AC516" i="1"/>
  <c r="AC518" i="1"/>
  <c r="AC520" i="1"/>
  <c r="AC522" i="1"/>
  <c r="AC524" i="1"/>
  <c r="AC536" i="1"/>
  <c r="AC538" i="1"/>
  <c r="AC540" i="1"/>
  <c r="AC543" i="1"/>
  <c r="AC547" i="1"/>
  <c r="AC549" i="1"/>
  <c r="AC551" i="1"/>
  <c r="AC555" i="1"/>
  <c r="AC560" i="1"/>
  <c r="AC562" i="1"/>
  <c r="AC564" i="1"/>
  <c r="AC566" i="1"/>
  <c r="AC569" i="1"/>
  <c r="AC572" i="1"/>
  <c r="AC575" i="1"/>
  <c r="AC579" i="1"/>
  <c r="AC584" i="1"/>
  <c r="AC586" i="1"/>
  <c r="AC588" i="1"/>
  <c r="AC590" i="1"/>
  <c r="AC593" i="1"/>
  <c r="AC596" i="1"/>
  <c r="AC599" i="1"/>
  <c r="AC601" i="1"/>
  <c r="AC606" i="1"/>
  <c r="AC610" i="1"/>
  <c r="AC613" i="1"/>
  <c r="AC615" i="1"/>
  <c r="AC618" i="1"/>
  <c r="AC621" i="1"/>
  <c r="AC625" i="1"/>
  <c r="AC628" i="1"/>
  <c r="AC629" i="1"/>
  <c r="AC633" i="1"/>
  <c r="AC634" i="1"/>
  <c r="AC635" i="1"/>
  <c r="AC637" i="1"/>
  <c r="AC640" i="1"/>
  <c r="AC643" i="1"/>
  <c r="AC646" i="1"/>
  <c r="AC650" i="1"/>
  <c r="AC654" i="1"/>
  <c r="AC657" i="1"/>
  <c r="AC659" i="1"/>
  <c r="AC662" i="1"/>
  <c r="AC664" i="1"/>
  <c r="AC666" i="1"/>
  <c r="AC668" i="1"/>
  <c r="AC672" i="1"/>
  <c r="AC675" i="1"/>
  <c r="AC677" i="1"/>
  <c r="AC681" i="1"/>
  <c r="AC683" i="1"/>
  <c r="AC687" i="1"/>
  <c r="AC689" i="1"/>
  <c r="AC691" i="1"/>
  <c r="AC693" i="1"/>
  <c r="AC695" i="1"/>
  <c r="AC697" i="1"/>
  <c r="AC699" i="1"/>
  <c r="AC700" i="1"/>
  <c r="AC702" i="1"/>
  <c r="AC704" i="1"/>
  <c r="AC706" i="1"/>
  <c r="AC707" i="1"/>
  <c r="AC709" i="1"/>
  <c r="AC711" i="1"/>
  <c r="AC713" i="1"/>
  <c r="AC715" i="1"/>
  <c r="AC717" i="1"/>
  <c r="AC719" i="1"/>
  <c r="AC721" i="1"/>
  <c r="AC723" i="1"/>
  <c r="AC725" i="1"/>
  <c r="AC727" i="1"/>
  <c r="AC729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9" i="1"/>
  <c r="AC750" i="1"/>
  <c r="AC752" i="1"/>
  <c r="AC753" i="1"/>
  <c r="AC755" i="1"/>
  <c r="AC756" i="1"/>
  <c r="AC758" i="1"/>
  <c r="AC760" i="1"/>
  <c r="AC762" i="1"/>
  <c r="AC764" i="1"/>
  <c r="AC766" i="1"/>
  <c r="AC770" i="1"/>
  <c r="AC773" i="1"/>
  <c r="AC775" i="1"/>
  <c r="AC777" i="1"/>
  <c r="AC779" i="1"/>
  <c r="AC781" i="1"/>
  <c r="AC784" i="1"/>
  <c r="AC787" i="1"/>
  <c r="AC789" i="1"/>
  <c r="AC792" i="1"/>
  <c r="AC795" i="1"/>
  <c r="AC798" i="1"/>
  <c r="AC800" i="1"/>
  <c r="AC803" i="1"/>
  <c r="AC805" i="1"/>
  <c r="AC808" i="1"/>
  <c r="AC812" i="1"/>
  <c r="AC814" i="1"/>
  <c r="AC816" i="1"/>
  <c r="AC819" i="1"/>
  <c r="AC821" i="1"/>
  <c r="AC823" i="1"/>
  <c r="AC827" i="1"/>
  <c r="AC829" i="1"/>
  <c r="AC833" i="1"/>
  <c r="AC835" i="1"/>
  <c r="AC838" i="1"/>
  <c r="AC841" i="1"/>
  <c r="AC845" i="1"/>
  <c r="AC851" i="1"/>
  <c r="AC854" i="1"/>
  <c r="AC856" i="1"/>
  <c r="AC859" i="1"/>
  <c r="AC862" i="1"/>
  <c r="AC866" i="1"/>
  <c r="AC868" i="1"/>
  <c r="AC872" i="1"/>
  <c r="AC874" i="1"/>
  <c r="AC876" i="1"/>
  <c r="AC879" i="1"/>
  <c r="AC883" i="1"/>
  <c r="AC884" i="1"/>
  <c r="AC887" i="1"/>
  <c r="AC889" i="1"/>
  <c r="AC893" i="1"/>
  <c r="AC898" i="1"/>
  <c r="AC900" i="1"/>
  <c r="AC903" i="1"/>
  <c r="AC905" i="1"/>
  <c r="AC907" i="1"/>
  <c r="AC909" i="1"/>
  <c r="AC911" i="1"/>
  <c r="AC913" i="1"/>
  <c r="AC917" i="1"/>
  <c r="AC919" i="1"/>
  <c r="AC921" i="1"/>
  <c r="AC924" i="1"/>
  <c r="AC926" i="1"/>
  <c r="AC928" i="1"/>
  <c r="AC930" i="1"/>
  <c r="AC932" i="1"/>
  <c r="AB3" i="1"/>
  <c r="AB5" i="1"/>
  <c r="AB6" i="1"/>
  <c r="AB9" i="1"/>
  <c r="AB11" i="1"/>
  <c r="AB13" i="1"/>
  <c r="AB30" i="1"/>
  <c r="AB32" i="1"/>
  <c r="AB34" i="1"/>
  <c r="AB36" i="1"/>
  <c r="AB39" i="1"/>
  <c r="AB42" i="1"/>
  <c r="AB46" i="1"/>
  <c r="AB48" i="1"/>
  <c r="AB51" i="1"/>
  <c r="AB53" i="1"/>
  <c r="AB55" i="1"/>
  <c r="AB57" i="1"/>
  <c r="AB60" i="1"/>
  <c r="AB62" i="1"/>
  <c r="AB66" i="1"/>
  <c r="AB69" i="1"/>
  <c r="AB71" i="1"/>
  <c r="AB74" i="1"/>
  <c r="AB76" i="1"/>
  <c r="AB78" i="1"/>
  <c r="AB79" i="1"/>
  <c r="AB81" i="1"/>
  <c r="AB83" i="1"/>
  <c r="AB85" i="1"/>
  <c r="AB87" i="1"/>
  <c r="AB90" i="1"/>
  <c r="AB92" i="1"/>
  <c r="AB94" i="1"/>
  <c r="AB96" i="1"/>
  <c r="AB98" i="1"/>
  <c r="AB99" i="1"/>
  <c r="AB100" i="1"/>
  <c r="AB101" i="1"/>
  <c r="AB102" i="1"/>
  <c r="AB104" i="1"/>
  <c r="AB106" i="1"/>
  <c r="AB108" i="1"/>
  <c r="AB110" i="1"/>
  <c r="AB112" i="1"/>
  <c r="AB114" i="1"/>
  <c r="AB116" i="1"/>
  <c r="AB118" i="1"/>
  <c r="AB121" i="1"/>
  <c r="AB123" i="1"/>
  <c r="AB125" i="1"/>
  <c r="AB127" i="1"/>
  <c r="AB131" i="1"/>
  <c r="AB136" i="1"/>
  <c r="AB139" i="1"/>
  <c r="AB141" i="1"/>
  <c r="AB145" i="1"/>
  <c r="AB147" i="1"/>
  <c r="AB149" i="1"/>
  <c r="AB153" i="1"/>
  <c r="AB157" i="1"/>
  <c r="AB159" i="1"/>
  <c r="AB165" i="1"/>
  <c r="AB169" i="1"/>
  <c r="AB171" i="1"/>
  <c r="AB175" i="1"/>
  <c r="AB177" i="1"/>
  <c r="AB180" i="1"/>
  <c r="AB181" i="1"/>
  <c r="AB184" i="1"/>
  <c r="AB186" i="1"/>
  <c r="AB189" i="1"/>
  <c r="AB193" i="1"/>
  <c r="AB196" i="1"/>
  <c r="AB198" i="1"/>
  <c r="AB201" i="1"/>
  <c r="AB205" i="1"/>
  <c r="AB208" i="1"/>
  <c r="AB210" i="1"/>
  <c r="AB212" i="1"/>
  <c r="AB214" i="1"/>
  <c r="AB216" i="1"/>
  <c r="AB219" i="1"/>
  <c r="AB221" i="1"/>
  <c r="AB223" i="1"/>
  <c r="AB225" i="1"/>
  <c r="AB229" i="1"/>
  <c r="AB231" i="1"/>
  <c r="AB233" i="1"/>
  <c r="AB235" i="1"/>
  <c r="AB238" i="1"/>
  <c r="AB240" i="1"/>
  <c r="AB243" i="1"/>
  <c r="AB244" i="1"/>
  <c r="AB246" i="1"/>
  <c r="AB248" i="1"/>
  <c r="AB250" i="1"/>
  <c r="AB252" i="1"/>
  <c r="AB254" i="1"/>
  <c r="AB257" i="1"/>
  <c r="AB259" i="1"/>
  <c r="AB262" i="1"/>
  <c r="AB266" i="1"/>
  <c r="AB269" i="1"/>
  <c r="AB272" i="1"/>
  <c r="AB275" i="1"/>
  <c r="AB276" i="1"/>
  <c r="AB278" i="1"/>
  <c r="AB281" i="1"/>
  <c r="AB284" i="1"/>
  <c r="AB287" i="1"/>
  <c r="AB289" i="1"/>
  <c r="AB293" i="1"/>
  <c r="AB296" i="1"/>
  <c r="AB299" i="1"/>
  <c r="AB302" i="1"/>
  <c r="AB305" i="1"/>
  <c r="AB308" i="1"/>
  <c r="AB310" i="1"/>
  <c r="AB312" i="1"/>
  <c r="AB315" i="1"/>
  <c r="AB319" i="1"/>
  <c r="AB322" i="1"/>
  <c r="AB324" i="1"/>
  <c r="AB326" i="1"/>
  <c r="AB328" i="1"/>
  <c r="AB331" i="1"/>
  <c r="AB335" i="1"/>
  <c r="AB339" i="1"/>
  <c r="AB340" i="1"/>
  <c r="AB341" i="1"/>
  <c r="AB342" i="1"/>
  <c r="AB344" i="1"/>
  <c r="AB346" i="1"/>
  <c r="AB349" i="1"/>
  <c r="AB352" i="1"/>
  <c r="AB355" i="1"/>
  <c r="AB358" i="1"/>
  <c r="AB362" i="1"/>
  <c r="AB364" i="1"/>
  <c r="AB366" i="1"/>
  <c r="AB369" i="1"/>
  <c r="AB373" i="1"/>
  <c r="AB375" i="1"/>
  <c r="AB377" i="1"/>
  <c r="AB381" i="1"/>
  <c r="AB383" i="1"/>
  <c r="AB385" i="1"/>
  <c r="AB387" i="1"/>
  <c r="AB389" i="1"/>
  <c r="AB391" i="1"/>
  <c r="AB393" i="1"/>
  <c r="AB397" i="1"/>
  <c r="AB400" i="1"/>
  <c r="AB403" i="1"/>
  <c r="AB405" i="1"/>
  <c r="AB408" i="1"/>
  <c r="AB412" i="1"/>
  <c r="AB415" i="1"/>
  <c r="AB418" i="1"/>
  <c r="AB421" i="1"/>
  <c r="AB423" i="1"/>
  <c r="AB425" i="1"/>
  <c r="AB427" i="1"/>
  <c r="AB430" i="1"/>
  <c r="AB433" i="1"/>
  <c r="AB436" i="1"/>
  <c r="AB438" i="1"/>
  <c r="AB441" i="1"/>
  <c r="AB443" i="1"/>
  <c r="AB445" i="1"/>
  <c r="AB447" i="1"/>
  <c r="AB449" i="1"/>
  <c r="AB452" i="1"/>
  <c r="AB457" i="1"/>
  <c r="AB459" i="1"/>
  <c r="AB475" i="1"/>
  <c r="AB477" i="1"/>
  <c r="AB480" i="1"/>
  <c r="AB483" i="1"/>
  <c r="AB487" i="1"/>
  <c r="AB492" i="1"/>
  <c r="AB496" i="1"/>
  <c r="AB500" i="1"/>
  <c r="AB505" i="1"/>
  <c r="AB508" i="1"/>
  <c r="AB512" i="1"/>
  <c r="AB513" i="1"/>
  <c r="AB515" i="1"/>
  <c r="AB521" i="1"/>
  <c r="AB524" i="1"/>
  <c r="AB526" i="1"/>
  <c r="AB532" i="1"/>
  <c r="AB534" i="1"/>
  <c r="AB537" i="1"/>
  <c r="AB539" i="1"/>
  <c r="AB543" i="1"/>
  <c r="AB546" i="1"/>
  <c r="AB548" i="1"/>
  <c r="AB550" i="1"/>
  <c r="AB554" i="1"/>
  <c r="AB556" i="1"/>
  <c r="AB558" i="1"/>
  <c r="AB560" i="1"/>
  <c r="AB561" i="1"/>
  <c r="AB563" i="1"/>
  <c r="AB565" i="1"/>
  <c r="AB567" i="1"/>
  <c r="AB568" i="1"/>
  <c r="AB571" i="1"/>
  <c r="AB573" i="1"/>
  <c r="AB575" i="1"/>
  <c r="AB576" i="1"/>
  <c r="AB578" i="1"/>
  <c r="AB581" i="1"/>
  <c r="AB583" i="1"/>
  <c r="AB585" i="1"/>
  <c r="AB587" i="1"/>
  <c r="AB589" i="1"/>
  <c r="AB591" i="1"/>
  <c r="AB593" i="1"/>
  <c r="AB595" i="1"/>
  <c r="AB597" i="1"/>
  <c r="AB601" i="1"/>
  <c r="AB603" i="1"/>
  <c r="AB606" i="1"/>
  <c r="AB607" i="1"/>
  <c r="AB610" i="1"/>
  <c r="AB612" i="1"/>
  <c r="AB614" i="1"/>
  <c r="AB616" i="1"/>
  <c r="AB618" i="1"/>
  <c r="AB620" i="1"/>
  <c r="AB622" i="1"/>
  <c r="AB626" i="1"/>
  <c r="AB628" i="1"/>
  <c r="AB630" i="1"/>
  <c r="AB632" i="1"/>
  <c r="AB634" i="1"/>
  <c r="AB636" i="1"/>
  <c r="AB638" i="1"/>
  <c r="AB641" i="1"/>
  <c r="AB645" i="1"/>
  <c r="AB647" i="1"/>
  <c r="AB650" i="1"/>
  <c r="AB654" i="1"/>
  <c r="AB657" i="1"/>
  <c r="AB659" i="1"/>
  <c r="AB662" i="1"/>
  <c r="AB664" i="1"/>
  <c r="AB667" i="1"/>
  <c r="AB671" i="1"/>
  <c r="AB673" i="1"/>
  <c r="AB675" i="1"/>
  <c r="AB677" i="1"/>
  <c r="AB680" i="1"/>
  <c r="AB684" i="1"/>
  <c r="AB688" i="1"/>
  <c r="AB690" i="1"/>
  <c r="AB692" i="1"/>
  <c r="AB694" i="1"/>
  <c r="AB698" i="1"/>
  <c r="AB700" i="1"/>
  <c r="AB702" i="1"/>
  <c r="AB704" i="1"/>
  <c r="AB706" i="1"/>
  <c r="AB708" i="1"/>
  <c r="AB710" i="1"/>
  <c r="AB712" i="1"/>
  <c r="AB714" i="1"/>
  <c r="AB716" i="1"/>
  <c r="AB718" i="1"/>
  <c r="AB720" i="1"/>
  <c r="AB722" i="1"/>
  <c r="AB724" i="1"/>
  <c r="AB726" i="1"/>
  <c r="AB728" i="1"/>
  <c r="AB730" i="1"/>
  <c r="AB732" i="1"/>
  <c r="AB734" i="1"/>
  <c r="AB736" i="1"/>
  <c r="AB738" i="1"/>
  <c r="AB740" i="1"/>
  <c r="AB742" i="1"/>
  <c r="AB744" i="1"/>
  <c r="AB746" i="1"/>
  <c r="AB748" i="1"/>
  <c r="AB750" i="1"/>
  <c r="AB752" i="1"/>
  <c r="AB754" i="1"/>
  <c r="AB756" i="1"/>
  <c r="AB758" i="1"/>
  <c r="AB761" i="1"/>
  <c r="AB764" i="1"/>
  <c r="AB767" i="1"/>
  <c r="AB771" i="1"/>
  <c r="AB776" i="1"/>
  <c r="AB778" i="1"/>
  <c r="AB783" i="1"/>
  <c r="AB785" i="1"/>
  <c r="AB788" i="1"/>
  <c r="AB791" i="1"/>
  <c r="AB793" i="1"/>
  <c r="AB797" i="1"/>
  <c r="AB799" i="1"/>
  <c r="AB801" i="1"/>
  <c r="AB804" i="1"/>
  <c r="AB808" i="1"/>
  <c r="AB811" i="1"/>
  <c r="AB814" i="1"/>
  <c r="AB817" i="1"/>
  <c r="AB820" i="1"/>
  <c r="AB824" i="1"/>
  <c r="AB826" i="1"/>
  <c r="AB829" i="1"/>
  <c r="AB834" i="1"/>
  <c r="AB836" i="1"/>
  <c r="AB838" i="1"/>
  <c r="AB841" i="1"/>
  <c r="AB845" i="1"/>
  <c r="AB849" i="1"/>
  <c r="AB852" i="1"/>
  <c r="AB854" i="1"/>
  <c r="AB856" i="1"/>
  <c r="AB861" i="1"/>
  <c r="AB862" i="1"/>
  <c r="AB864" i="1"/>
  <c r="AB866" i="1"/>
  <c r="AB868" i="1"/>
  <c r="AB872" i="1"/>
  <c r="AB874" i="1"/>
  <c r="AB879" i="1"/>
  <c r="AB883" i="1"/>
  <c r="AB885" i="1"/>
  <c r="AB889" i="1"/>
  <c r="AB891" i="1"/>
  <c r="AB895" i="1"/>
  <c r="AB898" i="1"/>
  <c r="AB900" i="1"/>
  <c r="AB902" i="1"/>
  <c r="AB904" i="1"/>
  <c r="AB907" i="1"/>
  <c r="AB910" i="1"/>
  <c r="AB912" i="1"/>
  <c r="AB914" i="1"/>
  <c r="AB919" i="1"/>
  <c r="AB921" i="1"/>
  <c r="AB2" i="1"/>
  <c r="AC437" i="1"/>
  <c r="AC440" i="1"/>
  <c r="AC443" i="1"/>
  <c r="AC446" i="1"/>
  <c r="AC448" i="1"/>
  <c r="AC449" i="1"/>
  <c r="AC452" i="1"/>
  <c r="AC454" i="1"/>
  <c r="AC456" i="1"/>
  <c r="AC458" i="1"/>
  <c r="AC460" i="1"/>
  <c r="AC462" i="1"/>
  <c r="AC464" i="1"/>
  <c r="AC466" i="1"/>
  <c r="AC468" i="1"/>
  <c r="AC470" i="1"/>
  <c r="AC472" i="1"/>
  <c r="AC474" i="1"/>
  <c r="AC476" i="1"/>
  <c r="AC478" i="1"/>
  <c r="AC481" i="1"/>
  <c r="AC484" i="1"/>
  <c r="AC486" i="1"/>
  <c r="AC488" i="1"/>
  <c r="AC490" i="1"/>
  <c r="AC491" i="1"/>
  <c r="AC493" i="1"/>
  <c r="AC495" i="1"/>
  <c r="AC497" i="1"/>
  <c r="AC500" i="1"/>
  <c r="AC503" i="1"/>
  <c r="AC505" i="1"/>
  <c r="AC507" i="1"/>
  <c r="AC509" i="1"/>
  <c r="AC511" i="1"/>
  <c r="AC514" i="1"/>
  <c r="AC517" i="1"/>
  <c r="AC523" i="1"/>
  <c r="AC526" i="1"/>
  <c r="AC528" i="1"/>
  <c r="AC531" i="1"/>
  <c r="AC533" i="1"/>
  <c r="AC534" i="1"/>
  <c r="AC537" i="1"/>
  <c r="AC539" i="1"/>
  <c r="AC542" i="1"/>
  <c r="AC545" i="1"/>
  <c r="AC550" i="1"/>
  <c r="AC553" i="1"/>
  <c r="AC556" i="1"/>
  <c r="AC558" i="1"/>
  <c r="AC561" i="1"/>
  <c r="AC568" i="1"/>
  <c r="AC571" i="1"/>
  <c r="AC574" i="1"/>
  <c r="AC577" i="1"/>
  <c r="AC581" i="1"/>
  <c r="AC583" i="1"/>
  <c r="AC587" i="1"/>
  <c r="AC591" i="1"/>
  <c r="AC594" i="1"/>
  <c r="AC597" i="1"/>
  <c r="AC600" i="1"/>
  <c r="AC603" i="1"/>
  <c r="AC605" i="1"/>
  <c r="AC608" i="1"/>
  <c r="AC611" i="1"/>
  <c r="AC617" i="1"/>
  <c r="AC620" i="1"/>
  <c r="AC623" i="1"/>
  <c r="AC626" i="1"/>
  <c r="AC631" i="1"/>
  <c r="AC638" i="1"/>
  <c r="AC641" i="1"/>
  <c r="AC644" i="1"/>
  <c r="AC648" i="1"/>
  <c r="AC652" i="1"/>
  <c r="AC655" i="1"/>
  <c r="AC660" i="1"/>
  <c r="AC663" i="1"/>
  <c r="AC667" i="1"/>
  <c r="AC670" i="1"/>
  <c r="AC673" i="1"/>
  <c r="AC679" i="1"/>
  <c r="AC682" i="1"/>
  <c r="AC685" i="1"/>
  <c r="AC748" i="1"/>
  <c r="AC751" i="1"/>
  <c r="AC754" i="1"/>
  <c r="AC757" i="1"/>
  <c r="AC759" i="1"/>
  <c r="AC761" i="1"/>
  <c r="AC763" i="1"/>
  <c r="AC765" i="1"/>
  <c r="AC768" i="1"/>
  <c r="AC771" i="1"/>
  <c r="AC778" i="1"/>
  <c r="AC783" i="1"/>
  <c r="AC786" i="1"/>
  <c r="AC791" i="1"/>
  <c r="AC793" i="1"/>
  <c r="AC797" i="1"/>
  <c r="AC801" i="1"/>
  <c r="AC807" i="1"/>
  <c r="AC810" i="1"/>
  <c r="AC813" i="1"/>
  <c r="AC817" i="1"/>
  <c r="AC822" i="1"/>
  <c r="AC825" i="1"/>
  <c r="AC828" i="1"/>
  <c r="AC831" i="1"/>
  <c r="AC834" i="1"/>
  <c r="AC837" i="1"/>
  <c r="AC840" i="1"/>
  <c r="AC843" i="1"/>
  <c r="AC846" i="1"/>
  <c r="AC849" i="1"/>
  <c r="AC852" i="1"/>
  <c r="AC855" i="1"/>
  <c r="AC858" i="1"/>
  <c r="AC861" i="1"/>
  <c r="AC864" i="1"/>
  <c r="AC867" i="1"/>
  <c r="AC870" i="1"/>
  <c r="AC875" i="1"/>
  <c r="AC878" i="1"/>
  <c r="AC881" i="1"/>
  <c r="AC885" i="1"/>
  <c r="AC888" i="1"/>
  <c r="AC891" i="1"/>
  <c r="AC894" i="1"/>
  <c r="AC896" i="1"/>
  <c r="AC901" i="1"/>
  <c r="AC904" i="1"/>
  <c r="AC908" i="1"/>
  <c r="AC912" i="1"/>
  <c r="AC915" i="1"/>
  <c r="AC922" i="1"/>
  <c r="AC925" i="1"/>
  <c r="AC929" i="1"/>
  <c r="AC933" i="1"/>
  <c r="AB4" i="1"/>
  <c r="AB7" i="1"/>
  <c r="AB10" i="1"/>
  <c r="AB15" i="1"/>
  <c r="AB17" i="1"/>
  <c r="AB20" i="1"/>
  <c r="AB22" i="1"/>
  <c r="AB24" i="1"/>
  <c r="AB26" i="1"/>
  <c r="AB28" i="1"/>
  <c r="AB31" i="1"/>
  <c r="AB33" i="1"/>
  <c r="AB37" i="1"/>
  <c r="AB40" i="1"/>
  <c r="AB44" i="1"/>
  <c r="AB47" i="1"/>
  <c r="AB50" i="1"/>
  <c r="AB54" i="1"/>
  <c r="AB58" i="1"/>
  <c r="AB61" i="1"/>
  <c r="AB64" i="1"/>
  <c r="AB67" i="1"/>
  <c r="AB73" i="1"/>
  <c r="AB75" i="1"/>
  <c r="AB77" i="1"/>
  <c r="AB80" i="1"/>
  <c r="AB82" i="1"/>
  <c r="AB84" i="1"/>
  <c r="AB86" i="1"/>
  <c r="AB89" i="1"/>
  <c r="AB120" i="1"/>
  <c r="AB126" i="1"/>
  <c r="AB129" i="1"/>
  <c r="AB132" i="1"/>
  <c r="AB135" i="1"/>
  <c r="AB138" i="1"/>
  <c r="AB143" i="1"/>
  <c r="AB146" i="1"/>
  <c r="AB151" i="1"/>
  <c r="AB155" i="1"/>
  <c r="AB158" i="1"/>
  <c r="AB160" i="1"/>
  <c r="AB162" i="1"/>
  <c r="AB164" i="1"/>
  <c r="AB167" i="1"/>
  <c r="AB173" i="1"/>
  <c r="AB176" i="1"/>
  <c r="AB178" i="1"/>
  <c r="AB183" i="1"/>
  <c r="AB188" i="1"/>
  <c r="AB191" i="1"/>
  <c r="AB197" i="1"/>
  <c r="AB200" i="1"/>
  <c r="AB203" i="1"/>
  <c r="AB206" i="1"/>
  <c r="AB209" i="1"/>
  <c r="AB218" i="1"/>
  <c r="AB220" i="1"/>
  <c r="AB224" i="1"/>
  <c r="AB227" i="1"/>
  <c r="AB234" i="1"/>
  <c r="AB236" i="1"/>
  <c r="AB241" i="1"/>
  <c r="AB249" i="1"/>
  <c r="AB255" i="1"/>
  <c r="AB258" i="1"/>
  <c r="AB261" i="1"/>
  <c r="AB264" i="1"/>
  <c r="AB268" i="1"/>
  <c r="AB271" i="1"/>
  <c r="AB274" i="1"/>
  <c r="AB277" i="1"/>
  <c r="AB280" i="1"/>
  <c r="AB282" i="1"/>
  <c r="AB285" i="1"/>
  <c r="AB288" i="1"/>
  <c r="AB291" i="1"/>
  <c r="AB294" i="1"/>
  <c r="AB297" i="1"/>
  <c r="AB300" i="1"/>
  <c r="AB303" i="1"/>
  <c r="AB306" i="1"/>
  <c r="AB311" i="1"/>
  <c r="AB314" i="1"/>
  <c r="AB317" i="1"/>
  <c r="AB321" i="1"/>
  <c r="AB325" i="1"/>
  <c r="AB327" i="1"/>
  <c r="AB330" i="1"/>
  <c r="AB333" i="1"/>
  <c r="AB337" i="1"/>
  <c r="AB347" i="1"/>
  <c r="AB350" i="1"/>
  <c r="AB354" i="1"/>
  <c r="AB357" i="1"/>
  <c r="AB360" i="1"/>
  <c r="AB365" i="1"/>
  <c r="AB368" i="1"/>
  <c r="AB371" i="1"/>
  <c r="AB376" i="1"/>
  <c r="AB379" i="1"/>
  <c r="AB382" i="1"/>
  <c r="AB388" i="1"/>
  <c r="AB395" i="1"/>
  <c r="AB398" i="1"/>
  <c r="AB401" i="1"/>
  <c r="AB407" i="1"/>
  <c r="AB410" i="1"/>
  <c r="AB413" i="1"/>
  <c r="AB416" i="1"/>
  <c r="AB419" i="1"/>
  <c r="AB426" i="1"/>
  <c r="AB429" i="1"/>
  <c r="AB432" i="1"/>
  <c r="AB434" i="1"/>
  <c r="AB437" i="1"/>
  <c r="AB440" i="1"/>
  <c r="AB442" i="1"/>
  <c r="AB448" i="1"/>
  <c r="AB451" i="1"/>
  <c r="AB455" i="1"/>
  <c r="AB461" i="1"/>
  <c r="AB463" i="1"/>
  <c r="AB465" i="1"/>
  <c r="AB468" i="1"/>
  <c r="AB470" i="1"/>
  <c r="AB472" i="1"/>
  <c r="AB474" i="1"/>
  <c r="AB476" i="1"/>
  <c r="AB479" i="1"/>
  <c r="AB482" i="1"/>
  <c r="AB485" i="1"/>
  <c r="AB489" i="1"/>
  <c r="AB491" i="1"/>
  <c r="AB494" i="1"/>
  <c r="AB498" i="1"/>
  <c r="AB502" i="1"/>
  <c r="AB504" i="1"/>
  <c r="AB507" i="1"/>
  <c r="AB510" i="1"/>
  <c r="AB514" i="1"/>
  <c r="AB517" i="1"/>
  <c r="AB519" i="1"/>
  <c r="AB522" i="1"/>
  <c r="AB525" i="1"/>
  <c r="AB528" i="1"/>
  <c r="AB530" i="1"/>
  <c r="AB533" i="1"/>
  <c r="AB536" i="1"/>
  <c r="AB538" i="1"/>
  <c r="AB541" i="1"/>
  <c r="AB544" i="1"/>
  <c r="AB547" i="1"/>
  <c r="AB549" i="1"/>
  <c r="AB552" i="1"/>
  <c r="AB555" i="1"/>
  <c r="AB557" i="1"/>
  <c r="AB559" i="1"/>
  <c r="AB562" i="1"/>
  <c r="AB564" i="1"/>
  <c r="AB566" i="1"/>
  <c r="AB569" i="1"/>
  <c r="AB570" i="1"/>
  <c r="AB572" i="1"/>
  <c r="AB574" i="1"/>
  <c r="AB577" i="1"/>
  <c r="AB579" i="1"/>
  <c r="AB580" i="1"/>
  <c r="AB582" i="1"/>
  <c r="AB584" i="1"/>
  <c r="AB586" i="1"/>
  <c r="AB588" i="1"/>
  <c r="AB590" i="1"/>
  <c r="AB592" i="1"/>
  <c r="AB599" i="1"/>
  <c r="AB602" i="1"/>
  <c r="AB604" i="1"/>
  <c r="AB609" i="1"/>
  <c r="AB615" i="1"/>
  <c r="AB621" i="1"/>
  <c r="AB624" i="1"/>
  <c r="AB627" i="1"/>
  <c r="AB637" i="1"/>
  <c r="AB640" i="1"/>
  <c r="AB643" i="1"/>
  <c r="AB649" i="1"/>
  <c r="AB652" i="1"/>
  <c r="AB655" i="1"/>
  <c r="AB658" i="1"/>
  <c r="AB661" i="1"/>
  <c r="AB665" i="1"/>
  <c r="AB668" i="1"/>
  <c r="AB670" i="1"/>
  <c r="AB674" i="1"/>
  <c r="AB679" i="1"/>
  <c r="AB682" i="1"/>
  <c r="AB686" i="1"/>
  <c r="AB689" i="1"/>
  <c r="AB696" i="1"/>
  <c r="AB699" i="1"/>
  <c r="AB707" i="1"/>
  <c r="AB760" i="1"/>
  <c r="AB763" i="1"/>
  <c r="AB766" i="1"/>
  <c r="AB769" i="1"/>
  <c r="AB772" i="1"/>
  <c r="AB775" i="1"/>
  <c r="AB777" i="1"/>
  <c r="AB780" i="1"/>
  <c r="AB782" i="1"/>
  <c r="AB786" i="1"/>
  <c r="AB790" i="1"/>
  <c r="AB795" i="1"/>
  <c r="AB798" i="1"/>
  <c r="AB803" i="1"/>
  <c r="AB807" i="1"/>
  <c r="AB810" i="1"/>
  <c r="AB813" i="1"/>
  <c r="AB815" i="1"/>
  <c r="AB819" i="1"/>
  <c r="AB822" i="1"/>
  <c r="AB825" i="1"/>
  <c r="AB828" i="1"/>
  <c r="AB831" i="1"/>
  <c r="AB833" i="1"/>
  <c r="AB840" i="1"/>
  <c r="AB843" i="1"/>
  <c r="AB847" i="1"/>
  <c r="AB851" i="1"/>
  <c r="AB853" i="1"/>
  <c r="AB858" i="1"/>
  <c r="AB860" i="1"/>
  <c r="AB865" i="1"/>
  <c r="AB867" i="1"/>
  <c r="AB870" i="1"/>
  <c r="AB873" i="1"/>
  <c r="AB876" i="1"/>
  <c r="AB878" i="1"/>
  <c r="AB881" i="1"/>
  <c r="AB884" i="1"/>
  <c r="AB887" i="1"/>
  <c r="AB893" i="1"/>
  <c r="AB896" i="1"/>
  <c r="AB899" i="1"/>
  <c r="AB905" i="1"/>
  <c r="AB909" i="1"/>
  <c r="AB911" i="1"/>
  <c r="AB916" i="1"/>
  <c r="AB918" i="1"/>
  <c r="AB920" i="1"/>
  <c r="AB923" i="1"/>
  <c r="AB925" i="1"/>
  <c r="AB927" i="1"/>
  <c r="AB929" i="1"/>
  <c r="AB931" i="1"/>
  <c r="AB933" i="1"/>
  <c r="AC438" i="1"/>
  <c r="AC515" i="1"/>
  <c r="AC519" i="1"/>
  <c r="AC521" i="1"/>
  <c r="AC525" i="1"/>
  <c r="AC527" i="1"/>
  <c r="AC529" i="1"/>
  <c r="AC530" i="1"/>
  <c r="AC532" i="1"/>
  <c r="AC535" i="1"/>
  <c r="AC541" i="1"/>
  <c r="AC544" i="1"/>
  <c r="AC546" i="1"/>
  <c r="AC548" i="1"/>
  <c r="AC552" i="1"/>
  <c r="AC554" i="1"/>
  <c r="AC557" i="1"/>
  <c r="AC559" i="1"/>
  <c r="AC563" i="1"/>
  <c r="AC565" i="1"/>
  <c r="AC567" i="1"/>
  <c r="AC570" i="1"/>
  <c r="AC573" i="1"/>
  <c r="AC576" i="1"/>
  <c r="AC578" i="1"/>
  <c r="AC580" i="1"/>
  <c r="AC582" i="1"/>
  <c r="AC585" i="1"/>
  <c r="AC589" i="1"/>
  <c r="AC592" i="1"/>
  <c r="AC595" i="1"/>
  <c r="AC598" i="1"/>
  <c r="AC602" i="1"/>
  <c r="AC604" i="1"/>
  <c r="AC607" i="1"/>
  <c r="AC609" i="1"/>
  <c r="AC612" i="1"/>
  <c r="AC614" i="1"/>
  <c r="AC616" i="1"/>
  <c r="AC619" i="1"/>
  <c r="AC622" i="1"/>
  <c r="AC624" i="1"/>
  <c r="AC627" i="1"/>
  <c r="AC630" i="1"/>
  <c r="AC632" i="1"/>
  <c r="AC636" i="1"/>
  <c r="AC639" i="1"/>
  <c r="AC642" i="1"/>
  <c r="AC645" i="1"/>
  <c r="AC647" i="1"/>
  <c r="AC649" i="1"/>
  <c r="AC651" i="1"/>
  <c r="AC653" i="1"/>
  <c r="AC656" i="1"/>
  <c r="AC658" i="1"/>
  <c r="AC661" i="1"/>
  <c r="AC665" i="1"/>
  <c r="AC669" i="1"/>
  <c r="AC671" i="1"/>
  <c r="AC674" i="1"/>
  <c r="AC676" i="1"/>
  <c r="AC678" i="1"/>
  <c r="AC680" i="1"/>
  <c r="AC684" i="1"/>
  <c r="AC686" i="1"/>
  <c r="AC688" i="1"/>
  <c r="AC690" i="1"/>
  <c r="AC692" i="1"/>
  <c r="AC694" i="1"/>
  <c r="AC696" i="1"/>
  <c r="AC698" i="1"/>
  <c r="AC701" i="1"/>
  <c r="AC703" i="1"/>
  <c r="AC705" i="1"/>
  <c r="AC708" i="1"/>
  <c r="AC710" i="1"/>
  <c r="AC712" i="1"/>
  <c r="AC714" i="1"/>
  <c r="AC716" i="1"/>
  <c r="AC718" i="1"/>
  <c r="AC720" i="1"/>
  <c r="AC722" i="1"/>
  <c r="AC724" i="1"/>
  <c r="AC726" i="1"/>
  <c r="AC728" i="1"/>
  <c r="AC730" i="1"/>
  <c r="AC767" i="1"/>
  <c r="AC769" i="1"/>
  <c r="AC772" i="1"/>
  <c r="AC774" i="1"/>
  <c r="AC776" i="1"/>
  <c r="AC780" i="1"/>
  <c r="AC782" i="1"/>
  <c r="AC785" i="1"/>
  <c r="AC788" i="1"/>
  <c r="AC790" i="1"/>
  <c r="AC794" i="1"/>
  <c r="AC796" i="1"/>
  <c r="AC799" i="1"/>
  <c r="AC802" i="1"/>
  <c r="AC804" i="1"/>
  <c r="AC806" i="1"/>
  <c r="AC809" i="1"/>
  <c r="AC811" i="1"/>
  <c r="AC815" i="1"/>
  <c r="AC818" i="1"/>
  <c r="AC820" i="1"/>
  <c r="AC824" i="1"/>
  <c r="AC826" i="1"/>
  <c r="AC830" i="1"/>
  <c r="AC832" i="1"/>
  <c r="AC836" i="1"/>
  <c r="AC839" i="1"/>
  <c r="AC842" i="1"/>
  <c r="AC844" i="1"/>
  <c r="AC847" i="1"/>
  <c r="AC848" i="1"/>
  <c r="AC850" i="1"/>
  <c r="AC853" i="1"/>
  <c r="AC857" i="1"/>
  <c r="AC860" i="1"/>
  <c r="AC863" i="1"/>
  <c r="AC865" i="1"/>
  <c r="AC869" i="1"/>
  <c r="AC871" i="1"/>
  <c r="AC873" i="1"/>
  <c r="AC877" i="1"/>
  <c r="AC880" i="1"/>
  <c r="AC882" i="1"/>
  <c r="AC886" i="1"/>
  <c r="AC890" i="1"/>
  <c r="AC892" i="1"/>
  <c r="AC895" i="1"/>
  <c r="AC897" i="1"/>
  <c r="AC899" i="1"/>
  <c r="AC902" i="1"/>
  <c r="AC906" i="1"/>
  <c r="AC910" i="1"/>
  <c r="AC914" i="1"/>
  <c r="AC916" i="1"/>
  <c r="AC918" i="1"/>
  <c r="AC920" i="1"/>
  <c r="AC923" i="1"/>
  <c r="AC927" i="1"/>
  <c r="AC931" i="1"/>
  <c r="AC2" i="1"/>
  <c r="AB8" i="1"/>
  <c r="AB12" i="1"/>
  <c r="AB14" i="1"/>
  <c r="AB16" i="1"/>
  <c r="AB18" i="1"/>
  <c r="AB19" i="1"/>
  <c r="AB21" i="1"/>
  <c r="AB23" i="1"/>
  <c r="AB25" i="1"/>
  <c r="AB27" i="1"/>
  <c r="AB29" i="1"/>
  <c r="AB35" i="1"/>
  <c r="AB38" i="1"/>
  <c r="AB41" i="1"/>
  <c r="AB43" i="1"/>
  <c r="AB45" i="1"/>
  <c r="AB49" i="1"/>
  <c r="AB52" i="1"/>
  <c r="AB56" i="1"/>
  <c r="AB59" i="1"/>
  <c r="AB63" i="1"/>
  <c r="AB65" i="1"/>
  <c r="AB68" i="1"/>
  <c r="AB70" i="1"/>
  <c r="AB72" i="1"/>
  <c r="AB88" i="1"/>
  <c r="AB91" i="1"/>
  <c r="AB93" i="1"/>
  <c r="AB95" i="1"/>
  <c r="AB97" i="1"/>
  <c r="AB103" i="1"/>
  <c r="AB105" i="1"/>
  <c r="AB107" i="1"/>
  <c r="AB109" i="1"/>
  <c r="AB111" i="1"/>
  <c r="AB113" i="1"/>
  <c r="AB115" i="1"/>
  <c r="AB117" i="1"/>
  <c r="AB119" i="1"/>
  <c r="AB122" i="1"/>
  <c r="AB124" i="1"/>
  <c r="AB128" i="1"/>
  <c r="AB130" i="1"/>
  <c r="AB133" i="1"/>
  <c r="AB134" i="1"/>
  <c r="AB137" i="1"/>
  <c r="AB140" i="1"/>
  <c r="AB142" i="1"/>
  <c r="AB144" i="1"/>
  <c r="AB148" i="1"/>
  <c r="AB150" i="1"/>
  <c r="AB152" i="1"/>
  <c r="AB154" i="1"/>
  <c r="AB156" i="1"/>
  <c r="AB161" i="1"/>
  <c r="AB163" i="1"/>
  <c r="AB166" i="1"/>
  <c r="AB168" i="1"/>
  <c r="AB170" i="1"/>
  <c r="AB172" i="1"/>
  <c r="AB174" i="1"/>
  <c r="AB179" i="1"/>
  <c r="AB182" i="1"/>
  <c r="AB185" i="1"/>
  <c r="AB187" i="1"/>
  <c r="AB190" i="1"/>
  <c r="AB192" i="1"/>
  <c r="AB194" i="1"/>
  <c r="AB195" i="1"/>
  <c r="AB199" i="1"/>
  <c r="AB202" i="1"/>
  <c r="AB204" i="1"/>
  <c r="AB207" i="1"/>
  <c r="AB211" i="1"/>
  <c r="AB213" i="1"/>
  <c r="AB215" i="1"/>
  <c r="AB217" i="1"/>
  <c r="AB222" i="1"/>
  <c r="AB226" i="1"/>
  <c r="AB228" i="1"/>
  <c r="AB230" i="1"/>
  <c r="AB232" i="1"/>
  <c r="AB237" i="1"/>
  <c r="AB239" i="1"/>
  <c r="AB242" i="1"/>
  <c r="AB245" i="1"/>
  <c r="AB247" i="1"/>
  <c r="AB251" i="1"/>
  <c r="AB253" i="1"/>
  <c r="AB256" i="1"/>
  <c r="AB260" i="1"/>
  <c r="AB263" i="1"/>
  <c r="AB265" i="1"/>
  <c r="AB267" i="1"/>
  <c r="AB270" i="1"/>
  <c r="AB273" i="1"/>
  <c r="AB279" i="1"/>
  <c r="AB283" i="1"/>
  <c r="AB286" i="1"/>
  <c r="AB290" i="1"/>
  <c r="AB292" i="1"/>
  <c r="AB295" i="1"/>
  <c r="AB298" i="1"/>
  <c r="AB301" i="1"/>
  <c r="AB304" i="1"/>
  <c r="AB307" i="1"/>
  <c r="AB309" i="1"/>
  <c r="AB313" i="1"/>
  <c r="AB316" i="1"/>
  <c r="AB318" i="1"/>
  <c r="AB320" i="1"/>
  <c r="AB323" i="1"/>
  <c r="AB329" i="1"/>
  <c r="AB332" i="1"/>
  <c r="AB334" i="1"/>
  <c r="AB336" i="1"/>
  <c r="AB338" i="1"/>
  <c r="AB343" i="1"/>
  <c r="AB345" i="1"/>
  <c r="AB348" i="1"/>
  <c r="AB351" i="1"/>
  <c r="AB353" i="1"/>
  <c r="AB356" i="1"/>
  <c r="AB359" i="1"/>
  <c r="AB361" i="1"/>
  <c r="AB363" i="1"/>
  <c r="AB367" i="1"/>
  <c r="AB370" i="1"/>
  <c r="AB372" i="1"/>
  <c r="AB374" i="1"/>
  <c r="AB378" i="1"/>
  <c r="AB380" i="1"/>
  <c r="AB384" i="1"/>
  <c r="AB386" i="1"/>
  <c r="AB390" i="1"/>
  <c r="AB392" i="1"/>
  <c r="AB394" i="1"/>
  <c r="AB396" i="1"/>
  <c r="AB399" i="1"/>
  <c r="AB402" i="1"/>
  <c r="AB404" i="1"/>
  <c r="AB406" i="1"/>
  <c r="AB409" i="1"/>
  <c r="AB411" i="1"/>
  <c r="AB414" i="1"/>
  <c r="AB417" i="1"/>
  <c r="AB420" i="1"/>
  <c r="AB422" i="1"/>
  <c r="AB424" i="1"/>
  <c r="AB428" i="1"/>
  <c r="AB431" i="1"/>
  <c r="AB435" i="1"/>
  <c r="AB439" i="1"/>
  <c r="AB444" i="1"/>
  <c r="AB446" i="1"/>
  <c r="AB450" i="1"/>
  <c r="AB453" i="1"/>
  <c r="AB454" i="1"/>
  <c r="AB456" i="1"/>
  <c r="AB458" i="1"/>
  <c r="AB460" i="1"/>
  <c r="AB462" i="1"/>
  <c r="AB464" i="1"/>
  <c r="AB466" i="1"/>
  <c r="AB467" i="1"/>
  <c r="AB469" i="1"/>
  <c r="AB471" i="1"/>
  <c r="AB473" i="1"/>
  <c r="AB478" i="1"/>
  <c r="AB481" i="1"/>
  <c r="AB484" i="1"/>
  <c r="AB486" i="1"/>
  <c r="AB488" i="1"/>
  <c r="AB490" i="1"/>
  <c r="AB493" i="1"/>
  <c r="AB495" i="1"/>
  <c r="AB497" i="1"/>
  <c r="AB499" i="1"/>
  <c r="AB501" i="1"/>
  <c r="AB503" i="1"/>
  <c r="AB506" i="1"/>
  <c r="AB509" i="1"/>
  <c r="AB511" i="1"/>
  <c r="AB516" i="1"/>
  <c r="AB518" i="1"/>
  <c r="AB520" i="1"/>
  <c r="AB523" i="1"/>
  <c r="AB527" i="1"/>
  <c r="AB529" i="1"/>
  <c r="AB531" i="1"/>
  <c r="AB535" i="1"/>
  <c r="AB540" i="1"/>
  <c r="AB542" i="1"/>
  <c r="AB545" i="1"/>
  <c r="AB551" i="1"/>
  <c r="AB553" i="1"/>
  <c r="AB594" i="1"/>
  <c r="AB596" i="1"/>
  <c r="AB598" i="1"/>
  <c r="AB600" i="1"/>
  <c r="AB605" i="1"/>
  <c r="AB608" i="1"/>
  <c r="AB611" i="1"/>
  <c r="AB613" i="1"/>
  <c r="AB617" i="1"/>
  <c r="AB619" i="1"/>
  <c r="AB623" i="1"/>
  <c r="AB625" i="1"/>
  <c r="AB629" i="1"/>
  <c r="AB631" i="1"/>
  <c r="AB633" i="1"/>
  <c r="AB635" i="1"/>
  <c r="AB639" i="1"/>
  <c r="AB642" i="1"/>
  <c r="AB644" i="1"/>
  <c r="AB646" i="1"/>
  <c r="AB648" i="1"/>
  <c r="AB651" i="1"/>
  <c r="AB653" i="1"/>
  <c r="AB656" i="1"/>
  <c r="AB660" i="1"/>
  <c r="AB663" i="1"/>
  <c r="AB666" i="1"/>
  <c r="AB669" i="1"/>
  <c r="AB672" i="1"/>
  <c r="AB676" i="1"/>
  <c r="AB678" i="1"/>
  <c r="AB681" i="1"/>
  <c r="AB683" i="1"/>
  <c r="AB685" i="1"/>
  <c r="AB687" i="1"/>
  <c r="AB691" i="1"/>
  <c r="AB693" i="1"/>
  <c r="AB695" i="1"/>
  <c r="AB697" i="1"/>
  <c r="AB701" i="1"/>
  <c r="AB703" i="1"/>
  <c r="AB705" i="1"/>
  <c r="AB709" i="1"/>
  <c r="AB711" i="1"/>
  <c r="AB713" i="1"/>
  <c r="AB715" i="1"/>
  <c r="AB717" i="1"/>
  <c r="AB719" i="1"/>
  <c r="AB721" i="1"/>
  <c r="AB723" i="1"/>
  <c r="AB725" i="1"/>
  <c r="AB727" i="1"/>
  <c r="AB729" i="1"/>
  <c r="AB731" i="1"/>
  <c r="AB733" i="1"/>
  <c r="AB735" i="1"/>
  <c r="AB737" i="1"/>
  <c r="AB739" i="1"/>
  <c r="AB741" i="1"/>
  <c r="AB743" i="1"/>
  <c r="AB745" i="1"/>
  <c r="AB747" i="1"/>
  <c r="AB749" i="1"/>
  <c r="AB751" i="1"/>
  <c r="AB753" i="1"/>
  <c r="AB755" i="1"/>
  <c r="AB757" i="1"/>
  <c r="AB759" i="1"/>
  <c r="AB762" i="1"/>
  <c r="AB765" i="1"/>
  <c r="AB768" i="1"/>
  <c r="AB770" i="1"/>
  <c r="AB773" i="1"/>
  <c r="AB774" i="1"/>
  <c r="AB779" i="1"/>
  <c r="AB781" i="1"/>
  <c r="AB784" i="1"/>
  <c r="AB787" i="1"/>
  <c r="AB789" i="1"/>
  <c r="AB792" i="1"/>
  <c r="AB794" i="1"/>
  <c r="AB796" i="1"/>
  <c r="AB800" i="1"/>
  <c r="AB802" i="1"/>
  <c r="AB805" i="1"/>
  <c r="AB806" i="1"/>
  <c r="AB809" i="1"/>
  <c r="AB812" i="1"/>
  <c r="AB816" i="1"/>
  <c r="AB818" i="1"/>
  <c r="AB821" i="1"/>
  <c r="AB823" i="1"/>
  <c r="AB827" i="1"/>
  <c r="AB830" i="1"/>
  <c r="AB832" i="1"/>
  <c r="AB835" i="1"/>
  <c r="AB837" i="1"/>
  <c r="AB839" i="1"/>
  <c r="AB842" i="1"/>
  <c r="AB844" i="1"/>
  <c r="AB846" i="1"/>
  <c r="AB848" i="1"/>
  <c r="AB850" i="1"/>
  <c r="AB855" i="1"/>
  <c r="AB857" i="1"/>
  <c r="AB859" i="1"/>
  <c r="AB863" i="1"/>
  <c r="AB869" i="1"/>
  <c r="AB871" i="1"/>
  <c r="AB875" i="1"/>
  <c r="AB877" i="1"/>
  <c r="AB880" i="1"/>
  <c r="AB882" i="1"/>
  <c r="AB886" i="1"/>
  <c r="AB888" i="1"/>
  <c r="AB890" i="1"/>
  <c r="AB892" i="1"/>
  <c r="AB894" i="1"/>
  <c r="AB897" i="1"/>
  <c r="AB901" i="1"/>
  <c r="AB903" i="1"/>
  <c r="AB906" i="1"/>
  <c r="AB908" i="1"/>
  <c r="AB913" i="1"/>
  <c r="AB915" i="1"/>
  <c r="AB917" i="1"/>
  <c r="AB922" i="1"/>
  <c r="AB924" i="1"/>
  <c r="AB926" i="1"/>
  <c r="AB928" i="1"/>
  <c r="AB930" i="1"/>
  <c r="AB932" i="1"/>
</calcChain>
</file>

<file path=xl/sharedStrings.xml><?xml version="1.0" encoding="utf-8"?>
<sst xmlns="http://schemas.openxmlformats.org/spreadsheetml/2006/main" count="28305" uniqueCount="4121">
  <si>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</si>
  <si>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</si>
  <si>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</si>
  <si>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</si>
  <si>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</si>
  <si>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</si>
  <si>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</si>
  <si>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</si>
  <si>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</si>
  <si>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</si>
  <si>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</si>
  <si>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</si>
  <si>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</si>
  <si>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</si>
  <si>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</si>
  <si>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</si>
  <si>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</si>
  <si>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</si>
  <si>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</si>
  <si>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</si>
  <si>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</si>
  <si>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calculated_sales</t>
  </si>
  <si>
    <t>calculated_profit</t>
  </si>
  <si>
    <t>profit_margin</t>
  </si>
  <si>
    <t>shipping_delay_days</t>
  </si>
  <si>
    <t>order_month</t>
  </si>
  <si>
    <t>order_year</t>
  </si>
  <si>
    <t>data_quality_flag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</si>
  <si>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</si>
  <si>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</si>
  <si>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</si>
  <si>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</si>
  <si>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</si>
  <si>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</si>
  <si>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</si>
  <si>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</si>
  <si>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</si>
  <si>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</si>
  <si>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</si>
  <si>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</si>
  <si>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</si>
  <si>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</si>
  <si>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</si>
  <si>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</si>
  <si>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</si>
  <si>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</si>
  <si>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</si>
  <si>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</si>
  <si>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</si>
  <si>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</si>
  <si>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</si>
  <si>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</si>
  <si>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</si>
  <si>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</si>
  <si>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</si>
  <si>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</si>
  <si>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</si>
  <si>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</si>
  <si>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</si>
  <si>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</si>
  <si>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</si>
  <si>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</si>
  <si>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</si>
  <si>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</si>
  <si>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</si>
  <si>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</si>
  <si>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</si>
  <si>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</si>
  <si>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</si>
  <si>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</si>
  <si>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</si>
  <si>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</si>
  <si>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</si>
  <si>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</si>
  <si>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</si>
  <si>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</si>
  <si>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</si>
  <si>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</si>
  <si>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</si>
  <si>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</si>
  <si>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</si>
  <si>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</si>
  <si>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</si>
  <si>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</si>
  <si>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</si>
  <si>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</si>
  <si>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</si>
  <si>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</si>
  <si>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</si>
  <si>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</si>
  <si>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</si>
  <si>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</si>
  <si>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</si>
  <si>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</si>
  <si>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</si>
  <si>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</si>
  <si>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</si>
  <si>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</si>
  <si>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</si>
  <si>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</si>
  <si>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</si>
  <si>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</si>
  <si>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</si>
  <si>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</si>
  <si>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</si>
  <si>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</si>
  <si>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</si>
  <si>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</si>
  <si>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</si>
  <si>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</si>
  <si>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</si>
  <si>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</si>
  <si>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</si>
  <si>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</si>
  <si>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</si>
  <si>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</si>
  <si>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</si>
  <si>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</si>
  <si>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</si>
  <si>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</si>
  <si>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</si>
  <si>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</si>
  <si>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</si>
  <si>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</si>
  <si>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</si>
  <si>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</si>
  <si>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</si>
  <si>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</si>
  <si>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</si>
  <si>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</si>
  <si>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</si>
  <si>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</si>
  <si>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</si>
  <si>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</si>
  <si>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</si>
  <si>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</si>
  <si>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</si>
  <si>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</si>
  <si>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</si>
  <si>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</si>
  <si>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</si>
  <si>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</si>
  <si>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</si>
  <si>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</si>
  <si>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</si>
  <si>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</si>
  <si>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</si>
  <si>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</si>
  <si>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</si>
  <si>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</si>
  <si>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</si>
  <si>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</si>
  <si>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</si>
  <si>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</si>
  <si>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</si>
  <si>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</si>
  <si>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</si>
  <si>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</si>
  <si>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</si>
  <si>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</si>
  <si>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</si>
  <si>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</si>
  <si>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</si>
  <si>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</si>
  <si>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</si>
  <si>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</si>
  <si>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</si>
  <si>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</si>
  <si>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</si>
  <si>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</si>
  <si>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</si>
  <si>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</si>
  <si>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</si>
  <si>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</si>
  <si>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</si>
  <si>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</si>
  <si>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</si>
  <si>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</si>
  <si>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</si>
  <si>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</si>
  <si>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</si>
  <si>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</si>
  <si>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</si>
  <si>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</si>
  <si>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</si>
  <si>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</si>
  <si>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</si>
  <si>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</si>
  <si>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</si>
  <si>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</si>
  <si>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</si>
  <si>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</si>
  <si>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</si>
  <si>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</si>
  <si>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</si>
  <si>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</si>
  <si>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</si>
  <si>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</si>
  <si>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</si>
  <si>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</si>
  <si>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</si>
  <si>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</si>
  <si>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</si>
  <si>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</si>
  <si>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</si>
  <si>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</si>
  <si>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</si>
  <si>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</si>
  <si>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</si>
  <si>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</si>
  <si>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</si>
  <si>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</si>
  <si>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</si>
  <si>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</si>
  <si>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</si>
  <si>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</si>
  <si>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</si>
  <si>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</si>
  <si>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</si>
  <si>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</si>
  <si>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</si>
  <si>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</si>
  <si>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</si>
  <si>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</si>
  <si>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</si>
  <si>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</si>
  <si>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</si>
  <si>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</si>
  <si>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</si>
  <si>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</si>
  <si>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</si>
  <si>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</si>
  <si>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</si>
  <si>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</si>
  <si>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</si>
  <si>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</si>
  <si>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</si>
  <si>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</si>
  <si>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</si>
  <si>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</si>
  <si>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</si>
  <si>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</si>
  <si>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</si>
  <si>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</si>
  <si>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</si>
  <si>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</si>
  <si>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</si>
  <si>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</si>
  <si>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</si>
  <si>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</si>
  <si>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</si>
  <si>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</si>
  <si>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</si>
  <si>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</si>
  <si>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</si>
  <si>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</si>
  <si>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</si>
  <si>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</si>
  <si>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</si>
  <si>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</si>
  <si>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</si>
  <si>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</si>
  <si>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</si>
  <si>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</si>
  <si>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</si>
  <si>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</si>
  <si>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</si>
  <si>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</si>
  <si>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</si>
  <si>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</si>
  <si>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</si>
  <si>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</si>
  <si>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</si>
  <si>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</si>
  <si>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</si>
  <si>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</si>
  <si>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</si>
  <si>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</si>
  <si>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</si>
  <si>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Unknown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</si>
  <si>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</si>
  <si>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</si>
  <si>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</si>
  <si>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</si>
  <si>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</si>
  <si>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</si>
  <si>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</si>
  <si>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</si>
  <si>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</si>
  <si>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</si>
  <si>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</si>
  <si>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</si>
  <si>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</si>
  <si>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</si>
  <si>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</si>
  <si>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</si>
  <si>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</si>
  <si>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</si>
  <si>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</si>
  <si>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</si>
  <si>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</si>
  <si>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</si>
  <si>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</si>
  <si>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</si>
  <si>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</si>
  <si>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</si>
  <si>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</si>
  <si>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</si>
  <si>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</si>
  <si>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</si>
  <si>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</si>
  <si>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</si>
  <si>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</si>
  <si>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</si>
  <si>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</si>
  <si>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</si>
  <si>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</si>
  <si>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</si>
  <si>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</si>
  <si>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</si>
  <si>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</si>
  <si>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</si>
  <si>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</si>
  <si>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</si>
  <si>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</si>
  <si>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</si>
  <si>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</si>
  <si>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</si>
  <si>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</si>
  <si>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</si>
  <si>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</si>
  <si>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</si>
  <si>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</si>
  <si>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</si>
  <si>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</si>
  <si>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</si>
  <si>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</si>
  <si>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</si>
  <si>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</si>
  <si>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</si>
  <si>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</si>
  <si>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</si>
  <si>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</si>
  <si>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</si>
  <si>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</si>
  <si>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</si>
  <si>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</si>
  <si>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</si>
  <si>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</si>
  <si>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</si>
  <si>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</si>
  <si>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</si>
  <si>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</si>
  <si>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</si>
  <si>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</si>
  <si>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</si>
  <si>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</si>
  <si>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</si>
  <si>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</si>
  <si>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</si>
  <si>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</si>
  <si>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</si>
  <si>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</si>
  <si>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</si>
  <si>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</si>
  <si>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</si>
  <si>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</si>
  <si>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</si>
  <si>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</si>
  <si>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</si>
  <si>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</si>
  <si>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</si>
  <si>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</si>
  <si>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</si>
  <si>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</si>
  <si>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</si>
  <si>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</si>
  <si>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</si>
  <si>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</si>
  <si>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</si>
  <si>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</si>
  <si>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</si>
  <si>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</si>
  <si>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</si>
  <si>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</si>
  <si>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</si>
  <si>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</si>
  <si>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</si>
  <si>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</si>
  <si>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</si>
  <si>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</si>
  <si>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</si>
  <si>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</si>
  <si>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</si>
  <si>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</si>
  <si>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</si>
  <si>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</si>
  <si>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</si>
  <si>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</si>
  <si>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</si>
  <si>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</si>
  <si>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</si>
  <si>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</si>
  <si>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</si>
  <si>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</si>
  <si>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</si>
  <si>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</si>
  <si>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</si>
  <si>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</si>
  <si>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</si>
  <si>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</si>
  <si>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</si>
  <si>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</si>
  <si>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</si>
  <si>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</si>
  <si>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</si>
  <si>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</si>
  <si>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</si>
  <si>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</si>
  <si>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</si>
  <si>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</si>
  <si>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</si>
  <si>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</si>
  <si>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</si>
  <si>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</si>
  <si>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</si>
  <si>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</si>
  <si>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</si>
  <si>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</si>
  <si>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</si>
  <si>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</si>
  <si>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</si>
  <si>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</si>
  <si>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</si>
  <si>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</si>
  <si>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</si>
  <si>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</si>
  <si>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</si>
  <si>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</si>
  <si>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</si>
  <si>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</si>
  <si>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</si>
  <si>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</si>
  <si>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</si>
  <si>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</si>
  <si>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</si>
  <si>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</si>
  <si>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</si>
  <si>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</si>
  <si>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</si>
  <si>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</si>
  <si>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</si>
  <si>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</si>
  <si>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</si>
  <si>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</si>
  <si>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</si>
  <si>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</si>
  <si>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</si>
  <si>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</si>
  <si>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</si>
  <si>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</si>
  <si>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</si>
  <si>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</si>
  <si>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</si>
  <si>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</si>
  <si>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</si>
  <si>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</si>
  <si>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</si>
  <si>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</si>
  <si>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</si>
  <si>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</si>
  <si>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</si>
  <si>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</si>
  <si>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</si>
  <si>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</si>
  <si>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</si>
  <si>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</si>
  <si>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</si>
  <si>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</si>
  <si>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</si>
  <si>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</si>
  <si>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</si>
  <si>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</si>
  <si>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</si>
  <si>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</si>
  <si>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</si>
  <si>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</si>
  <si>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</si>
  <si>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</si>
  <si>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</si>
  <si>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</si>
  <si>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</si>
  <si>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</si>
  <si>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</si>
  <si>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</si>
  <si>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</si>
  <si>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</si>
  <si>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</si>
  <si>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</si>
  <si>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</si>
  <si>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</si>
  <si>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</si>
  <si>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</si>
  <si>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</si>
  <si>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</si>
  <si>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</si>
  <si>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</si>
  <si>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</si>
  <si>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</si>
  <si>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</si>
  <si>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</si>
  <si>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</si>
  <si>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</si>
  <si>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</si>
  <si>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</si>
  <si>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</si>
  <si>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</si>
  <si>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</si>
  <si>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</si>
  <si>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</si>
  <si>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</si>
  <si>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</si>
  <si>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</si>
  <si>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</si>
  <si>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</si>
  <si>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</si>
  <si>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</si>
  <si>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</si>
  <si>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</si>
  <si>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</si>
  <si>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</si>
  <si>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</si>
  <si>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</si>
  <si>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</si>
  <si>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</si>
  <si>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</si>
  <si>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</si>
  <si>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</si>
  <si>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</si>
  <si>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</si>
  <si>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</si>
  <si>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</si>
  <si>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</si>
  <si>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</si>
  <si>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</si>
  <si>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</si>
  <si>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</si>
  <si>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</si>
  <si>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</si>
  <si>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</si>
  <si>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</si>
  <si>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</si>
  <si>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</si>
  <si>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</si>
  <si>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</si>
  <si>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</si>
  <si>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</si>
  <si>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</si>
  <si>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</si>
  <si>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</si>
  <si>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</si>
  <si>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</si>
  <si>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</si>
  <si>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</si>
  <si>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</si>
  <si>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</si>
  <si>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</si>
  <si>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</si>
  <si>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</si>
  <si>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</si>
  <si>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</si>
  <si>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</si>
  <si>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</si>
  <si>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</si>
  <si>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</si>
  <si>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</si>
  <si>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</si>
  <si>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</si>
  <si>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</si>
  <si>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</si>
  <si>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</si>
  <si>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</si>
  <si>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</si>
  <si>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</si>
  <si>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</si>
  <si>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</si>
  <si>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</si>
  <si>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</si>
  <si>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</si>
  <si>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</si>
  <si>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</si>
  <si>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</si>
  <si>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</si>
  <si>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</si>
  <si>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</si>
  <si>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</si>
  <si>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</si>
  <si>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</si>
  <si>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</si>
  <si>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</si>
  <si>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</si>
  <si>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</si>
  <si>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</si>
  <si>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</si>
  <si>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</si>
  <si>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</si>
  <si>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</si>
  <si>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</si>
  <si>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</si>
  <si>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</si>
  <si>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</si>
  <si>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</si>
  <si>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</si>
  <si>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</si>
  <si>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</si>
  <si>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</si>
  <si>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</si>
  <si>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</si>
  <si>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</si>
  <si>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</si>
  <si>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</si>
  <si>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</si>
  <si>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</si>
  <si>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</si>
  <si>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</si>
  <si>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</si>
  <si>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</si>
  <si>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</si>
  <si>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</si>
  <si>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</si>
  <si>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</si>
  <si>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</si>
  <si>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</si>
  <si>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</si>
  <si>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</si>
  <si>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</si>
  <si>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</si>
  <si>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</si>
  <si>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</si>
  <si>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</si>
  <si>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</si>
  <si>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</si>
  <si>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</si>
  <si>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</si>
  <si>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</si>
  <si>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</si>
  <si>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</si>
  <si>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</si>
  <si>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</si>
  <si>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</si>
  <si>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</si>
  <si>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</si>
  <si>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</si>
  <si>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</si>
  <si>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</si>
  <si>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</si>
  <si>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</si>
  <si>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</si>
  <si>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</si>
  <si>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</si>
  <si>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</si>
  <si>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</si>
  <si>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</si>
  <si>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</si>
  <si>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</si>
  <si>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</si>
  <si>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</si>
  <si>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</si>
  <si>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</si>
  <si>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</si>
  <si>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</si>
  <si>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</si>
  <si>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</si>
  <si>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</si>
  <si>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</si>
  <si>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</si>
  <si>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</si>
  <si>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</si>
  <si>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</si>
  <si>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</si>
  <si>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</si>
  <si>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</si>
  <si>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</si>
  <si>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</si>
  <si>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</si>
  <si>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</si>
  <si>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</si>
  <si>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</si>
  <si>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</si>
  <si>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</si>
  <si>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</si>
  <si>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</si>
  <si>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</si>
  <si>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</si>
  <si>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</si>
  <si>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</si>
  <si>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</si>
  <si>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</si>
  <si>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</si>
  <si>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</si>
  <si>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</si>
  <si>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</si>
  <si>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</si>
  <si>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</si>
  <si>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</si>
  <si>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</si>
  <si>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</si>
  <si>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</si>
  <si>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</si>
  <si>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</si>
  <si>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</si>
  <si>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</si>
  <si>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</si>
  <si>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</si>
  <si>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</si>
  <si>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</si>
  <si>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</si>
  <si>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</si>
  <si>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</si>
  <si>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</si>
  <si>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</si>
  <si>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</si>
  <si>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</si>
  <si>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</si>
  <si>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</si>
  <si>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</si>
  <si>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</si>
  <si>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</si>
  <si>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</si>
  <si>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</si>
  <si>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</si>
  <si>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</si>
  <si>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</si>
  <si>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</si>
  <si>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</si>
  <si>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</si>
  <si>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</si>
  <si>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</si>
  <si>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</si>
  <si>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</si>
  <si>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</si>
  <si>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</si>
  <si>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</si>
  <si>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</si>
  <si>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</si>
  <si>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</si>
  <si>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</si>
  <si>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</si>
  <si>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</si>
  <si>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</si>
  <si>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</si>
  <si>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</si>
  <si>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</si>
  <si>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</si>
  <si>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</si>
  <si>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</si>
  <si>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</si>
  <si>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</si>
  <si>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</si>
  <si>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</si>
  <si>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</si>
  <si>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</si>
  <si>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</si>
  <si>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</si>
  <si>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</si>
  <si>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</si>
  <si>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</si>
  <si>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</si>
  <si>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</si>
  <si>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</si>
  <si>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</si>
  <si>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</si>
  <si>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</si>
  <si>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</si>
  <si>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</si>
  <si>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</si>
  <si>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</si>
  <si>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</si>
  <si>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</si>
  <si>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</si>
  <si>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</si>
  <si>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</si>
  <si>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</si>
  <si>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</si>
  <si>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</si>
  <si>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</si>
  <si>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</si>
  <si>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</si>
  <si>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</si>
  <si>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</si>
  <si>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</si>
  <si>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</si>
  <si>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</si>
  <si>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</si>
  <si>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</si>
  <si>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</si>
  <si>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</si>
  <si>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</si>
  <si>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</si>
  <si>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</si>
  <si>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</si>
  <si>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</si>
  <si>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</si>
  <si>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</si>
  <si>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</si>
  <si>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</si>
  <si>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</si>
  <si>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</si>
  <si>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</si>
  <si>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</si>
  <si>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</si>
  <si>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</si>
  <si>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</si>
  <si>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</si>
  <si>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</si>
  <si>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</si>
  <si>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</si>
  <si>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</si>
  <si>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</si>
  <si>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</si>
  <si>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</si>
  <si>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</si>
  <si>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</si>
  <si>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</si>
  <si>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</si>
  <si>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</si>
  <si>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</si>
  <si>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</si>
  <si>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</si>
  <si>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</si>
  <si>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</si>
  <si>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</si>
  <si>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</si>
  <si>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</si>
  <si>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</si>
  <si>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</si>
  <si>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</si>
  <si>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</si>
  <si>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</si>
  <si>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</si>
  <si>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</si>
  <si>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</si>
  <si>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</si>
  <si>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</si>
  <si>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</si>
  <si>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</si>
  <si>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</si>
  <si>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</si>
  <si>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</si>
  <si>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</si>
  <si>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</si>
  <si>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</si>
  <si>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</si>
  <si>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</si>
  <si>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</si>
  <si>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</si>
  <si>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</si>
  <si>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</si>
  <si>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</si>
  <si>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</si>
  <si>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</si>
  <si>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</si>
  <si>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</si>
  <si>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</si>
  <si>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</si>
  <si>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</si>
  <si>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</si>
  <si>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</si>
  <si>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</si>
  <si>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</si>
  <si>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</si>
  <si>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</si>
  <si>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</si>
  <si>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</si>
  <si>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</si>
  <si>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</si>
  <si>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</si>
  <si>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</si>
  <si>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</si>
  <si>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</si>
  <si>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</si>
  <si>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</si>
  <si>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</si>
  <si>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</si>
  <si>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</si>
  <si>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</si>
  <si>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</si>
  <si>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</si>
  <si>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</si>
  <si>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</si>
  <si>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</si>
  <si>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</si>
  <si>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</si>
  <si>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</si>
  <si>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</si>
  <si>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</si>
  <si>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</si>
  <si>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</si>
  <si>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</si>
  <si>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</si>
  <si>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</si>
  <si>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</si>
  <si>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</si>
  <si>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</si>
  <si>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</si>
  <si>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</si>
  <si>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</si>
  <si>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</si>
  <si>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</si>
  <si>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</si>
  <si>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</si>
  <si>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</si>
  <si>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</si>
  <si>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</si>
  <si>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</si>
  <si>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</si>
  <si>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</si>
  <si>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</si>
  <si>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</si>
  <si>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</si>
  <si>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</si>
  <si>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</si>
  <si>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</si>
  <si>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</si>
  <si>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</si>
  <si>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</si>
  <si>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</si>
  <si>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</si>
  <si>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</si>
  <si>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</si>
  <si>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</si>
  <si>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</si>
  <si>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</si>
  <si>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</si>
  <si>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</si>
  <si>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</si>
  <si>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</si>
  <si>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</si>
  <si>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</si>
  <si>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</si>
  <si>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</si>
  <si>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</si>
  <si>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</si>
  <si>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</si>
  <si>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</si>
  <si>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</si>
  <si>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</si>
  <si>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</si>
  <si>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</si>
  <si>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</si>
  <si>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</si>
  <si>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</si>
  <si>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</si>
  <si>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</si>
  <si>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</si>
  <si>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</si>
  <si>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</si>
  <si>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</si>
  <si>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</si>
  <si>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</si>
  <si>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</si>
  <si>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</si>
  <si>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</si>
  <si>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</si>
  <si>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</si>
  <si>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</si>
  <si>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</si>
  <si>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</si>
  <si>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</si>
  <si>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</si>
  <si>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</si>
  <si>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</si>
  <si>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</si>
  <si>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</si>
  <si>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</si>
  <si>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</si>
  <si>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</si>
  <si>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</si>
  <si>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</si>
  <si>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</si>
  <si>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</si>
  <si>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</si>
  <si>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</si>
  <si>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</si>
  <si>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</si>
  <si>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</si>
  <si>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</si>
  <si>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</si>
  <si>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</si>
  <si>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</si>
  <si>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</si>
  <si>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</si>
  <si>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</si>
  <si>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</si>
  <si>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</si>
  <si>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</si>
  <si>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</si>
  <si>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</si>
  <si>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</si>
  <si>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</si>
  <si>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</si>
  <si>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</si>
  <si>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</si>
  <si>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</si>
  <si>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</si>
  <si>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</si>
  <si>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</si>
  <si>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</si>
  <si>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</si>
  <si>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</si>
  <si>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</si>
  <si>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</si>
  <si>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</si>
  <si>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</si>
  <si>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</si>
  <si>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</si>
  <si>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</si>
  <si>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</si>
  <si>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</si>
  <si>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</si>
  <si>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</si>
  <si>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</si>
  <si>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</si>
  <si>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</si>
  <si>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</si>
  <si>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</si>
  <si>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</si>
  <si>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</si>
  <si>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</si>
  <si>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</si>
  <si>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</si>
  <si>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</si>
  <si>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</si>
  <si>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</si>
  <si>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</si>
  <si>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</si>
  <si>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</si>
  <si>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</si>
  <si>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</si>
  <si>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</si>
  <si>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</si>
  <si>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</si>
  <si>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</si>
  <si>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</si>
  <si>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</si>
  <si>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</si>
  <si>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</si>
  <si>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</si>
  <si>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</si>
  <si>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</si>
  <si>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</si>
  <si>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</si>
  <si>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</si>
  <si>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</si>
  <si>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</si>
  <si>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</si>
  <si>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</si>
  <si>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</si>
  <si>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</si>
  <si>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</si>
  <si>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</si>
  <si>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</si>
  <si>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</si>
  <si>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</si>
  <si>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</si>
  <si>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</si>
  <si>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</si>
  <si>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</si>
  <si>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</si>
  <si>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</si>
  <si>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</si>
  <si>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</si>
  <si>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</si>
  <si>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</si>
  <si>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</si>
  <si>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</si>
  <si>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</si>
  <si>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</si>
  <si>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</si>
  <si>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</si>
  <si>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</si>
  <si>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</si>
  <si>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</si>
  <si>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</si>
  <si>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</si>
  <si>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</si>
  <si>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</si>
  <si>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</si>
  <si>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</si>
  <si>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</si>
  <si>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</si>
  <si>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</si>
  <si>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</si>
  <si>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</si>
  <si>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</si>
  <si>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</si>
  <si>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</si>
  <si>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</si>
  <si>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</si>
  <si>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</si>
  <si>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</si>
  <si>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</si>
  <si>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</si>
  <si>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</si>
  <si>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</si>
  <si>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</si>
  <si>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</si>
  <si>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</si>
  <si>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</si>
  <si>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</si>
  <si>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</si>
  <si>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</si>
  <si>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</si>
  <si>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</si>
  <si>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</si>
  <si>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</si>
  <si>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</si>
  <si>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</si>
  <si>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</si>
  <si>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</si>
  <si>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</si>
  <si>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</si>
  <si>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</si>
  <si>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</si>
  <si>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</si>
  <si>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</si>
  <si>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</si>
  <si>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</si>
  <si>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</si>
  <si>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</si>
  <si>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</si>
  <si>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</si>
  <si>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</si>
  <si>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</si>
  <si>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</si>
  <si>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</si>
  <si>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</si>
  <si>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</si>
  <si>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</si>
  <si>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</si>
  <si>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</si>
  <si>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</si>
  <si>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</si>
  <si>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</si>
  <si>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</si>
  <si>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</si>
  <si>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</si>
  <si>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</si>
  <si>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</si>
  <si>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</si>
  <si>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</si>
  <si>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</si>
  <si>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</si>
  <si>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</si>
  <si>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</si>
  <si>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</si>
  <si>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</si>
  <si>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</si>
  <si>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</si>
  <si>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</si>
  <si>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</si>
  <si>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</si>
  <si>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</si>
  <si>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</si>
  <si>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</si>
  <si>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</si>
  <si>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</si>
  <si>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</si>
  <si>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</si>
  <si>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</si>
  <si>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</si>
  <si>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</si>
  <si>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</si>
  <si>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</si>
  <si>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</si>
  <si>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</si>
  <si>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</si>
  <si>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</si>
  <si>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</si>
  <si>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</si>
  <si>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</si>
  <si>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</si>
  <si>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</si>
  <si>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</si>
  <si>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</si>
  <si>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</si>
  <si>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</si>
  <si>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</si>
  <si>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</si>
  <si>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</si>
  <si>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</si>
  <si>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</si>
  <si>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</si>
  <si>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</si>
  <si>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</si>
  <si>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</si>
  <si>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</si>
  <si>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</si>
  <si>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</si>
  <si>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</si>
  <si>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</si>
  <si>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</si>
  <si>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</si>
  <si>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</si>
  <si>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</si>
  <si>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</si>
  <si>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</si>
  <si>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</si>
  <si>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</si>
  <si>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</si>
  <si>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</si>
  <si>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</si>
  <si>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</si>
  <si>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</si>
  <si>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</si>
  <si>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</si>
  <si>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</si>
  <si>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</si>
  <si>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</si>
  <si>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</si>
  <si>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</si>
  <si>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</si>
  <si>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</si>
  <si>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</si>
  <si>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</si>
  <si>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</si>
  <si>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</si>
  <si>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</si>
  <si>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</si>
  <si>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</si>
  <si>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</si>
  <si>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</si>
  <si>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</si>
  <si>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</si>
  <si>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</si>
  <si>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</si>
  <si>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</si>
  <si>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</si>
  <si>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</si>
  <si>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</si>
  <si>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</si>
  <si>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</si>
  <si>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</si>
  <si>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</si>
  <si>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</si>
  <si>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</si>
  <si>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</si>
  <si>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</si>
  <si>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</si>
  <si>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</si>
  <si>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</si>
  <si>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</si>
  <si>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</si>
  <si>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</si>
  <si>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</si>
  <si>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</si>
  <si>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</si>
  <si>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</si>
  <si>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</si>
  <si>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</si>
  <si>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</si>
  <si>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</si>
  <si>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</si>
  <si>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</si>
  <si>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</si>
  <si>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</si>
  <si>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</si>
  <si>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</si>
  <si>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</si>
  <si>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</si>
  <si>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</si>
  <si>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</si>
  <si>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</si>
  <si>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</si>
  <si>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</si>
  <si>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</si>
  <si>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</si>
  <si>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</si>
  <si>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</si>
  <si>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</si>
  <si>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</si>
  <si>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</si>
  <si>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</si>
  <si>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</si>
  <si>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</si>
  <si>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</si>
  <si>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</si>
  <si>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</si>
  <si>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</si>
  <si>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</si>
  <si>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</si>
  <si>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</si>
  <si>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</si>
  <si>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</si>
  <si>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</si>
  <si>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</si>
  <si>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</si>
  <si>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</si>
  <si>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</si>
  <si>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</si>
  <si>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</si>
  <si>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</si>
  <si>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</si>
  <si>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</si>
  <si>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</si>
  <si>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</si>
  <si>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</si>
  <si>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</si>
  <si>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</si>
  <si>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</si>
  <si>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</si>
  <si>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</si>
  <si>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</si>
  <si>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</si>
  <si>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</si>
  <si>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</si>
  <si>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</si>
  <si>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</si>
  <si>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</si>
  <si>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</si>
  <si>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</si>
  <si>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</si>
  <si>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</si>
  <si>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</si>
  <si>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</si>
  <si>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</si>
  <si>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</si>
  <si>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</si>
  <si>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</si>
  <si>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</si>
  <si>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</si>
  <si>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</si>
  <si>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</si>
  <si>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</si>
  <si>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</si>
  <si>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</si>
  <si>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</si>
  <si>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</si>
  <si>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</si>
  <si>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</si>
  <si>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</si>
  <si>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</si>
  <si>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</si>
  <si>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</si>
  <si>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</si>
  <si>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</si>
  <si>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</si>
  <si>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</si>
  <si>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</si>
  <si>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</si>
  <si>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</si>
  <si>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</si>
  <si>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</si>
  <si>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</si>
  <si>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</si>
  <si>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</si>
  <si>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</si>
  <si>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</si>
  <si>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</si>
  <si>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</si>
  <si>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</si>
  <si>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</si>
  <si>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</si>
  <si>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</si>
  <si>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</si>
  <si>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</si>
  <si>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</si>
  <si>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</si>
  <si>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</si>
  <si>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</si>
  <si>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</si>
  <si>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</si>
  <si>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</si>
  <si>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</si>
  <si>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</si>
  <si>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</si>
  <si>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</si>
  <si>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</si>
  <si>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</si>
  <si>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</si>
  <si>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</si>
  <si>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</si>
  <si>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</si>
  <si>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</si>
  <si>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</si>
  <si>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</si>
  <si>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</si>
  <si>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</si>
  <si>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</si>
  <si>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</si>
  <si>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</si>
  <si>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</si>
  <si>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</si>
  <si>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</si>
  <si>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</si>
  <si>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</si>
  <si>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</si>
  <si>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</si>
  <si>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</si>
  <si>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</si>
  <si>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</si>
  <si>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</si>
  <si>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</si>
  <si>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</si>
  <si>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</si>
  <si>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</si>
  <si>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</si>
  <si>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</si>
  <si>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</si>
  <si>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</si>
  <si>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</si>
  <si>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</si>
  <si>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</si>
  <si>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</si>
  <si>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</si>
  <si>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</si>
  <si>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</si>
  <si>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</si>
  <si>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</si>
  <si>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</si>
  <si>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</si>
  <si>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</si>
  <si>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</si>
  <si>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</si>
  <si>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</si>
  <si>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</si>
  <si>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</si>
  <si>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</si>
  <si>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</si>
  <si>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</si>
  <si>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</si>
  <si>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</si>
  <si>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</si>
  <si>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</si>
  <si>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</si>
  <si>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</si>
  <si>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</si>
  <si>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</si>
  <si>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</si>
  <si>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</si>
  <si>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</si>
  <si>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</si>
  <si>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</si>
  <si>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</si>
  <si>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</si>
  <si>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</si>
  <si>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</si>
  <si>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</si>
  <si>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</si>
  <si>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</si>
  <si>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</si>
  <si>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</si>
  <si>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</si>
  <si>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</si>
  <si>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</si>
  <si>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</si>
  <si>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</si>
  <si>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</si>
  <si>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</si>
  <si>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</si>
  <si>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</si>
  <si>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</si>
  <si>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</si>
  <si>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</si>
  <si>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</si>
  <si>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</si>
  <si>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</si>
  <si>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</si>
  <si>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</si>
  <si>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</si>
  <si>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</si>
  <si>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</si>
  <si>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</si>
  <si>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</si>
  <si>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</si>
  <si>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</si>
  <si>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</si>
  <si>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</si>
  <si>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</si>
  <si>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</si>
  <si>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</si>
  <si>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</si>
  <si>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</si>
  <si>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</si>
  <si>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</si>
  <si>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</si>
  <si>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</si>
  <si>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</si>
  <si>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</si>
  <si>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</si>
  <si>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</si>
  <si>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</si>
  <si>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</si>
  <si>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</si>
  <si>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</si>
  <si>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</si>
  <si>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</si>
  <si>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</si>
  <si>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</si>
  <si>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</si>
  <si>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</si>
  <si>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</si>
  <si>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</si>
  <si>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</si>
  <si>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</si>
  <si>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</si>
  <si>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</si>
  <si>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</si>
  <si>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</si>
  <si>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</si>
  <si>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</si>
  <si>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</si>
  <si>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</si>
  <si>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</si>
  <si>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</si>
  <si>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</si>
  <si>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</si>
  <si>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</si>
  <si>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</si>
  <si>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</si>
  <si>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</si>
  <si>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</si>
  <si>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</si>
  <si>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</si>
  <si>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</si>
  <si>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</si>
  <si>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</si>
  <si>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</si>
  <si>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</si>
  <si>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</si>
  <si>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</si>
  <si>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</si>
  <si>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</si>
  <si>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</si>
  <si>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</si>
  <si>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</si>
  <si>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</si>
  <si>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</si>
  <si>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</si>
  <si>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</si>
  <si>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</si>
  <si>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</si>
  <si>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</si>
  <si>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</si>
  <si>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</si>
  <si>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</si>
  <si>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</si>
  <si>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</si>
  <si>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</si>
  <si>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</si>
  <si>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</si>
  <si>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</si>
  <si>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</si>
  <si>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</si>
  <si>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</si>
  <si>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</si>
  <si>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</si>
  <si>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</si>
  <si>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</si>
  <si>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</si>
  <si>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</si>
  <si>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</si>
  <si>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</si>
  <si>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</si>
  <si>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</si>
  <si>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</si>
  <si>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</si>
  <si>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</si>
  <si>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</si>
  <si>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</si>
  <si>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</si>
  <si>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</si>
  <si>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</si>
  <si>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</si>
  <si>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</si>
  <si>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</si>
  <si>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</si>
  <si>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</si>
  <si>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</si>
  <si>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</si>
  <si>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</si>
  <si>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</si>
  <si>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</si>
  <si>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</si>
  <si>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</si>
  <si>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</si>
  <si>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</si>
  <si>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</si>
  <si>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</si>
  <si>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</si>
  <si>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</si>
  <si>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</si>
  <si>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</si>
  <si>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</si>
  <si>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</si>
  <si>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</si>
  <si>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</si>
  <si>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</si>
  <si>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</si>
  <si>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</si>
  <si>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</si>
  <si>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</si>
  <si>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</si>
  <si>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</si>
  <si>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</si>
  <si>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</si>
  <si>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</si>
  <si>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</si>
  <si>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</si>
  <si>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</si>
  <si>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</si>
  <si>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</si>
  <si>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</si>
  <si>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</si>
  <si>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</si>
  <si>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</si>
  <si>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</si>
  <si>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</si>
  <si>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</si>
  <si>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</si>
  <si>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</si>
  <si>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</si>
  <si>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</si>
  <si>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</si>
  <si>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</si>
  <si>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</si>
  <si>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</si>
  <si>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</si>
  <si>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</si>
  <si>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</si>
  <si>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</si>
  <si>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</si>
  <si>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</si>
  <si>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</si>
  <si>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</si>
  <si>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</si>
  <si>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</si>
  <si>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</si>
  <si>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</si>
  <si>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</si>
  <si>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</si>
  <si>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</si>
  <si>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</si>
  <si>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</si>
  <si>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</si>
  <si>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</si>
  <si>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</si>
  <si>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</si>
  <si>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</si>
  <si>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</si>
  <si>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</si>
  <si>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</si>
  <si>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</si>
  <si>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</si>
  <si>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</si>
  <si>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</si>
  <si>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</si>
  <si>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</si>
  <si>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</si>
  <si>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</si>
  <si>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</si>
  <si>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</si>
  <si>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</si>
  <si>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</si>
  <si>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</si>
  <si>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</si>
  <si>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</si>
  <si>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</si>
  <si>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</si>
  <si>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</si>
  <si>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</si>
  <si>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</si>
  <si>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</si>
  <si>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</si>
  <si>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</si>
  <si>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</si>
  <si>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</si>
  <si>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</si>
  <si>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</si>
  <si>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</si>
  <si>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</si>
  <si>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</si>
  <si>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</si>
  <si>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</si>
  <si>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</si>
  <si>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</si>
  <si>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</si>
  <si>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</si>
  <si>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</si>
  <si>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</si>
  <si>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</si>
  <si>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</si>
  <si>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</si>
  <si>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</si>
  <si>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</si>
  <si>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</si>
  <si>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</si>
  <si>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</si>
  <si>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</si>
  <si>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</si>
  <si>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</si>
  <si>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</si>
  <si>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</si>
  <si>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</si>
  <si>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</si>
  <si>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</si>
  <si>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</si>
  <si>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</si>
  <si>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</si>
  <si>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</si>
  <si>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</si>
  <si>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</si>
  <si>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</si>
  <si>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</si>
  <si>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</si>
  <si>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</si>
  <si>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</si>
  <si>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</si>
  <si>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</si>
  <si>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</si>
  <si>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</si>
  <si>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</si>
  <si>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</si>
  <si>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</si>
  <si>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</si>
  <si>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</si>
  <si>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</si>
  <si>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</si>
  <si>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</si>
  <si>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</si>
  <si>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</si>
  <si>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</si>
  <si>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</si>
  <si>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</si>
  <si>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</si>
  <si>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</si>
  <si>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</si>
  <si>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</si>
  <si>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</si>
  <si>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</si>
  <si>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</si>
  <si>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</si>
  <si>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</si>
  <si>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</si>
  <si>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</si>
  <si>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</si>
  <si>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</si>
  <si>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</si>
  <si>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</si>
  <si>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</si>
  <si>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</si>
  <si>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</si>
  <si>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</si>
  <si>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</si>
  <si>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</si>
  <si>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</si>
  <si>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</si>
  <si>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</si>
  <si>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</si>
  <si>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</si>
  <si>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</si>
  <si>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</si>
  <si>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</si>
  <si>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</si>
  <si>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</si>
  <si>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</si>
  <si>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</si>
  <si>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</si>
  <si>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</si>
  <si>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</si>
  <si>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</si>
  <si>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</si>
  <si>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</si>
  <si>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</si>
  <si>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</si>
  <si>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</si>
  <si>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</si>
  <si>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</si>
  <si>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</si>
  <si>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</si>
  <si>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</si>
  <si>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</si>
  <si>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</si>
  <si>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</si>
  <si>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</si>
  <si>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</si>
  <si>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</si>
  <si>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</si>
  <si>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</si>
  <si>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</si>
  <si>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</si>
  <si>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</si>
  <si>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</si>
  <si>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</si>
  <si>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</si>
  <si>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</si>
  <si>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</si>
  <si>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</si>
  <si>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</si>
  <si>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</si>
  <si>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</si>
  <si>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</si>
  <si>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</si>
  <si>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</si>
  <si>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</si>
  <si>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</si>
  <si>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</si>
  <si>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</si>
  <si>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</si>
  <si>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</si>
  <si>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</si>
  <si>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</si>
  <si>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</si>
  <si>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</si>
  <si>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</si>
  <si>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</si>
  <si>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</si>
  <si>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</si>
  <si>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</si>
  <si>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</si>
  <si>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</si>
  <si>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</si>
  <si>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</si>
  <si>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</si>
  <si>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</si>
  <si>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</si>
  <si>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</si>
  <si>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</si>
  <si>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</si>
  <si>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</si>
  <si>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</si>
  <si>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</si>
  <si>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</si>
  <si>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</si>
  <si>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</si>
  <si>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</si>
  <si>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</si>
  <si>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</si>
  <si>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</si>
  <si>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</si>
  <si>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</si>
  <si>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</si>
  <si>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</si>
  <si>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</si>
  <si>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</si>
  <si>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</si>
  <si>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</si>
  <si>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</si>
  <si>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</si>
  <si>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</si>
  <si>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</si>
  <si>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</si>
  <si>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</si>
  <si>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</si>
  <si>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</si>
  <si>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</si>
  <si>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</si>
  <si>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</si>
  <si>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</si>
  <si>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</si>
  <si>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</si>
  <si>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</si>
  <si>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</si>
  <si>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</si>
  <si>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</si>
  <si>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</si>
  <si>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</si>
  <si>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</si>
  <si>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</si>
  <si>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</si>
  <si>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</si>
  <si>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</si>
  <si>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</si>
  <si>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</si>
  <si>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</si>
  <si>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</si>
  <si>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</si>
  <si>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</si>
  <si>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</si>
  <si>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</si>
  <si>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</si>
  <si>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</si>
  <si>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</si>
  <si>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</si>
  <si>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</si>
  <si>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</si>
  <si>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</si>
  <si>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</si>
  <si>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</si>
  <si>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</si>
  <si>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</si>
  <si>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</si>
  <si>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</si>
  <si>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</si>
  <si>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</si>
  <si>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</si>
  <si>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</si>
  <si>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</si>
  <si>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</si>
  <si>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</si>
  <si>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</si>
  <si>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</si>
  <si>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</si>
  <si>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</si>
  <si>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</si>
  <si>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</si>
  <si>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</si>
  <si>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</si>
  <si>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</si>
  <si>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</si>
  <si>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</si>
  <si>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</si>
  <si>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</si>
  <si>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</si>
  <si>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</si>
  <si>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</si>
  <si>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</si>
  <si>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</si>
  <si>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</si>
  <si>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</si>
  <si>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</si>
  <si>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</si>
  <si>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</si>
  <si>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</si>
  <si>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</si>
  <si>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</si>
  <si>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</si>
  <si>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</si>
  <si>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</si>
  <si>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</si>
  <si>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</si>
  <si>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</si>
  <si>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</si>
  <si>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</si>
  <si>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</si>
  <si>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</si>
  <si>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</si>
  <si>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</si>
  <si>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</si>
  <si>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</si>
  <si>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</si>
  <si>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</si>
  <si>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</si>
  <si>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</si>
  <si>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</si>
  <si>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</si>
  <si>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</si>
  <si>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</si>
  <si>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</si>
  <si>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</si>
  <si>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</si>
  <si>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</si>
  <si>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</si>
  <si>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</si>
  <si>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</si>
  <si>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</si>
  <si>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</si>
  <si>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</si>
  <si>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</si>
  <si>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</si>
  <si>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</si>
  <si>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</si>
  <si>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</si>
  <si>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</si>
  <si>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</si>
  <si>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</si>
  <si>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</si>
  <si>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</si>
  <si>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</si>
  <si>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</si>
  <si>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</si>
  <si>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</si>
  <si>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</si>
  <si>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</si>
  <si>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</si>
  <si>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</si>
  <si>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</si>
  <si>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</si>
  <si>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</si>
  <si>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</si>
  <si>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</si>
  <si>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</si>
  <si>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</si>
  <si>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</si>
  <si>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</si>
  <si>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</si>
  <si>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</si>
  <si>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</si>
  <si>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</si>
  <si>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</si>
  <si>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</si>
  <si>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</si>
  <si>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</si>
  <si>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</si>
  <si>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</si>
  <si>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</si>
  <si>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</si>
  <si>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</si>
  <si>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</si>
  <si>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</si>
  <si>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</si>
  <si>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</si>
  <si>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</si>
  <si>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</si>
  <si>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</si>
  <si>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</si>
  <si>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</si>
  <si>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</si>
  <si>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</si>
  <si>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</si>
  <si>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</si>
  <si>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</si>
  <si>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</si>
  <si>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</si>
  <si>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</si>
  <si>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</si>
  <si>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</si>
  <si>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</si>
  <si>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</si>
  <si>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</si>
  <si>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</si>
  <si>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</si>
  <si>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</si>
  <si>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</si>
  <si>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</si>
  <si>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</si>
  <si>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</si>
  <si>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</si>
  <si>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</si>
  <si>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</si>
  <si>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</si>
  <si>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</si>
  <si>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</si>
  <si>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</si>
  <si>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</si>
  <si>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</si>
  <si>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</si>
  <si>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</si>
  <si>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</si>
  <si>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</si>
  <si>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</si>
  <si>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</si>
  <si>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</si>
  <si>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</si>
  <si>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</si>
  <si>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</si>
  <si>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</si>
  <si>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</si>
  <si>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</si>
  <si>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</si>
  <si>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</si>
  <si>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</si>
  <si>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</si>
  <si>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</si>
  <si>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</si>
  <si>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</si>
  <si>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</si>
  <si>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</si>
  <si>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</si>
  <si>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</si>
  <si>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</si>
  <si>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</si>
  <si>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</si>
  <si>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</si>
  <si>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</si>
  <si>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</si>
  <si>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</si>
  <si>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</si>
  <si>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</si>
  <si>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</si>
  <si>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</si>
  <si>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</si>
  <si>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</si>
  <si>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</si>
  <si>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</si>
  <si>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</si>
  <si>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</si>
  <si>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</si>
  <si>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</si>
  <si>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</si>
  <si>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</si>
  <si>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</si>
  <si>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</si>
  <si>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</si>
  <si>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</si>
  <si>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</si>
  <si>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</si>
  <si>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</si>
  <si>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</si>
  <si>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</si>
  <si>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</si>
  <si>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</si>
  <si>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</si>
  <si>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</si>
  <si>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</si>
  <si>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</si>
  <si>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</si>
  <si>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</si>
  <si>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</si>
  <si>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</si>
  <si>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</si>
  <si>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</si>
  <si>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</si>
  <si>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</si>
  <si>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</si>
  <si>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</si>
  <si>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</si>
  <si>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</si>
  <si>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</si>
  <si>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</si>
  <si>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</si>
  <si>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</si>
  <si>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</si>
  <si>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</si>
  <si>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</si>
  <si>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</si>
  <si>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</si>
  <si>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</si>
  <si>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</si>
  <si>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</si>
  <si>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</si>
  <si>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</si>
  <si>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</si>
  <si>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</si>
  <si>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</si>
  <si>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</si>
  <si>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</si>
  <si>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</si>
  <si>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</si>
  <si>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</si>
  <si>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</si>
  <si>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</si>
  <si>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</si>
  <si>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</si>
  <si>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</si>
  <si>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</si>
  <si>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</si>
  <si>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</si>
  <si>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</si>
  <si>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</si>
  <si>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</si>
  <si>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</si>
  <si>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</si>
  <si>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</si>
  <si>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</si>
  <si>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</si>
  <si>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</si>
  <si>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</si>
  <si>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</si>
  <si>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</si>
  <si>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</si>
  <si>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</si>
  <si>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</si>
  <si>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</si>
  <si>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</si>
  <si>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</si>
  <si>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</si>
  <si>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</si>
  <si>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</si>
  <si>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</si>
  <si>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</si>
  <si>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</si>
  <si>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</si>
  <si>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</si>
  <si>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</si>
  <si>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</si>
  <si>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</si>
  <si>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</si>
  <si>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</si>
  <si>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</si>
  <si>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</si>
  <si>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</si>
  <si>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</si>
  <si>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</si>
  <si>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</si>
  <si>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</si>
  <si>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</si>
  <si>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</si>
  <si>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</si>
  <si>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</si>
  <si>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</si>
  <si>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</si>
  <si>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</si>
  <si>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</si>
  <si>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</si>
  <si>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</si>
  <si>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</si>
  <si>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</si>
  <si>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</si>
  <si>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</si>
  <si>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</si>
  <si>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</si>
  <si>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</si>
  <si>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</si>
  <si>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</si>
  <si>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</si>
  <si>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</si>
  <si>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</si>
  <si>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</si>
  <si>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</si>
  <si>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</si>
  <si>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</si>
  <si>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</si>
  <si>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</si>
  <si>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</si>
  <si>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</si>
  <si>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</si>
  <si>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</si>
  <si>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</si>
  <si>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</si>
  <si>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</si>
  <si>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</si>
  <si>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</si>
  <si>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</si>
  <si>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</si>
  <si>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</si>
  <si>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</si>
  <si>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</si>
  <si>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</si>
  <si>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</si>
  <si>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</si>
  <si>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</si>
  <si>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</si>
  <si>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</si>
  <si>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</si>
  <si>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</si>
  <si>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</si>
  <si>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</si>
  <si>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</si>
  <si>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</si>
  <si>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</si>
  <si>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</si>
  <si>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</si>
  <si>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</si>
  <si>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</si>
  <si>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</si>
  <si>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</si>
  <si>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</si>
  <si>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</si>
  <si>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</si>
  <si>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</si>
  <si>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</si>
  <si>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</si>
  <si>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</si>
  <si>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</si>
  <si>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</si>
  <si>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</si>
  <si>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</si>
  <si>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</si>
  <si>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</si>
  <si>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</si>
  <si>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</si>
  <si>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</si>
  <si>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</si>
  <si>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</si>
  <si>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</si>
  <si>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</si>
  <si>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</si>
  <si>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</si>
  <si>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</si>
  <si>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</si>
  <si>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</si>
  <si>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</si>
  <si>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</si>
  <si>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</si>
  <si>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</si>
  <si>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</si>
  <si>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</si>
  <si>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</si>
  <si>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</si>
  <si>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</si>
  <si>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</si>
  <si>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</si>
  <si>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</si>
  <si>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</si>
  <si>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</si>
  <si>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</si>
  <si>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</si>
  <si>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</si>
  <si>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</si>
  <si>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</si>
  <si>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</si>
  <si>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</si>
  <si>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</si>
  <si>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</si>
  <si>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</si>
  <si>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</si>
  <si>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</si>
  <si>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</si>
  <si>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</si>
  <si>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</si>
  <si>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</si>
  <si>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</si>
  <si>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</si>
  <si>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</si>
  <si>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</si>
  <si>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</si>
  <si>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</si>
  <si>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</si>
  <si>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</si>
  <si>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</si>
  <si>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</si>
  <si>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</si>
  <si>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</si>
  <si>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</si>
  <si>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</si>
  <si>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</si>
  <si>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</si>
  <si>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</si>
  <si>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</si>
  <si>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</si>
  <si>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</si>
  <si>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</si>
  <si>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</si>
  <si>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</si>
  <si>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</si>
  <si>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</si>
  <si>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</si>
  <si>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</si>
  <si>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</si>
  <si>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</si>
  <si>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</si>
  <si>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</si>
  <si>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</si>
  <si>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</si>
  <si>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</si>
  <si>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</si>
  <si>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</si>
  <si>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</si>
  <si>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</si>
  <si>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</si>
  <si>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</si>
  <si>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</si>
  <si>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</si>
  <si>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</si>
  <si>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</si>
  <si>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</si>
  <si>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</si>
  <si>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</si>
  <si>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</si>
  <si>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</si>
  <si>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</si>
  <si>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</si>
  <si>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</si>
  <si>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</si>
  <si>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</si>
  <si>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</si>
  <si>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</si>
  <si>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</si>
  <si>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</si>
  <si>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</si>
  <si>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</si>
  <si>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</si>
  <si>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</si>
  <si>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</si>
  <si>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</si>
  <si>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</si>
  <si>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</si>
  <si>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</si>
  <si>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</si>
  <si>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</si>
  <si>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</si>
  <si>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</si>
  <si>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</si>
  <si>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</si>
  <si>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</si>
  <si>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</si>
  <si>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</si>
  <si>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</si>
  <si>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</si>
  <si>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</si>
  <si>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</si>
  <si>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</si>
  <si>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</si>
  <si>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</si>
  <si>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</si>
  <si>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</si>
  <si>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</si>
  <si>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</si>
  <si>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</si>
  <si>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</si>
  <si>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</si>
  <si>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</si>
  <si>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</si>
  <si>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</si>
  <si>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</si>
  <si>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</si>
  <si>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</si>
  <si>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</si>
  <si>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</si>
  <si>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</si>
  <si>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</si>
  <si>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</si>
  <si>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</si>
  <si>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</si>
  <si>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</si>
  <si>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</si>
  <si>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</si>
  <si>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</si>
  <si>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</si>
  <si>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</si>
  <si>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</si>
  <si>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</si>
  <si>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</si>
  <si>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</si>
  <si>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</si>
  <si>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</si>
  <si>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</si>
  <si>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</si>
  <si>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</si>
  <si>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</si>
  <si>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</si>
  <si>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</si>
  <si>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</si>
  <si>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</si>
  <si>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</si>
  <si>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</si>
  <si>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</si>
  <si>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</si>
  <si>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</si>
  <si>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</si>
  <si>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</si>
  <si>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</si>
  <si>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</si>
  <si>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</si>
  <si>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</si>
  <si>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</si>
  <si>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</si>
  <si>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</si>
  <si>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</si>
  <si>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</si>
  <si>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</si>
  <si>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</si>
  <si>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</si>
  <si>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</si>
  <si>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</si>
  <si>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</si>
  <si>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</si>
  <si>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</si>
  <si>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</si>
  <si>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</si>
  <si>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</si>
  <si>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</si>
  <si>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</si>
  <si>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</si>
  <si>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</si>
  <si>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</si>
  <si>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</si>
  <si>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</si>
  <si>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</si>
  <si>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</si>
  <si>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</si>
  <si>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</si>
  <si>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</si>
  <si>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</si>
  <si>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</si>
  <si>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</si>
  <si>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</si>
  <si>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</si>
  <si>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</si>
  <si>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</si>
  <si>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</si>
  <si>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</si>
  <si>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</si>
  <si>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</si>
  <si>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</si>
  <si>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</si>
  <si>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</si>
  <si>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</si>
  <si>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</si>
  <si>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</si>
  <si>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</si>
  <si>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</si>
  <si>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</si>
  <si>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</si>
  <si>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</si>
  <si>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</si>
  <si>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</si>
  <si>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</si>
  <si>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</si>
  <si>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</si>
  <si>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</si>
  <si>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</si>
  <si>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</si>
  <si>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</si>
  <si>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</si>
  <si>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</si>
  <si>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</si>
  <si>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</si>
  <si>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</si>
  <si>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</si>
  <si>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</si>
  <si>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</si>
  <si>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</si>
  <si>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</si>
  <si>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</si>
  <si>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</si>
  <si>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</si>
  <si>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</si>
  <si>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</si>
  <si>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</si>
  <si>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</si>
  <si>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</si>
  <si>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</si>
  <si>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</si>
  <si>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</si>
  <si>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</si>
  <si>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</si>
  <si>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</si>
  <si>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</si>
  <si>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</si>
  <si>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</si>
  <si>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</si>
  <si>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</si>
  <si>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</si>
  <si>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</si>
  <si>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</si>
  <si>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</si>
  <si>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</si>
  <si>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</si>
  <si>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</si>
  <si>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</si>
  <si>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</si>
  <si>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</si>
  <si>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</si>
  <si>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</si>
  <si>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</si>
  <si>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</si>
  <si>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</si>
  <si>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</si>
  <si>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</si>
  <si>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</si>
  <si>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</si>
  <si>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</si>
  <si>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</si>
  <si>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</si>
  <si>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</si>
  <si>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</si>
  <si>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</si>
  <si>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</si>
  <si>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</si>
  <si>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</si>
  <si>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</si>
  <si>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</si>
  <si>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</si>
  <si>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</si>
  <si>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</si>
  <si>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</si>
  <si>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</si>
  <si>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</si>
  <si>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</si>
  <si>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</si>
  <si>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</si>
  <si>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</si>
  <si>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</si>
  <si>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</si>
  <si>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</si>
  <si>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</si>
  <si>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</si>
  <si>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</si>
  <si>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</si>
  <si>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</si>
  <si>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</si>
  <si>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</si>
  <si>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</si>
  <si>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</si>
  <si>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</si>
  <si>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</si>
  <si>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</si>
  <si>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</si>
  <si>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</si>
  <si>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</si>
  <si>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</si>
  <si>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</si>
  <si>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</si>
  <si>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</si>
  <si>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</si>
  <si>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</si>
  <si>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</si>
  <si>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</si>
  <si>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</si>
  <si>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</si>
  <si>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</si>
  <si>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</si>
  <si>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</si>
  <si>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</si>
  <si>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</si>
  <si>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</si>
  <si>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</si>
  <si>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</si>
  <si>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</si>
  <si>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</si>
  <si>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</si>
  <si>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</si>
  <si>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</si>
  <si>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</si>
  <si>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</si>
  <si>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</si>
  <si>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</si>
  <si>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</si>
  <si>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</si>
  <si>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</si>
  <si>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</si>
  <si>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</si>
  <si>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</si>
  <si>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</si>
  <si>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</si>
  <si>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</si>
  <si>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</si>
  <si>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</si>
  <si>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</si>
  <si>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</si>
  <si>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</si>
  <si>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</si>
  <si>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</si>
  <si>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</si>
  <si>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</si>
  <si>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</si>
  <si>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</si>
  <si>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</si>
  <si>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</si>
  <si>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</si>
  <si>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</si>
  <si>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</si>
  <si>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</si>
  <si>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</si>
  <si>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</si>
  <si>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</si>
  <si>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</si>
  <si>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</si>
  <si>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</si>
  <si>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</si>
  <si>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</si>
  <si>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</si>
  <si>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</si>
  <si>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</si>
  <si>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</si>
  <si>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</si>
  <si>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</si>
  <si>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</si>
  <si>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</si>
  <si>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</si>
  <si>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</si>
  <si>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</si>
  <si>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</si>
  <si>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</si>
  <si>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</si>
  <si>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</si>
  <si>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</si>
  <si>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</si>
  <si>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</si>
  <si>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</si>
  <si>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</si>
  <si>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</si>
  <si>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</si>
  <si>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</si>
  <si>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</si>
  <si>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</si>
  <si>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</si>
  <si>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</si>
  <si>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</si>
  <si>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</si>
  <si>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</si>
  <si>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</si>
  <si>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</si>
  <si>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</si>
  <si>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</si>
  <si>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</si>
  <si>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</si>
  <si>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</si>
  <si>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</si>
  <si>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</si>
  <si>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</si>
  <si>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</si>
  <si>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</si>
  <si>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</si>
  <si>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</si>
  <si>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</si>
  <si>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</si>
  <si>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</si>
  <si>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</si>
  <si>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</si>
  <si>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</si>
  <si>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</si>
  <si>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</si>
  <si>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</si>
  <si>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</si>
  <si>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</si>
  <si>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</si>
  <si>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</si>
  <si>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</si>
  <si>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</si>
  <si>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</si>
  <si>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</si>
  <si>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</si>
  <si>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</si>
  <si>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</si>
  <si>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</si>
  <si>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</si>
  <si>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</si>
  <si>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</si>
  <si>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</si>
  <si>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</si>
  <si>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</si>
  <si>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</si>
  <si>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</si>
  <si>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</si>
  <si>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</si>
  <si>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</si>
  <si>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</si>
  <si>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</si>
  <si>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</si>
  <si>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</si>
  <si>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</si>
  <si>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</si>
  <si>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</si>
  <si>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</si>
  <si>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</si>
  <si>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</si>
  <si>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</si>
  <si>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</si>
  <si>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</si>
  <si>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</si>
  <si>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</si>
  <si>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</si>
  <si>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</si>
  <si>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</si>
  <si>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</si>
  <si>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</si>
  <si>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</si>
  <si>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</si>
  <si>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</si>
  <si>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</si>
  <si>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</si>
  <si>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</si>
  <si>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</si>
  <si>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</si>
  <si>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</si>
  <si>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</si>
  <si>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</si>
  <si>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</si>
  <si>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</si>
  <si>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</si>
  <si>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</si>
  <si>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</si>
  <si>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</si>
  <si>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</si>
  <si>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</si>
  <si>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</si>
  <si>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</si>
  <si>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</si>
  <si>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</si>
  <si>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</si>
  <si>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</si>
  <si>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</si>
  <si>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</si>
  <si>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</si>
  <si>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</si>
  <si>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</si>
  <si>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</si>
  <si>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</si>
  <si>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</si>
  <si>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</si>
  <si>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</si>
  <si>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</si>
  <si>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</si>
  <si>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</si>
  <si>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</si>
  <si>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</si>
  <si>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</si>
  <si>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</si>
  <si>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</si>
  <si>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</si>
  <si>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</si>
  <si>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</si>
  <si>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</si>
  <si>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</si>
  <si>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</si>
  <si>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</si>
  <si>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</si>
  <si>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</si>
  <si>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</si>
  <si>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</si>
  <si>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</si>
  <si>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</si>
  <si>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</si>
  <si>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</si>
  <si>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</si>
  <si>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</si>
  <si>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</si>
  <si>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</si>
  <si>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</si>
  <si>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</si>
  <si>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</si>
  <si>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</si>
  <si>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</si>
  <si>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</si>
  <si>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</si>
  <si>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</si>
  <si>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</si>
  <si>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</si>
  <si>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</si>
  <si>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</si>
  <si>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</si>
  <si>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</si>
  <si>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</si>
  <si>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</si>
  <si>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</si>
  <si>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</si>
  <si>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</si>
  <si>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</si>
  <si>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</si>
  <si>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</si>
  <si>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</si>
  <si>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</si>
  <si>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</si>
  <si>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</si>
  <si>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</si>
  <si>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</si>
  <si>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</si>
  <si>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</si>
  <si>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</si>
  <si>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</si>
  <si>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</si>
  <si>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</si>
  <si>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</si>
  <si>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</si>
  <si>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</si>
  <si>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</si>
  <si>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</si>
  <si>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</si>
  <si>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</si>
  <si>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</si>
  <si>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</si>
  <si>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</si>
  <si>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</si>
  <si>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</si>
  <si>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</si>
  <si>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</si>
  <si>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</si>
  <si>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</si>
  <si>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</si>
  <si>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</si>
  <si>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</si>
  <si>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</si>
  <si>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</si>
  <si>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</si>
  <si>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</si>
  <si>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</si>
  <si>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</si>
  <si>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</si>
  <si>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</si>
  <si>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</si>
  <si>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</si>
  <si>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</si>
  <si>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</si>
  <si>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</si>
  <si>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</si>
  <si>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</si>
  <si>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</si>
  <si>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</si>
  <si>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</si>
  <si>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</si>
  <si>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</si>
  <si>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</si>
  <si>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</si>
  <si>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</si>
  <si>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</si>
  <si>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</si>
  <si>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</si>
  <si>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</si>
  <si>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</si>
  <si>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</si>
  <si>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</si>
  <si>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</si>
  <si>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</si>
  <si>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</si>
  <si>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</si>
  <si>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</si>
  <si>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</si>
  <si>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</si>
  <si>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</si>
  <si>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</si>
  <si>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</si>
  <si>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</si>
  <si>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</si>
  <si>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</si>
  <si>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</si>
  <si>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</si>
  <si>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</si>
  <si>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</si>
  <si>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</si>
  <si>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</si>
  <si>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</si>
  <si>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</si>
  <si>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</si>
  <si>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</si>
  <si>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</si>
  <si>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</si>
  <si>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</si>
  <si>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</si>
  <si>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</si>
  <si>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</si>
  <si>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</si>
  <si>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</si>
  <si>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</si>
  <si>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</si>
  <si>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</si>
  <si>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</si>
  <si>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</si>
  <si>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</si>
  <si>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</si>
  <si>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</si>
  <si>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</si>
  <si>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</si>
  <si>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</si>
  <si>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</si>
  <si>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</si>
  <si>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</si>
  <si>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</si>
  <si>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</si>
  <si>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</si>
  <si>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</si>
  <si>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</si>
  <si>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</si>
  <si>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</si>
  <si>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</si>
  <si>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</si>
  <si>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</si>
  <si>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</si>
  <si>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</si>
  <si>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</si>
  <si>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</si>
  <si>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</si>
  <si>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</si>
  <si>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</si>
  <si>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</si>
  <si>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</si>
  <si>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</si>
  <si>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</si>
  <si>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</si>
  <si>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</si>
  <si>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</si>
  <si>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</si>
  <si>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</si>
  <si>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</si>
  <si>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</si>
  <si>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</si>
  <si>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</si>
  <si>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</si>
  <si>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</si>
  <si>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</si>
  <si>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</si>
  <si>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</si>
  <si>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</si>
  <si>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</si>
  <si>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</si>
  <si>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</si>
  <si>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</si>
  <si>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</si>
  <si>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</si>
  <si>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</si>
  <si>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</si>
  <si>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</si>
  <si>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</si>
  <si>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</si>
  <si>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</si>
  <si>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</si>
  <si>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</si>
  <si>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</si>
  <si>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</si>
  <si>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</si>
  <si>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</si>
  <si>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</si>
  <si>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</si>
  <si>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</si>
  <si>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</si>
  <si>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</si>
  <si>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</si>
  <si>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</si>
  <si>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</si>
  <si>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</si>
  <si>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</si>
  <si>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</si>
  <si>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</si>
  <si>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</si>
  <si>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</si>
  <si>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</si>
  <si>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</si>
  <si>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</si>
  <si>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</si>
  <si>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</si>
  <si>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</si>
  <si>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</si>
  <si>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</si>
  <si>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</si>
  <si>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</si>
  <si>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</si>
  <si>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</si>
  <si>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</si>
  <si>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</si>
  <si>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</si>
  <si>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</si>
  <si>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</si>
  <si>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</si>
  <si>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</si>
  <si>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</si>
  <si>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</si>
  <si>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</si>
  <si>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</si>
  <si>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</si>
  <si>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</si>
  <si>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</si>
  <si>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</si>
  <si>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</si>
  <si>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</si>
  <si>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</si>
  <si>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</si>
  <si>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</si>
  <si>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</si>
  <si>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</si>
  <si>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</si>
  <si>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</si>
  <si>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</si>
  <si>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</si>
  <si>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</si>
  <si>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</si>
  <si>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</si>
  <si>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</si>
  <si>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</si>
  <si>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</si>
  <si>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</si>
  <si>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</si>
  <si>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</si>
  <si>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</si>
  <si>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</si>
  <si>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</si>
  <si>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</si>
  <si>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</si>
  <si>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</si>
  <si>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</si>
  <si>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</si>
  <si>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</si>
  <si>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</si>
  <si>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</si>
  <si>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</si>
  <si>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</si>
  <si>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</si>
  <si>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</si>
  <si>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</si>
  <si>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</si>
  <si>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</si>
  <si>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</si>
  <si>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</si>
  <si>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</si>
  <si>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</si>
  <si>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</si>
  <si>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</si>
  <si>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</si>
  <si>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</si>
  <si>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</si>
  <si>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</si>
  <si>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</si>
  <si>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</si>
  <si>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</si>
  <si>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</si>
  <si>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</si>
  <si>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</si>
  <si>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</si>
  <si>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</si>
  <si>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</si>
  <si>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</si>
  <si>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</si>
  <si>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</si>
  <si>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</si>
  <si>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</si>
  <si>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</si>
  <si>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</si>
  <si>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</si>
  <si>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</si>
  <si>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</si>
  <si>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</si>
  <si>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</si>
  <si>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</si>
  <si>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</si>
  <si>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</si>
  <si>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</si>
  <si>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</si>
  <si>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</si>
  <si>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</si>
  <si>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</si>
  <si>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</si>
  <si>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</si>
  <si>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</si>
  <si>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</si>
  <si>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</si>
  <si>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</si>
  <si>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</si>
  <si>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</si>
  <si>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</si>
  <si>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</si>
  <si>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</si>
  <si>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</si>
  <si>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</si>
  <si>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</si>
  <si>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</si>
  <si>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</si>
  <si>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</si>
  <si>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</si>
  <si>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</si>
  <si>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</si>
  <si>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</si>
  <si>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</si>
  <si>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</si>
  <si>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</si>
  <si>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</si>
  <si>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</si>
  <si>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</si>
  <si>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</si>
  <si>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</si>
  <si>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</si>
  <si>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</si>
  <si>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</si>
  <si>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</si>
  <si>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</si>
  <si>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</si>
  <si>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</si>
  <si>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</si>
  <si>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</si>
  <si>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</si>
  <si>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</si>
  <si>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</si>
  <si>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</si>
  <si>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</si>
  <si>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</si>
  <si>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</si>
  <si>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</si>
  <si>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</si>
  <si>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</si>
  <si>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</si>
  <si>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</si>
  <si>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</si>
  <si>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</si>
  <si>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</si>
  <si>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</si>
  <si>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</si>
  <si>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</si>
  <si>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</si>
  <si>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</si>
  <si>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</si>
  <si>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</si>
  <si>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</si>
  <si>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</si>
  <si>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</si>
  <si>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</si>
  <si>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</si>
  <si>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</si>
  <si>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</si>
  <si>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</si>
  <si>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</si>
  <si>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</si>
  <si>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</si>
  <si>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</si>
  <si>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</si>
  <si>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</si>
  <si>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</si>
  <si>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</si>
  <si>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</si>
  <si>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</si>
  <si>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</si>
  <si>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</si>
  <si>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</si>
  <si>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</si>
  <si>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</si>
  <si>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</si>
  <si>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</si>
  <si>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</si>
  <si>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</si>
  <si>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</si>
  <si>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</si>
  <si>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</si>
  <si>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</si>
  <si>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</si>
  <si>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</si>
  <si>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</si>
  <si>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</si>
  <si>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</si>
  <si>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</si>
  <si>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</si>
  <si>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</si>
  <si>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</si>
  <si>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</si>
  <si>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</si>
  <si>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</si>
  <si>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</si>
  <si>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</si>
  <si>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</si>
  <si>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</si>
  <si>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</si>
  <si>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</si>
  <si>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</si>
  <si>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</si>
  <si>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</si>
  <si>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</si>
  <si>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</si>
  <si>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</si>
  <si>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</si>
  <si>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</si>
  <si>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</si>
  <si>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</si>
  <si>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</si>
  <si>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</si>
  <si>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</si>
  <si>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</si>
  <si>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</si>
  <si>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</si>
  <si>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</si>
  <si>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</si>
  <si>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</si>
  <si>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</si>
  <si>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</si>
  <si>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</si>
  <si>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</si>
  <si>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</si>
  <si>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</si>
  <si>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</si>
  <si>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</si>
  <si>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</si>
  <si>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</si>
  <si>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</si>
  <si>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</si>
  <si>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</si>
  <si>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</si>
  <si>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</si>
  <si>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</si>
  <si>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</si>
  <si>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</si>
  <si>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</si>
  <si>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</si>
  <si>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</si>
  <si>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</si>
  <si>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</si>
  <si>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</si>
  <si>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</si>
  <si>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</si>
  <si>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</si>
  <si>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</si>
  <si>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</si>
  <si>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</si>
  <si>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</si>
  <si>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</si>
  <si>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</si>
  <si>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</si>
  <si>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</si>
  <si>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</si>
  <si>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</si>
  <si>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</si>
  <si>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</si>
  <si>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</si>
  <si>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</si>
  <si>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</si>
  <si>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</si>
  <si>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</si>
  <si>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</si>
  <si>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</si>
  <si>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</si>
  <si>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</si>
  <si>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</si>
  <si>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</si>
  <si>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</si>
  <si>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</si>
  <si>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</si>
  <si>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</si>
  <si>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</si>
  <si>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</si>
  <si>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</si>
  <si>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</si>
  <si>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</si>
  <si>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</si>
  <si>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</si>
  <si>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</si>
  <si>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</si>
  <si>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</si>
  <si>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</si>
  <si>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</si>
  <si>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</si>
  <si>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</si>
  <si>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</si>
  <si>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</si>
  <si>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</si>
  <si>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</si>
  <si>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</si>
  <si>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</si>
  <si>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</si>
  <si>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</si>
  <si>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</si>
  <si>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</si>
  <si>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</si>
  <si>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</si>
  <si>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</si>
  <si>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</si>
  <si>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</si>
  <si>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</si>
  <si>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</si>
  <si>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</si>
  <si>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</si>
  <si>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</si>
  <si>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</si>
  <si>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</si>
  <si>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</si>
  <si>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</si>
  <si>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</si>
  <si>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</si>
  <si>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</si>
  <si>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</si>
  <si>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</si>
  <si>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</si>
  <si>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</si>
  <si>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</si>
  <si>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</si>
  <si>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</si>
  <si>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</si>
  <si>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</si>
  <si>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</si>
  <si>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</si>
  <si>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</si>
  <si>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</si>
  <si>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</si>
  <si>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</si>
  <si>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</si>
  <si>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</si>
  <si>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</si>
  <si>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</si>
  <si>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</si>
  <si>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</si>
  <si>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</si>
  <si>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</si>
  <si>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</si>
  <si>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</si>
  <si>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</si>
  <si>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</si>
  <si>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</si>
  <si>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</si>
  <si>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</si>
  <si>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</si>
  <si>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</si>
  <si>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</si>
  <si>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</si>
  <si>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</si>
  <si>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</si>
  <si>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</si>
  <si>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</si>
  <si>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</si>
  <si>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</si>
  <si>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</si>
  <si>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</si>
  <si>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</si>
  <si>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</si>
  <si>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</si>
  <si>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</si>
  <si>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</si>
  <si>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</si>
  <si>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</si>
  <si>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</si>
  <si>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</si>
  <si>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</si>
  <si>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</si>
  <si>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</si>
  <si>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</si>
  <si>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</si>
  <si>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</si>
  <si>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</si>
  <si>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</si>
  <si>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</si>
  <si>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</si>
  <si>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</si>
  <si>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</si>
  <si>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</si>
  <si>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</si>
  <si>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</si>
  <si>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</si>
  <si>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</si>
  <si>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</si>
  <si>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</si>
  <si>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</si>
  <si>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</si>
  <si>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</si>
  <si>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</si>
  <si>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</si>
  <si>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</si>
  <si>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</si>
  <si>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</si>
  <si>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</si>
  <si>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</si>
  <si>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</si>
  <si>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</si>
  <si>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</si>
  <si>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</si>
  <si>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</si>
  <si>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</si>
  <si>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</si>
  <si>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</si>
  <si>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</si>
  <si>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</si>
  <si>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</si>
  <si>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</si>
  <si>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</si>
  <si>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</si>
  <si>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</si>
  <si>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</si>
  <si>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</si>
  <si>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</si>
  <si>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</si>
  <si>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</si>
  <si>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</si>
  <si>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</si>
  <si>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</si>
  <si>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</si>
  <si>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</si>
  <si>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</si>
  <si>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</si>
  <si>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</si>
  <si>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</si>
  <si>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</si>
  <si>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</si>
  <si>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</si>
  <si>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</si>
  <si>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</si>
  <si>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</si>
  <si>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</si>
  <si>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</si>
  <si>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</si>
  <si>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</si>
  <si>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</si>
  <si>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</si>
  <si>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</si>
  <si>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</si>
  <si>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</si>
  <si>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</si>
  <si>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</si>
  <si>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</si>
  <si>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</si>
  <si>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</si>
  <si>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</si>
  <si>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</si>
  <si>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</si>
  <si>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</si>
  <si>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</si>
  <si>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</si>
  <si>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</si>
  <si>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</si>
  <si>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</si>
  <si>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</si>
  <si>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</si>
  <si>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</si>
  <si>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</si>
  <si>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</si>
  <si>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</si>
  <si>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</si>
  <si>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</si>
  <si>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</si>
  <si>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</si>
  <si>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</si>
  <si>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</si>
  <si>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</si>
  <si>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</si>
  <si>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</si>
  <si>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</si>
  <si>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</si>
  <si>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</si>
  <si>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</si>
  <si>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</si>
  <si>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</si>
  <si>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</si>
  <si>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</si>
  <si>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</si>
  <si>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</si>
  <si>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</si>
  <si>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</si>
  <si>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</si>
  <si>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</si>
  <si>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</si>
  <si>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</si>
  <si>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</si>
  <si>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</si>
  <si>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</si>
  <si>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</si>
  <si>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</si>
  <si>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</si>
  <si>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</si>
  <si>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</si>
  <si>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</si>
  <si>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</si>
  <si>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</si>
  <si>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</si>
  <si>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</si>
  <si>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</si>
  <si>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</si>
  <si>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</si>
  <si>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</si>
  <si>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</si>
  <si>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</si>
  <si>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</si>
  <si>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</si>
  <si>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</si>
  <si>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</si>
  <si>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</si>
  <si>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</si>
  <si>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</si>
  <si>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</si>
  <si>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</si>
  <si>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</si>
  <si>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</si>
  <si>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</si>
  <si>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</si>
  <si>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</si>
  <si>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</si>
  <si>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</si>
  <si>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</si>
  <si>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</si>
  <si>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</si>
  <si>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</si>
  <si>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</si>
  <si>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</si>
  <si>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</si>
  <si>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</si>
  <si>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</si>
  <si>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</si>
  <si>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</si>
  <si>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</si>
  <si>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</si>
  <si>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</si>
  <si>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</si>
  <si>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</si>
  <si>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</si>
  <si>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</si>
  <si>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</si>
  <si>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</si>
  <si>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</si>
  <si>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</si>
  <si>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</si>
  <si>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</si>
  <si>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</si>
  <si>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</si>
  <si>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</si>
  <si>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</si>
  <si>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</si>
  <si>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</si>
  <si>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</si>
  <si>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</si>
  <si>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</si>
  <si>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</si>
  <si>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</si>
  <si>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</si>
  <si>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</si>
  <si>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</si>
  <si>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</si>
  <si>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</si>
  <si>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</si>
  <si>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</si>
  <si>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</si>
  <si>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</si>
  <si>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</si>
  <si>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</si>
  <si>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</si>
  <si>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</si>
  <si>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</si>
  <si>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</si>
  <si>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</si>
  <si>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</si>
  <si>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</si>
  <si>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</si>
  <si>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</si>
  <si>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</si>
  <si>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</si>
  <si>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</si>
  <si>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</si>
  <si>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</si>
  <si>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</si>
  <si>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</si>
  <si>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</si>
  <si>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</si>
  <si>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</si>
  <si>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</si>
  <si>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</si>
  <si>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</si>
  <si>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</si>
  <si>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</si>
  <si>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</si>
  <si>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</si>
  <si>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</si>
  <si>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</si>
  <si>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</si>
  <si>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</si>
  <si>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</si>
  <si>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</si>
  <si>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</si>
  <si>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</si>
  <si>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</si>
  <si>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</si>
  <si>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</si>
  <si>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</si>
  <si>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</si>
  <si>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</si>
  <si>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</si>
  <si>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</si>
  <si>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</si>
  <si>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</si>
  <si>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</si>
  <si>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</si>
  <si>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</si>
  <si>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</si>
  <si>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</si>
  <si>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</si>
  <si>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</si>
  <si>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</si>
  <si>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</si>
  <si>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</si>
  <si>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</si>
  <si>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</si>
  <si>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</si>
  <si>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</si>
  <si>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</si>
  <si>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</si>
  <si>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</si>
  <si>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</si>
  <si>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</si>
  <si>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</si>
  <si>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</si>
  <si>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</si>
  <si>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</si>
  <si>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</si>
  <si>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</si>
  <si>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</si>
  <si>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</si>
  <si>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</si>
  <si>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</si>
  <si>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</si>
  <si>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</si>
  <si>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</si>
  <si>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</si>
  <si>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</si>
  <si>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</si>
  <si>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</si>
  <si>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</si>
  <si>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</si>
  <si>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</si>
  <si>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</si>
  <si>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</si>
  <si>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</si>
  <si>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</si>
  <si>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</si>
  <si>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</si>
  <si>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</si>
  <si>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</si>
  <si>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</si>
  <si>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</si>
  <si>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</si>
  <si>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</si>
  <si>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</si>
  <si>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</si>
  <si>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</si>
  <si>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</si>
  <si>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</si>
  <si>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</si>
  <si>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</si>
  <si>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</si>
  <si>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</si>
  <si>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</si>
  <si>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</si>
  <si>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</si>
  <si>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</si>
  <si>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</si>
  <si>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</si>
  <si>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</si>
  <si>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</si>
  <si>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</si>
  <si>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</si>
  <si>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</si>
  <si>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</si>
  <si>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</si>
  <si>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</si>
  <si>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</si>
  <si>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</si>
  <si>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</si>
  <si>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</si>
  <si>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</si>
  <si>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</si>
  <si>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</si>
  <si>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</si>
  <si>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</si>
  <si>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</si>
  <si>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</si>
  <si>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</si>
  <si>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</si>
  <si>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</si>
  <si>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</si>
  <si>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</si>
  <si>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</si>
  <si>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</si>
  <si>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</si>
  <si>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</si>
  <si>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</si>
  <si>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</si>
  <si>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</si>
  <si>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</si>
  <si>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</si>
  <si>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</si>
  <si>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</si>
  <si>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</si>
  <si>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</si>
  <si>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</si>
  <si>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</si>
  <si>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</si>
  <si>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</si>
  <si>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</si>
  <si>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</si>
  <si>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</si>
  <si>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</si>
  <si>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</si>
  <si>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</si>
  <si>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</si>
  <si>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</si>
  <si>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</si>
  <si>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</si>
  <si>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</si>
  <si>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</si>
  <si>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</si>
  <si>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</si>
  <si>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</si>
  <si>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</si>
  <si>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</si>
  <si>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</si>
  <si>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</si>
  <si>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</si>
  <si>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</si>
  <si>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</si>
  <si>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</si>
  <si>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</si>
  <si>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</si>
  <si>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</si>
  <si>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</si>
  <si>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</si>
  <si>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</si>
  <si>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</si>
  <si>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</si>
  <si>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</si>
  <si>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</si>
  <si>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</si>
  <si>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</si>
  <si>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</si>
  <si>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</si>
  <si>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</si>
  <si>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</si>
  <si>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</si>
  <si>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</si>
  <si>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</si>
  <si>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</si>
  <si>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</si>
  <si>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</si>
  <si>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</si>
  <si>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</si>
  <si>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</si>
  <si>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</si>
  <si>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</si>
  <si>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</si>
  <si>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</si>
  <si>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</si>
  <si>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</si>
  <si>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</si>
  <si>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</si>
  <si>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</si>
  <si>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</si>
  <si>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</si>
  <si>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</si>
  <si>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</si>
  <si>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</si>
  <si>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</si>
  <si>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</si>
  <si>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</si>
  <si>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</si>
  <si>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</si>
  <si>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</si>
  <si>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</si>
  <si>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</si>
  <si>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</si>
  <si>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</si>
  <si>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</si>
  <si>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</si>
  <si>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</si>
  <si>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</si>
  <si>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</si>
  <si>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</si>
  <si>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</si>
  <si>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</si>
  <si>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</si>
  <si>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</si>
  <si>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</si>
  <si>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</si>
  <si>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</si>
  <si>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</si>
  <si>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</si>
  <si>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</si>
  <si>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</si>
  <si>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</si>
  <si>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</si>
  <si>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</si>
  <si>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</si>
  <si>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</si>
  <si>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</si>
  <si>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</si>
  <si>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</si>
  <si>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</si>
  <si>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</si>
  <si>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</si>
  <si>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</si>
  <si>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</si>
  <si>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</si>
  <si>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</si>
  <si>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</si>
  <si>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</si>
  <si>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</si>
  <si>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</si>
  <si>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</si>
  <si>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</si>
  <si>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</si>
  <si>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</si>
  <si>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</si>
  <si>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</si>
  <si>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</si>
  <si>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</si>
  <si>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</si>
  <si>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</si>
  <si>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</si>
  <si>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</si>
  <si>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</si>
  <si>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</si>
  <si>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</si>
  <si>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</si>
  <si>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</si>
  <si>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</si>
  <si>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</si>
  <si>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</si>
  <si>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</si>
  <si>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</si>
  <si>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</si>
  <si>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</si>
  <si>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</si>
  <si>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</si>
  <si>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</si>
  <si>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</si>
  <si>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</si>
  <si>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</si>
  <si>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</si>
  <si>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</si>
  <si>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</si>
  <si>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</si>
  <si>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</si>
  <si>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</si>
  <si>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</si>
  <si>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</si>
  <si>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</si>
  <si>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</si>
  <si>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</si>
  <si>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</si>
  <si>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</si>
  <si>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</si>
  <si>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</si>
  <si>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</si>
  <si>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</si>
  <si>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</si>
  <si>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</si>
  <si>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</si>
  <si>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</si>
  <si>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</si>
  <si>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</si>
  <si>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</si>
  <si>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</si>
  <si>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</si>
  <si>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</si>
  <si>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</si>
  <si>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</si>
  <si>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</si>
  <si>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</si>
  <si>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</si>
  <si>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</si>
  <si>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</si>
  <si>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</si>
  <si>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</si>
  <si>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</si>
  <si>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</si>
  <si>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</si>
  <si>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</si>
  <si>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</si>
  <si>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</si>
  <si>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</si>
  <si>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</si>
  <si>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</si>
  <si>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</si>
  <si>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</si>
  <si>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</si>
  <si>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</si>
  <si>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</si>
  <si>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</si>
  <si>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</si>
  <si>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</si>
  <si>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</si>
  <si>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</si>
  <si>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</si>
  <si>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</si>
  <si>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</si>
  <si>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</si>
  <si>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</si>
  <si>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</si>
  <si>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</si>
  <si>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</si>
  <si>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</si>
  <si>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</si>
  <si>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</si>
  <si>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</si>
  <si>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</si>
  <si>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</si>
  <si>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</si>
  <si>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</si>
  <si>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</si>
  <si>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</si>
  <si>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</si>
  <si>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</si>
  <si>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</si>
  <si>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</si>
  <si>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</si>
  <si>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</si>
  <si>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</si>
  <si>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</si>
  <si>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</si>
  <si>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</si>
  <si>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</si>
  <si>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</si>
  <si>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</si>
  <si>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</si>
  <si>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</si>
  <si>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</si>
  <si>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</si>
  <si>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</si>
  <si>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</si>
  <si>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</si>
  <si>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</si>
  <si>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</si>
  <si>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</si>
  <si>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</si>
  <si>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</si>
  <si>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</si>
  <si>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</si>
  <si>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</si>
  <si>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</si>
  <si>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</si>
  <si>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</si>
  <si>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</si>
  <si>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</si>
  <si>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</si>
  <si>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</si>
  <si>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</si>
  <si>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</si>
  <si>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</si>
  <si>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</si>
  <si>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</si>
  <si>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</si>
  <si>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</si>
  <si>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</si>
  <si>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</si>
  <si>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</si>
  <si>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</si>
  <si>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</si>
  <si>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</si>
  <si>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</si>
  <si>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</si>
  <si>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</si>
  <si>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</si>
  <si>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</si>
  <si>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</si>
  <si>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</si>
  <si>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</si>
  <si>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</si>
  <si>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</si>
  <si>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</si>
  <si>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</si>
  <si>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</si>
  <si>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</si>
  <si>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</si>
  <si>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</si>
  <si>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</si>
  <si>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</si>
  <si>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</si>
  <si>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</si>
  <si>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</si>
  <si>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</si>
  <si>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</si>
  <si>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</si>
  <si>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</si>
  <si>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</si>
  <si>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</si>
  <si>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</si>
  <si>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</si>
  <si>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</si>
  <si>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</si>
  <si>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</si>
  <si>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</si>
  <si>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</si>
  <si>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</si>
  <si>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</si>
  <si>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</si>
  <si>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</si>
  <si>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</si>
  <si>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</si>
  <si>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</si>
  <si>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</si>
  <si>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</si>
  <si>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</si>
  <si>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</si>
  <si>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</si>
  <si>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</si>
  <si>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</si>
  <si>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</si>
  <si>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</si>
  <si>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</si>
  <si>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</si>
  <si>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</si>
  <si>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</si>
  <si>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</si>
  <si>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</si>
  <si>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</si>
  <si>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</si>
  <si>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</si>
  <si>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</si>
  <si>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</si>
  <si>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</si>
  <si>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</si>
  <si>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</si>
  <si>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</si>
  <si>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</si>
  <si>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</si>
  <si>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</si>
  <si>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</si>
  <si>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</si>
  <si>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</si>
  <si>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</si>
  <si>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</si>
  <si>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</si>
  <si>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</si>
  <si>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</si>
  <si>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</si>
  <si>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</si>
  <si>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</si>
  <si>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</si>
  <si>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</si>
  <si>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</si>
  <si>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</si>
  <si>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</si>
  <si>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</si>
  <si>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</si>
  <si>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</si>
  <si>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</si>
  <si>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</si>
  <si>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</si>
  <si>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</si>
  <si>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</si>
  <si>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</si>
  <si>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</si>
  <si>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</si>
  <si>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</si>
  <si>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</si>
  <si>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</si>
  <si>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</si>
  <si>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</si>
  <si>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</si>
  <si>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</si>
  <si>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</si>
  <si>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</si>
  <si>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</si>
  <si>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</si>
  <si>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</si>
  <si>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</si>
  <si>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</si>
  <si>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</si>
  <si>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</si>
  <si>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</si>
  <si>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</si>
  <si>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</si>
  <si>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</si>
  <si>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</si>
  <si>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</si>
  <si>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</si>
  <si>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</si>
  <si>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</si>
  <si>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</si>
  <si>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</si>
  <si>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order_date_clean</t>
  </si>
  <si>
    <t>ship_date_clean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</si>
  <si>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</si>
  <si>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</si>
  <si>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</si>
  <si>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</si>
  <si>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</si>
  <si>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</si>
  <si>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</si>
  <si>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</si>
  <si>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</si>
  <si>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</si>
  <si>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</si>
  <si>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</si>
  <si>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</si>
  <si>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</si>
  <si>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</si>
  <si>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</si>
  <si>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</si>
  <si>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</si>
  <si>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</si>
  <si>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</si>
  <si>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</si>
  <si>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date_quality_flag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</si>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</sst>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B80E-1838-473D-992E-C4660CC098C9}">
  <dimension ref="A1:AD933"/>
  <sheetViews>
    <sheetView topLeftCell="J907" workbookViewId="0">
      <selection activeCell="G1" sqref="A1:AD933"/>
    </sheetView>
  </sheetViews>
  <sheetFormatPr defaultRowHeight="14.4"/>
  <cols>
    <col min="1" max="1" width="15.109375" bestFit="1" customWidth="1"/>
    <col min="2" max="3" width="11.44140625" bestFit="1" customWidth="1"/>
    <col min="4" max="4" width="10" bestFit="1" customWidth="1"/>
    <col min="5" max="5" width="13.77734375" bestFit="1" customWidth="1"/>
    <col min="6" max="6" width="15" bestFit="1" customWidth="1"/>
    <col min="7" max="7" width="8.77734375" bestFit="1" customWidth="1"/>
    <col min="8" max="8" width="14.5546875" bestFit="1" customWidth="1"/>
    <col min="9" max="9" width="12" bestFit="1" customWidth="1"/>
    <col min="10" max="10" width="14.88671875" bestFit="1" customWidth="1"/>
    <col min="11" max="11" width="10.44140625" bestFit="1" customWidth="1"/>
    <col min="12" max="12" width="20" bestFit="1" customWidth="1"/>
    <col min="13" max="13" width="15.44140625" bestFit="1" customWidth="1"/>
    <col min="15" max="15" width="8.33203125" bestFit="1" customWidth="1"/>
    <col min="16" max="16" width="8.6640625" bestFit="1" customWidth="1"/>
    <col min="17" max="19" width="9" bestFit="1" customWidth="1"/>
    <col min="21" max="21" width="11.21875" bestFit="1" customWidth="1"/>
    <col min="22" max="22" width="14.44140625" bestFit="1" customWidth="1"/>
    <col min="23" max="23" width="15" bestFit="1" customWidth="1"/>
    <col min="24" max="24" width="12.109375" bestFit="1" customWidth="1"/>
    <col min="25" max="25" width="31.88671875" bestFit="1" customWidth="1"/>
    <col min="26" max="26" width="15.5546875" bestFit="1" customWidth="1"/>
    <col min="27" max="27" width="14.33203125" bestFit="1" customWidth="1"/>
    <col min="28" max="28" width="17.77734375" bestFit="1" customWidth="1"/>
    <col min="29" max="29" width="9.77734375" bestFit="1" customWidth="1"/>
    <col min="30" max="30" width="10" bestFit="1" customWidth="1"/>
  </cols>
  <sheetData>
    <row r="1" spans="1:30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27</v>
      </c>
      <c r="Z1" s="1" t="s">
        <v>4096</v>
      </c>
      <c r="AA1" s="1" t="s">
        <v>4097</v>
      </c>
      <c r="AB1" s="1" t="s">
        <v>24</v>
      </c>
      <c r="AC1" s="1" t="s">
        <v>25</v>
      </c>
      <c r="AD1" s="1" t="s">
        <v>26</v>
      </c>
    </row>
    <row r="2" spans="1:30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41</v>
      </c>
      <c r="U2" t="s">
        <v>42</v>
      </c>
      <c r="V2">
        <f t="shared" ref="V2:V65" si="0">O2*(1-P2)*N2</f>
        <v>19049.28</v>
      </c>
      <c r="W2">
        <f t="shared" ref="W2:W65" si="1">Q2-R2</f>
        <v>3207.3899999999994</v>
      </c>
      <c r="X2">
        <f t="shared" ref="X2:X65" si="2">IF(Q2=0,"",S2/Q2)</f>
        <v>0.16837329284886357</v>
      </c>
      <c r="Y2" t="str">
        <f>_xlfn.TEXTJOIN(", ",TRUE,IF(G2="Unknown","Missing Region",""),IF(M2="Unknown","Missing Ship Mode",""),IF(P2&lt;0,"Negative Discount",""),IF(P2&gt;0.7,"High Discount",""),IF(C2&lt;B2,"Ship Before Order",""))</f>
        <v>Ship Before Order</v>
      </c>
      <c r="Z2" s="2">
        <f>IFERROR(
  IF(ISNUMBER(B2),B2,
    IF(ISNUMBER(SEARCH("-",B2)*1),
      IF(LEN(LEFT(B2,FIND("-",B2)-1))=4,
        DATE(VALUE(LEFT(B2,4)),VALUE(MID(B2,6,2)),VALUE(RIGHT(B2,2))),
        DATE(VALUE(RIGHT(B2,4)),VALUE(MID(B2,4,2)),VALUE(LEFT(B2,2)))
      ),
      IF(ISNUMBER(SEARCH("/",B2)*1),
        DATE(VALUE(RIGHT(B2,4)),VALUE(LEFT(B2,2)),VALUE(MID(B2,4,2))),
        DATEVALUE(B2)
      )
    )
  ),
"INVALID_DATE")</f>
        <v>45494</v>
      </c>
      <c r="AA2" s="2">
        <f>IFERROR(
  IF(ISNUMBER(C2),C2,
    IF(ISNUMBER(SEARCH("-",C2)*1),
      IF(LEN(LEFT(C2,FIND("-",C2)-1))=4,
        DATE(VALUE(LEFT(C2,4)),VALUE(MID(C2,6,2)),VALUE(RIGHT(C2,2))),
        DATE(VALUE(RIGHT(C2,4)),VALUE(MID(C2,4,2)),VALUE(LEFT(C2,2)))
      ),
      IF(ISNUMBER(SEARCH("/",C2)*1),
        DATE(VALUE(RIGHT(C2,4)),VALUE(LEFT(C2,2)),VALUE(MID(C2,4,2))),
        DATEVALUE(C2)
      )
    )
  ),
"INVALID_DATE")</f>
        <v>45500</v>
      </c>
      <c r="AB2">
        <f>AA2-Z2</f>
        <v>6</v>
      </c>
      <c r="AC2" t="str">
        <f>TEXT(Z2,"mmmm")</f>
        <v>July</v>
      </c>
      <c r="AD2">
        <f>YEAR(Z2)</f>
        <v>2024</v>
      </c>
    </row>
    <row r="3" spans="1:30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41</v>
      </c>
      <c r="U3" t="s">
        <v>42</v>
      </c>
      <c r="V3">
        <f t="shared" si="0"/>
        <v>7312.5</v>
      </c>
      <c r="W3">
        <f t="shared" si="1"/>
        <v>2407.7700000000004</v>
      </c>
      <c r="X3">
        <f t="shared" si="2"/>
        <v>0.32926769230769232</v>
      </c>
      <c r="Y3" t="str">
        <f>_xlfn.TEXTJOIN(", ",TRUE,IF(G3="Unknown","Missing Region",""),IF(M3="Unknown","Missing Ship Mode",""),IF(P3&lt;0,"Negative Discount",""),IF(P3&gt;0.7,"High Discount",""),IF(C3&lt;B3,"Ship Before Order",""))</f>
        <v>Ship Before Order</v>
      </c>
      <c r="Z3" s="2">
        <f>IFERROR(
  IF(ISNUMBER(B3),B3,
    IF(ISNUMBER(SEARCH("-",B3)*1),
      IF(LEN(LEFT(B3,FIND("-",B3)-1))=4,
        DATE(VALUE(LEFT(B3,4)),VALUE(MID(B3,6,2)),VALUE(RIGHT(B3,2))),
        DATE(VALUE(RIGHT(B3,4)),VALUE(MID(B3,4,2)),VALUE(LEFT(B3,2)))
      ),
      IF(ISNUMBER(SEARCH("/",B3)*1),
        DATE(VALUE(RIGHT(B3,4)),VALUE(LEFT(B3,2)),VALUE(MID(B3,4,2))),
        DATEVALUE(B3)
      )
    )
  ),
"INVALID_DATE")</f>
        <v>45535</v>
      </c>
      <c r="AA3" s="2">
        <f>IFERROR(
  IF(ISNUMBER(C3),C3,
    IF(ISNUMBER(SEARCH("-",C3)*1),
      IF(LEN(LEFT(C3,FIND("-",C3)-1))=4,
        DATE(VALUE(LEFT(C3,4)),VALUE(MID(C3,6,2)),VALUE(RIGHT(C3,2))),
        DATE(VALUE(RIGHT(C3,4)),VALUE(MID(C3,4,2)),VALUE(LEFT(C3,2)))
      ),
      IF(ISNUMBER(SEARCH("/",C3)*1),
        DATE(VALUE(RIGHT(C3,4)),VALUE(LEFT(C3,2)),VALUE(MID(C3,4,2))),
        DATEVALUE(C3)
      )
    )
  ),
"INVALID_DATE")</f>
        <v>45540</v>
      </c>
      <c r="AB3">
        <f t="shared" ref="AB3:AB66" si="3">AA3-Z3</f>
        <v>5</v>
      </c>
      <c r="AC3" t="str">
        <f t="shared" ref="AC3:AC66" si="4">TEXT(Z3,"mmmm")</f>
        <v>August</v>
      </c>
      <c r="AD3">
        <f t="shared" ref="AD3:AD66" si="5">YEAR(Z3)</f>
        <v>2024</v>
      </c>
    </row>
    <row r="4" spans="1:30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33</v>
      </c>
      <c r="G4" t="s">
        <v>49</v>
      </c>
      <c r="H4" t="s">
        <v>50</v>
      </c>
      <c r="I4" t="s">
        <v>51</v>
      </c>
      <c r="J4" t="s">
        <v>37</v>
      </c>
      <c r="K4" t="s">
        <v>61</v>
      </c>
      <c r="L4" t="s">
        <v>62</v>
      </c>
      <c r="M4" t="s">
        <v>63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41</v>
      </c>
      <c r="U4" t="s">
        <v>42</v>
      </c>
      <c r="V4">
        <f t="shared" si="0"/>
        <v>1917.7739999999999</v>
      </c>
      <c r="W4">
        <f t="shared" si="1"/>
        <v>1796.0300000000002</v>
      </c>
      <c r="X4">
        <f t="shared" si="2"/>
        <v>0.42143313028542462</v>
      </c>
      <c r="Y4" t="str">
        <f>_xlfn.TEXTJOIN(", ",TRUE,IF(G4="Unknown","Missing Region",""),IF(M4="Unknown","Missing Ship Mode",""),IF(P4&lt;0,"Negative Discount",""),IF(P4&gt;0.7,"High Discount",""),IF(C4&lt;B4,"Ship Before Order",""))</f>
        <v/>
      </c>
      <c r="Z4" s="2">
        <f>IFERROR(
  IF(ISNUMBER(B4),B4,
    IF(ISNUMBER(SEARCH("-",B4)*1),
      IF(LEN(LEFT(B4,FIND("-",B4)-1))=4,
        DATE(VALUE(LEFT(B4,4)),VALUE(MID(B4,6,2)),VALUE(RIGHT(B4,2))),
        DATE(VALUE(RIGHT(B4,4)),VALUE(MID(B4,4,2)),VALUE(LEFT(B4,2)))
      ),
      IF(ISNUMBER(SEARCH("/",B4)*1),
        DATE(VALUE(RIGHT(B4,4)),VALUE(LEFT(B4,2)),VALUE(MID(B4,4,2))),
        DATEVALUE(B4)
      )
    )
  ),
"INVALID_DATE")</f>
        <v>45451</v>
      </c>
      <c r="AA4" s="2">
        <f>IFERROR(
  IF(ISNUMBER(C4),C4,
    IF(ISNUMBER(SEARCH("-",C4)*1),
      IF(LEN(LEFT(C4,FIND("-",C4)-1))=4,
        DATE(VALUE(LEFT(C4,4)),VALUE(MID(C4,6,2)),VALUE(RIGHT(C4,2))),
        DATE(VALUE(RIGHT(C4,4)),VALUE(MID(C4,4,2)),VALUE(LEFT(C4,2)))
      ),
      IF(ISNUMBER(SEARCH("/",C4)*1),
        DATE(VALUE(RIGHT(C4,4)),VALUE(LEFT(C4,2)),VALUE(MID(C4,4,2))),
        DATEVALUE(C4)
      )
    )
  ),
"INVALID_DATE")</f>
        <v>45458</v>
      </c>
      <c r="AB4">
        <f t="shared" si="3"/>
        <v>7</v>
      </c>
      <c r="AC4" t="str">
        <f t="shared" si="4"/>
        <v>June</v>
      </c>
      <c r="AD4">
        <f t="shared" si="5"/>
        <v>2024</v>
      </c>
    </row>
    <row r="5" spans="1:30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48</v>
      </c>
      <c r="G5" t="s">
        <v>69</v>
      </c>
      <c r="H5" t="s">
        <v>70</v>
      </c>
      <c r="I5" t="s">
        <v>71</v>
      </c>
      <c r="J5" t="s">
        <v>52</v>
      </c>
      <c r="K5" t="s">
        <v>72</v>
      </c>
      <c r="L5" t="s">
        <v>73</v>
      </c>
      <c r="M5" t="s">
        <v>74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41</v>
      </c>
      <c r="U5" t="s">
        <v>42</v>
      </c>
      <c r="V5">
        <f t="shared" si="0"/>
        <v>8317.9349999999995</v>
      </c>
      <c r="W5">
        <f t="shared" si="1"/>
        <v>1521.1599999999999</v>
      </c>
      <c r="X5">
        <f t="shared" si="2"/>
        <v>0.18287723027243558</v>
      </c>
      <c r="Y5" t="str">
        <f>_xlfn.TEXTJOIN(", ",TRUE,IF(G5="Unknown","Missing Region",""),IF(M5="Unknown","Missing Ship Mode",""),IF(P5&lt;0,"Negative Discount",""),IF(P5&gt;0.7,"High Discount",""),IF(C5&lt;B5,"Ship Before Order",""))</f>
        <v>Ship Before Order</v>
      </c>
      <c r="Z5" s="2">
        <f>IFERROR(
  IF(ISNUMBER(B5),B5,
    IF(ISNUMBER(SEARCH("-",B5)*1),
      IF(LEN(LEFT(B5,FIND("-",B5)-1))=4,
        DATE(VALUE(LEFT(B5,4)),VALUE(MID(B5,6,2)),VALUE(RIGHT(B5,2))),
        DATE(VALUE(RIGHT(B5,4)),VALUE(MID(B5,4,2)),VALUE(LEFT(B5,2)))
      ),
      IF(ISNUMBER(SEARCH("/",B5)*1),
        DATE(VALUE(RIGHT(B5,4)),VALUE(LEFT(B5,2)),VALUE(MID(B5,4,2))),
        DATEVALUE(B5)
      )
    )
  ),
"INVALID_DATE")</f>
        <v>45624</v>
      </c>
      <c r="AA5" s="2">
        <f>IFERROR(
  IF(ISNUMBER(C5),C5,
    IF(ISNUMBER(SEARCH("-",C5)*1),
      IF(LEN(LEFT(C5,FIND("-",C5)-1))=4,
        DATE(VALUE(LEFT(C5,4)),VALUE(MID(C5,6,2)),VALUE(RIGHT(C5,2))),
        DATE(VALUE(RIGHT(C5,4)),VALUE(MID(C5,4,2)),VALUE(LEFT(C5,2)))
      ),
      IF(ISNUMBER(SEARCH("/",C5)*1),
        DATE(VALUE(RIGHT(C5,4)),VALUE(LEFT(C5,2)),VALUE(MID(C5,4,2))),
        DATEVALUE(C5)
      )
    )
  ),
"INVALID_DATE")</f>
        <v>45625</v>
      </c>
      <c r="AB5">
        <f t="shared" si="3"/>
        <v>1</v>
      </c>
      <c r="AC5" t="str">
        <f t="shared" si="4"/>
        <v>November</v>
      </c>
      <c r="AD5">
        <f t="shared" si="5"/>
        <v>2024</v>
      </c>
    </row>
    <row r="6" spans="1:30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48</v>
      </c>
      <c r="G6" t="s">
        <v>80</v>
      </c>
      <c r="H6" t="s">
        <v>81</v>
      </c>
      <c r="I6" t="s">
        <v>82</v>
      </c>
      <c r="J6" t="s">
        <v>52</v>
      </c>
      <c r="K6" t="s">
        <v>83</v>
      </c>
      <c r="L6" t="s">
        <v>84</v>
      </c>
      <c r="M6" t="s">
        <v>63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41</v>
      </c>
      <c r="U6" t="s">
        <v>85</v>
      </c>
      <c r="V6">
        <f t="shared" si="0"/>
        <v>20816.32</v>
      </c>
      <c r="W6">
        <f t="shared" si="1"/>
        <v>3110.9500000000007</v>
      </c>
      <c r="X6">
        <f t="shared" si="2"/>
        <v>0.14944764492475135</v>
      </c>
      <c r="Y6" t="str">
        <f>_xlfn.TEXTJOIN(", ",TRUE,IF(G6="Unknown","Missing Region",""),IF(M6="Unknown","Missing Ship Mode",""),IF(P6&lt;0,"Negative Discount",""),IF(P6&gt;0.7,"High Discount",""),IF(C6&lt;B6,"Ship Before Order",""))</f>
        <v>Ship Before Order</v>
      </c>
      <c r="Z6" s="2">
        <f>IFERROR(
  IF(ISNUMBER(B6),B6,
    IF(ISNUMBER(SEARCH("-",B6)*1),
      IF(LEN(LEFT(B6,FIND("-",B6)-1))=4,
        DATE(VALUE(LEFT(B6,4)),VALUE(MID(B6,6,2)),VALUE(RIGHT(B6,2))),
        DATE(VALUE(RIGHT(B6,4)),VALUE(MID(B6,4,2)),VALUE(LEFT(B6,2)))
      ),
      IF(ISNUMBER(SEARCH("/",B6)*1),
        DATE(VALUE(RIGHT(B6,4)),VALUE(LEFT(B6,2)),VALUE(MID(B6,4,2))),
        DATEVALUE(B6)
      )
    )
  ),
"INVALID_DATE")</f>
        <v>45898</v>
      </c>
      <c r="AA6" s="2">
        <f>IFERROR(
  IF(ISNUMBER(C6),C6,
    IF(ISNUMBER(SEARCH("-",C6)*1),
      IF(LEN(LEFT(C6,FIND("-",C6)-1))=4,
        DATE(VALUE(LEFT(C6,4)),VALUE(MID(C6,6,2)),VALUE(RIGHT(C6,2))),
        DATE(VALUE(RIGHT(C6,4)),VALUE(MID(C6,4,2)),VALUE(LEFT(C6,2)))
      ),
      IF(ISNUMBER(SEARCH("/",C6)*1),
        DATE(VALUE(RIGHT(C6,4)),VALUE(LEFT(C6,2)),VALUE(MID(C6,4,2))),
        DATEVALUE(C6)
      )
    )
  ),
"INVALID_DATE")</f>
        <v>45901</v>
      </c>
      <c r="AB6">
        <f t="shared" si="3"/>
        <v>3</v>
      </c>
      <c r="AC6" t="str">
        <f t="shared" si="4"/>
        <v>August</v>
      </c>
      <c r="AD6">
        <f t="shared" si="5"/>
        <v>2025</v>
      </c>
    </row>
    <row r="7" spans="1:30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48</v>
      </c>
      <c r="G7" t="s">
        <v>80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55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41</v>
      </c>
      <c r="U7" t="s">
        <v>42</v>
      </c>
      <c r="V7">
        <f t="shared" si="0"/>
        <v>2527.4639999999999</v>
      </c>
      <c r="W7">
        <f t="shared" si="1"/>
        <v>993.88000000000011</v>
      </c>
      <c r="X7">
        <f t="shared" si="2"/>
        <v>0.39323273167527872</v>
      </c>
      <c r="Y7" t="str">
        <f>_xlfn.TEXTJOIN(", ",TRUE,IF(G7="Unknown","Missing Region",""),IF(M7="Unknown","Missing Ship Mode",""),IF(P7&lt;0,"Negative Discount",""),IF(P7&gt;0.7,"High Discount",""),IF(C7&lt;B7,"Ship Before Order",""))</f>
        <v/>
      </c>
      <c r="Z7" s="2">
        <f>IFERROR(
  IF(ISNUMBER(B7),B7,
    IF(ISNUMBER(SEARCH("-",B7)*1),
      IF(LEN(LEFT(B7,FIND("-",B7)-1))=4,
        DATE(VALUE(LEFT(B7,4)),VALUE(MID(B7,6,2)),VALUE(RIGHT(B7,2))),
        DATE(VALUE(RIGHT(B7,4)),VALUE(MID(B7,4,2)),VALUE(LEFT(B7,2)))
      ),
      IF(ISNUMBER(SEARCH("/",B7)*1),
        DATE(VALUE(RIGHT(B7,4)),VALUE(LEFT(B7,2)),VALUE(MID(B7,4,2))),
        DATEVALUE(B7)
      )
    )
  ),
"INVALID_DATE")</f>
        <v>45436</v>
      </c>
      <c r="AA7" s="2">
        <f>IFERROR(
  IF(ISNUMBER(C7),C7,
    IF(ISNUMBER(SEARCH("-",C7)*1),
      IF(LEN(LEFT(C7,FIND("-",C7)-1))=4,
        DATE(VALUE(LEFT(C7,4)),VALUE(MID(C7,6,2)),VALUE(RIGHT(C7,2))),
        DATE(VALUE(RIGHT(C7,4)),VALUE(MID(C7,4,2)),VALUE(LEFT(C7,2)))
      ),
      IF(ISNUMBER(SEARCH("/",C7)*1),
        DATE(VALUE(RIGHT(C7,4)),VALUE(LEFT(C7,2)),VALUE(MID(C7,4,2))),
        DATEVALUE(C7)
      )
    )
  ),
"INVALID_DATE")</f>
        <v>45440</v>
      </c>
      <c r="AB7">
        <f t="shared" si="3"/>
        <v>4</v>
      </c>
      <c r="AC7" t="str">
        <f t="shared" si="4"/>
        <v>May</v>
      </c>
      <c r="AD7">
        <f t="shared" si="5"/>
        <v>2024</v>
      </c>
    </row>
    <row r="8" spans="1:30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33</v>
      </c>
      <c r="G8" t="s">
        <v>49</v>
      </c>
      <c r="H8" t="s">
        <v>50</v>
      </c>
      <c r="I8" t="s">
        <v>51</v>
      </c>
      <c r="J8" t="s">
        <v>93</v>
      </c>
      <c r="K8" t="s">
        <v>101</v>
      </c>
      <c r="L8" t="s">
        <v>102</v>
      </c>
      <c r="M8" t="s">
        <v>74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41</v>
      </c>
      <c r="U8" t="s">
        <v>42</v>
      </c>
      <c r="V8">
        <f t="shared" si="0"/>
        <v>5847.5579999999991</v>
      </c>
      <c r="W8">
        <f t="shared" si="1"/>
        <v>1120.3100000000004</v>
      </c>
      <c r="X8">
        <f t="shared" si="2"/>
        <v>0.19158589223539388</v>
      </c>
      <c r="Y8" t="str">
        <f>_xlfn.TEXTJOIN(", ",TRUE,IF(G8="Unknown","Missing Region",""),IF(M8="Unknown","Missing Ship Mode",""),IF(P8&lt;0,"Negative Discount",""),IF(P8&gt;0.7,"High Discount",""),IF(C8&lt;B8,"Ship Before Order",""))</f>
        <v/>
      </c>
      <c r="Z8" s="2">
        <f>IFERROR(
  IF(ISNUMBER(B8),B8,
    IF(ISNUMBER(SEARCH("-",B8)*1),
      IF(LEN(LEFT(B8,FIND("-",B8)-1))=4,
        DATE(VALUE(LEFT(B8,4)),VALUE(MID(B8,6,2)),VALUE(RIGHT(B8,2))),
        DATE(VALUE(RIGHT(B8,4)),VALUE(MID(B8,4,2)),VALUE(LEFT(B8,2)))
      ),
      IF(ISNUMBER(SEARCH("/",B8)*1),
        DATE(VALUE(RIGHT(B8,4)),VALUE(LEFT(B8,2)),VALUE(MID(B8,4,2))),
        DATEVALUE(B8)
      )
    )
  ),
"INVALID_DATE")</f>
        <v>45757</v>
      </c>
      <c r="AA8" s="2">
        <f>IFERROR(
  IF(ISNUMBER(C8),C8,
    IF(ISNUMBER(SEARCH("-",C8)*1),
      IF(LEN(LEFT(C8,FIND("-",C8)-1))=4,
        DATE(VALUE(LEFT(C8,4)),VALUE(MID(C8,6,2)),VALUE(RIGHT(C8,2))),
        DATE(VALUE(RIGHT(C8,4)),VALUE(MID(C8,4,2)),VALUE(LEFT(C8,2)))
      ),
      IF(ISNUMBER(SEARCH("/",C8)*1),
        DATE(VALUE(RIGHT(C8,4)),VALUE(LEFT(C8,2)),VALUE(MID(C8,4,2))),
        DATEVALUE(C8)
      )
    )
  ),
"INVALID_DATE")</f>
        <v>45763</v>
      </c>
      <c r="AB8">
        <f t="shared" si="3"/>
        <v>6</v>
      </c>
      <c r="AC8" t="str">
        <f t="shared" si="4"/>
        <v>April</v>
      </c>
      <c r="AD8">
        <f t="shared" si="5"/>
        <v>2025</v>
      </c>
    </row>
    <row r="9" spans="1:30">
      <c r="A9" t="s">
        <v>103</v>
      </c>
      <c r="B9" t="s">
        <v>104</v>
      </c>
      <c r="C9" t="s">
        <v>105</v>
      </c>
      <c r="D9" t="s">
        <v>106</v>
      </c>
      <c r="E9" t="s">
        <v>60</v>
      </c>
      <c r="F9" t="s">
        <v>48</v>
      </c>
      <c r="G9" t="s">
        <v>69</v>
      </c>
      <c r="H9" t="s">
        <v>107</v>
      </c>
      <c r="I9" t="s">
        <v>108</v>
      </c>
      <c r="J9" t="s">
        <v>37</v>
      </c>
      <c r="K9" t="s">
        <v>61</v>
      </c>
      <c r="L9" t="s">
        <v>109</v>
      </c>
      <c r="M9" t="s">
        <v>63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41</v>
      </c>
      <c r="U9" t="s">
        <v>42</v>
      </c>
      <c r="V9">
        <f t="shared" si="0"/>
        <v>2980.71</v>
      </c>
      <c r="W9">
        <f t="shared" si="1"/>
        <v>623.49000000000024</v>
      </c>
      <c r="X9">
        <f t="shared" si="2"/>
        <v>0.20917499521925983</v>
      </c>
      <c r="Y9" t="str">
        <f>_xlfn.TEXTJOIN(", ",TRUE,IF(G9="Unknown","Missing Region",""),IF(M9="Unknown","Missing Ship Mode",""),IF(P9&lt;0,"Negative Discount",""),IF(P9&gt;0.7,"High Discount",""),IF(C9&lt;B9,"Ship Before Order",""))</f>
        <v/>
      </c>
      <c r="Z9" s="2">
        <f>IFERROR(
  IF(ISNUMBER(B9),B9,
    IF(ISNUMBER(SEARCH("-",B9)*1),
      IF(LEN(LEFT(B9,FIND("-",B9)-1))=4,
        DATE(VALUE(LEFT(B9,4)),VALUE(MID(B9,6,2)),VALUE(RIGHT(B9,2))),
        DATE(VALUE(RIGHT(B9,4)),VALUE(MID(B9,4,2)),VALUE(LEFT(B9,2)))
      ),
      IF(ISNUMBER(SEARCH("/",B9)*1),
        DATE(VALUE(RIGHT(B9,4)),VALUE(LEFT(B9,2)),VALUE(MID(B9,4,2))),
        DATEVALUE(B9)
      )
    )
  ),
"INVALID_DATE")</f>
        <v>45711</v>
      </c>
      <c r="AA9" s="2">
        <f>IFERROR(
  IF(ISNUMBER(C9),C9,
    IF(ISNUMBER(SEARCH("-",C9)*1),
      IF(LEN(LEFT(C9,FIND("-",C9)-1))=4,
        DATE(VALUE(LEFT(C9,4)),VALUE(MID(C9,6,2)),VALUE(RIGHT(C9,2))),
        DATE(VALUE(RIGHT(C9,4)),VALUE(MID(C9,4,2)),VALUE(LEFT(C9,2)))
      ),
      IF(ISNUMBER(SEARCH("/",C9)*1),
        DATE(VALUE(RIGHT(C9,4)),VALUE(LEFT(C9,2)),VALUE(MID(C9,4,2))),
        DATEVALUE(C9)
      )
    )
  ),
"INVALID_DATE")</f>
        <v>45714</v>
      </c>
      <c r="AB9">
        <f t="shared" si="3"/>
        <v>3</v>
      </c>
      <c r="AC9" t="str">
        <f t="shared" si="4"/>
        <v>February</v>
      </c>
      <c r="AD9">
        <f t="shared" si="5"/>
        <v>2025</v>
      </c>
    </row>
    <row r="10" spans="1:30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s">
        <v>69</v>
      </c>
      <c r="H10" t="s">
        <v>70</v>
      </c>
      <c r="I10" t="s">
        <v>71</v>
      </c>
      <c r="J10" t="s">
        <v>37</v>
      </c>
      <c r="K10" t="s">
        <v>116</v>
      </c>
      <c r="L10" t="s">
        <v>117</v>
      </c>
      <c r="M10" t="s">
        <v>63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41</v>
      </c>
      <c r="U10" t="s">
        <v>42</v>
      </c>
      <c r="V10">
        <f t="shared" si="0"/>
        <v>25073.599999999999</v>
      </c>
      <c r="W10">
        <f t="shared" si="1"/>
        <v>7726.369999999999</v>
      </c>
      <c r="X10">
        <f t="shared" si="2"/>
        <v>0.30814761342607366</v>
      </c>
      <c r="Y10" t="str">
        <f>_xlfn.TEXTJOIN(", ",TRUE,IF(G10="Unknown","Missing Region",""),IF(M10="Unknown","Missing Ship Mode",""),IF(P10&lt;0,"Negative Discount",""),IF(P10&gt;0.7,"High Discount",""),IF(C10&lt;B10,"Ship Before Order",""))</f>
        <v/>
      </c>
      <c r="Z10" s="2">
        <f>IFERROR(
  IF(ISNUMBER(B10),B10,
    IF(ISNUMBER(SEARCH("-",B10)*1),
      IF(LEN(LEFT(B10,FIND("-",B10)-1))=4,
        DATE(VALUE(LEFT(B10,4)),VALUE(MID(B10,6,2)),VALUE(RIGHT(B10,2))),
        DATE(VALUE(RIGHT(B10,4)),VALUE(MID(B10,4,2)),VALUE(LEFT(B10,2)))
      ),
      IF(ISNUMBER(SEARCH("/",B10)*1),
        DATE(VALUE(RIGHT(B10,4)),VALUE(LEFT(B10,2)),VALUE(MID(B10,4,2))),
        DATEVALUE(B10)
      )
    )
  ),
"INVALID_DATE")</f>
        <v>45601</v>
      </c>
      <c r="AA10" s="2">
        <f>IFERROR(
  IF(ISNUMBER(C10),C10,
    IF(ISNUMBER(SEARCH("-",C10)*1),
      IF(LEN(LEFT(C10,FIND("-",C10)-1))=4,
        DATE(VALUE(LEFT(C10,4)),VALUE(MID(C10,6,2)),VALUE(RIGHT(C10,2))),
        DATE(VALUE(RIGHT(C10,4)),VALUE(MID(C10,4,2)),VALUE(LEFT(C10,2)))
      ),
      IF(ISNUMBER(SEARCH("/",C10)*1),
        DATE(VALUE(RIGHT(C10,4)),VALUE(LEFT(C10,2)),VALUE(MID(C10,4,2))),
        DATEVALUE(C10)
      )
    )
  ),
"INVALID_DATE")</f>
        <v>45606</v>
      </c>
      <c r="AB10">
        <f t="shared" si="3"/>
        <v>5</v>
      </c>
      <c r="AC10" t="str">
        <f t="shared" si="4"/>
        <v>November</v>
      </c>
      <c r="AD10">
        <f t="shared" si="5"/>
        <v>2024</v>
      </c>
    </row>
    <row r="11" spans="1:30">
      <c r="A11" t="s">
        <v>118</v>
      </c>
      <c r="B11" t="s">
        <v>119</v>
      </c>
      <c r="C11" t="s">
        <v>120</v>
      </c>
      <c r="D11" t="s">
        <v>121</v>
      </c>
      <c r="E11" t="s">
        <v>47</v>
      </c>
      <c r="F11" t="s">
        <v>122</v>
      </c>
      <c r="G11" t="s">
        <v>69</v>
      </c>
      <c r="H11" t="s">
        <v>70</v>
      </c>
      <c r="I11" t="s">
        <v>71</v>
      </c>
      <c r="J11" t="s">
        <v>37</v>
      </c>
      <c r="K11" t="s">
        <v>38</v>
      </c>
      <c r="L11" t="s">
        <v>123</v>
      </c>
      <c r="M11" t="s">
        <v>40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41</v>
      </c>
      <c r="U11" t="s">
        <v>42</v>
      </c>
      <c r="V11">
        <f t="shared" si="0"/>
        <v>6134.6880000000001</v>
      </c>
      <c r="W11">
        <f t="shared" si="1"/>
        <v>2334.4999999999995</v>
      </c>
      <c r="X11">
        <f t="shared" si="2"/>
        <v>0.3805408260238089</v>
      </c>
      <c r="Y11" t="str">
        <f>_xlfn.TEXTJOIN(", ",TRUE,IF(G11="Unknown","Missing Region",""),IF(M11="Unknown","Missing Ship Mode",""),IF(P11&lt;0,"Negative Discount",""),IF(P11&gt;0.7,"High Discount",""),IF(C11&lt;B11,"Ship Before Order",""))</f>
        <v/>
      </c>
      <c r="Z11" s="2">
        <f>IFERROR(
  IF(ISNUMBER(B11),B11,
    IF(ISNUMBER(SEARCH("-",B11)*1),
      IF(LEN(LEFT(B11,FIND("-",B11)-1))=4,
        DATE(VALUE(LEFT(B11,4)),VALUE(MID(B11,6,2)),VALUE(RIGHT(B11,2))),
        DATE(VALUE(RIGHT(B11,4)),VALUE(MID(B11,4,2)),VALUE(LEFT(B11,2)))
      ),
      IF(ISNUMBER(SEARCH("/",B11)*1),
        DATE(VALUE(RIGHT(B11,4)),VALUE(LEFT(B11,2)),VALUE(MID(B11,4,2))),
        DATEVALUE(B11)
      )
    )
  ),
"INVALID_DATE")</f>
        <v>45907</v>
      </c>
      <c r="AA11" s="2">
        <f>IFERROR(
  IF(ISNUMBER(C11),C11,
    IF(ISNUMBER(SEARCH("-",C11)*1),
      IF(LEN(LEFT(C11,FIND("-",C11)-1))=4,
        DATE(VALUE(LEFT(C11,4)),VALUE(MID(C11,6,2)),VALUE(RIGHT(C11,2))),
        DATE(VALUE(RIGHT(C11,4)),VALUE(MID(C11,4,2)),VALUE(LEFT(C11,2)))
      ),
      IF(ISNUMBER(SEARCH("/",C11)*1),
        DATE(VALUE(RIGHT(C11,4)),VALUE(LEFT(C11,2)),VALUE(MID(C11,4,2))),
        DATEVALUE(C11)
      )
    )
  ),
"INVALID_DATE")</f>
        <v>45912</v>
      </c>
      <c r="AB11">
        <f t="shared" si="3"/>
        <v>5</v>
      </c>
      <c r="AC11" t="str">
        <f t="shared" si="4"/>
        <v>September</v>
      </c>
      <c r="AD11">
        <f t="shared" si="5"/>
        <v>2025</v>
      </c>
    </row>
    <row r="12" spans="1:30">
      <c r="A12" t="s">
        <v>124</v>
      </c>
      <c r="B12" t="s">
        <v>125</v>
      </c>
      <c r="C12" t="s">
        <v>126</v>
      </c>
      <c r="D12" t="s">
        <v>127</v>
      </c>
      <c r="E12" t="s">
        <v>79</v>
      </c>
      <c r="F12" t="s">
        <v>115</v>
      </c>
      <c r="G12" t="s">
        <v>49</v>
      </c>
      <c r="H12" t="s">
        <v>128</v>
      </c>
      <c r="I12" t="s">
        <v>129</v>
      </c>
      <c r="J12" t="s">
        <v>37</v>
      </c>
      <c r="K12" t="s">
        <v>116</v>
      </c>
      <c r="L12" t="s">
        <v>130</v>
      </c>
      <c r="M12" t="s">
        <v>40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131</v>
      </c>
      <c r="U12" t="s">
        <v>132</v>
      </c>
      <c r="V12">
        <f t="shared" si="0"/>
        <v>10074.2655</v>
      </c>
      <c r="W12">
        <f t="shared" si="1"/>
        <v>4026</v>
      </c>
      <c r="X12">
        <f t="shared" si="2"/>
        <v>0.39963193362893784</v>
      </c>
      <c r="Y12" t="str">
        <f>_xlfn.TEXTJOIN(", ",TRUE,IF(G12="Unknown","Missing Region",""),IF(M12="Unknown","Missing Ship Mode",""),IF(P12&lt;0,"Negative Discount",""),IF(P12&gt;0.7,"High Discount",""),IF(C12&lt;B12,"Ship Before Order",""))</f>
        <v>Ship Before Order</v>
      </c>
      <c r="Z12" s="2">
        <f>IFERROR(
  IF(ISNUMBER(B12),B12,
    IF(ISNUMBER(SEARCH("-",B12)*1),
      IF(LEN(LEFT(B12,FIND("-",B12)-1))=4,
        DATE(VALUE(LEFT(B12,4)),VALUE(MID(B12,6,2)),VALUE(RIGHT(B12,2))),
        DATE(VALUE(RIGHT(B12,4)),VALUE(MID(B12,4,2)),VALUE(LEFT(B12,2)))
      ),
      IF(ISNUMBER(SEARCH("/",B12)*1),
        DATE(VALUE(RIGHT(B12,4)),VALUE(LEFT(B12,2)),VALUE(MID(B12,4,2))),
        DATEVALUE(B12)
      )
    )
  ),
"INVALID_DATE")</f>
        <v>45797</v>
      </c>
      <c r="AA12" s="2">
        <f>IFERROR(
  IF(ISNUMBER(C12),C12,
    IF(ISNUMBER(SEARCH("-",C12)*1),
      IF(LEN(LEFT(C12,FIND("-",C12)-1))=4,
        DATE(VALUE(LEFT(C12,4)),VALUE(MID(C12,6,2)),VALUE(RIGHT(C12,2))),
        DATE(VALUE(RIGHT(C12,4)),VALUE(MID(C12,4,2)),VALUE(LEFT(C12,2)))
      ),
      IF(ISNUMBER(SEARCH("/",C12)*1),
        DATE(VALUE(RIGHT(C12,4)),VALUE(LEFT(C12,2)),VALUE(MID(C12,4,2))),
        DATEVALUE(C12)
      )
    )
  ),
"INVALID_DATE")</f>
        <v>45797</v>
      </c>
      <c r="AB12">
        <f t="shared" si="3"/>
        <v>0</v>
      </c>
      <c r="AC12" t="str">
        <f t="shared" si="4"/>
        <v>May</v>
      </c>
      <c r="AD12">
        <f t="shared" si="5"/>
        <v>2025</v>
      </c>
    </row>
    <row r="13" spans="1:30">
      <c r="A13" t="s">
        <v>133</v>
      </c>
      <c r="B13" t="s">
        <v>134</v>
      </c>
      <c r="C13" t="s">
        <v>135</v>
      </c>
      <c r="D13" t="s">
        <v>136</v>
      </c>
      <c r="E13" t="s">
        <v>90</v>
      </c>
      <c r="F13" t="s">
        <v>48</v>
      </c>
      <c r="G13" t="s">
        <v>49</v>
      </c>
      <c r="H13" t="s">
        <v>50</v>
      </c>
      <c r="I13" t="s">
        <v>51</v>
      </c>
      <c r="J13" t="s">
        <v>93</v>
      </c>
      <c r="K13" t="s">
        <v>94</v>
      </c>
      <c r="L13" t="s">
        <v>137</v>
      </c>
      <c r="M13" t="s">
        <v>55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41</v>
      </c>
      <c r="U13" t="s">
        <v>42</v>
      </c>
      <c r="V13">
        <f t="shared" si="0"/>
        <v>9628.5600000000013</v>
      </c>
      <c r="W13">
        <f t="shared" si="1"/>
        <v>1589.9699999999993</v>
      </c>
      <c r="X13">
        <f t="shared" si="2"/>
        <v>0.16513061143099281</v>
      </c>
      <c r="Y13" t="str">
        <f>_xlfn.TEXTJOIN(", ",TRUE,IF(G13="Unknown","Missing Region",""),IF(M13="Unknown","Missing Ship Mode",""),IF(P13&lt;0,"Negative Discount",""),IF(P13&gt;0.7,"High Discount",""),IF(C13&lt;B13,"Ship Before Order",""))</f>
        <v/>
      </c>
      <c r="Z13" s="2">
        <f>IFERROR(
  IF(ISNUMBER(B13),B13,
    IF(ISNUMBER(SEARCH("-",B13)*1),
      IF(LEN(LEFT(B13,FIND("-",B13)-1))=4,
        DATE(VALUE(LEFT(B13,4)),VALUE(MID(B13,6,2)),VALUE(RIGHT(B13,2))),
        DATE(VALUE(RIGHT(B13,4)),VALUE(MID(B13,4,2)),VALUE(LEFT(B13,2)))
      ),
      IF(ISNUMBER(SEARCH("/",B13)*1),
        DATE(VALUE(RIGHT(B13,4)),VALUE(LEFT(B13,2)),VALUE(MID(B13,4,2))),
        DATEVALUE(B13)
      )
    )
  ),
"INVALID_DATE")</f>
        <v>45495</v>
      </c>
      <c r="AA13" s="2">
        <f>IFERROR(
  IF(ISNUMBER(C13),C13,
    IF(ISNUMBER(SEARCH("-",C13)*1),
      IF(LEN(LEFT(C13,FIND("-",C13)-1))=4,
        DATE(VALUE(LEFT(C13,4)),VALUE(MID(C13,6,2)),VALUE(RIGHT(C13,2))),
        DATE(VALUE(RIGHT(C13,4)),VALUE(MID(C13,4,2)),VALUE(LEFT(C13,2)))
      ),
      IF(ISNUMBER(SEARCH("/",C13)*1),
        DATE(VALUE(RIGHT(C13,4)),VALUE(LEFT(C13,2)),VALUE(MID(C13,4,2))),
        DATEVALUE(C13)
      )
    )
  ),
"INVALID_DATE")</f>
        <v>45496</v>
      </c>
      <c r="AB13">
        <f t="shared" si="3"/>
        <v>1</v>
      </c>
      <c r="AC13" t="str">
        <f t="shared" si="4"/>
        <v>July</v>
      </c>
      <c r="AD13">
        <f t="shared" si="5"/>
        <v>2024</v>
      </c>
    </row>
    <row r="14" spans="1:30">
      <c r="A14" t="s">
        <v>138</v>
      </c>
      <c r="B14" t="s">
        <v>139</v>
      </c>
      <c r="C14" t="s">
        <v>140</v>
      </c>
      <c r="D14" t="s">
        <v>141</v>
      </c>
      <c r="E14" t="s">
        <v>79</v>
      </c>
      <c r="F14" t="s">
        <v>115</v>
      </c>
      <c r="G14" t="s">
        <v>80</v>
      </c>
      <c r="H14" t="s">
        <v>35</v>
      </c>
      <c r="I14" t="s">
        <v>142</v>
      </c>
      <c r="J14" t="s">
        <v>37</v>
      </c>
      <c r="K14" t="s">
        <v>38</v>
      </c>
      <c r="L14" t="s">
        <v>143</v>
      </c>
      <c r="M14" t="s">
        <v>63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144</v>
      </c>
      <c r="U14" t="s">
        <v>132</v>
      </c>
      <c r="V14">
        <f t="shared" si="0"/>
        <v>596.81899999999996</v>
      </c>
      <c r="W14">
        <f t="shared" si="1"/>
        <v>216.57000000000005</v>
      </c>
      <c r="X14">
        <f t="shared" si="2"/>
        <v>0.36287322810897754</v>
      </c>
      <c r="Y14" t="str">
        <f>_xlfn.TEXTJOIN(", ",TRUE,IF(G14="Unknown","Missing Region",""),IF(M14="Unknown","Missing Ship Mode",""),IF(P14&lt;0,"Negative Discount",""),IF(P14&gt;0.7,"High Discount",""),IF(C14&lt;B14,"Ship Before Order",""))</f>
        <v>Ship Before Order</v>
      </c>
      <c r="Z14" s="2">
        <f>IFERROR(
  IF(ISNUMBER(B14),B14,
    IF(ISNUMBER(SEARCH("-",B14)*1),
      IF(LEN(LEFT(B14,FIND("-",B14)-1))=4,
        DATE(VALUE(LEFT(B14,4)),VALUE(MID(B14,6,2)),VALUE(RIGHT(B14,2))),
        DATE(VALUE(RIGHT(B14,4)),VALUE(MID(B14,4,2)),VALUE(LEFT(B14,2)))
      ),
      IF(ISNUMBER(SEARCH("/",B14)*1),
        DATE(VALUE(RIGHT(B14,4)),VALUE(LEFT(B14,2)),VALUE(MID(B14,4,2))),
        DATEVALUE(B14)
      )
    )
  ),
"INVALID_DATE")</f>
        <v>45646</v>
      </c>
      <c r="AA14" s="2">
        <f>IFERROR(
  IF(ISNUMBER(C14),C14,
    IF(ISNUMBER(SEARCH("-",C14)*1),
      IF(LEN(LEFT(C14,FIND("-",C14)-1))=4,
        DATE(VALUE(LEFT(C14,4)),VALUE(MID(C14,6,2)),VALUE(RIGHT(C14,2))),
        DATE(VALUE(RIGHT(C14,4)),VALUE(MID(C14,4,2)),VALUE(LEFT(C14,2)))
      ),
      IF(ISNUMBER(SEARCH("/",C14)*1),
        DATE(VALUE(RIGHT(C14,4)),VALUE(LEFT(C14,2)),VALUE(MID(C14,4,2))),
        DATEVALUE(C14)
      )
    )
  ),
"INVALID_DATE")</f>
        <v>45647</v>
      </c>
      <c r="AB14">
        <f t="shared" si="3"/>
        <v>1</v>
      </c>
      <c r="AC14" t="str">
        <f t="shared" si="4"/>
        <v>December</v>
      </c>
      <c r="AD14">
        <f t="shared" si="5"/>
        <v>2024</v>
      </c>
    </row>
    <row r="15" spans="1:30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48</v>
      </c>
      <c r="G15" t="s">
        <v>80</v>
      </c>
      <c r="H15" t="s">
        <v>81</v>
      </c>
      <c r="I15" t="s">
        <v>82</v>
      </c>
      <c r="J15" t="s">
        <v>37</v>
      </c>
      <c r="K15" t="s">
        <v>61</v>
      </c>
      <c r="L15" t="s">
        <v>150</v>
      </c>
      <c r="M15" t="s">
        <v>40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41</v>
      </c>
      <c r="U15" t="s">
        <v>42</v>
      </c>
      <c r="V15">
        <f t="shared" si="0"/>
        <v>26365.387999999995</v>
      </c>
      <c r="W15">
        <f t="shared" si="1"/>
        <v>4059.1499999999978</v>
      </c>
      <c r="X15">
        <f t="shared" si="2"/>
        <v>0.15395751779131658</v>
      </c>
      <c r="Y15" t="str">
        <f>_xlfn.TEXTJOIN(", ",TRUE,IF(G15="Unknown","Missing Region",""),IF(M15="Unknown","Missing Ship Mode",""),IF(P15&lt;0,"Negative Discount",""),IF(P15&gt;0.7,"High Discount",""),IF(C15&lt;B15,"Ship Before Order",""))</f>
        <v>Ship Before Order</v>
      </c>
      <c r="Z15" s="2">
        <f>IFERROR(
  IF(ISNUMBER(B15),B15,
    IF(ISNUMBER(SEARCH("-",B15)*1),
      IF(LEN(LEFT(B15,FIND("-",B15)-1))=4,
        DATE(VALUE(LEFT(B15,4)),VALUE(MID(B15,6,2)),VALUE(RIGHT(B15,2))),
        DATE(VALUE(RIGHT(B15,4)),VALUE(MID(B15,4,2)),VALUE(LEFT(B15,2)))
      ),
      IF(ISNUMBER(SEARCH("/",B15)*1),
        DATE(VALUE(RIGHT(B15,4)),VALUE(LEFT(B15,2)),VALUE(MID(B15,4,2))),
        DATEVALUE(B15)
      )
    )
  ),
"INVALID_DATE")</f>
        <v>45942</v>
      </c>
      <c r="AA15" s="2">
        <f>IFERROR(
  IF(ISNUMBER(C15),C15,
    IF(ISNUMBER(SEARCH("-",C15)*1),
      IF(LEN(LEFT(C15,FIND("-",C15)-1))=4,
        DATE(VALUE(LEFT(C15,4)),VALUE(MID(C15,6,2)),VALUE(RIGHT(C15,2))),
        DATE(VALUE(RIGHT(C15,4)),VALUE(MID(C15,4,2)),VALUE(LEFT(C15,2)))
      ),
      IF(ISNUMBER(SEARCH("/",C15)*1),
        DATE(VALUE(RIGHT(C15,4)),VALUE(LEFT(C15,2)),VALUE(MID(C15,4,2))),
        DATEVALUE(C15)
      )
    )
  ),
"INVALID_DATE")</f>
        <v>45946</v>
      </c>
      <c r="AB15">
        <f t="shared" si="3"/>
        <v>4</v>
      </c>
      <c r="AC15" t="str">
        <f t="shared" si="4"/>
        <v>October</v>
      </c>
      <c r="AD15">
        <f t="shared" si="5"/>
        <v>2025</v>
      </c>
    </row>
    <row r="16" spans="1:30">
      <c r="A16" t="s">
        <v>151</v>
      </c>
      <c r="B16" t="s">
        <v>152</v>
      </c>
      <c r="C16" t="s">
        <v>153</v>
      </c>
      <c r="D16" t="s">
        <v>154</v>
      </c>
      <c r="E16" t="s">
        <v>155</v>
      </c>
      <c r="F16" t="s">
        <v>33</v>
      </c>
      <c r="G16" t="s">
        <v>80</v>
      </c>
      <c r="H16" t="s">
        <v>35</v>
      </c>
      <c r="I16" t="s">
        <v>142</v>
      </c>
      <c r="J16" t="s">
        <v>93</v>
      </c>
      <c r="K16" t="s">
        <v>101</v>
      </c>
      <c r="L16" t="s">
        <v>156</v>
      </c>
      <c r="M16" t="s">
        <v>74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41</v>
      </c>
      <c r="U16" t="s">
        <v>42</v>
      </c>
      <c r="V16">
        <f t="shared" si="0"/>
        <v>4106.7449999999999</v>
      </c>
      <c r="W16">
        <f t="shared" si="1"/>
        <v>1440.4399999999996</v>
      </c>
      <c r="X16">
        <f t="shared" si="2"/>
        <v>0.35075023010952727</v>
      </c>
      <c r="Y16" t="str">
        <f>_xlfn.TEXTJOIN(", ",TRUE,IF(G16="Unknown","Missing Region",""),IF(M16="Unknown","Missing Ship Mode",""),IF(P16&lt;0,"Negative Discount",""),IF(P16&gt;0.7,"High Discount",""),IF(C16&lt;B16,"Ship Before Order",""))</f>
        <v>Ship Before Order</v>
      </c>
      <c r="Z16" s="2">
        <f>IFERROR(
  IF(ISNUMBER(B16),B16,
    IF(ISNUMBER(SEARCH("-",B16)*1),
      IF(LEN(LEFT(B16,FIND("-",B16)-1))=4,
        DATE(VALUE(LEFT(B16,4)),VALUE(MID(B16,6,2)),VALUE(RIGHT(B16,2))),
        DATE(VALUE(RIGHT(B16,4)),VALUE(MID(B16,4,2)),VALUE(LEFT(B16,2)))
      ),
      IF(ISNUMBER(SEARCH("/",B16)*1),
        DATE(VALUE(RIGHT(B16,4)),VALUE(LEFT(B16,2)),VALUE(MID(B16,4,2))),
        DATEVALUE(B16)
      )
    )
  ),
"INVALID_DATE")</f>
        <v>45653</v>
      </c>
      <c r="AA16" s="2">
        <f>IFERROR(
  IF(ISNUMBER(C16),C16,
    IF(ISNUMBER(SEARCH("-",C16)*1),
      IF(LEN(LEFT(C16,FIND("-",C16)-1))=4,
        DATE(VALUE(LEFT(C16,4)),VALUE(MID(C16,6,2)),VALUE(RIGHT(C16,2))),
        DATE(VALUE(RIGHT(C16,4)),VALUE(MID(C16,4,2)),VALUE(LEFT(C16,2)))
      ),
      IF(ISNUMBER(SEARCH("/",C16)*1),
        DATE(VALUE(RIGHT(C16,4)),VALUE(LEFT(C16,2)),VALUE(MID(C16,4,2))),
        DATEVALUE(C16)
      )
    )
  ),
"INVALID_DATE")</f>
        <v>45654</v>
      </c>
      <c r="AB16">
        <f t="shared" si="3"/>
        <v>1</v>
      </c>
      <c r="AC16" t="str">
        <f t="shared" si="4"/>
        <v>December</v>
      </c>
      <c r="AD16">
        <f t="shared" si="5"/>
        <v>2024</v>
      </c>
    </row>
    <row r="17" spans="1:30">
      <c r="A17" t="s">
        <v>157</v>
      </c>
      <c r="B17" t="s">
        <v>158</v>
      </c>
      <c r="C17" t="s">
        <v>159</v>
      </c>
      <c r="D17" t="s">
        <v>160</v>
      </c>
      <c r="E17" t="s">
        <v>32</v>
      </c>
      <c r="F17" t="s">
        <v>48</v>
      </c>
      <c r="G17" t="s">
        <v>34</v>
      </c>
      <c r="H17" t="s">
        <v>161</v>
      </c>
      <c r="I17" t="s">
        <v>162</v>
      </c>
      <c r="J17" t="s">
        <v>37</v>
      </c>
      <c r="K17" t="s">
        <v>163</v>
      </c>
      <c r="L17" t="s">
        <v>164</v>
      </c>
      <c r="M17" t="s">
        <v>40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41</v>
      </c>
      <c r="U17" t="s">
        <v>42</v>
      </c>
      <c r="V17">
        <f t="shared" si="0"/>
        <v>23794.560000000001</v>
      </c>
      <c r="W17">
        <f t="shared" si="1"/>
        <v>8096.090000000002</v>
      </c>
      <c r="X17">
        <f t="shared" si="2"/>
        <v>0.34024962008122867</v>
      </c>
      <c r="Y17" t="str">
        <f>_xlfn.TEXTJOIN(", ",TRUE,IF(G17="Unknown","Missing Region",""),IF(M17="Unknown","Missing Ship Mode",""),IF(P17&lt;0,"Negative Discount",""),IF(P17&gt;0.7,"High Discount",""),IF(C17&lt;B17,"Ship Before Order",""))</f>
        <v/>
      </c>
      <c r="Z17" s="2">
        <f>IFERROR(
  IF(ISNUMBER(B17),B17,
    IF(ISNUMBER(SEARCH("-",B17)*1),
      IF(LEN(LEFT(B17,FIND("-",B17)-1))=4,
        DATE(VALUE(LEFT(B17,4)),VALUE(MID(B17,6,2)),VALUE(RIGHT(B17,2))),
        DATE(VALUE(RIGHT(B17,4)),VALUE(MID(B17,4,2)),VALUE(LEFT(B17,2)))
      ),
      IF(ISNUMBER(SEARCH("/",B17)*1),
        DATE(VALUE(RIGHT(B17,4)),VALUE(LEFT(B17,2)),VALUE(MID(B17,4,2))),
        DATEVALUE(B17)
      )
    )
  ),
"INVALID_DATE")</f>
        <v>45482</v>
      </c>
      <c r="AA17" s="2">
        <f>IFERROR(
  IF(ISNUMBER(C17),C17,
    IF(ISNUMBER(SEARCH("-",C17)*1),
      IF(LEN(LEFT(C17,FIND("-",C17)-1))=4,
        DATE(VALUE(LEFT(C17,4)),VALUE(MID(C17,6,2)),VALUE(RIGHT(C17,2))),
        DATE(VALUE(RIGHT(C17,4)),VALUE(MID(C17,4,2)),VALUE(LEFT(C17,2)))
      ),
      IF(ISNUMBER(SEARCH("/",C17)*1),
        DATE(VALUE(RIGHT(C17,4)),VALUE(LEFT(C17,2)),VALUE(MID(C17,4,2))),
        DATEVALUE(C17)
      )
    )
  ),
"INVALID_DATE")</f>
        <v>45482</v>
      </c>
      <c r="AB17">
        <f t="shared" si="3"/>
        <v>0</v>
      </c>
      <c r="AC17" t="str">
        <f t="shared" si="4"/>
        <v>July</v>
      </c>
      <c r="AD17">
        <f t="shared" si="5"/>
        <v>2024</v>
      </c>
    </row>
    <row r="18" spans="1:30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33</v>
      </c>
      <c r="G18" t="s">
        <v>69</v>
      </c>
      <c r="H18" t="s">
        <v>70</v>
      </c>
      <c r="I18" t="s">
        <v>71</v>
      </c>
      <c r="J18" t="s">
        <v>37</v>
      </c>
      <c r="K18" t="s">
        <v>61</v>
      </c>
      <c r="L18" t="s">
        <v>170</v>
      </c>
      <c r="M18" t="s">
        <v>63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41</v>
      </c>
      <c r="U18" t="s">
        <v>42</v>
      </c>
      <c r="V18">
        <f t="shared" si="0"/>
        <v>9970.5300000000007</v>
      </c>
      <c r="W18">
        <f t="shared" si="1"/>
        <v>4302.3600000000006</v>
      </c>
      <c r="X18">
        <f t="shared" si="2"/>
        <v>0.43150765305354877</v>
      </c>
      <c r="Y18" t="str">
        <f>_xlfn.TEXTJOIN(", ",TRUE,IF(G18="Unknown","Missing Region",""),IF(M18="Unknown","Missing Ship Mode",""),IF(P18&lt;0,"Negative Discount",""),IF(P18&gt;0.7,"High Discount",""),IF(C18&lt;B18,"Ship Before Order",""))</f>
        <v/>
      </c>
      <c r="Z18" s="2">
        <f>IFERROR(
  IF(ISNUMBER(B18),B18,
    IF(ISNUMBER(SEARCH("-",B18)*1),
      IF(LEN(LEFT(B18,FIND("-",B18)-1))=4,
        DATE(VALUE(LEFT(B18,4)),VALUE(MID(B18,6,2)),VALUE(RIGHT(B18,2))),
        DATE(VALUE(RIGHT(B18,4)),VALUE(MID(B18,4,2)),VALUE(LEFT(B18,2)))
      ),
      IF(ISNUMBER(SEARCH("/",B18)*1),
        DATE(VALUE(RIGHT(B18,4)),VALUE(LEFT(B18,2)),VALUE(MID(B18,4,2))),
        DATEVALUE(B18)
      )
    )
  ),
"INVALID_DATE")</f>
        <v>45420</v>
      </c>
      <c r="AA18" s="2">
        <f>IFERROR(
  IF(ISNUMBER(C18),C18,
    IF(ISNUMBER(SEARCH("-",C18)*1),
      IF(LEN(LEFT(C18,FIND("-",C18)-1))=4,
        DATE(VALUE(LEFT(C18,4)),VALUE(MID(C18,6,2)),VALUE(RIGHT(C18,2))),
        DATE(VALUE(RIGHT(C18,4)),VALUE(MID(C18,4,2)),VALUE(LEFT(C18,2)))
      ),
      IF(ISNUMBER(SEARCH("/",C18)*1),
        DATE(VALUE(RIGHT(C18,4)),VALUE(LEFT(C18,2)),VALUE(MID(C18,4,2))),
        DATEVALUE(C18)
      )
    )
  ),
"INVALID_DATE")</f>
        <v>45427</v>
      </c>
      <c r="AB18">
        <f t="shared" si="3"/>
        <v>7</v>
      </c>
      <c r="AC18" t="str">
        <f t="shared" si="4"/>
        <v>May</v>
      </c>
      <c r="AD18">
        <f t="shared" si="5"/>
        <v>2024</v>
      </c>
    </row>
    <row r="19" spans="1:30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48</v>
      </c>
      <c r="G19" t="s">
        <v>34</v>
      </c>
      <c r="H19" t="s">
        <v>35</v>
      </c>
      <c r="I19" t="s">
        <v>36</v>
      </c>
      <c r="J19" t="s">
        <v>52</v>
      </c>
      <c r="K19" t="s">
        <v>72</v>
      </c>
      <c r="L19" t="s">
        <v>176</v>
      </c>
      <c r="M19" t="s">
        <v>55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41</v>
      </c>
      <c r="U19" t="s">
        <v>42</v>
      </c>
      <c r="V19">
        <f t="shared" si="0"/>
        <v>7633.9</v>
      </c>
      <c r="W19">
        <f t="shared" si="1"/>
        <v>2926.99</v>
      </c>
      <c r="X19">
        <f t="shared" si="2"/>
        <v>0.38342000812166782</v>
      </c>
      <c r="Y19" t="str">
        <f>_xlfn.TEXTJOIN(", ",TRUE,IF(G19="Unknown","Missing Region",""),IF(M19="Unknown","Missing Ship Mode",""),IF(P19&lt;0,"Negative Discount",""),IF(P19&gt;0.7,"High Discount",""),IF(C19&lt;B19,"Ship Before Order",""))</f>
        <v/>
      </c>
      <c r="Z19" s="2">
        <f>IFERROR(
  IF(ISNUMBER(B19),B19,
    IF(ISNUMBER(SEARCH("-",B19)*1),
      IF(LEN(LEFT(B19,FIND("-",B19)-1))=4,
        DATE(VALUE(LEFT(B19,4)),VALUE(MID(B19,6,2)),VALUE(RIGHT(B19,2))),
        DATE(VALUE(RIGHT(B19,4)),VALUE(MID(B19,4,2)),VALUE(LEFT(B19,2)))
      ),
      IF(ISNUMBER(SEARCH("/",B19)*1),
        DATE(VALUE(RIGHT(B19,4)),VALUE(LEFT(B19,2)),VALUE(MID(B19,4,2))),
        DATEVALUE(B19)
      )
    )
  ),
"INVALID_DATE")</f>
        <v>45298</v>
      </c>
      <c r="AA19" s="2">
        <f>IFERROR(
  IF(ISNUMBER(C19),C19,
    IF(ISNUMBER(SEARCH("-",C19)*1),
      IF(LEN(LEFT(C19,FIND("-",C19)-1))=4,
        DATE(VALUE(LEFT(C19,4)),VALUE(MID(C19,6,2)),VALUE(RIGHT(C19,2))),
        DATE(VALUE(RIGHT(C19,4)),VALUE(MID(C19,4,2)),VALUE(LEFT(C19,2)))
      ),
      IF(ISNUMBER(SEARCH("/",C19)*1),
        DATE(VALUE(RIGHT(C19,4)),VALUE(LEFT(C19,2)),VALUE(MID(C19,4,2))),
        DATEVALUE(C19)
      )
    )
  ),
"INVALID_DATE")</f>
        <v>45299</v>
      </c>
      <c r="AB19">
        <f t="shared" si="3"/>
        <v>1</v>
      </c>
      <c r="AC19" t="str">
        <f t="shared" si="4"/>
        <v>January</v>
      </c>
      <c r="AD19">
        <f t="shared" si="5"/>
        <v>2024</v>
      </c>
    </row>
    <row r="20" spans="1:30">
      <c r="A20" t="s">
        <v>177</v>
      </c>
      <c r="B20" t="s">
        <v>178</v>
      </c>
      <c r="C20" t="s">
        <v>179</v>
      </c>
      <c r="D20" t="s">
        <v>180</v>
      </c>
      <c r="E20" t="s">
        <v>169</v>
      </c>
      <c r="F20" t="s">
        <v>122</v>
      </c>
      <c r="G20" t="s">
        <v>34</v>
      </c>
      <c r="H20" t="s">
        <v>181</v>
      </c>
      <c r="I20" t="s">
        <v>182</v>
      </c>
      <c r="J20" t="s">
        <v>93</v>
      </c>
      <c r="K20" t="s">
        <v>101</v>
      </c>
      <c r="L20" t="s">
        <v>183</v>
      </c>
      <c r="M20" t="s">
        <v>63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131</v>
      </c>
      <c r="U20" t="s">
        <v>85</v>
      </c>
      <c r="V20">
        <f t="shared" si="0"/>
        <v>3995.98</v>
      </c>
      <c r="W20">
        <f t="shared" si="1"/>
        <v>1362.7800000000002</v>
      </c>
      <c r="X20">
        <f t="shared" si="2"/>
        <v>0.34103774293164629</v>
      </c>
      <c r="Y20" t="str">
        <f>_xlfn.TEXTJOIN(", ",TRUE,IF(G20="Unknown","Missing Region",""),IF(M20="Unknown","Missing Ship Mode",""),IF(P20&lt;0,"Negative Discount",""),IF(P20&gt;0.7,"High Discount",""),IF(C20&lt;B20,"Ship Before Order",""))</f>
        <v/>
      </c>
      <c r="Z20" s="2">
        <f>IFERROR(
  IF(ISNUMBER(B20),B20,
    IF(ISNUMBER(SEARCH("-",B20)*1),
      IF(LEN(LEFT(B20,FIND("-",B20)-1))=4,
        DATE(VALUE(LEFT(B20,4)),VALUE(MID(B20,6,2)),VALUE(RIGHT(B20,2))),
        DATE(VALUE(RIGHT(B20,4)),VALUE(MID(B20,4,2)),VALUE(LEFT(B20,2)))
      ),
      IF(ISNUMBER(SEARCH("/",B20)*1),
        DATE(VALUE(RIGHT(B20,4)),VALUE(LEFT(B20,2)),VALUE(MID(B20,4,2))),
        DATEVALUE(B20)
      )
    )
  ),
"INVALID_DATE")</f>
        <v>45853</v>
      </c>
      <c r="AA20" s="2">
        <f>IFERROR(
  IF(ISNUMBER(C20),C20,
    IF(ISNUMBER(SEARCH("-",C20)*1),
      IF(LEN(LEFT(C20,FIND("-",C20)-1))=4,
        DATE(VALUE(LEFT(C20,4)),VALUE(MID(C20,6,2)),VALUE(RIGHT(C20,2))),
        DATE(VALUE(RIGHT(C20,4)),VALUE(MID(C20,4,2)),VALUE(LEFT(C20,2)))
      ),
      IF(ISNUMBER(SEARCH("/",C20)*1),
        DATE(VALUE(RIGHT(C20,4)),VALUE(LEFT(C20,2)),VALUE(MID(C20,4,2))),
        DATEVALUE(C20)
      )
    )
  ),
"INVALID_DATE")</f>
        <v>45855</v>
      </c>
      <c r="AB20">
        <f t="shared" si="3"/>
        <v>2</v>
      </c>
      <c r="AC20" t="str">
        <f t="shared" si="4"/>
        <v>July</v>
      </c>
      <c r="AD20">
        <f t="shared" si="5"/>
        <v>2025</v>
      </c>
    </row>
    <row r="21" spans="1:30">
      <c r="A21" t="s">
        <v>184</v>
      </c>
      <c r="B21" t="s">
        <v>30</v>
      </c>
      <c r="C21" t="s">
        <v>185</v>
      </c>
      <c r="D21" t="s">
        <v>186</v>
      </c>
      <c r="E21" t="s">
        <v>187</v>
      </c>
      <c r="F21" t="s">
        <v>122</v>
      </c>
      <c r="G21" t="s">
        <v>80</v>
      </c>
      <c r="H21" t="s">
        <v>91</v>
      </c>
      <c r="I21" t="s">
        <v>92</v>
      </c>
      <c r="J21" t="s">
        <v>37</v>
      </c>
      <c r="K21" t="s">
        <v>163</v>
      </c>
      <c r="L21" t="s">
        <v>188</v>
      </c>
      <c r="M21" t="s">
        <v>40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41</v>
      </c>
      <c r="U21" t="s">
        <v>42</v>
      </c>
      <c r="V21">
        <f t="shared" si="0"/>
        <v>13879.945799999998</v>
      </c>
      <c r="W21">
        <f t="shared" si="1"/>
        <v>1801.7499999999991</v>
      </c>
      <c r="X21">
        <f t="shared" si="2"/>
        <v>0.19309167447213929</v>
      </c>
      <c r="Y21" t="str">
        <f>_xlfn.TEXTJOIN(", ",TRUE,IF(G21="Unknown","Missing Region",""),IF(M21="Unknown","Missing Ship Mode",""),IF(P21&lt;0,"Negative Discount",""),IF(P21&gt;0.7,"High Discount",""),IF(C21&lt;B21,"Ship Before Order",""))</f>
        <v>Negative Discount</v>
      </c>
      <c r="Z21" s="2">
        <f>IFERROR(
  IF(ISNUMBER(B21),B21,
    IF(ISNUMBER(SEARCH("-",B21)*1),
      IF(LEN(LEFT(B21,FIND("-",B21)-1))=4,
        DATE(VALUE(LEFT(B21,4)),VALUE(MID(B21,6,2)),VALUE(RIGHT(B21,2))),
        DATE(VALUE(RIGHT(B21,4)),VALUE(MID(B21,4,2)),VALUE(LEFT(B21,2)))
      ),
      IF(ISNUMBER(SEARCH("/",B21)*1),
        DATE(VALUE(RIGHT(B21,4)),VALUE(LEFT(B21,2)),VALUE(MID(B21,4,2))),
        DATEVALUE(B21)
      )
    )
  ),
"INVALID_DATE")</f>
        <v>45500</v>
      </c>
      <c r="AA21" s="2">
        <f>IFERROR(
  IF(ISNUMBER(C21),C21,
    IF(ISNUMBER(SEARCH("-",C21)*1),
      IF(LEN(LEFT(C21,FIND("-",C21)-1))=4,
        DATE(VALUE(LEFT(C21,4)),VALUE(MID(C21,6,2)),VALUE(RIGHT(C21,2))),
        DATE(VALUE(RIGHT(C21,4)),VALUE(MID(C21,4,2)),VALUE(LEFT(C21,2)))
      ),
      IF(ISNUMBER(SEARCH("/",C21)*1),
        DATE(VALUE(RIGHT(C21,4)),VALUE(LEFT(C21,2)),VALUE(MID(C21,4,2))),
        DATEVALUE(C21)
      )
    )
  ),
"INVALID_DATE")</f>
        <v>45504</v>
      </c>
      <c r="AB21">
        <f t="shared" si="3"/>
        <v>4</v>
      </c>
      <c r="AC21" t="str">
        <f t="shared" si="4"/>
        <v>July</v>
      </c>
      <c r="AD21">
        <f t="shared" si="5"/>
        <v>2024</v>
      </c>
    </row>
    <row r="22" spans="1:30">
      <c r="A22" t="s">
        <v>189</v>
      </c>
      <c r="B22" t="s">
        <v>190</v>
      </c>
      <c r="C22" t="s">
        <v>191</v>
      </c>
      <c r="D22" t="s">
        <v>192</v>
      </c>
      <c r="E22" t="s">
        <v>114</v>
      </c>
      <c r="F22" t="s">
        <v>122</v>
      </c>
      <c r="G22" t="s">
        <v>49</v>
      </c>
      <c r="H22" t="s">
        <v>193</v>
      </c>
      <c r="I22" t="s">
        <v>194</v>
      </c>
      <c r="J22" t="s">
        <v>93</v>
      </c>
      <c r="K22" t="s">
        <v>101</v>
      </c>
      <c r="L22" t="s">
        <v>195</v>
      </c>
      <c r="M22" t="s">
        <v>63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41</v>
      </c>
      <c r="U22" t="s">
        <v>42</v>
      </c>
      <c r="V22">
        <f t="shared" si="0"/>
        <v>16398.974999999999</v>
      </c>
      <c r="W22">
        <f t="shared" si="1"/>
        <v>6842.4599999999991</v>
      </c>
      <c r="X22">
        <f t="shared" si="2"/>
        <v>0.41724912159170879</v>
      </c>
      <c r="Y22" t="str">
        <f>_xlfn.TEXTJOIN(", ",TRUE,IF(G22="Unknown","Missing Region",""),IF(M22="Unknown","Missing Ship Mode",""),IF(P22&lt;0,"Negative Discount",""),IF(P22&gt;0.7,"High Discount",""),IF(C22&lt;B22,"Ship Before Order",""))</f>
        <v/>
      </c>
      <c r="Z22" s="2">
        <f>IFERROR(
  IF(ISNUMBER(B22),B22,
    IF(ISNUMBER(SEARCH("-",B22)*1),
      IF(LEN(LEFT(B22,FIND("-",B22)-1))=4,
        DATE(VALUE(LEFT(B22,4)),VALUE(MID(B22,6,2)),VALUE(RIGHT(B22,2))),
        DATE(VALUE(RIGHT(B22,4)),VALUE(MID(B22,4,2)),VALUE(LEFT(B22,2)))
      ),
      IF(ISNUMBER(SEARCH("/",B22)*1),
        DATE(VALUE(RIGHT(B22,4)),VALUE(LEFT(B22,2)),VALUE(MID(B22,4,2))),
        DATEVALUE(B22)
      )
    )
  ),
"INVALID_DATE")</f>
        <v>45678</v>
      </c>
      <c r="AA22" s="2">
        <f>IFERROR(
  IF(ISNUMBER(C22),C22,
    IF(ISNUMBER(SEARCH("-",C22)*1),
      IF(LEN(LEFT(C22,FIND("-",C22)-1))=4,
        DATE(VALUE(LEFT(C22,4)),VALUE(MID(C22,6,2)),VALUE(RIGHT(C22,2))),
        DATE(VALUE(RIGHT(C22,4)),VALUE(MID(C22,4,2)),VALUE(LEFT(C22,2)))
      ),
      IF(ISNUMBER(SEARCH("/",C22)*1),
        DATE(VALUE(RIGHT(C22,4)),VALUE(LEFT(C22,2)),VALUE(MID(C22,4,2))),
        DATEVALUE(C22)
      )
    )
  ),
"INVALID_DATE")</f>
        <v>45680</v>
      </c>
      <c r="AB22">
        <f t="shared" si="3"/>
        <v>2</v>
      </c>
      <c r="AC22" t="str">
        <f t="shared" si="4"/>
        <v>January</v>
      </c>
      <c r="AD22">
        <f t="shared" si="5"/>
        <v>2025</v>
      </c>
    </row>
    <row r="23" spans="1:30">
      <c r="A23" t="s">
        <v>196</v>
      </c>
      <c r="B23" t="s">
        <v>197</v>
      </c>
      <c r="C23" t="s">
        <v>198</v>
      </c>
      <c r="D23" t="s">
        <v>199</v>
      </c>
      <c r="E23" t="s">
        <v>175</v>
      </c>
      <c r="F23" t="s">
        <v>33</v>
      </c>
      <c r="G23" t="s">
        <v>80</v>
      </c>
      <c r="H23" t="s">
        <v>91</v>
      </c>
      <c r="I23" t="s">
        <v>92</v>
      </c>
      <c r="J23" t="s">
        <v>52</v>
      </c>
      <c r="K23" t="s">
        <v>72</v>
      </c>
      <c r="L23" t="s">
        <v>200</v>
      </c>
      <c r="M23" t="s">
        <v>40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41</v>
      </c>
      <c r="U23" t="s">
        <v>42</v>
      </c>
      <c r="V23">
        <f t="shared" si="0"/>
        <v>3432.6348000000003</v>
      </c>
      <c r="W23">
        <f t="shared" si="1"/>
        <v>753.05000000000018</v>
      </c>
      <c r="X23">
        <f t="shared" si="2"/>
        <v>0.26983689030944974</v>
      </c>
      <c r="Y23" t="str">
        <f>_xlfn.TEXTJOIN(", ",TRUE,IF(G23="Unknown","Missing Region",""),IF(M23="Unknown","Missing Ship Mode",""),IF(P23&lt;0,"Negative Discount",""),IF(P23&gt;0.7,"High Discount",""),IF(C23&lt;B23,"Ship Before Order",""))</f>
        <v>Negative Discount, Ship Before Order</v>
      </c>
      <c r="Z23" s="2">
        <f>IFERROR(
  IF(ISNUMBER(B23),B23,
    IF(ISNUMBER(SEARCH("-",B23)*1),
      IF(LEN(LEFT(B23,FIND("-",B23)-1))=4,
        DATE(VALUE(LEFT(B23,4)),VALUE(MID(B23,6,2)),VALUE(RIGHT(B23,2))),
        DATE(VALUE(RIGHT(B23,4)),VALUE(MID(B23,4,2)),VALUE(LEFT(B23,2)))
      ),
      IF(ISNUMBER(SEARCH("/",B23)*1),
        DATE(VALUE(RIGHT(B23,4)),VALUE(LEFT(B23,2)),VALUE(MID(B23,4,2))),
        DATEVALUE(B23)
      )
    )
  ),
"INVALID_DATE")</f>
        <v>45681</v>
      </c>
      <c r="AA23" s="2">
        <f>IFERROR(
  IF(ISNUMBER(C23),C23,
    IF(ISNUMBER(SEARCH("-",C23)*1),
      IF(LEN(LEFT(C23,FIND("-",C23)-1))=4,
        DATE(VALUE(LEFT(C23,4)),VALUE(MID(C23,6,2)),VALUE(RIGHT(C23,2))),
        DATE(VALUE(RIGHT(C23,4)),VALUE(MID(C23,4,2)),VALUE(LEFT(C23,2)))
      ),
      IF(ISNUMBER(SEARCH("/",C23)*1),
        DATE(VALUE(RIGHT(C23,4)),VALUE(LEFT(C23,2)),VALUE(MID(C23,4,2))),
        DATEVALUE(C23)
      )
    )
  ),
"INVALID_DATE")</f>
        <v>45687</v>
      </c>
      <c r="AB23">
        <f t="shared" si="3"/>
        <v>6</v>
      </c>
      <c r="AC23" t="str">
        <f t="shared" si="4"/>
        <v>January</v>
      </c>
      <c r="AD23">
        <f t="shared" si="5"/>
        <v>2025</v>
      </c>
    </row>
    <row r="24" spans="1:30">
      <c r="A24" t="s">
        <v>201</v>
      </c>
      <c r="B24" t="s">
        <v>202</v>
      </c>
      <c r="C24" t="s">
        <v>203</v>
      </c>
      <c r="D24" t="s">
        <v>204</v>
      </c>
      <c r="E24" t="s">
        <v>47</v>
      </c>
      <c r="F24" t="s">
        <v>33</v>
      </c>
      <c r="G24" t="s">
        <v>69</v>
      </c>
      <c r="H24" t="s">
        <v>70</v>
      </c>
      <c r="I24" t="s">
        <v>71</v>
      </c>
      <c r="J24" t="s">
        <v>37</v>
      </c>
      <c r="K24" t="s">
        <v>205</v>
      </c>
      <c r="L24" t="s">
        <v>206</v>
      </c>
      <c r="M24" t="s">
        <v>74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207</v>
      </c>
      <c r="U24" t="s">
        <v>132</v>
      </c>
      <c r="V24">
        <f t="shared" si="0"/>
        <v>8291.5119999999988</v>
      </c>
      <c r="W24">
        <f t="shared" si="1"/>
        <v>1606.4800000000005</v>
      </c>
      <c r="X24">
        <f t="shared" si="2"/>
        <v>0.19374999246216912</v>
      </c>
      <c r="Y24" t="str">
        <f>_xlfn.TEXTJOIN(", ",TRUE,IF(G24="Unknown","Missing Region",""),IF(M24="Unknown","Missing Ship Mode",""),IF(P24&lt;0,"Negative Discount",""),IF(P24&gt;0.7,"High Discount",""),IF(C24&lt;B24,"Ship Before Order",""))</f>
        <v/>
      </c>
      <c r="Z24" s="2">
        <f>IFERROR(
  IF(ISNUMBER(B24),B24,
    IF(ISNUMBER(SEARCH("-",B24)*1),
      IF(LEN(LEFT(B24,FIND("-",B24)-1))=4,
        DATE(VALUE(LEFT(B24,4)),VALUE(MID(B24,6,2)),VALUE(RIGHT(B24,2))),
        DATE(VALUE(RIGHT(B24,4)),VALUE(MID(B24,4,2)),VALUE(LEFT(B24,2)))
      ),
      IF(ISNUMBER(SEARCH("/",B24)*1),
        DATE(VALUE(RIGHT(B24,4)),VALUE(LEFT(B24,2)),VALUE(MID(B24,4,2))),
        DATEVALUE(B24)
      )
    )
  ),
"INVALID_DATE")</f>
        <v>45676</v>
      </c>
      <c r="AA24" s="2">
        <f>IFERROR(
  IF(ISNUMBER(C24),C24,
    IF(ISNUMBER(SEARCH("-",C24)*1),
      IF(LEN(LEFT(C24,FIND("-",C24)-1))=4,
        DATE(VALUE(LEFT(C24,4)),VALUE(MID(C24,6,2)),VALUE(RIGHT(C24,2))),
        DATE(VALUE(RIGHT(C24,4)),VALUE(MID(C24,4,2)),VALUE(LEFT(C24,2)))
      ),
      IF(ISNUMBER(SEARCH("/",C24)*1),
        DATE(VALUE(RIGHT(C24,4)),VALUE(LEFT(C24,2)),VALUE(MID(C24,4,2))),
        DATEVALUE(C24)
      )
    )
  ),
"INVALID_DATE")</f>
        <v>45678</v>
      </c>
      <c r="AB24">
        <f t="shared" si="3"/>
        <v>2</v>
      </c>
      <c r="AC24" t="str">
        <f t="shared" si="4"/>
        <v>January</v>
      </c>
      <c r="AD24">
        <f t="shared" si="5"/>
        <v>2025</v>
      </c>
    </row>
    <row r="25" spans="1:30">
      <c r="A25" t="s">
        <v>208</v>
      </c>
      <c r="B25" t="s">
        <v>76</v>
      </c>
      <c r="C25" t="s">
        <v>209</v>
      </c>
      <c r="D25" t="s">
        <v>210</v>
      </c>
      <c r="E25" t="s">
        <v>155</v>
      </c>
      <c r="F25" t="s">
        <v>122</v>
      </c>
      <c r="G25" t="s">
        <v>49</v>
      </c>
      <c r="H25" t="s">
        <v>193</v>
      </c>
      <c r="I25" t="s">
        <v>194</v>
      </c>
      <c r="J25" t="s">
        <v>52</v>
      </c>
      <c r="K25" t="s">
        <v>211</v>
      </c>
      <c r="L25" t="s">
        <v>212</v>
      </c>
      <c r="M25" t="s">
        <v>63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41</v>
      </c>
      <c r="U25" t="s">
        <v>42</v>
      </c>
      <c r="V25">
        <f t="shared" si="0"/>
        <v>6265.6320000000005</v>
      </c>
      <c r="W25">
        <f t="shared" si="1"/>
        <v>1943.7700000000004</v>
      </c>
      <c r="X25">
        <f t="shared" si="2"/>
        <v>0.31022738335969408</v>
      </c>
      <c r="Y25" t="str">
        <f>_xlfn.TEXTJOIN(", ",TRUE,IF(G25="Unknown","Missing Region",""),IF(M25="Unknown","Missing Ship Mode",""),IF(P25&lt;0,"Negative Discount",""),IF(P25&gt;0.7,"High Discount",""),IF(C25&lt;B25,"Ship Before Order",""))</f>
        <v/>
      </c>
      <c r="Z25" s="2">
        <f>IFERROR(
  IF(ISNUMBER(B25),B25,
    IF(ISNUMBER(SEARCH("-",B25)*1),
      IF(LEN(LEFT(B25,FIND("-",B25)-1))=4,
        DATE(VALUE(LEFT(B25,4)),VALUE(MID(B25,6,2)),VALUE(RIGHT(B25,2))),
        DATE(VALUE(RIGHT(B25,4)),VALUE(MID(B25,4,2)),VALUE(LEFT(B25,2)))
      ),
      IF(ISNUMBER(SEARCH("/",B25)*1),
        DATE(VALUE(RIGHT(B25,4)),VALUE(LEFT(B25,2)),VALUE(MID(B25,4,2))),
        DATEVALUE(B25)
      )
    )
  ),
"INVALID_DATE")</f>
        <v>45898</v>
      </c>
      <c r="AA25" s="2">
        <f>IFERROR(
  IF(ISNUMBER(C25),C25,
    IF(ISNUMBER(SEARCH("-",C25)*1),
      IF(LEN(LEFT(C25,FIND("-",C25)-1))=4,
        DATE(VALUE(LEFT(C25,4)),VALUE(MID(C25,6,2)),VALUE(RIGHT(C25,2))),
        DATE(VALUE(RIGHT(C25,4)),VALUE(MID(C25,4,2)),VALUE(LEFT(C25,2)))
      ),
      IF(ISNUMBER(SEARCH("/",C25)*1),
        DATE(VALUE(RIGHT(C25,4)),VALUE(LEFT(C25,2)),VALUE(MID(C25,4,2))),
        DATEVALUE(C25)
      )
    )
  ),
"INVALID_DATE")</f>
        <v>45900</v>
      </c>
      <c r="AB25">
        <f t="shared" si="3"/>
        <v>2</v>
      </c>
      <c r="AC25" t="str">
        <f t="shared" si="4"/>
        <v>August</v>
      </c>
      <c r="AD25">
        <f t="shared" si="5"/>
        <v>2025</v>
      </c>
    </row>
    <row r="26" spans="1:30">
      <c r="A26" t="s">
        <v>213</v>
      </c>
      <c r="B26" t="s">
        <v>214</v>
      </c>
      <c r="C26" t="s">
        <v>215</v>
      </c>
      <c r="D26" t="s">
        <v>216</v>
      </c>
      <c r="E26" t="s">
        <v>217</v>
      </c>
      <c r="F26" t="s">
        <v>33</v>
      </c>
      <c r="G26" t="s">
        <v>34</v>
      </c>
      <c r="H26" t="s">
        <v>161</v>
      </c>
      <c r="I26" t="s">
        <v>162</v>
      </c>
      <c r="J26" t="s">
        <v>37</v>
      </c>
      <c r="K26" t="s">
        <v>61</v>
      </c>
      <c r="L26" t="s">
        <v>218</v>
      </c>
      <c r="M26" t="s">
        <v>74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144</v>
      </c>
      <c r="U26" t="s">
        <v>85</v>
      </c>
      <c r="V26">
        <f t="shared" si="0"/>
        <v>13478.82</v>
      </c>
      <c r="W26">
        <f t="shared" si="1"/>
        <v>2541.4699999999993</v>
      </c>
      <c r="X26">
        <f t="shared" si="2"/>
        <v>0.18855285551702597</v>
      </c>
      <c r="Y26" t="str">
        <f>_xlfn.TEXTJOIN(", ",TRUE,IF(G26="Unknown","Missing Region",""),IF(M26="Unknown","Missing Ship Mode",""),IF(P26&lt;0,"Negative Discount",""),IF(P26&gt;0.7,"High Discount",""),IF(C26&lt;B26,"Ship Before Order",""))</f>
        <v>Ship Before Order</v>
      </c>
      <c r="Z26" s="2">
        <f>IFERROR(
  IF(ISNUMBER(B26),B26,
    IF(ISNUMBER(SEARCH("-",B26)*1),
      IF(LEN(LEFT(B26,FIND("-",B26)-1))=4,
        DATE(VALUE(LEFT(B26,4)),VALUE(MID(B26,6,2)),VALUE(RIGHT(B26,2))),
        DATE(VALUE(RIGHT(B26,4)),VALUE(MID(B26,4,2)),VALUE(LEFT(B26,2)))
      ),
      IF(ISNUMBER(SEARCH("/",B26)*1),
        DATE(VALUE(RIGHT(B26,4)),VALUE(LEFT(B26,2)),VALUE(MID(B26,4,2))),
        DATEVALUE(B26)
      )
    )
  ),
"INVALID_DATE")</f>
        <v>45355</v>
      </c>
      <c r="AA26" s="2">
        <f>IFERROR(
  IF(ISNUMBER(C26),C26,
    IF(ISNUMBER(SEARCH("-",C26)*1),
      IF(LEN(LEFT(C26,FIND("-",C26)-1))=4,
        DATE(VALUE(LEFT(C26,4)),VALUE(MID(C26,6,2)),VALUE(RIGHT(C26,2))),
        DATE(VALUE(RIGHT(C26,4)),VALUE(MID(C26,4,2)),VALUE(LEFT(C26,2)))
      ),
      IF(ISNUMBER(SEARCH("/",C26)*1),
        DATE(VALUE(RIGHT(C26,4)),VALUE(LEFT(C26,2)),VALUE(MID(C26,4,2))),
        DATEVALUE(C26)
      )
    )
  ),
"INVALID_DATE")</f>
        <v>45352</v>
      </c>
      <c r="AB26">
        <f t="shared" si="3"/>
        <v>-3</v>
      </c>
      <c r="AC26" t="str">
        <f t="shared" si="4"/>
        <v>March</v>
      </c>
      <c r="AD26">
        <f t="shared" si="5"/>
        <v>2024</v>
      </c>
    </row>
    <row r="27" spans="1:30">
      <c r="A27" t="s">
        <v>219</v>
      </c>
      <c r="B27" t="s">
        <v>220</v>
      </c>
      <c r="C27" t="s">
        <v>221</v>
      </c>
      <c r="D27" t="s">
        <v>222</v>
      </c>
      <c r="E27" t="s">
        <v>68</v>
      </c>
      <c r="F27" t="s">
        <v>115</v>
      </c>
      <c r="G27" t="s">
        <v>49</v>
      </c>
      <c r="H27" t="s">
        <v>223</v>
      </c>
      <c r="I27" t="s">
        <v>224</v>
      </c>
      <c r="J27" t="s">
        <v>93</v>
      </c>
      <c r="K27" t="s">
        <v>94</v>
      </c>
      <c r="L27" t="s">
        <v>225</v>
      </c>
      <c r="M27" t="s">
        <v>63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41</v>
      </c>
      <c r="U27" t="s">
        <v>42</v>
      </c>
      <c r="V27">
        <f t="shared" si="0"/>
        <v>7335.8399999999992</v>
      </c>
      <c r="W27">
        <f t="shared" si="1"/>
        <v>2367.4300000000003</v>
      </c>
      <c r="X27">
        <f t="shared" si="2"/>
        <v>0.32272105171323257</v>
      </c>
      <c r="Y27" t="str">
        <f>_xlfn.TEXTJOIN(", ",TRUE,IF(G27="Unknown","Missing Region",""),IF(M27="Unknown","Missing Ship Mode",""),IF(P27&lt;0,"Negative Discount",""),IF(P27&gt;0.7,"High Discount",""),IF(C27&lt;B27,"Ship Before Order",""))</f>
        <v/>
      </c>
      <c r="Z27" s="2">
        <f>IFERROR(
  IF(ISNUMBER(B27),B27,
    IF(ISNUMBER(SEARCH("-",B27)*1),
      IF(LEN(LEFT(B27,FIND("-",B27)-1))=4,
        DATE(VALUE(LEFT(B27,4)),VALUE(MID(B27,6,2)),VALUE(RIGHT(B27,2))),
        DATE(VALUE(RIGHT(B27,4)),VALUE(MID(B27,4,2)),VALUE(LEFT(B27,2)))
      ),
      IF(ISNUMBER(SEARCH("/",B27)*1),
        DATE(VALUE(RIGHT(B27,4)),VALUE(LEFT(B27,2)),VALUE(MID(B27,4,2))),
        DATEVALUE(B27)
      )
    )
  ),
"INVALID_DATE")</f>
        <v>45576</v>
      </c>
      <c r="AA27" s="2">
        <f>IFERROR(
  IF(ISNUMBER(C27),C27,
    IF(ISNUMBER(SEARCH("-",C27)*1),
      IF(LEN(LEFT(C27,FIND("-",C27)-1))=4,
        DATE(VALUE(LEFT(C27,4)),VALUE(MID(C27,6,2)),VALUE(RIGHT(C27,2))),
        DATE(VALUE(RIGHT(C27,4)),VALUE(MID(C27,4,2)),VALUE(LEFT(C27,2)))
      ),
      IF(ISNUMBER(SEARCH("/",C27)*1),
        DATE(VALUE(RIGHT(C27,4)),VALUE(LEFT(C27,2)),VALUE(MID(C27,4,2))),
        DATEVALUE(C27)
      )
    )
  ),
"INVALID_DATE")</f>
        <v>45584</v>
      </c>
      <c r="AB27">
        <f t="shared" si="3"/>
        <v>8</v>
      </c>
      <c r="AC27" t="str">
        <f t="shared" si="4"/>
        <v>October</v>
      </c>
      <c r="AD27">
        <f t="shared" si="5"/>
        <v>2024</v>
      </c>
    </row>
    <row r="28" spans="1:30">
      <c r="A28" t="s">
        <v>226</v>
      </c>
      <c r="B28" t="s">
        <v>227</v>
      </c>
      <c r="C28" t="s">
        <v>228</v>
      </c>
      <c r="D28" t="s">
        <v>229</v>
      </c>
      <c r="E28" t="s">
        <v>217</v>
      </c>
      <c r="F28" t="s">
        <v>115</v>
      </c>
      <c r="G28" t="s">
        <v>34</v>
      </c>
      <c r="H28" t="s">
        <v>181</v>
      </c>
      <c r="I28" t="s">
        <v>182</v>
      </c>
      <c r="J28" t="s">
        <v>93</v>
      </c>
      <c r="K28" t="s">
        <v>230</v>
      </c>
      <c r="L28" t="s">
        <v>231</v>
      </c>
      <c r="M28" t="s">
        <v>74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41</v>
      </c>
      <c r="U28" t="s">
        <v>132</v>
      </c>
      <c r="V28">
        <f t="shared" si="0"/>
        <v>2578.0680000000002</v>
      </c>
      <c r="W28">
        <f t="shared" si="1"/>
        <v>1050.5200000000002</v>
      </c>
      <c r="X28">
        <f t="shared" si="2"/>
        <v>0.40748311721559149</v>
      </c>
      <c r="Y28" t="str">
        <f>_xlfn.TEXTJOIN(", ",TRUE,IF(G28="Unknown","Missing Region",""),IF(M28="Unknown","Missing Ship Mode",""),IF(P28&lt;0,"Negative Discount",""),IF(P28&gt;0.7,"High Discount",""),IF(C28&lt;B28,"Ship Before Order",""))</f>
        <v>Ship Before Order</v>
      </c>
      <c r="Z28" s="2">
        <f>IFERROR(
  IF(ISNUMBER(B28),B28,
    IF(ISNUMBER(SEARCH("-",B28)*1),
      IF(LEN(LEFT(B28,FIND("-",B28)-1))=4,
        DATE(VALUE(LEFT(B28,4)),VALUE(MID(B28,6,2)),VALUE(RIGHT(B28,2))),
        DATE(VALUE(RIGHT(B28,4)),VALUE(MID(B28,4,2)),VALUE(LEFT(B28,2)))
      ),
      IF(ISNUMBER(SEARCH("/",B28)*1),
        DATE(VALUE(RIGHT(B28,4)),VALUE(LEFT(B28,2)),VALUE(MID(B28,4,2))),
        DATEVALUE(B28)
      )
    )
  ),
"INVALID_DATE")</f>
        <v>45619</v>
      </c>
      <c r="AA28" s="2">
        <f>IFERROR(
  IF(ISNUMBER(C28),C28,
    IF(ISNUMBER(SEARCH("-",C28)*1),
      IF(LEN(LEFT(C28,FIND("-",C28)-1))=4,
        DATE(VALUE(LEFT(C28,4)),VALUE(MID(C28,6,2)),VALUE(RIGHT(C28,2))),
        DATE(VALUE(RIGHT(C28,4)),VALUE(MID(C28,4,2)),VALUE(LEFT(C28,2)))
      ),
      IF(ISNUMBER(SEARCH("/",C28)*1),
        DATE(VALUE(RIGHT(C28,4)),VALUE(LEFT(C28,2)),VALUE(MID(C28,4,2))),
        DATEVALUE(C28)
      )
    )
  ),
"INVALID_DATE")</f>
        <v>45619</v>
      </c>
      <c r="AB28">
        <f t="shared" si="3"/>
        <v>0</v>
      </c>
      <c r="AC28" t="str">
        <f t="shared" si="4"/>
        <v>November</v>
      </c>
      <c r="AD28">
        <f t="shared" si="5"/>
        <v>2024</v>
      </c>
    </row>
    <row r="29" spans="1:30">
      <c r="A29" t="s">
        <v>232</v>
      </c>
      <c r="B29" t="s">
        <v>233</v>
      </c>
      <c r="C29" t="s">
        <v>234</v>
      </c>
      <c r="D29" t="s">
        <v>235</v>
      </c>
      <c r="E29" t="s">
        <v>68</v>
      </c>
      <c r="F29" t="s">
        <v>48</v>
      </c>
      <c r="G29" t="s">
        <v>69</v>
      </c>
      <c r="H29" t="s">
        <v>236</v>
      </c>
      <c r="I29" t="s">
        <v>237</v>
      </c>
      <c r="J29" t="s">
        <v>37</v>
      </c>
      <c r="K29" t="s">
        <v>38</v>
      </c>
      <c r="L29" t="s">
        <v>238</v>
      </c>
      <c r="M29" t="s">
        <v>40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207</v>
      </c>
      <c r="U29" t="s">
        <v>132</v>
      </c>
      <c r="V29">
        <f t="shared" si="0"/>
        <v>6774.4124999999995</v>
      </c>
      <c r="W29">
        <f t="shared" si="1"/>
        <v>2064.0500000000002</v>
      </c>
      <c r="X29">
        <f t="shared" si="2"/>
        <v>0.30468335987931056</v>
      </c>
      <c r="Y29" t="str">
        <f>_xlfn.TEXTJOIN(", ",TRUE,IF(G29="Unknown","Missing Region",""),IF(M29="Unknown","Missing Ship Mode",""),IF(P29&lt;0,"Negative Discount",""),IF(P29&gt;0.7,"High Discount",""),IF(C29&lt;B29,"Ship Before Order",""))</f>
        <v>Ship Before Order</v>
      </c>
      <c r="Z29" s="2">
        <f>IFERROR(
  IF(ISNUMBER(B29),B29,
    IF(ISNUMBER(SEARCH("-",B29)*1),
      IF(LEN(LEFT(B29,FIND("-",B29)-1))=4,
        DATE(VALUE(LEFT(B29,4)),VALUE(MID(B29,6,2)),VALUE(RIGHT(B29,2))),
        DATE(VALUE(RIGHT(B29,4)),VALUE(MID(B29,4,2)),VALUE(LEFT(B29,2)))
      ),
      IF(ISNUMBER(SEARCH("/",B29)*1),
        DATE(VALUE(RIGHT(B29,4)),VALUE(LEFT(B29,2)),VALUE(MID(B29,4,2))),
        DATEVALUE(B29)
      )
    )
  ),
"INVALID_DATE")</f>
        <v>45929</v>
      </c>
      <c r="AA29" s="2">
        <f>IFERROR(
  IF(ISNUMBER(C29),C29,
    IF(ISNUMBER(SEARCH("-",C29)*1),
      IF(LEN(LEFT(C29,FIND("-",C29)-1))=4,
        DATE(VALUE(LEFT(C29,4)),VALUE(MID(C29,6,2)),VALUE(RIGHT(C29,2))),
        DATE(VALUE(RIGHT(C29,4)),VALUE(MID(C29,4,2)),VALUE(LEFT(C29,2)))
      ),
      IF(ISNUMBER(SEARCH("/",C29)*1),
        DATE(VALUE(RIGHT(C29,4)),VALUE(LEFT(C29,2)),VALUE(MID(C29,4,2))),
        DATEVALUE(C29)
      )
    )
  ),
"INVALID_DATE")</f>
        <v>45935</v>
      </c>
      <c r="AB29">
        <f t="shared" si="3"/>
        <v>6</v>
      </c>
      <c r="AC29" t="str">
        <f t="shared" si="4"/>
        <v>September</v>
      </c>
      <c r="AD29">
        <f t="shared" si="5"/>
        <v>2025</v>
      </c>
    </row>
    <row r="30" spans="1:30">
      <c r="A30" t="s">
        <v>239</v>
      </c>
      <c r="B30" t="s">
        <v>220</v>
      </c>
      <c r="C30" t="s">
        <v>240</v>
      </c>
      <c r="D30" t="s">
        <v>241</v>
      </c>
      <c r="E30" t="s">
        <v>79</v>
      </c>
      <c r="F30" t="s">
        <v>122</v>
      </c>
      <c r="G30" t="s">
        <v>80</v>
      </c>
      <c r="H30" t="s">
        <v>242</v>
      </c>
      <c r="I30" t="s">
        <v>243</v>
      </c>
      <c r="J30" t="s">
        <v>93</v>
      </c>
      <c r="K30" t="s">
        <v>230</v>
      </c>
      <c r="L30" t="s">
        <v>244</v>
      </c>
      <c r="M30" t="s">
        <v>40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131</v>
      </c>
      <c r="U30" t="s">
        <v>85</v>
      </c>
      <c r="V30">
        <f t="shared" si="0"/>
        <v>2913.33</v>
      </c>
      <c r="W30">
        <f t="shared" si="1"/>
        <v>791</v>
      </c>
      <c r="X30">
        <f t="shared" si="2"/>
        <v>0.27151060813570727</v>
      </c>
      <c r="Y30" t="str">
        <f>_xlfn.TEXTJOIN(", ",TRUE,IF(G30="Unknown","Missing Region",""),IF(M30="Unknown","Missing Ship Mode",""),IF(P30&lt;0,"Negative Discount",""),IF(P30&gt;0.7,"High Discount",""),IF(C30&lt;B30,"Ship Before Order",""))</f>
        <v/>
      </c>
      <c r="Z30" s="2">
        <f>IFERROR(
  IF(ISNUMBER(B30),B30,
    IF(ISNUMBER(SEARCH("-",B30)*1),
      IF(LEN(LEFT(B30,FIND("-",B30)-1))=4,
        DATE(VALUE(LEFT(B30,4)),VALUE(MID(B30,6,2)),VALUE(RIGHT(B30,2))),
        DATE(VALUE(RIGHT(B30,4)),VALUE(MID(B30,4,2)),VALUE(LEFT(B30,2)))
      ),
      IF(ISNUMBER(SEARCH("/",B30)*1),
        DATE(VALUE(RIGHT(B30,4)),VALUE(LEFT(B30,2)),VALUE(MID(B30,4,2))),
        DATEVALUE(B30)
      )
    )
  ),
"INVALID_DATE")</f>
        <v>45576</v>
      </c>
      <c r="AA30" s="2">
        <f>IFERROR(
  IF(ISNUMBER(C30),C30,
    IF(ISNUMBER(SEARCH("-",C30)*1),
      IF(LEN(LEFT(C30,FIND("-",C30)-1))=4,
        DATE(VALUE(LEFT(C30,4)),VALUE(MID(C30,6,2)),VALUE(RIGHT(C30,2))),
        DATE(VALUE(RIGHT(C30,4)),VALUE(MID(C30,4,2)),VALUE(LEFT(C30,2)))
      ),
      IF(ISNUMBER(SEARCH("/",C30)*1),
        DATE(VALUE(RIGHT(C30,4)),VALUE(LEFT(C30,2)),VALUE(MID(C30,4,2))),
        DATEVALUE(C30)
      )
    )
  ),
"INVALID_DATE")</f>
        <v>45583</v>
      </c>
      <c r="AB30">
        <f t="shared" si="3"/>
        <v>7</v>
      </c>
      <c r="AC30" t="str">
        <f t="shared" si="4"/>
        <v>October</v>
      </c>
      <c r="AD30">
        <f t="shared" si="5"/>
        <v>2024</v>
      </c>
    </row>
    <row r="31" spans="1:30">
      <c r="A31" t="s">
        <v>245</v>
      </c>
      <c r="B31" t="s">
        <v>246</v>
      </c>
      <c r="C31" t="s">
        <v>247</v>
      </c>
      <c r="D31" t="s">
        <v>248</v>
      </c>
      <c r="E31" t="s">
        <v>187</v>
      </c>
      <c r="F31" t="s">
        <v>122</v>
      </c>
      <c r="G31" t="s">
        <v>69</v>
      </c>
      <c r="H31" t="s">
        <v>249</v>
      </c>
      <c r="I31" t="s">
        <v>250</v>
      </c>
      <c r="J31" t="s">
        <v>93</v>
      </c>
      <c r="K31" t="s">
        <v>230</v>
      </c>
      <c r="L31" t="s">
        <v>251</v>
      </c>
      <c r="M31" t="s">
        <v>74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41</v>
      </c>
      <c r="U31" t="s">
        <v>42</v>
      </c>
      <c r="V31">
        <f t="shared" si="0"/>
        <v>217.60849999999999</v>
      </c>
      <c r="W31">
        <f t="shared" si="1"/>
        <v>97.840000000000018</v>
      </c>
      <c r="X31">
        <f t="shared" si="2"/>
        <v>0.44961169063921691</v>
      </c>
      <c r="Y31" t="str">
        <f>_xlfn.TEXTJOIN(", ",TRUE,IF(G31="Unknown","Missing Region",""),IF(M31="Unknown","Missing Ship Mode",""),IF(P31&lt;0,"Negative Discount",""),IF(P31&gt;0.7,"High Discount",""),IF(C31&lt;B31,"Ship Before Order",""))</f>
        <v/>
      </c>
      <c r="Z31" s="2">
        <f>IFERROR(
  IF(ISNUMBER(B31),B31,
    IF(ISNUMBER(SEARCH("-",B31)*1),
      IF(LEN(LEFT(B31,FIND("-",B31)-1))=4,
        DATE(VALUE(LEFT(B31,4)),VALUE(MID(B31,6,2)),VALUE(RIGHT(B31,2))),
        DATE(VALUE(RIGHT(B31,4)),VALUE(MID(B31,4,2)),VALUE(LEFT(B31,2)))
      ),
      IF(ISNUMBER(SEARCH("/",B31)*1),
        DATE(VALUE(RIGHT(B31,4)),VALUE(LEFT(B31,2)),VALUE(MID(B31,4,2))),
        DATEVALUE(B31)
      )
    )
  ),
"INVALID_DATE")</f>
        <v>45882</v>
      </c>
      <c r="AA31" s="2">
        <f>IFERROR(
  IF(ISNUMBER(C31),C31,
    IF(ISNUMBER(SEARCH("-",C31)*1),
      IF(LEN(LEFT(C31,FIND("-",C31)-1))=4,
        DATE(VALUE(LEFT(C31,4)),VALUE(MID(C31,6,2)),VALUE(RIGHT(C31,2))),
        DATE(VALUE(RIGHT(C31,4)),VALUE(MID(C31,4,2)),VALUE(LEFT(C31,2)))
      ),
      IF(ISNUMBER(SEARCH("/",C31)*1),
        DATE(VALUE(RIGHT(C31,4)),VALUE(LEFT(C31,2)),VALUE(MID(C31,4,2))),
        DATEVALUE(C31)
      )
    )
  ),
"INVALID_DATE")</f>
        <v>45882</v>
      </c>
      <c r="AB31">
        <f t="shared" si="3"/>
        <v>0</v>
      </c>
      <c r="AC31" t="str">
        <f t="shared" si="4"/>
        <v>August</v>
      </c>
      <c r="AD31">
        <f t="shared" si="5"/>
        <v>2025</v>
      </c>
    </row>
    <row r="32" spans="1:30">
      <c r="A32" t="s">
        <v>252</v>
      </c>
      <c r="B32" t="s">
        <v>253</v>
      </c>
      <c r="C32" t="s">
        <v>254</v>
      </c>
      <c r="D32" t="s">
        <v>255</v>
      </c>
      <c r="E32" t="s">
        <v>79</v>
      </c>
      <c r="F32" t="s">
        <v>115</v>
      </c>
      <c r="G32" t="s">
        <v>80</v>
      </c>
      <c r="H32" t="s">
        <v>256</v>
      </c>
      <c r="I32" t="s">
        <v>257</v>
      </c>
      <c r="J32" t="s">
        <v>37</v>
      </c>
      <c r="K32" t="s">
        <v>116</v>
      </c>
      <c r="L32" t="s">
        <v>258</v>
      </c>
      <c r="M32" t="s">
        <v>63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41</v>
      </c>
      <c r="U32" t="s">
        <v>42</v>
      </c>
      <c r="V32">
        <f t="shared" si="0"/>
        <v>3079.5929999999998</v>
      </c>
      <c r="W32">
        <f t="shared" si="1"/>
        <v>1077.7</v>
      </c>
      <c r="X32">
        <f t="shared" si="2"/>
        <v>0.34994918154689425</v>
      </c>
      <c r="Y32" t="str">
        <f>_xlfn.TEXTJOIN(", ",TRUE,IF(G32="Unknown","Missing Region",""),IF(M32="Unknown","Missing Ship Mode",""),IF(P32&lt;0,"Negative Discount",""),IF(P32&gt;0.7,"High Discount",""),IF(C32&lt;B32,"Ship Before Order",""))</f>
        <v>Ship Before Order</v>
      </c>
      <c r="Z32" s="2">
        <f>IFERROR(
  IF(ISNUMBER(B32),B32,
    IF(ISNUMBER(SEARCH("-",B32)*1),
      IF(LEN(LEFT(B32,FIND("-",B32)-1))=4,
        DATE(VALUE(LEFT(B32,4)),VALUE(MID(B32,6,2)),VALUE(RIGHT(B32,2))),
        DATE(VALUE(RIGHT(B32,4)),VALUE(MID(B32,4,2)),VALUE(LEFT(B32,2)))
      ),
      IF(ISNUMBER(SEARCH("/",B32)*1),
        DATE(VALUE(RIGHT(B32,4)),VALUE(LEFT(B32,2)),VALUE(MID(B32,4,2))),
        DATEVALUE(B32)
      )
    )
  ),
"INVALID_DATE")</f>
        <v>45331</v>
      </c>
      <c r="AA32" s="2">
        <f>IFERROR(
  IF(ISNUMBER(C32),C32,
    IF(ISNUMBER(SEARCH("-",C32)*1),
      IF(LEN(LEFT(C32,FIND("-",C32)-1))=4,
        DATE(VALUE(LEFT(C32,4)),VALUE(MID(C32,6,2)),VALUE(RIGHT(C32,2))),
        DATE(VALUE(RIGHT(C32,4)),VALUE(MID(C32,4,2)),VALUE(LEFT(C32,2)))
      ),
      IF(ISNUMBER(SEARCH("/",C32)*1),
        DATE(VALUE(RIGHT(C32,4)),VALUE(LEFT(C32,2)),VALUE(MID(C32,4,2))),
        DATEVALUE(C32)
      )
    )
  ),
"INVALID_DATE")</f>
        <v>45334</v>
      </c>
      <c r="AB32">
        <f t="shared" si="3"/>
        <v>3</v>
      </c>
      <c r="AC32" t="str">
        <f t="shared" si="4"/>
        <v>February</v>
      </c>
      <c r="AD32">
        <f t="shared" si="5"/>
        <v>2024</v>
      </c>
    </row>
    <row r="33" spans="1:30">
      <c r="A33" t="s">
        <v>259</v>
      </c>
      <c r="B33" t="s">
        <v>260</v>
      </c>
      <c r="C33" t="s">
        <v>261</v>
      </c>
      <c r="D33" t="s">
        <v>262</v>
      </c>
      <c r="E33" t="s">
        <v>32</v>
      </c>
      <c r="F33" t="s">
        <v>48</v>
      </c>
      <c r="G33" t="s">
        <v>80</v>
      </c>
      <c r="H33" t="s">
        <v>91</v>
      </c>
      <c r="I33" t="s">
        <v>92</v>
      </c>
      <c r="J33" t="s">
        <v>37</v>
      </c>
      <c r="K33" t="s">
        <v>38</v>
      </c>
      <c r="L33" t="s">
        <v>263</v>
      </c>
      <c r="M33" t="s">
        <v>40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207</v>
      </c>
      <c r="U33" t="s">
        <v>132</v>
      </c>
      <c r="V33">
        <f t="shared" si="0"/>
        <v>27832.95</v>
      </c>
      <c r="W33">
        <f t="shared" si="1"/>
        <v>10063.200000000001</v>
      </c>
      <c r="X33">
        <f t="shared" si="2"/>
        <v>0.36155707533696574</v>
      </c>
      <c r="Y33" t="str">
        <f>_xlfn.TEXTJOIN(", ",TRUE,IF(G33="Unknown","Missing Region",""),IF(M33="Unknown","Missing Ship Mode",""),IF(P33&lt;0,"Negative Discount",""),IF(P33&gt;0.7,"High Discount",""),IF(C33&lt;B33,"Ship Before Order",""))</f>
        <v/>
      </c>
      <c r="Z33" s="2">
        <f>IFERROR(
  IF(ISNUMBER(B33),B33,
    IF(ISNUMBER(SEARCH("-",B33)*1),
      IF(LEN(LEFT(B33,FIND("-",B33)-1))=4,
        DATE(VALUE(LEFT(B33,4)),VALUE(MID(B33,6,2)),VALUE(RIGHT(B33,2))),
        DATE(VALUE(RIGHT(B33,4)),VALUE(MID(B33,4,2)),VALUE(LEFT(B33,2)))
      ),
      IF(ISNUMBER(SEARCH("/",B33)*1),
        DATE(VALUE(RIGHT(B33,4)),VALUE(LEFT(B33,2)),VALUE(MID(B33,4,2))),
        DATEVALUE(B33)
      )
    )
  ),
"INVALID_DATE")</f>
        <v>45823</v>
      </c>
      <c r="AA33" s="2">
        <f>IFERROR(
  IF(ISNUMBER(C33),C33,
    IF(ISNUMBER(SEARCH("-",C33)*1),
      IF(LEN(LEFT(C33,FIND("-",C33)-1))=4,
        DATE(VALUE(LEFT(C33,4)),VALUE(MID(C33,6,2)),VALUE(RIGHT(C33,2))),
        DATE(VALUE(RIGHT(C33,4)),VALUE(MID(C33,4,2)),VALUE(LEFT(C33,2)))
      ),
      IF(ISNUMBER(SEARCH("/",C33)*1),
        DATE(VALUE(RIGHT(C33,4)),VALUE(LEFT(C33,2)),VALUE(MID(C33,4,2))),
        DATEVALUE(C33)
      )
    )
  ),
"INVALID_DATE")</f>
        <v>45827</v>
      </c>
      <c r="AB33">
        <f t="shared" si="3"/>
        <v>4</v>
      </c>
      <c r="AC33" t="str">
        <f t="shared" si="4"/>
        <v>June</v>
      </c>
      <c r="AD33">
        <f t="shared" si="5"/>
        <v>2025</v>
      </c>
    </row>
    <row r="34" spans="1:30">
      <c r="A34" t="s">
        <v>264</v>
      </c>
      <c r="B34" t="s">
        <v>265</v>
      </c>
      <c r="C34" t="s">
        <v>266</v>
      </c>
      <c r="D34" t="s">
        <v>267</v>
      </c>
      <c r="E34" t="s">
        <v>169</v>
      </c>
      <c r="F34" t="s">
        <v>115</v>
      </c>
      <c r="G34" t="s">
        <v>69</v>
      </c>
      <c r="H34" t="s">
        <v>107</v>
      </c>
      <c r="I34" t="s">
        <v>108</v>
      </c>
      <c r="J34" t="s">
        <v>93</v>
      </c>
      <c r="K34" t="s">
        <v>230</v>
      </c>
      <c r="L34" t="s">
        <v>268</v>
      </c>
      <c r="M34" t="s">
        <v>40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41</v>
      </c>
      <c r="U34" t="s">
        <v>42</v>
      </c>
      <c r="V34">
        <f t="shared" si="0"/>
        <v>12003.75</v>
      </c>
      <c r="W34">
        <f t="shared" si="1"/>
        <v>1472.8899999999994</v>
      </c>
      <c r="X34">
        <f t="shared" si="2"/>
        <v>0.16360336383862373</v>
      </c>
      <c r="Y34" t="str">
        <f>_xlfn.TEXTJOIN(", ",TRUE,IF(G34="Unknown","Missing Region",""),IF(M34="Unknown","Missing Ship Mode",""),IF(P34&lt;0,"Negative Discount",""),IF(P34&gt;0.7,"High Discount",""),IF(C34&lt;B34,"Ship Before Order",""))</f>
        <v>Ship Before Order</v>
      </c>
      <c r="Z34" s="2">
        <f>IFERROR(
  IF(ISNUMBER(B34),B34,
    IF(ISNUMBER(SEARCH("-",B34)*1),
      IF(LEN(LEFT(B34,FIND("-",B34)-1))=4,
        DATE(VALUE(LEFT(B34,4)),VALUE(MID(B34,6,2)),VALUE(RIGHT(B34,2))),
        DATE(VALUE(RIGHT(B34,4)),VALUE(MID(B34,4,2)),VALUE(LEFT(B34,2)))
      ),
      IF(ISNUMBER(SEARCH("/",B34)*1),
        DATE(VALUE(RIGHT(B34,4)),VALUE(LEFT(B34,2)),VALUE(MID(B34,4,2))),
        DATEVALUE(B34)
      )
    )
  ),
"INVALID_DATE")</f>
        <v>45618</v>
      </c>
      <c r="AA34" s="2">
        <f>IFERROR(
  IF(ISNUMBER(C34),C34,
    IF(ISNUMBER(SEARCH("-",C34)*1),
      IF(LEN(LEFT(C34,FIND("-",C34)-1))=4,
        DATE(VALUE(LEFT(C34,4)),VALUE(MID(C34,6,2)),VALUE(RIGHT(C34,2))),
        DATE(VALUE(RIGHT(C34,4)),VALUE(MID(C34,4,2)),VALUE(LEFT(C34,2)))
      ),
      IF(ISNUMBER(SEARCH("/",C34)*1),
        DATE(VALUE(RIGHT(C34,4)),VALUE(LEFT(C34,2)),VALUE(MID(C34,4,2))),
        DATEVALUE(C34)
      )
    )
  ),
"INVALID_DATE")</f>
        <v>45622</v>
      </c>
      <c r="AB34">
        <f t="shared" si="3"/>
        <v>4</v>
      </c>
      <c r="AC34" t="str">
        <f t="shared" si="4"/>
        <v>November</v>
      </c>
      <c r="AD34">
        <f t="shared" si="5"/>
        <v>2024</v>
      </c>
    </row>
    <row r="35" spans="1:30">
      <c r="A35" t="s">
        <v>269</v>
      </c>
      <c r="B35" t="s">
        <v>270</v>
      </c>
      <c r="C35" t="s">
        <v>271</v>
      </c>
      <c r="D35" t="s">
        <v>272</v>
      </c>
      <c r="E35" t="s">
        <v>149</v>
      </c>
      <c r="F35" t="s">
        <v>122</v>
      </c>
      <c r="G35" t="s">
        <v>80</v>
      </c>
      <c r="H35" t="s">
        <v>256</v>
      </c>
      <c r="I35" t="s">
        <v>257</v>
      </c>
      <c r="J35" t="s">
        <v>52</v>
      </c>
      <c r="K35" t="s">
        <v>53</v>
      </c>
      <c r="L35" t="s">
        <v>273</v>
      </c>
      <c r="M35" t="s">
        <v>55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41</v>
      </c>
      <c r="U35" t="s">
        <v>42</v>
      </c>
      <c r="V35">
        <f t="shared" si="0"/>
        <v>2585.1525000000001</v>
      </c>
      <c r="W35">
        <f t="shared" si="1"/>
        <v>514.42000000000007</v>
      </c>
      <c r="X35">
        <f t="shared" si="2"/>
        <v>0.19899038740498615</v>
      </c>
      <c r="Y35" t="str">
        <f>_xlfn.TEXTJOIN(", ",TRUE,IF(G35="Unknown","Missing Region",""),IF(M35="Unknown","Missing Ship Mode",""),IF(P35&lt;0,"Negative Discount",""),IF(P35&gt;0.7,"High Discount",""),IF(C35&lt;B35,"Ship Before Order",""))</f>
        <v/>
      </c>
      <c r="Z35" s="2">
        <f>IFERROR(
  IF(ISNUMBER(B35),B35,
    IF(ISNUMBER(SEARCH("-",B35)*1),
      IF(LEN(LEFT(B35,FIND("-",B35)-1))=4,
        DATE(VALUE(LEFT(B35,4)),VALUE(MID(B35,6,2)),VALUE(RIGHT(B35,2))),
        DATE(VALUE(RIGHT(B35,4)),VALUE(MID(B35,4,2)),VALUE(LEFT(B35,2)))
      ),
      IF(ISNUMBER(SEARCH("/",B35)*1),
        DATE(VALUE(RIGHT(B35,4)),VALUE(LEFT(B35,2)),VALUE(MID(B35,4,2))),
        DATEVALUE(B35)
      )
    )
  ),
"INVALID_DATE")</f>
        <v>45495</v>
      </c>
      <c r="AA35" s="2">
        <f>IFERROR(
  IF(ISNUMBER(C35),C35,
    IF(ISNUMBER(SEARCH("-",C35)*1),
      IF(LEN(LEFT(C35,FIND("-",C35)-1))=4,
        DATE(VALUE(LEFT(C35,4)),VALUE(MID(C35,6,2)),VALUE(RIGHT(C35,2))),
        DATE(VALUE(RIGHT(C35,4)),VALUE(MID(C35,4,2)),VALUE(LEFT(C35,2)))
      ),
      IF(ISNUMBER(SEARCH("/",C35)*1),
        DATE(VALUE(RIGHT(C35,4)),VALUE(LEFT(C35,2)),VALUE(MID(C35,4,2))),
        DATEVALUE(C35)
      )
    )
  ),
"INVALID_DATE")</f>
        <v>45500</v>
      </c>
      <c r="AB35">
        <f t="shared" si="3"/>
        <v>5</v>
      </c>
      <c r="AC35" t="str">
        <f t="shared" si="4"/>
        <v>July</v>
      </c>
      <c r="AD35">
        <f t="shared" si="5"/>
        <v>2024</v>
      </c>
    </row>
    <row r="36" spans="1:30">
      <c r="A36" t="s">
        <v>274</v>
      </c>
      <c r="B36" t="s">
        <v>275</v>
      </c>
      <c r="C36" t="s">
        <v>276</v>
      </c>
      <c r="D36" t="s">
        <v>277</v>
      </c>
      <c r="E36" t="s">
        <v>149</v>
      </c>
      <c r="F36" t="s">
        <v>122</v>
      </c>
      <c r="G36" t="s">
        <v>49</v>
      </c>
      <c r="H36" t="s">
        <v>128</v>
      </c>
      <c r="I36" t="s">
        <v>129</v>
      </c>
      <c r="J36" t="s">
        <v>52</v>
      </c>
      <c r="K36" t="s">
        <v>83</v>
      </c>
      <c r="L36" t="s">
        <v>278</v>
      </c>
      <c r="M36" t="s">
        <v>279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41</v>
      </c>
      <c r="U36" t="s">
        <v>42</v>
      </c>
      <c r="V36">
        <f t="shared" si="0"/>
        <v>6655.5039999999999</v>
      </c>
      <c r="W36">
        <f t="shared" si="1"/>
        <v>2315.29</v>
      </c>
      <c r="X36">
        <f t="shared" si="2"/>
        <v>0.39175418826534447</v>
      </c>
      <c r="Y36" t="str">
        <f>_xlfn.TEXTJOIN(", ",TRUE,IF(G36="Unknown","Missing Region",""),IF(M36="Unknown","Missing Ship Mode",""),IF(P36&lt;0,"Negative Discount",""),IF(P36&gt;0.7,"High Discount",""),IF(C36&lt;B36,"Ship Before Order",""))</f>
        <v>Missing Ship Mode</v>
      </c>
      <c r="Z36" s="2">
        <f>IFERROR(
  IF(ISNUMBER(B36),B36,
    IF(ISNUMBER(SEARCH("-",B36)*1),
      IF(LEN(LEFT(B36,FIND("-",B36)-1))=4,
        DATE(VALUE(LEFT(B36,4)),VALUE(MID(B36,6,2)),VALUE(RIGHT(B36,2))),
        DATE(VALUE(RIGHT(B36,4)),VALUE(MID(B36,4,2)),VALUE(LEFT(B36,2)))
      ),
      IF(ISNUMBER(SEARCH("/",B36)*1),
        DATE(VALUE(RIGHT(B36,4)),VALUE(LEFT(B36,2)),VALUE(MID(B36,4,2))),
        DATEVALUE(B36)
      )
    )
  ),
"INVALID_DATE")</f>
        <v>45688</v>
      </c>
      <c r="AA36" s="2">
        <f>IFERROR(
  IF(ISNUMBER(C36),C36,
    IF(ISNUMBER(SEARCH("-",C36)*1),
      IF(LEN(LEFT(C36,FIND("-",C36)-1))=4,
        DATE(VALUE(LEFT(C36,4)),VALUE(MID(C36,6,2)),VALUE(RIGHT(C36,2))),
        DATE(VALUE(RIGHT(C36,4)),VALUE(MID(C36,4,2)),VALUE(LEFT(C36,2)))
      ),
      IF(ISNUMBER(SEARCH("/",C36)*1),
        DATE(VALUE(RIGHT(C36,4)),VALUE(LEFT(C36,2)),VALUE(MID(C36,4,2))),
        DATEVALUE(C36)
      )
    )
  ),
"INVALID_DATE")</f>
        <v>45693</v>
      </c>
      <c r="AB36">
        <f t="shared" si="3"/>
        <v>5</v>
      </c>
      <c r="AC36" t="str">
        <f t="shared" si="4"/>
        <v>January</v>
      </c>
      <c r="AD36">
        <f t="shared" si="5"/>
        <v>2025</v>
      </c>
    </row>
    <row r="37" spans="1:30">
      <c r="A37" t="s">
        <v>280</v>
      </c>
      <c r="B37" t="s">
        <v>281</v>
      </c>
      <c r="C37" t="s">
        <v>282</v>
      </c>
      <c r="D37" t="s">
        <v>283</v>
      </c>
      <c r="E37" t="s">
        <v>175</v>
      </c>
      <c r="F37" t="s">
        <v>48</v>
      </c>
      <c r="G37" t="s">
        <v>80</v>
      </c>
      <c r="H37" t="s">
        <v>242</v>
      </c>
      <c r="I37" t="s">
        <v>243</v>
      </c>
      <c r="J37" t="s">
        <v>52</v>
      </c>
      <c r="K37" t="s">
        <v>211</v>
      </c>
      <c r="L37" t="s">
        <v>284</v>
      </c>
      <c r="M37" t="s">
        <v>40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144</v>
      </c>
      <c r="U37" t="s">
        <v>132</v>
      </c>
      <c r="V37">
        <f t="shared" si="0"/>
        <v>19054.111999999997</v>
      </c>
      <c r="W37">
        <f t="shared" si="1"/>
        <v>3740.2800000000007</v>
      </c>
      <c r="X37">
        <f t="shared" si="2"/>
        <v>0.1962978066149508</v>
      </c>
      <c r="Y37" t="str">
        <f>_xlfn.TEXTJOIN(", ",TRUE,IF(G37="Unknown","Missing Region",""),IF(M37="Unknown","Missing Ship Mode",""),IF(P37&lt;0,"Negative Discount",""),IF(P37&gt;0.7,"High Discount",""),IF(C37&lt;B37,"Ship Before Order",""))</f>
        <v>Ship Before Order</v>
      </c>
      <c r="Z37" s="2">
        <f>IFERROR(
  IF(ISNUMBER(B37),B37,
    IF(ISNUMBER(SEARCH("-",B37)*1),
      IF(LEN(LEFT(B37,FIND("-",B37)-1))=4,
        DATE(VALUE(LEFT(B37,4)),VALUE(MID(B37,6,2)),VALUE(RIGHT(B37,2))),
        DATE(VALUE(RIGHT(B37,4)),VALUE(MID(B37,4,2)),VALUE(LEFT(B37,2)))
      ),
      IF(ISNUMBER(SEARCH("/",B37)*1),
        DATE(VALUE(RIGHT(B37,4)),VALUE(LEFT(B37,2)),VALUE(MID(B37,4,2))),
        DATEVALUE(B37)
      )
    )
  ),
"INVALID_DATE")</f>
        <v>45441</v>
      </c>
      <c r="AA37" s="2">
        <f>IFERROR(
  IF(ISNUMBER(C37),C37,
    IF(ISNUMBER(SEARCH("-",C37)*1),
      IF(LEN(LEFT(C37,FIND("-",C37)-1))=4,
        DATE(VALUE(LEFT(C37,4)),VALUE(MID(C37,6,2)),VALUE(RIGHT(C37,2))),
        DATE(VALUE(RIGHT(C37,4)),VALUE(MID(C37,4,2)),VALUE(LEFT(C37,2)))
      ),
      IF(ISNUMBER(SEARCH("/",C37)*1),
        DATE(VALUE(RIGHT(C37,4)),VALUE(LEFT(C37,2)),VALUE(MID(C37,4,2))),
        DATEVALUE(C37)
      )
    )
  ),
"INVALID_DATE")</f>
        <v>45441</v>
      </c>
      <c r="AB37">
        <f t="shared" si="3"/>
        <v>0</v>
      </c>
      <c r="AC37" t="str">
        <f t="shared" si="4"/>
        <v>May</v>
      </c>
      <c r="AD37">
        <f t="shared" si="5"/>
        <v>2024</v>
      </c>
    </row>
    <row r="38" spans="1:30">
      <c r="A38" t="s">
        <v>285</v>
      </c>
      <c r="B38" t="s">
        <v>286</v>
      </c>
      <c r="C38" t="s">
        <v>287</v>
      </c>
      <c r="D38" t="s">
        <v>288</v>
      </c>
      <c r="E38" t="s">
        <v>187</v>
      </c>
      <c r="F38" t="s">
        <v>115</v>
      </c>
      <c r="G38" t="s">
        <v>80</v>
      </c>
      <c r="H38" t="s">
        <v>81</v>
      </c>
      <c r="I38" t="s">
        <v>82</v>
      </c>
      <c r="J38" t="s">
        <v>52</v>
      </c>
      <c r="K38" t="s">
        <v>211</v>
      </c>
      <c r="L38" t="s">
        <v>289</v>
      </c>
      <c r="M38" t="s">
        <v>40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41</v>
      </c>
      <c r="U38" t="s">
        <v>132</v>
      </c>
      <c r="V38">
        <f t="shared" si="0"/>
        <v>9379.41</v>
      </c>
      <c r="W38">
        <f t="shared" si="1"/>
        <v>2708.5599999999995</v>
      </c>
      <c r="X38">
        <f t="shared" si="2"/>
        <v>0.28877722585962229</v>
      </c>
      <c r="Y38" t="str">
        <f>_xlfn.TEXTJOIN(", ",TRUE,IF(G38="Unknown","Missing Region",""),IF(M38="Unknown","Missing Ship Mode",""),IF(P38&lt;0,"Negative Discount",""),IF(P38&gt;0.7,"High Discount",""),IF(C38&lt;B38,"Ship Before Order",""))</f>
        <v/>
      </c>
      <c r="Z38" s="2">
        <f>IFERROR(
  IF(ISNUMBER(B38),B38,
    IF(ISNUMBER(SEARCH("-",B38)*1),
      IF(LEN(LEFT(B38,FIND("-",B38)-1))=4,
        DATE(VALUE(LEFT(B38,4)),VALUE(MID(B38,6,2)),VALUE(RIGHT(B38,2))),
        DATE(VALUE(RIGHT(B38,4)),VALUE(MID(B38,4,2)),VALUE(LEFT(B38,2)))
      ),
      IF(ISNUMBER(SEARCH("/",B38)*1),
        DATE(VALUE(RIGHT(B38,4)),VALUE(LEFT(B38,2)),VALUE(MID(B38,4,2))),
        DATEVALUE(B38)
      )
    )
  ),
"INVALID_DATE")</f>
        <v>45590</v>
      </c>
      <c r="AA38" s="2">
        <f>IFERROR(
  IF(ISNUMBER(C38),C38,
    IF(ISNUMBER(SEARCH("-",C38)*1),
      IF(LEN(LEFT(C38,FIND("-",C38)-1))=4,
        DATE(VALUE(LEFT(C38,4)),VALUE(MID(C38,6,2)),VALUE(RIGHT(C38,2))),
        DATE(VALUE(RIGHT(C38,4)),VALUE(MID(C38,4,2)),VALUE(LEFT(C38,2)))
      ),
      IF(ISNUMBER(SEARCH("/",C38)*1),
        DATE(VALUE(RIGHT(C38,4)),VALUE(LEFT(C38,2)),VALUE(MID(C38,4,2))),
        DATEVALUE(C38)
      )
    )
  ),
"INVALID_DATE")</f>
        <v>45593</v>
      </c>
      <c r="AB38">
        <f t="shared" si="3"/>
        <v>3</v>
      </c>
      <c r="AC38" t="str">
        <f t="shared" si="4"/>
        <v>October</v>
      </c>
      <c r="AD38">
        <f t="shared" si="5"/>
        <v>2024</v>
      </c>
    </row>
    <row r="39" spans="1:30">
      <c r="A39" t="s">
        <v>290</v>
      </c>
      <c r="B39" t="s">
        <v>291</v>
      </c>
      <c r="C39" t="s">
        <v>291</v>
      </c>
      <c r="D39" t="s">
        <v>292</v>
      </c>
      <c r="E39" t="s">
        <v>217</v>
      </c>
      <c r="F39" t="s">
        <v>33</v>
      </c>
      <c r="G39" t="s">
        <v>80</v>
      </c>
      <c r="H39" t="s">
        <v>81</v>
      </c>
      <c r="I39" t="s">
        <v>82</v>
      </c>
      <c r="J39" t="s">
        <v>93</v>
      </c>
      <c r="K39" t="s">
        <v>101</v>
      </c>
      <c r="L39" t="s">
        <v>293</v>
      </c>
      <c r="M39" t="s">
        <v>294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41</v>
      </c>
      <c r="U39" t="s">
        <v>42</v>
      </c>
      <c r="V39">
        <f t="shared" si="0"/>
        <v>4248.1279999999997</v>
      </c>
      <c r="W39">
        <f t="shared" si="1"/>
        <v>927.04</v>
      </c>
      <c r="X39">
        <f t="shared" si="2"/>
        <v>0.21822307697739945</v>
      </c>
      <c r="Y39" t="str">
        <f>_xlfn.TEXTJOIN(", ",TRUE,IF(G39="Unknown","Missing Region",""),IF(M39="Unknown","Missing Ship Mode",""),IF(P39&lt;0,"Negative Discount",""),IF(P39&gt;0.7,"High Discount",""),IF(C39&lt;B39,"Ship Before Order",""))</f>
        <v/>
      </c>
      <c r="Z39" s="2">
        <f>IFERROR(
  IF(ISNUMBER(B39),B39,
    IF(ISNUMBER(SEARCH("-",B39)*1),
      IF(LEN(LEFT(B39,FIND("-",B39)-1))=4,
        DATE(VALUE(LEFT(B39,4)),VALUE(MID(B39,6,2)),VALUE(RIGHT(B39,2))),
        DATE(VALUE(RIGHT(B39,4)),VALUE(MID(B39,4,2)),VALUE(LEFT(B39,2)))
      ),
      IF(ISNUMBER(SEARCH("/",B39)*1),
        DATE(VALUE(RIGHT(B39,4)),VALUE(LEFT(B39,2)),VALUE(MID(B39,4,2))),
        DATEVALUE(B39)
      )
    )
  ),
"INVALID_DATE")</f>
        <v>45867</v>
      </c>
      <c r="AA39" s="2">
        <f>IFERROR(
  IF(ISNUMBER(C39),C39,
    IF(ISNUMBER(SEARCH("-",C39)*1),
      IF(LEN(LEFT(C39,FIND("-",C39)-1))=4,
        DATE(VALUE(LEFT(C39,4)),VALUE(MID(C39,6,2)),VALUE(RIGHT(C39,2))),
        DATE(VALUE(RIGHT(C39,4)),VALUE(MID(C39,4,2)),VALUE(LEFT(C39,2)))
      ),
      IF(ISNUMBER(SEARCH("/",C39)*1),
        DATE(VALUE(RIGHT(C39,4)),VALUE(LEFT(C39,2)),VALUE(MID(C39,4,2))),
        DATEVALUE(C39)
      )
    )
  ),
"INVALID_DATE")</f>
        <v>45867</v>
      </c>
      <c r="AB39">
        <f t="shared" si="3"/>
        <v>0</v>
      </c>
      <c r="AC39" t="str">
        <f t="shared" si="4"/>
        <v>July</v>
      </c>
      <c r="AD39">
        <f t="shared" si="5"/>
        <v>2025</v>
      </c>
    </row>
    <row r="40" spans="1:30">
      <c r="A40" t="s">
        <v>295</v>
      </c>
      <c r="B40" t="s">
        <v>296</v>
      </c>
      <c r="C40" t="s">
        <v>297</v>
      </c>
      <c r="D40" t="s">
        <v>298</v>
      </c>
      <c r="E40" t="s">
        <v>169</v>
      </c>
      <c r="F40" t="s">
        <v>115</v>
      </c>
      <c r="G40" t="s">
        <v>80</v>
      </c>
      <c r="H40" t="s">
        <v>242</v>
      </c>
      <c r="I40" t="s">
        <v>243</v>
      </c>
      <c r="J40" t="s">
        <v>93</v>
      </c>
      <c r="K40" t="s">
        <v>230</v>
      </c>
      <c r="L40" t="s">
        <v>299</v>
      </c>
      <c r="M40" t="s">
        <v>63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41</v>
      </c>
      <c r="U40" t="s">
        <v>42</v>
      </c>
      <c r="V40">
        <f t="shared" si="0"/>
        <v>13927.284</v>
      </c>
      <c r="W40">
        <f t="shared" si="1"/>
        <v>3422.41</v>
      </c>
      <c r="X40">
        <f t="shared" si="2"/>
        <v>0.24573427115703853</v>
      </c>
      <c r="Y40" t="str">
        <f>_xlfn.TEXTJOIN(", ",TRUE,IF(G40="Unknown","Missing Region",""),IF(M40="Unknown","Missing Ship Mode",""),IF(P40&lt;0,"Negative Discount",""),IF(P40&gt;0.7,"High Discount",""),IF(C40&lt;B40,"Ship Before Order",""))</f>
        <v/>
      </c>
      <c r="Z40" s="2">
        <f>IFERROR(
  IF(ISNUMBER(B40),B40,
    IF(ISNUMBER(SEARCH("-",B40)*1),
      IF(LEN(LEFT(B40,FIND("-",B40)-1))=4,
        DATE(VALUE(LEFT(B40,4)),VALUE(MID(B40,6,2)),VALUE(RIGHT(B40,2))),
        DATE(VALUE(RIGHT(B40,4)),VALUE(MID(B40,4,2)),VALUE(LEFT(B40,2)))
      ),
      IF(ISNUMBER(SEARCH("/",B40)*1),
        DATE(VALUE(RIGHT(B40,4)),VALUE(LEFT(B40,2)),VALUE(MID(B40,4,2))),
        DATEVALUE(B40)
      )
    )
  ),
"INVALID_DATE")</f>
        <v>45460</v>
      </c>
      <c r="AA40" s="2">
        <f>IFERROR(
  IF(ISNUMBER(C40),C40,
    IF(ISNUMBER(SEARCH("-",C40)*1),
      IF(LEN(LEFT(C40,FIND("-",C40)-1))=4,
        DATE(VALUE(LEFT(C40,4)),VALUE(MID(C40,6,2)),VALUE(RIGHT(C40,2))),
        DATE(VALUE(RIGHT(C40,4)),VALUE(MID(C40,4,2)),VALUE(LEFT(C40,2)))
      ),
      IF(ISNUMBER(SEARCH("/",C40)*1),
        DATE(VALUE(RIGHT(C40,4)),VALUE(LEFT(C40,2)),VALUE(MID(C40,4,2))),
        DATEVALUE(C40)
      )
    )
  ),
"INVALID_DATE")</f>
        <v>45465</v>
      </c>
      <c r="AB40">
        <f t="shared" si="3"/>
        <v>5</v>
      </c>
      <c r="AC40" t="str">
        <f t="shared" si="4"/>
        <v>June</v>
      </c>
      <c r="AD40">
        <f t="shared" si="5"/>
        <v>2024</v>
      </c>
    </row>
    <row r="41" spans="1:30">
      <c r="A41" t="s">
        <v>300</v>
      </c>
      <c r="B41" t="s">
        <v>301</v>
      </c>
      <c r="C41" t="s">
        <v>302</v>
      </c>
      <c r="D41" t="s">
        <v>303</v>
      </c>
      <c r="E41" t="s">
        <v>47</v>
      </c>
      <c r="F41" t="s">
        <v>48</v>
      </c>
      <c r="G41" t="s">
        <v>80</v>
      </c>
      <c r="H41" t="s">
        <v>91</v>
      </c>
      <c r="I41" t="s">
        <v>92</v>
      </c>
      <c r="J41" t="s">
        <v>93</v>
      </c>
      <c r="K41" t="s">
        <v>101</v>
      </c>
      <c r="L41" t="s">
        <v>304</v>
      </c>
      <c r="M41" t="s">
        <v>63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144</v>
      </c>
      <c r="U41" t="s">
        <v>132</v>
      </c>
      <c r="V41">
        <f t="shared" si="0"/>
        <v>4935.3120000000008</v>
      </c>
      <c r="W41">
        <f t="shared" si="1"/>
        <v>1560.5400000000004</v>
      </c>
      <c r="X41">
        <f t="shared" si="2"/>
        <v>0.31619898243474065</v>
      </c>
      <c r="Y41" t="str">
        <f>_xlfn.TEXTJOIN(", ",TRUE,IF(G41="Unknown","Missing Region",""),IF(M41="Unknown","Missing Ship Mode",""),IF(P41&lt;0,"Negative Discount",""),IF(P41&gt;0.7,"High Discount",""),IF(C41&lt;B41,"Ship Before Order",""))</f>
        <v/>
      </c>
      <c r="Z41" s="2">
        <f>IFERROR(
  IF(ISNUMBER(B41),B41,
    IF(ISNUMBER(SEARCH("-",B41)*1),
      IF(LEN(LEFT(B41,FIND("-",B41)-1))=4,
        DATE(VALUE(LEFT(B41,4)),VALUE(MID(B41,6,2)),VALUE(RIGHT(B41,2))),
        DATE(VALUE(RIGHT(B41,4)),VALUE(MID(B41,4,2)),VALUE(LEFT(B41,2)))
      ),
      IF(ISNUMBER(SEARCH("/",B41)*1),
        DATE(VALUE(RIGHT(B41,4)),VALUE(LEFT(B41,2)),VALUE(MID(B41,4,2))),
        DATEVALUE(B41)
      )
    )
  ),
"INVALID_DATE")</f>
        <v>45637</v>
      </c>
      <c r="AA41" s="2">
        <f>IFERROR(
  IF(ISNUMBER(C41),C41,
    IF(ISNUMBER(SEARCH("-",C41)*1),
      IF(LEN(LEFT(C41,FIND("-",C41)-1))=4,
        DATE(VALUE(LEFT(C41,4)),VALUE(MID(C41,6,2)),VALUE(RIGHT(C41,2))),
        DATE(VALUE(RIGHT(C41,4)),VALUE(MID(C41,4,2)),VALUE(LEFT(C41,2)))
      ),
      IF(ISNUMBER(SEARCH("/",C41)*1),
        DATE(VALUE(RIGHT(C41,4)),VALUE(LEFT(C41,2)),VALUE(MID(C41,4,2))),
        DATEVALUE(C41)
      )
    )
  ),
"INVALID_DATE")</f>
        <v>45637</v>
      </c>
      <c r="AB41">
        <f t="shared" si="3"/>
        <v>0</v>
      </c>
      <c r="AC41" t="str">
        <f t="shared" si="4"/>
        <v>December</v>
      </c>
      <c r="AD41">
        <f t="shared" si="5"/>
        <v>2024</v>
      </c>
    </row>
    <row r="42" spans="1:30">
      <c r="A42" t="s">
        <v>305</v>
      </c>
      <c r="B42" t="s">
        <v>306</v>
      </c>
      <c r="C42" t="s">
        <v>307</v>
      </c>
      <c r="D42" t="s">
        <v>308</v>
      </c>
      <c r="E42" t="s">
        <v>60</v>
      </c>
      <c r="F42" t="s">
        <v>122</v>
      </c>
      <c r="G42" t="s">
        <v>80</v>
      </c>
      <c r="H42" t="s">
        <v>35</v>
      </c>
      <c r="I42" t="s">
        <v>142</v>
      </c>
      <c r="J42" t="s">
        <v>93</v>
      </c>
      <c r="K42" t="s">
        <v>101</v>
      </c>
      <c r="L42" t="s">
        <v>309</v>
      </c>
      <c r="M42" t="s">
        <v>74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41</v>
      </c>
      <c r="U42" t="s">
        <v>42</v>
      </c>
      <c r="V42">
        <f t="shared" si="0"/>
        <v>14051.912</v>
      </c>
      <c r="W42">
        <f t="shared" si="1"/>
        <v>2061.5399999999991</v>
      </c>
      <c r="X42">
        <f t="shared" si="2"/>
        <v>0.14670888156841311</v>
      </c>
      <c r="Y42" t="str">
        <f>_xlfn.TEXTJOIN(", ",TRUE,IF(G42="Unknown","Missing Region",""),IF(M42="Unknown","Missing Ship Mode",""),IF(P42&lt;0,"Negative Discount",""),IF(P42&gt;0.7,"High Discount",""),IF(C42&lt;B42,"Ship Before Order",""))</f>
        <v/>
      </c>
      <c r="Z42" s="2">
        <f>IFERROR(
  IF(ISNUMBER(B42),B42,
    IF(ISNUMBER(SEARCH("-",B42)*1),
      IF(LEN(LEFT(B42,FIND("-",B42)-1))=4,
        DATE(VALUE(LEFT(B42,4)),VALUE(MID(B42,6,2)),VALUE(RIGHT(B42,2))),
        DATE(VALUE(RIGHT(B42,4)),VALUE(MID(B42,4,2)),VALUE(LEFT(B42,2)))
      ),
      IF(ISNUMBER(SEARCH("/",B42)*1),
        DATE(VALUE(RIGHT(B42,4)),VALUE(LEFT(B42,2)),VALUE(MID(B42,4,2))),
        DATEVALUE(B42)
      )
    )
  ),
"INVALID_DATE")</f>
        <v>45575</v>
      </c>
      <c r="AA42" s="2">
        <f>IFERROR(
  IF(ISNUMBER(C42),C42,
    IF(ISNUMBER(SEARCH("-",C42)*1),
      IF(LEN(LEFT(C42,FIND("-",C42)-1))=4,
        DATE(VALUE(LEFT(C42,4)),VALUE(MID(C42,6,2)),VALUE(RIGHT(C42,2))),
        DATE(VALUE(RIGHT(C42,4)),VALUE(MID(C42,4,2)),VALUE(LEFT(C42,2)))
      ),
      IF(ISNUMBER(SEARCH("/",C42)*1),
        DATE(VALUE(RIGHT(C42,4)),VALUE(LEFT(C42,2)),VALUE(MID(C42,4,2))),
        DATEVALUE(C42)
      )
    )
  ),
"INVALID_DATE")</f>
        <v>45581</v>
      </c>
      <c r="AB42">
        <f t="shared" si="3"/>
        <v>6</v>
      </c>
      <c r="AC42" t="str">
        <f t="shared" si="4"/>
        <v>October</v>
      </c>
      <c r="AD42">
        <f t="shared" si="5"/>
        <v>2024</v>
      </c>
    </row>
    <row r="43" spans="1:30">
      <c r="A43" t="s">
        <v>310</v>
      </c>
      <c r="B43" t="s">
        <v>311</v>
      </c>
      <c r="C43" t="s">
        <v>312</v>
      </c>
      <c r="D43" t="s">
        <v>313</v>
      </c>
      <c r="E43" t="s">
        <v>169</v>
      </c>
      <c r="F43" t="s">
        <v>48</v>
      </c>
      <c r="G43" t="s">
        <v>49</v>
      </c>
      <c r="H43" t="s">
        <v>50</v>
      </c>
      <c r="I43" t="s">
        <v>51</v>
      </c>
      <c r="J43" t="s">
        <v>52</v>
      </c>
      <c r="K43" t="s">
        <v>211</v>
      </c>
      <c r="L43" t="s">
        <v>314</v>
      </c>
      <c r="M43" t="s">
        <v>55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144</v>
      </c>
      <c r="U43" t="s">
        <v>85</v>
      </c>
      <c r="V43">
        <f t="shared" si="0"/>
        <v>6846.48</v>
      </c>
      <c r="W43">
        <f t="shared" si="1"/>
        <v>2606.5899999999992</v>
      </c>
      <c r="X43">
        <f t="shared" si="2"/>
        <v>0.38071972750961081</v>
      </c>
      <c r="Y43" t="str">
        <f>_xlfn.TEXTJOIN(", ",TRUE,IF(G43="Unknown","Missing Region",""),IF(M43="Unknown","Missing Ship Mode",""),IF(P43&lt;0,"Negative Discount",""),IF(P43&gt;0.7,"High Discount",""),IF(C43&lt;B43,"Ship Before Order",""))</f>
        <v/>
      </c>
      <c r="Z43" s="2">
        <f>IFERROR(
  IF(ISNUMBER(B43),B43,
    IF(ISNUMBER(SEARCH("-",B43)*1),
      IF(LEN(LEFT(B43,FIND("-",B43)-1))=4,
        DATE(VALUE(LEFT(B43,4)),VALUE(MID(B43,6,2)),VALUE(RIGHT(B43,2))),
        DATE(VALUE(RIGHT(B43,4)),VALUE(MID(B43,4,2)),VALUE(LEFT(B43,2)))
      ),
      IF(ISNUMBER(SEARCH("/",B43)*1),
        DATE(VALUE(RIGHT(B43,4)),VALUE(LEFT(B43,2)),VALUE(MID(B43,4,2))),
        DATEVALUE(B43)
      )
    )
  ),
"INVALID_DATE")</f>
        <v>45363</v>
      </c>
      <c r="AA43" s="2">
        <f>IFERROR(
  IF(ISNUMBER(C43),C43,
    IF(ISNUMBER(SEARCH("-",C43)*1),
      IF(LEN(LEFT(C43,FIND("-",C43)-1))=4,
        DATE(VALUE(LEFT(C43,4)),VALUE(MID(C43,6,2)),VALUE(RIGHT(C43,2))),
        DATE(VALUE(RIGHT(C43,4)),VALUE(MID(C43,4,2)),VALUE(LEFT(C43,2)))
      ),
      IF(ISNUMBER(SEARCH("/",C43)*1),
        DATE(VALUE(RIGHT(C43,4)),VALUE(LEFT(C43,2)),VALUE(MID(C43,4,2))),
        DATEVALUE(C43)
      )
    )
  ),
"INVALID_DATE")</f>
        <v>45368</v>
      </c>
      <c r="AB43">
        <f t="shared" si="3"/>
        <v>5</v>
      </c>
      <c r="AC43" t="str">
        <f t="shared" si="4"/>
        <v>March</v>
      </c>
      <c r="AD43">
        <f t="shared" si="5"/>
        <v>2024</v>
      </c>
    </row>
    <row r="44" spans="1:30">
      <c r="A44" t="s">
        <v>315</v>
      </c>
      <c r="B44" t="s">
        <v>316</v>
      </c>
      <c r="C44" t="s">
        <v>317</v>
      </c>
      <c r="D44" t="s">
        <v>318</v>
      </c>
      <c r="E44" t="s">
        <v>68</v>
      </c>
      <c r="F44" t="s">
        <v>115</v>
      </c>
      <c r="G44" t="s">
        <v>49</v>
      </c>
      <c r="H44" t="s">
        <v>319</v>
      </c>
      <c r="I44" t="s">
        <v>320</v>
      </c>
      <c r="J44" t="s">
        <v>93</v>
      </c>
      <c r="K44" t="s">
        <v>230</v>
      </c>
      <c r="L44" t="s">
        <v>321</v>
      </c>
      <c r="M44" t="s">
        <v>74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41</v>
      </c>
      <c r="U44" t="s">
        <v>42</v>
      </c>
      <c r="V44">
        <f t="shared" si="0"/>
        <v>7447.0119999999997</v>
      </c>
      <c r="W44">
        <f t="shared" si="1"/>
        <v>2950.79</v>
      </c>
      <c r="X44">
        <f t="shared" si="2"/>
        <v>0.39623822178297058</v>
      </c>
      <c r="Y44" t="str">
        <f>_xlfn.TEXTJOIN(", ",TRUE,IF(G44="Unknown","Missing Region",""),IF(M44="Unknown","Missing Ship Mode",""),IF(P44&lt;0,"Negative Discount",""),IF(P44&gt;0.7,"High Discount",""),IF(C44&lt;B44,"Ship Before Order",""))</f>
        <v>Ship Before Order</v>
      </c>
      <c r="Z44" s="2">
        <f>IFERROR(
  IF(ISNUMBER(B44),B44,
    IF(ISNUMBER(SEARCH("-",B44)*1),
      IF(LEN(LEFT(B44,FIND("-",B44)-1))=4,
        DATE(VALUE(LEFT(B44,4)),VALUE(MID(B44,6,2)),VALUE(RIGHT(B44,2))),
        DATE(VALUE(RIGHT(B44,4)),VALUE(MID(B44,4,2)),VALUE(LEFT(B44,2)))
      ),
      IF(ISNUMBER(SEARCH("/",B44)*1),
        DATE(VALUE(RIGHT(B44,4)),VALUE(LEFT(B44,2)),VALUE(MID(B44,4,2))),
        DATEVALUE(B44)
      )
    )
  ),
"INVALID_DATE")</f>
        <v>45940</v>
      </c>
      <c r="AA44" s="2">
        <f>IFERROR(
  IF(ISNUMBER(C44),C44,
    IF(ISNUMBER(SEARCH("-",C44)*1),
      IF(LEN(LEFT(C44,FIND("-",C44)-1))=4,
        DATE(VALUE(LEFT(C44,4)),VALUE(MID(C44,6,2)),VALUE(RIGHT(C44,2))),
        DATE(VALUE(RIGHT(C44,4)),VALUE(MID(C44,4,2)),VALUE(LEFT(C44,2)))
      ),
      IF(ISNUMBER(SEARCH("/",C44)*1),
        DATE(VALUE(RIGHT(C44,4)),VALUE(LEFT(C44,2)),VALUE(MID(C44,4,2))),
        DATEVALUE(C44)
      )
    )
  ),
"INVALID_DATE")</f>
        <v>45945</v>
      </c>
      <c r="AB44">
        <f t="shared" si="3"/>
        <v>5</v>
      </c>
      <c r="AC44" t="str">
        <f t="shared" si="4"/>
        <v>October</v>
      </c>
      <c r="AD44">
        <f t="shared" si="5"/>
        <v>2025</v>
      </c>
    </row>
    <row r="45" spans="1:30">
      <c r="A45" t="s">
        <v>322</v>
      </c>
      <c r="B45" t="s">
        <v>323</v>
      </c>
      <c r="C45" t="s">
        <v>324</v>
      </c>
      <c r="D45" t="s">
        <v>325</v>
      </c>
      <c r="E45" t="s">
        <v>149</v>
      </c>
      <c r="F45" t="s">
        <v>48</v>
      </c>
      <c r="G45" t="s">
        <v>49</v>
      </c>
      <c r="H45" t="s">
        <v>50</v>
      </c>
      <c r="I45" t="s">
        <v>51</v>
      </c>
      <c r="J45" t="s">
        <v>52</v>
      </c>
      <c r="K45" t="s">
        <v>72</v>
      </c>
      <c r="L45" t="s">
        <v>326</v>
      </c>
      <c r="M45" t="s">
        <v>55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41</v>
      </c>
      <c r="U45" t="s">
        <v>42</v>
      </c>
      <c r="V45">
        <f t="shared" si="0"/>
        <v>3030.69</v>
      </c>
      <c r="W45">
        <f t="shared" si="1"/>
        <v>1309.6100000000001</v>
      </c>
      <c r="X45">
        <f t="shared" si="2"/>
        <v>0.43211611877163281</v>
      </c>
      <c r="Y45" t="str">
        <f>_xlfn.TEXTJOIN(", ",TRUE,IF(G45="Unknown","Missing Region",""),IF(M45="Unknown","Missing Ship Mode",""),IF(P45&lt;0,"Negative Discount",""),IF(P45&gt;0.7,"High Discount",""),IF(C45&lt;B45,"Ship Before Order",""))</f>
        <v/>
      </c>
      <c r="Z45" s="2">
        <f>IFERROR(
  IF(ISNUMBER(B45),B45,
    IF(ISNUMBER(SEARCH("-",B45)*1),
      IF(LEN(LEFT(B45,FIND("-",B45)-1))=4,
        DATE(VALUE(LEFT(B45,4)),VALUE(MID(B45,6,2)),VALUE(RIGHT(B45,2))),
        DATE(VALUE(RIGHT(B45,4)),VALUE(MID(B45,4,2)),VALUE(LEFT(B45,2)))
      ),
      IF(ISNUMBER(SEARCH("/",B45)*1),
        DATE(VALUE(RIGHT(B45,4)),VALUE(LEFT(B45,2)),VALUE(MID(B45,4,2))),
        DATEVALUE(B45)
      )
    )
  ),
"INVALID_DATE")</f>
        <v>45481</v>
      </c>
      <c r="AA45" s="2">
        <f>IFERROR(
  IF(ISNUMBER(C45),C45,
    IF(ISNUMBER(SEARCH("-",C45)*1),
      IF(LEN(LEFT(C45,FIND("-",C45)-1))=4,
        DATE(VALUE(LEFT(C45,4)),VALUE(MID(C45,6,2)),VALUE(RIGHT(C45,2))),
        DATE(VALUE(RIGHT(C45,4)),VALUE(MID(C45,4,2)),VALUE(LEFT(C45,2)))
      ),
      IF(ISNUMBER(SEARCH("/",C45)*1),
        DATE(VALUE(RIGHT(C45,4)),VALUE(LEFT(C45,2)),VALUE(MID(C45,4,2))),
        DATEVALUE(C45)
      )
    )
  ),
"INVALID_DATE")</f>
        <v>45487</v>
      </c>
      <c r="AB45">
        <f t="shared" si="3"/>
        <v>6</v>
      </c>
      <c r="AC45" t="str">
        <f t="shared" si="4"/>
        <v>July</v>
      </c>
      <c r="AD45">
        <f t="shared" si="5"/>
        <v>2024</v>
      </c>
    </row>
    <row r="46" spans="1:30">
      <c r="A46" t="s">
        <v>327</v>
      </c>
      <c r="B46" t="s">
        <v>328</v>
      </c>
      <c r="C46" t="s">
        <v>329</v>
      </c>
      <c r="D46" t="s">
        <v>330</v>
      </c>
      <c r="E46" t="s">
        <v>187</v>
      </c>
      <c r="F46" t="s">
        <v>48</v>
      </c>
      <c r="G46" t="s">
        <v>34</v>
      </c>
      <c r="H46" t="s">
        <v>331</v>
      </c>
      <c r="I46" t="s">
        <v>332</v>
      </c>
      <c r="J46" t="s">
        <v>52</v>
      </c>
      <c r="K46" t="s">
        <v>83</v>
      </c>
      <c r="L46" t="s">
        <v>333</v>
      </c>
      <c r="M46" t="s">
        <v>74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41</v>
      </c>
      <c r="U46" t="s">
        <v>42</v>
      </c>
      <c r="V46">
        <f t="shared" si="0"/>
        <v>26971.137000000002</v>
      </c>
      <c r="W46">
        <f t="shared" si="1"/>
        <v>9594.9399999999987</v>
      </c>
      <c r="X46">
        <f t="shared" si="2"/>
        <v>0.35574840366406463</v>
      </c>
      <c r="Y46" t="str">
        <f>_xlfn.TEXTJOIN(", ",TRUE,IF(G46="Unknown","Missing Region",""),IF(M46="Unknown","Missing Ship Mode",""),IF(P46&lt;0,"Negative Discount",""),IF(P46&gt;0.7,"High Discount",""),IF(C46&lt;B46,"Ship Before Order",""))</f>
        <v/>
      </c>
      <c r="Z46" s="2">
        <f>IFERROR(
  IF(ISNUMBER(B46),B46,
    IF(ISNUMBER(SEARCH("-",B46)*1),
      IF(LEN(LEFT(B46,FIND("-",B46)-1))=4,
        DATE(VALUE(LEFT(B46,4)),VALUE(MID(B46,6,2)),VALUE(RIGHT(B46,2))),
        DATE(VALUE(RIGHT(B46,4)),VALUE(MID(B46,4,2)),VALUE(LEFT(B46,2)))
      ),
      IF(ISNUMBER(SEARCH("/",B46)*1),
        DATE(VALUE(RIGHT(B46,4)),VALUE(LEFT(B46,2)),VALUE(MID(B46,4,2))),
        DATEVALUE(B46)
      )
    )
  ),
"INVALID_DATE")</f>
        <v>45465</v>
      </c>
      <c r="AA46" s="2">
        <f>IFERROR(
  IF(ISNUMBER(C46),C46,
    IF(ISNUMBER(SEARCH("-",C46)*1),
      IF(LEN(LEFT(C46,FIND("-",C46)-1))=4,
        DATE(VALUE(LEFT(C46,4)),VALUE(MID(C46,6,2)),VALUE(RIGHT(C46,2))),
        DATE(VALUE(RIGHT(C46,4)),VALUE(MID(C46,4,2)),VALUE(LEFT(C46,2)))
      ),
      IF(ISNUMBER(SEARCH("/",C46)*1),
        DATE(VALUE(RIGHT(C46,4)),VALUE(LEFT(C46,2)),VALUE(MID(C46,4,2))),
        DATEVALUE(C46)
      )
    )
  ),
"INVALID_DATE")</f>
        <v>45468</v>
      </c>
      <c r="AB46">
        <f t="shared" si="3"/>
        <v>3</v>
      </c>
      <c r="AC46" t="str">
        <f t="shared" si="4"/>
        <v>June</v>
      </c>
      <c r="AD46">
        <f t="shared" si="5"/>
        <v>2024</v>
      </c>
    </row>
    <row r="47" spans="1:30">
      <c r="A47" t="s">
        <v>334</v>
      </c>
      <c r="B47" t="s">
        <v>335</v>
      </c>
      <c r="C47" t="s">
        <v>336</v>
      </c>
      <c r="D47" t="s">
        <v>337</v>
      </c>
      <c r="E47" t="s">
        <v>60</v>
      </c>
      <c r="F47" t="s">
        <v>122</v>
      </c>
      <c r="G47" t="s">
        <v>49</v>
      </c>
      <c r="H47" t="s">
        <v>193</v>
      </c>
      <c r="I47" t="s">
        <v>194</v>
      </c>
      <c r="J47" t="s">
        <v>37</v>
      </c>
      <c r="K47" t="s">
        <v>61</v>
      </c>
      <c r="L47" t="s">
        <v>338</v>
      </c>
      <c r="M47" t="s">
        <v>40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144</v>
      </c>
      <c r="U47" t="s">
        <v>132</v>
      </c>
      <c r="V47">
        <f t="shared" si="0"/>
        <v>29851.432000000001</v>
      </c>
      <c r="W47">
        <f t="shared" si="1"/>
        <v>12363.95</v>
      </c>
      <c r="X47">
        <f t="shared" si="2"/>
        <v>0.41418283814209239</v>
      </c>
      <c r="Y47" t="str">
        <f>_xlfn.TEXTJOIN(", ",TRUE,IF(G47="Unknown","Missing Region",""),IF(M47="Unknown","Missing Ship Mode",""),IF(P47&lt;0,"Negative Discount",""),IF(P47&gt;0.7,"High Discount",""),IF(C47&lt;B47,"Ship Before Order",""))</f>
        <v/>
      </c>
      <c r="Z47" s="2">
        <f>IFERROR(
  IF(ISNUMBER(B47),B47,
    IF(ISNUMBER(SEARCH("-",B47)*1),
      IF(LEN(LEFT(B47,FIND("-",B47)-1))=4,
        DATE(VALUE(LEFT(B47,4)),VALUE(MID(B47,6,2)),VALUE(RIGHT(B47,2))),
        DATE(VALUE(RIGHT(B47,4)),VALUE(MID(B47,4,2)),VALUE(LEFT(B47,2)))
      ),
      IF(ISNUMBER(SEARCH("/",B47)*1),
        DATE(VALUE(RIGHT(B47,4)),VALUE(LEFT(B47,2)),VALUE(MID(B47,4,2))),
        DATEVALUE(B47)
      )
    )
  ),
"INVALID_DATE")</f>
        <v>45309</v>
      </c>
      <c r="AA47" s="2">
        <f>IFERROR(
  IF(ISNUMBER(C47),C47,
    IF(ISNUMBER(SEARCH("-",C47)*1),
      IF(LEN(LEFT(C47,FIND("-",C47)-1))=4,
        DATE(VALUE(LEFT(C47,4)),VALUE(MID(C47,6,2)),VALUE(RIGHT(C47,2))),
        DATE(VALUE(RIGHT(C47,4)),VALUE(MID(C47,4,2)),VALUE(LEFT(C47,2)))
      ),
      IF(ISNUMBER(SEARCH("/",C47)*1),
        DATE(VALUE(RIGHT(C47,4)),VALUE(LEFT(C47,2)),VALUE(MID(C47,4,2))),
        DATEVALUE(C47)
      )
    )
  ),
"INVALID_DATE")</f>
        <v>45315</v>
      </c>
      <c r="AB47">
        <f t="shared" si="3"/>
        <v>6</v>
      </c>
      <c r="AC47" t="str">
        <f t="shared" si="4"/>
        <v>January</v>
      </c>
      <c r="AD47">
        <f t="shared" si="5"/>
        <v>2024</v>
      </c>
    </row>
    <row r="48" spans="1:30">
      <c r="A48" t="s">
        <v>339</v>
      </c>
      <c r="B48" t="s">
        <v>340</v>
      </c>
      <c r="C48" t="s">
        <v>340</v>
      </c>
      <c r="D48" t="s">
        <v>341</v>
      </c>
      <c r="E48" t="s">
        <v>79</v>
      </c>
      <c r="F48" t="s">
        <v>48</v>
      </c>
      <c r="G48" t="s">
        <v>69</v>
      </c>
      <c r="H48" t="s">
        <v>249</v>
      </c>
      <c r="I48" t="s">
        <v>250</v>
      </c>
      <c r="J48" t="s">
        <v>52</v>
      </c>
      <c r="K48" t="s">
        <v>211</v>
      </c>
      <c r="L48" t="s">
        <v>342</v>
      </c>
      <c r="M48" t="s">
        <v>74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131</v>
      </c>
      <c r="U48" t="s">
        <v>132</v>
      </c>
      <c r="V48">
        <f t="shared" si="0"/>
        <v>16110.8325</v>
      </c>
      <c r="W48">
        <f t="shared" si="1"/>
        <v>5430.7999999999993</v>
      </c>
      <c r="X48">
        <f t="shared" si="2"/>
        <v>0.33709001957068629</v>
      </c>
      <c r="Y48" t="str">
        <f>_xlfn.TEXTJOIN(", ",TRUE,IF(G48="Unknown","Missing Region",""),IF(M48="Unknown","Missing Ship Mode",""),IF(P48&lt;0,"Negative Discount",""),IF(P48&gt;0.7,"High Discount",""),IF(C48&lt;B48,"Ship Before Order",""))</f>
        <v/>
      </c>
      <c r="Z48" s="2">
        <f>IFERROR(
  IF(ISNUMBER(B48),B48,
    IF(ISNUMBER(SEARCH("-",B48)*1),
      IF(LEN(LEFT(B48,FIND("-",B48)-1))=4,
        DATE(VALUE(LEFT(B48,4)),VALUE(MID(B48,6,2)),VALUE(RIGHT(B48,2))),
        DATE(VALUE(RIGHT(B48,4)),VALUE(MID(B48,4,2)),VALUE(LEFT(B48,2)))
      ),
      IF(ISNUMBER(SEARCH("/",B48)*1),
        DATE(VALUE(RIGHT(B48,4)),VALUE(LEFT(B48,2)),VALUE(MID(B48,4,2))),
        DATEVALUE(B48)
      )
    )
  ),
"INVALID_DATE")</f>
        <v>45492</v>
      </c>
      <c r="AA48" s="2">
        <f>IFERROR(
  IF(ISNUMBER(C48),C48,
    IF(ISNUMBER(SEARCH("-",C48)*1),
      IF(LEN(LEFT(C48,FIND("-",C48)-1))=4,
        DATE(VALUE(LEFT(C48,4)),VALUE(MID(C48,6,2)),VALUE(RIGHT(C48,2))),
        DATE(VALUE(RIGHT(C48,4)),VALUE(MID(C48,4,2)),VALUE(LEFT(C48,2)))
      ),
      IF(ISNUMBER(SEARCH("/",C48)*1),
        DATE(VALUE(RIGHT(C48,4)),VALUE(LEFT(C48,2)),VALUE(MID(C48,4,2))),
        DATEVALUE(C48)
      )
    )
  ),
"INVALID_DATE")</f>
        <v>45492</v>
      </c>
      <c r="AB48">
        <f t="shared" si="3"/>
        <v>0</v>
      </c>
      <c r="AC48" t="str">
        <f t="shared" si="4"/>
        <v>July</v>
      </c>
      <c r="AD48">
        <f t="shared" si="5"/>
        <v>2024</v>
      </c>
    </row>
    <row r="49" spans="1:30">
      <c r="A49" t="s">
        <v>343</v>
      </c>
      <c r="B49" t="s">
        <v>344</v>
      </c>
      <c r="C49" t="s">
        <v>345</v>
      </c>
      <c r="D49" t="s">
        <v>346</v>
      </c>
      <c r="E49" t="s">
        <v>155</v>
      </c>
      <c r="F49" t="s">
        <v>115</v>
      </c>
      <c r="G49" t="s">
        <v>69</v>
      </c>
      <c r="H49" t="s">
        <v>347</v>
      </c>
      <c r="I49" t="s">
        <v>348</v>
      </c>
      <c r="J49" t="s">
        <v>37</v>
      </c>
      <c r="K49" t="s">
        <v>163</v>
      </c>
      <c r="L49" t="s">
        <v>349</v>
      </c>
      <c r="M49" t="s">
        <v>74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41</v>
      </c>
      <c r="U49" t="s">
        <v>42</v>
      </c>
      <c r="V49">
        <f t="shared" si="0"/>
        <v>17606.232</v>
      </c>
      <c r="W49">
        <f t="shared" si="1"/>
        <v>5167.2700000000004</v>
      </c>
      <c r="X49">
        <f t="shared" si="2"/>
        <v>0.29349099722087013</v>
      </c>
      <c r="Y49" t="str">
        <f>_xlfn.TEXTJOIN(", ",TRUE,IF(G49="Unknown","Missing Region",""),IF(M49="Unknown","Missing Ship Mode",""),IF(P49&lt;0,"Negative Discount",""),IF(P49&gt;0.7,"High Discount",""),IF(C49&lt;B49,"Ship Before Order",""))</f>
        <v/>
      </c>
      <c r="Z49" s="2">
        <f>IFERROR(
  IF(ISNUMBER(B49),B49,
    IF(ISNUMBER(SEARCH("-",B49)*1),
      IF(LEN(LEFT(B49,FIND("-",B49)-1))=4,
        DATE(VALUE(LEFT(B49,4)),VALUE(MID(B49,6,2)),VALUE(RIGHT(B49,2))),
        DATE(VALUE(RIGHT(B49,4)),VALUE(MID(B49,4,2)),VALUE(LEFT(B49,2)))
      ),
      IF(ISNUMBER(SEARCH("/",B49)*1),
        DATE(VALUE(RIGHT(B49,4)),VALUE(LEFT(B49,2)),VALUE(MID(B49,4,2))),
        DATEVALUE(B49)
      )
    )
  ),
"INVALID_DATE")</f>
        <v>45516</v>
      </c>
      <c r="AA49" s="2">
        <f>IFERROR(
  IF(ISNUMBER(C49),C49,
    IF(ISNUMBER(SEARCH("-",C49)*1),
      IF(LEN(LEFT(C49,FIND("-",C49)-1))=4,
        DATE(VALUE(LEFT(C49,4)),VALUE(MID(C49,6,2)),VALUE(RIGHT(C49,2))),
        DATE(VALUE(RIGHT(C49,4)),VALUE(MID(C49,4,2)),VALUE(LEFT(C49,2)))
      ),
      IF(ISNUMBER(SEARCH("/",C49)*1),
        DATE(VALUE(RIGHT(C49,4)),VALUE(LEFT(C49,2)),VALUE(MID(C49,4,2))),
        DATEVALUE(C49)
      )
    )
  ),
"INVALID_DATE")</f>
        <v>45516</v>
      </c>
      <c r="AB49">
        <f t="shared" si="3"/>
        <v>0</v>
      </c>
      <c r="AC49" t="str">
        <f t="shared" si="4"/>
        <v>August</v>
      </c>
      <c r="AD49">
        <f t="shared" si="5"/>
        <v>2024</v>
      </c>
    </row>
    <row r="50" spans="1:30">
      <c r="A50" t="s">
        <v>350</v>
      </c>
      <c r="B50" t="s">
        <v>351</v>
      </c>
      <c r="C50" t="s">
        <v>352</v>
      </c>
      <c r="D50" t="s">
        <v>353</v>
      </c>
      <c r="E50" t="s">
        <v>100</v>
      </c>
      <c r="F50" t="s">
        <v>115</v>
      </c>
      <c r="G50" t="s">
        <v>80</v>
      </c>
      <c r="H50" t="s">
        <v>81</v>
      </c>
      <c r="I50" t="s">
        <v>82</v>
      </c>
      <c r="J50" t="s">
        <v>52</v>
      </c>
      <c r="K50" t="s">
        <v>83</v>
      </c>
      <c r="L50" t="s">
        <v>354</v>
      </c>
      <c r="M50" t="s">
        <v>40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41</v>
      </c>
      <c r="U50" t="s">
        <v>42</v>
      </c>
      <c r="V50">
        <f t="shared" si="0"/>
        <v>28445.62</v>
      </c>
      <c r="W50">
        <f t="shared" si="1"/>
        <v>7507.0299999999988</v>
      </c>
      <c r="X50">
        <f t="shared" si="2"/>
        <v>0.26390811660986824</v>
      </c>
      <c r="Y50" t="str">
        <f>_xlfn.TEXTJOIN(", ",TRUE,IF(G50="Unknown","Missing Region",""),IF(M50="Unknown","Missing Ship Mode",""),IF(P50&lt;0,"Negative Discount",""),IF(P50&gt;0.7,"High Discount",""),IF(C50&lt;B50,"Ship Before Order",""))</f>
        <v>Ship Before Order</v>
      </c>
      <c r="Z50" s="2">
        <f>IFERROR(
  IF(ISNUMBER(B50),B50,
    IF(ISNUMBER(SEARCH("-",B50)*1),
      IF(LEN(LEFT(B50,FIND("-",B50)-1))=4,
        DATE(VALUE(LEFT(B50,4)),VALUE(MID(B50,6,2)),VALUE(RIGHT(B50,2))),
        DATE(VALUE(RIGHT(B50,4)),VALUE(MID(B50,4,2)),VALUE(LEFT(B50,2)))
      ),
      IF(ISNUMBER(SEARCH("/",B50)*1),
        DATE(VALUE(RIGHT(B50,4)),VALUE(LEFT(B50,2)),VALUE(MID(B50,4,2))),
        DATEVALUE(B50)
      )
    )
  ),
"INVALID_DATE")</f>
        <v>45687</v>
      </c>
      <c r="AA50" s="2">
        <f>IFERROR(
  IF(ISNUMBER(C50),C50,
    IF(ISNUMBER(SEARCH("-",C50)*1),
      IF(LEN(LEFT(C50,FIND("-",C50)-1))=4,
        DATE(VALUE(LEFT(C50,4)),VALUE(MID(C50,6,2)),VALUE(RIGHT(C50,2))),
        DATE(VALUE(RIGHT(C50,4)),VALUE(MID(C50,4,2)),VALUE(LEFT(C50,2)))
      ),
      IF(ISNUMBER(SEARCH("/",C50)*1),
        DATE(VALUE(RIGHT(C50,4)),VALUE(LEFT(C50,2)),VALUE(MID(C50,4,2))),
        DATEVALUE(C50)
      )
    )
  ),
"INVALID_DATE")</f>
        <v>45693</v>
      </c>
      <c r="AB50">
        <f t="shared" si="3"/>
        <v>6</v>
      </c>
      <c r="AC50" t="str">
        <f t="shared" si="4"/>
        <v>January</v>
      </c>
      <c r="AD50">
        <f t="shared" si="5"/>
        <v>2025</v>
      </c>
    </row>
    <row r="51" spans="1:30">
      <c r="A51" t="s">
        <v>355</v>
      </c>
      <c r="B51" t="s">
        <v>356</v>
      </c>
      <c r="C51" t="s">
        <v>357</v>
      </c>
      <c r="D51" t="s">
        <v>358</v>
      </c>
      <c r="E51" t="s">
        <v>169</v>
      </c>
      <c r="F51" t="s">
        <v>122</v>
      </c>
      <c r="G51" t="s">
        <v>34</v>
      </c>
      <c r="H51" t="s">
        <v>181</v>
      </c>
      <c r="I51" t="s">
        <v>182</v>
      </c>
      <c r="J51" t="s">
        <v>93</v>
      </c>
      <c r="K51" t="s">
        <v>101</v>
      </c>
      <c r="L51" t="s">
        <v>359</v>
      </c>
      <c r="M51" t="s">
        <v>40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41</v>
      </c>
      <c r="U51" t="s">
        <v>42</v>
      </c>
      <c r="V51">
        <f t="shared" si="0"/>
        <v>6772.5405000000001</v>
      </c>
      <c r="W51">
        <f t="shared" si="1"/>
        <v>1017.0799999999999</v>
      </c>
      <c r="X51">
        <f t="shared" si="2"/>
        <v>0.15017703845233843</v>
      </c>
      <c r="Y51" t="str">
        <f>_xlfn.TEXTJOIN(", ",TRUE,IF(G51="Unknown","Missing Region",""),IF(M51="Unknown","Missing Ship Mode",""),IF(P51&lt;0,"Negative Discount",""),IF(P51&gt;0.7,"High Discount",""),IF(C51&lt;B51,"Ship Before Order",""))</f>
        <v>Ship Before Order</v>
      </c>
      <c r="Z51" s="2">
        <f>IFERROR(
  IF(ISNUMBER(B51),B51,
    IF(ISNUMBER(SEARCH("-",B51)*1),
      IF(LEN(LEFT(B51,FIND("-",B51)-1))=4,
        DATE(VALUE(LEFT(B51,4)),VALUE(MID(B51,6,2)),VALUE(RIGHT(B51,2))),
        DATE(VALUE(RIGHT(B51,4)),VALUE(MID(B51,4,2)),VALUE(LEFT(B51,2)))
      ),
      IF(ISNUMBER(SEARCH("/",B51)*1),
        DATE(VALUE(RIGHT(B51,4)),VALUE(LEFT(B51,2)),VALUE(MID(B51,4,2))),
        DATEVALUE(B51)
      )
    )
  ),
"INVALID_DATE")</f>
        <v>45388</v>
      </c>
      <c r="AA51" s="2">
        <f>IFERROR(
  IF(ISNUMBER(C51),C51,
    IF(ISNUMBER(SEARCH("-",C51)*1),
      IF(LEN(LEFT(C51,FIND("-",C51)-1))=4,
        DATE(VALUE(LEFT(C51,4)),VALUE(MID(C51,6,2)),VALUE(RIGHT(C51,2))),
        DATE(VALUE(RIGHT(C51,4)),VALUE(MID(C51,4,2)),VALUE(LEFT(C51,2)))
      ),
      IF(ISNUMBER(SEARCH("/",C51)*1),
        DATE(VALUE(RIGHT(C51,4)),VALUE(LEFT(C51,2)),VALUE(MID(C51,4,2))),
        DATEVALUE(C51)
      )
    )
  ),
"INVALID_DATE")</f>
        <v>45395</v>
      </c>
      <c r="AB51">
        <f t="shared" si="3"/>
        <v>7</v>
      </c>
      <c r="AC51" t="str">
        <f t="shared" si="4"/>
        <v>April</v>
      </c>
      <c r="AD51">
        <f t="shared" si="5"/>
        <v>2024</v>
      </c>
    </row>
    <row r="52" spans="1:30">
      <c r="A52" t="s">
        <v>360</v>
      </c>
      <c r="B52" t="s">
        <v>361</v>
      </c>
      <c r="C52" t="s">
        <v>362</v>
      </c>
      <c r="D52" t="s">
        <v>363</v>
      </c>
      <c r="E52" t="s">
        <v>175</v>
      </c>
      <c r="F52" t="s">
        <v>33</v>
      </c>
      <c r="G52" t="s">
        <v>49</v>
      </c>
      <c r="H52" t="s">
        <v>128</v>
      </c>
      <c r="I52" t="s">
        <v>129</v>
      </c>
      <c r="J52" t="s">
        <v>93</v>
      </c>
      <c r="K52" t="s">
        <v>101</v>
      </c>
      <c r="L52" t="s">
        <v>364</v>
      </c>
      <c r="M52" t="s">
        <v>74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41</v>
      </c>
      <c r="U52" t="s">
        <v>42</v>
      </c>
      <c r="V52">
        <f t="shared" si="0"/>
        <v>2025.38</v>
      </c>
      <c r="W52">
        <f t="shared" si="1"/>
        <v>884.73</v>
      </c>
      <c r="X52">
        <f t="shared" si="2"/>
        <v>0.43682173221815163</v>
      </c>
      <c r="Y52" t="str">
        <f>_xlfn.TEXTJOIN(", ",TRUE,IF(G52="Unknown","Missing Region",""),IF(M52="Unknown","Missing Ship Mode",""),IF(P52&lt;0,"Negative Discount",""),IF(P52&gt;0.7,"High Discount",""),IF(C52&lt;B52,"Ship Before Order",""))</f>
        <v/>
      </c>
      <c r="Z52" s="2">
        <f>IFERROR(
  IF(ISNUMBER(B52),B52,
    IF(ISNUMBER(SEARCH("-",B52)*1),
      IF(LEN(LEFT(B52,FIND("-",B52)-1))=4,
        DATE(VALUE(LEFT(B52,4)),VALUE(MID(B52,6,2)),VALUE(RIGHT(B52,2))),
        DATE(VALUE(RIGHT(B52,4)),VALUE(MID(B52,4,2)),VALUE(LEFT(B52,2)))
      ),
      IF(ISNUMBER(SEARCH("/",B52)*1),
        DATE(VALUE(RIGHT(B52,4)),VALUE(LEFT(B52,2)),VALUE(MID(B52,4,2))),
        DATEVALUE(B52)
      )
    )
  ),
"INVALID_DATE")</f>
        <v>45788</v>
      </c>
      <c r="AA52" s="2">
        <f>IFERROR(
  IF(ISNUMBER(C52),C52,
    IF(ISNUMBER(SEARCH("-",C52)*1),
      IF(LEN(LEFT(C52,FIND("-",C52)-1))=4,
        DATE(VALUE(LEFT(C52,4)),VALUE(MID(C52,6,2)),VALUE(RIGHT(C52,2))),
        DATE(VALUE(RIGHT(C52,4)),VALUE(MID(C52,4,2)),VALUE(LEFT(C52,2)))
      ),
      IF(ISNUMBER(SEARCH("/",C52)*1),
        DATE(VALUE(RIGHT(C52,4)),VALUE(LEFT(C52,2)),VALUE(MID(C52,4,2))),
        DATEVALUE(C52)
      )
    )
  ),
"INVALID_DATE")</f>
        <v>45796</v>
      </c>
      <c r="AB52">
        <f t="shared" si="3"/>
        <v>8</v>
      </c>
      <c r="AC52" t="str">
        <f t="shared" si="4"/>
        <v>May</v>
      </c>
      <c r="AD52">
        <f t="shared" si="5"/>
        <v>2025</v>
      </c>
    </row>
    <row r="53" spans="1:30">
      <c r="A53" t="s">
        <v>365</v>
      </c>
      <c r="B53" t="s">
        <v>366</v>
      </c>
      <c r="C53" t="s">
        <v>367</v>
      </c>
      <c r="D53" t="s">
        <v>368</v>
      </c>
      <c r="E53" t="s">
        <v>79</v>
      </c>
      <c r="F53" t="s">
        <v>115</v>
      </c>
      <c r="G53" t="s">
        <v>69</v>
      </c>
      <c r="H53" t="s">
        <v>70</v>
      </c>
      <c r="I53" t="s">
        <v>71</v>
      </c>
      <c r="J53" t="s">
        <v>37</v>
      </c>
      <c r="K53" t="s">
        <v>61</v>
      </c>
      <c r="L53" t="s">
        <v>369</v>
      </c>
      <c r="M53" t="s">
        <v>74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41</v>
      </c>
      <c r="U53" t="s">
        <v>42</v>
      </c>
      <c r="V53">
        <f t="shared" si="0"/>
        <v>9168.48</v>
      </c>
      <c r="W53">
        <f t="shared" si="1"/>
        <v>1728.7099999999991</v>
      </c>
      <c r="X53">
        <f t="shared" si="2"/>
        <v>0.18854924698532363</v>
      </c>
      <c r="Y53" t="str">
        <f>_xlfn.TEXTJOIN(", ",TRUE,IF(G53="Unknown","Missing Region",""),IF(M53="Unknown","Missing Ship Mode",""),IF(P53&lt;0,"Negative Discount",""),IF(P53&gt;0.7,"High Discount",""),IF(C53&lt;B53,"Ship Before Order",""))</f>
        <v/>
      </c>
      <c r="Z53" s="2">
        <f>IFERROR(
  IF(ISNUMBER(B53),B53,
    IF(ISNUMBER(SEARCH("-",B53)*1),
      IF(LEN(LEFT(B53,FIND("-",B53)-1))=4,
        DATE(VALUE(LEFT(B53,4)),VALUE(MID(B53,6,2)),VALUE(RIGHT(B53,2))),
        DATE(VALUE(RIGHT(B53,4)),VALUE(MID(B53,4,2)),VALUE(LEFT(B53,2)))
      ),
      IF(ISNUMBER(SEARCH("/",B53)*1),
        DATE(VALUE(RIGHT(B53,4)),VALUE(LEFT(B53,2)),VALUE(MID(B53,4,2))),
        DATEVALUE(B53)
      )
    )
  ),
"INVALID_DATE")</f>
        <v>45406</v>
      </c>
      <c r="AA53" s="2">
        <f>IFERROR(
  IF(ISNUMBER(C53),C53,
    IF(ISNUMBER(SEARCH("-",C53)*1),
      IF(LEN(LEFT(C53,FIND("-",C53)-1))=4,
        DATE(VALUE(LEFT(C53,4)),VALUE(MID(C53,6,2)),VALUE(RIGHT(C53,2))),
        DATE(VALUE(RIGHT(C53,4)),VALUE(MID(C53,4,2)),VALUE(LEFT(C53,2)))
      ),
      IF(ISNUMBER(SEARCH("/",C53)*1),
        DATE(VALUE(RIGHT(C53,4)),VALUE(LEFT(C53,2)),VALUE(MID(C53,4,2))),
        DATEVALUE(C53)
      )
    )
  ),
"INVALID_DATE")</f>
        <v>45411</v>
      </c>
      <c r="AB53">
        <f t="shared" si="3"/>
        <v>5</v>
      </c>
      <c r="AC53" t="str">
        <f t="shared" si="4"/>
        <v>April</v>
      </c>
      <c r="AD53">
        <f t="shared" si="5"/>
        <v>2024</v>
      </c>
    </row>
    <row r="54" spans="1:30">
      <c r="A54" t="s">
        <v>370</v>
      </c>
      <c r="B54" t="s">
        <v>371</v>
      </c>
      <c r="C54" t="s">
        <v>372</v>
      </c>
      <c r="D54" t="s">
        <v>373</v>
      </c>
      <c r="E54" t="s">
        <v>374</v>
      </c>
      <c r="F54" t="s">
        <v>48</v>
      </c>
      <c r="G54" t="s">
        <v>34</v>
      </c>
      <c r="H54" t="s">
        <v>35</v>
      </c>
      <c r="I54" t="s">
        <v>36</v>
      </c>
      <c r="J54" t="s">
        <v>52</v>
      </c>
      <c r="K54" t="s">
        <v>83</v>
      </c>
      <c r="L54" t="s">
        <v>375</v>
      </c>
      <c r="M54" t="s">
        <v>63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207</v>
      </c>
      <c r="U54" t="s">
        <v>85</v>
      </c>
      <c r="V54">
        <f t="shared" si="0"/>
        <v>12596.670000000002</v>
      </c>
      <c r="W54">
        <f t="shared" si="1"/>
        <v>1993.3799999999992</v>
      </c>
      <c r="X54">
        <f t="shared" si="2"/>
        <v>0.1582465842163048</v>
      </c>
      <c r="Y54" t="str">
        <f>_xlfn.TEXTJOIN(", ",TRUE,IF(G54="Unknown","Missing Region",""),IF(M54="Unknown","Missing Ship Mode",""),IF(P54&lt;0,"Negative Discount",""),IF(P54&gt;0.7,"High Discount",""),IF(C54&lt;B54,"Ship Before Order",""))</f>
        <v>Ship Before Order</v>
      </c>
      <c r="Z54" s="2">
        <f>IFERROR(
  IF(ISNUMBER(B54),B54,
    IF(ISNUMBER(SEARCH("-",B54)*1),
      IF(LEN(LEFT(B54,FIND("-",B54)-1))=4,
        DATE(VALUE(LEFT(B54,4)),VALUE(MID(B54,6,2)),VALUE(RIGHT(B54,2))),
        DATE(VALUE(RIGHT(B54,4)),VALUE(MID(B54,4,2)),VALUE(LEFT(B54,2)))
      ),
      IF(ISNUMBER(SEARCH("/",B54)*1),
        DATE(VALUE(RIGHT(B54,4)),VALUE(LEFT(B54,2)),VALUE(MID(B54,4,2))),
        DATEVALUE(B54)
      )
    )
  ),
"INVALID_DATE")</f>
        <v>45591</v>
      </c>
      <c r="AA54" s="2">
        <f>IFERROR(
  IF(ISNUMBER(C54),C54,
    IF(ISNUMBER(SEARCH("-",C54)*1),
      IF(LEN(LEFT(C54,FIND("-",C54)-1))=4,
        DATE(VALUE(LEFT(C54,4)),VALUE(MID(C54,6,2)),VALUE(RIGHT(C54,2))),
        DATE(VALUE(RIGHT(C54,4)),VALUE(MID(C54,4,2)),VALUE(LEFT(C54,2)))
      ),
      IF(ISNUMBER(SEARCH("/",C54)*1),
        DATE(VALUE(RIGHT(C54,4)),VALUE(LEFT(C54,2)),VALUE(MID(C54,4,2))),
        DATEVALUE(C54)
      )
    )
  ),
"INVALID_DATE")</f>
        <v>45593</v>
      </c>
      <c r="AB54">
        <f t="shared" si="3"/>
        <v>2</v>
      </c>
      <c r="AC54" t="str">
        <f t="shared" si="4"/>
        <v>October</v>
      </c>
      <c r="AD54">
        <f t="shared" si="5"/>
        <v>2024</v>
      </c>
    </row>
    <row r="55" spans="1:30">
      <c r="A55" t="s">
        <v>376</v>
      </c>
      <c r="B55" t="s">
        <v>377</v>
      </c>
      <c r="C55" t="s">
        <v>378</v>
      </c>
      <c r="D55" t="s">
        <v>379</v>
      </c>
      <c r="E55" t="s">
        <v>374</v>
      </c>
      <c r="F55" t="s">
        <v>122</v>
      </c>
      <c r="G55" t="s">
        <v>80</v>
      </c>
      <c r="H55" t="s">
        <v>242</v>
      </c>
      <c r="I55" t="s">
        <v>243</v>
      </c>
      <c r="J55" t="s">
        <v>37</v>
      </c>
      <c r="K55" t="s">
        <v>163</v>
      </c>
      <c r="L55" t="s">
        <v>380</v>
      </c>
      <c r="M55" t="s">
        <v>63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41</v>
      </c>
      <c r="U55" t="s">
        <v>42</v>
      </c>
      <c r="V55">
        <f t="shared" si="0"/>
        <v>5131.7475000000004</v>
      </c>
      <c r="W55">
        <f t="shared" si="1"/>
        <v>2293.0700000000002</v>
      </c>
      <c r="X55">
        <f t="shared" si="2"/>
        <v>0.44683977200759978</v>
      </c>
      <c r="Y55" t="str">
        <f>_xlfn.TEXTJOIN(", ",TRUE,IF(G55="Unknown","Missing Region",""),IF(M55="Unknown","Missing Ship Mode",""),IF(P55&lt;0,"Negative Discount",""),IF(P55&gt;0.7,"High Discount",""),IF(C55&lt;B55,"Ship Before Order",""))</f>
        <v>Ship Before Order</v>
      </c>
      <c r="Z55" s="2">
        <f>IFERROR(
  IF(ISNUMBER(B55),B55,
    IF(ISNUMBER(SEARCH("-",B55)*1),
      IF(LEN(LEFT(B55,FIND("-",B55)-1))=4,
        DATE(VALUE(LEFT(B55,4)),VALUE(MID(B55,6,2)),VALUE(RIGHT(B55,2))),
        DATE(VALUE(RIGHT(B55,4)),VALUE(MID(B55,4,2)),VALUE(LEFT(B55,2)))
      ),
      IF(ISNUMBER(SEARCH("/",B55)*1),
        DATE(VALUE(RIGHT(B55,4)),VALUE(LEFT(B55,2)),VALUE(MID(B55,4,2))),
        DATEVALUE(B55)
      )
    )
  ),
"INVALID_DATE")</f>
        <v>45747</v>
      </c>
      <c r="AA55" s="2">
        <f>IFERROR(
  IF(ISNUMBER(C55),C55,
    IF(ISNUMBER(SEARCH("-",C55)*1),
      IF(LEN(LEFT(C55,FIND("-",C55)-1))=4,
        DATE(VALUE(LEFT(C55,4)),VALUE(MID(C55,6,2)),VALUE(RIGHT(C55,2))),
        DATE(VALUE(RIGHT(C55,4)),VALUE(MID(C55,4,2)),VALUE(LEFT(C55,2)))
      ),
      IF(ISNUMBER(SEARCH("/",C55)*1),
        DATE(VALUE(RIGHT(C55,4)),VALUE(LEFT(C55,2)),VALUE(MID(C55,4,2))),
        DATEVALUE(C55)
      )
    )
  ),
"INVALID_DATE")</f>
        <v>45747</v>
      </c>
      <c r="AB55">
        <f t="shared" si="3"/>
        <v>0</v>
      </c>
      <c r="AC55" t="str">
        <f t="shared" si="4"/>
        <v>March</v>
      </c>
      <c r="AD55">
        <f t="shared" si="5"/>
        <v>2025</v>
      </c>
    </row>
    <row r="56" spans="1:30">
      <c r="A56" t="s">
        <v>381</v>
      </c>
      <c r="B56" t="s">
        <v>382</v>
      </c>
      <c r="C56" t="s">
        <v>383</v>
      </c>
      <c r="D56" t="s">
        <v>384</v>
      </c>
      <c r="E56" t="s">
        <v>68</v>
      </c>
      <c r="F56" t="s">
        <v>115</v>
      </c>
      <c r="G56" t="s">
        <v>69</v>
      </c>
      <c r="H56" t="s">
        <v>347</v>
      </c>
      <c r="I56" t="s">
        <v>348</v>
      </c>
      <c r="J56" t="s">
        <v>37</v>
      </c>
      <c r="K56" t="s">
        <v>116</v>
      </c>
      <c r="L56" t="s">
        <v>385</v>
      </c>
      <c r="M56" t="s">
        <v>55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207</v>
      </c>
      <c r="U56" t="s">
        <v>85</v>
      </c>
      <c r="V56">
        <f t="shared" si="0"/>
        <v>3415.4639999999999</v>
      </c>
      <c r="W56">
        <f t="shared" si="1"/>
        <v>1422.23</v>
      </c>
      <c r="X56">
        <f t="shared" si="2"/>
        <v>0.4164095026731392</v>
      </c>
      <c r="Y56" t="str">
        <f>_xlfn.TEXTJOIN(", ",TRUE,IF(G56="Unknown","Missing Region",""),IF(M56="Unknown","Missing Ship Mode",""),IF(P56&lt;0,"Negative Discount",""),IF(P56&gt;0.7,"High Discount",""),IF(C56&lt;B56,"Ship Before Order",""))</f>
        <v>Ship Before Order</v>
      </c>
      <c r="Z56" s="2">
        <f>IFERROR(
  IF(ISNUMBER(B56),B56,
    IF(ISNUMBER(SEARCH("-",B56)*1),
      IF(LEN(LEFT(B56,FIND("-",B56)-1))=4,
        DATE(VALUE(LEFT(B56,4)),VALUE(MID(B56,6,2)),VALUE(RIGHT(B56,2))),
        DATE(VALUE(RIGHT(B56,4)),VALUE(MID(B56,4,2)),VALUE(LEFT(B56,2)))
      ),
      IF(ISNUMBER(SEARCH("/",B56)*1),
        DATE(VALUE(RIGHT(B56,4)),VALUE(LEFT(B56,2)),VALUE(MID(B56,4,2))),
        DATEVALUE(B56)
      )
    )
  ),
"INVALID_DATE")</f>
        <v>45807</v>
      </c>
      <c r="AA56" s="2">
        <f>IFERROR(
  IF(ISNUMBER(C56),C56,
    IF(ISNUMBER(SEARCH("-",C56)*1),
      IF(LEN(LEFT(C56,FIND("-",C56)-1))=4,
        DATE(VALUE(LEFT(C56,4)),VALUE(MID(C56,6,2)),VALUE(RIGHT(C56,2))),
        DATE(VALUE(RIGHT(C56,4)),VALUE(MID(C56,4,2)),VALUE(LEFT(C56,2)))
      ),
      IF(ISNUMBER(SEARCH("/",C56)*1),
        DATE(VALUE(RIGHT(C56,4)),VALUE(LEFT(C56,2)),VALUE(MID(C56,4,2))),
        DATEVALUE(C56)
      )
    )
  ),
"INVALID_DATE")</f>
        <v>45810</v>
      </c>
      <c r="AB56">
        <f t="shared" si="3"/>
        <v>3</v>
      </c>
      <c r="AC56" t="str">
        <f t="shared" si="4"/>
        <v>May</v>
      </c>
      <c r="AD56">
        <f t="shared" si="5"/>
        <v>2025</v>
      </c>
    </row>
    <row r="57" spans="1:30">
      <c r="A57" t="s">
        <v>386</v>
      </c>
      <c r="B57" t="s">
        <v>387</v>
      </c>
      <c r="C57" t="s">
        <v>388</v>
      </c>
      <c r="D57" t="s">
        <v>389</v>
      </c>
      <c r="E57" t="s">
        <v>47</v>
      </c>
      <c r="F57" t="s">
        <v>48</v>
      </c>
      <c r="G57" t="s">
        <v>69</v>
      </c>
      <c r="H57" t="s">
        <v>107</v>
      </c>
      <c r="I57" t="s">
        <v>108</v>
      </c>
      <c r="J57" t="s">
        <v>93</v>
      </c>
      <c r="K57" t="s">
        <v>390</v>
      </c>
      <c r="L57" t="s">
        <v>391</v>
      </c>
      <c r="M57" t="s">
        <v>55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41</v>
      </c>
      <c r="U57" t="s">
        <v>42</v>
      </c>
      <c r="V57">
        <f t="shared" si="0"/>
        <v>3411.54</v>
      </c>
      <c r="W57">
        <f t="shared" si="1"/>
        <v>608.40999999999985</v>
      </c>
      <c r="X57">
        <f t="shared" si="2"/>
        <v>0.17833881472883215</v>
      </c>
      <c r="Y57" t="str">
        <f>_xlfn.TEXTJOIN(", ",TRUE,IF(G57="Unknown","Missing Region",""),IF(M57="Unknown","Missing Ship Mode",""),IF(P57&lt;0,"Negative Discount",""),IF(P57&gt;0.7,"High Discount",""),IF(C57&lt;B57,"Ship Before Order",""))</f>
        <v/>
      </c>
      <c r="Z57" s="2">
        <f>IFERROR(
  IF(ISNUMBER(B57),B57,
    IF(ISNUMBER(SEARCH("-",B57)*1),
      IF(LEN(LEFT(B57,FIND("-",B57)-1))=4,
        DATE(VALUE(LEFT(B57,4)),VALUE(MID(B57,6,2)),VALUE(RIGHT(B57,2))),
        DATE(VALUE(RIGHT(B57,4)),VALUE(MID(B57,4,2)),VALUE(LEFT(B57,2)))
      ),
      IF(ISNUMBER(SEARCH("/",B57)*1),
        DATE(VALUE(RIGHT(B57,4)),VALUE(LEFT(B57,2)),VALUE(MID(B57,4,2))),
        DATEVALUE(B57)
      )
    )
  ),
"INVALID_DATE")</f>
        <v>45839</v>
      </c>
      <c r="AA57" s="2">
        <f>IFERROR(
  IF(ISNUMBER(C57),C57,
    IF(ISNUMBER(SEARCH("-",C57)*1),
      IF(LEN(LEFT(C57,FIND("-",C57)-1))=4,
        DATE(VALUE(LEFT(C57,4)),VALUE(MID(C57,6,2)),VALUE(RIGHT(C57,2))),
        DATE(VALUE(RIGHT(C57,4)),VALUE(MID(C57,4,2)),VALUE(LEFT(C57,2)))
      ),
      IF(ISNUMBER(SEARCH("/",C57)*1),
        DATE(VALUE(RIGHT(C57,4)),VALUE(LEFT(C57,2)),VALUE(MID(C57,4,2))),
        DATEVALUE(C57)
      )
    )
  ),
"INVALID_DATE")</f>
        <v>45841</v>
      </c>
      <c r="AB57">
        <f t="shared" si="3"/>
        <v>2</v>
      </c>
      <c r="AC57" t="str">
        <f t="shared" si="4"/>
        <v>July</v>
      </c>
      <c r="AD57">
        <f t="shared" si="5"/>
        <v>2025</v>
      </c>
    </row>
    <row r="58" spans="1:30">
      <c r="A58" t="s">
        <v>392</v>
      </c>
      <c r="B58" t="s">
        <v>393</v>
      </c>
      <c r="C58" t="s">
        <v>394</v>
      </c>
      <c r="D58" t="s">
        <v>395</v>
      </c>
      <c r="E58" t="s">
        <v>32</v>
      </c>
      <c r="F58" t="s">
        <v>33</v>
      </c>
      <c r="G58" t="s">
        <v>69</v>
      </c>
      <c r="H58" t="s">
        <v>236</v>
      </c>
      <c r="I58" t="s">
        <v>237</v>
      </c>
      <c r="J58" t="s">
        <v>37</v>
      </c>
      <c r="K58" t="s">
        <v>205</v>
      </c>
      <c r="L58" t="s">
        <v>396</v>
      </c>
      <c r="M58" t="s">
        <v>40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131</v>
      </c>
      <c r="U58" t="s">
        <v>85</v>
      </c>
      <c r="V58">
        <f t="shared" si="0"/>
        <v>9466.83</v>
      </c>
      <c r="W58">
        <f t="shared" si="1"/>
        <v>2909</v>
      </c>
      <c r="X58">
        <f t="shared" si="2"/>
        <v>0.30728343067320318</v>
      </c>
      <c r="Y58" t="str">
        <f>_xlfn.TEXTJOIN(", ",TRUE,IF(G58="Unknown","Missing Region",""),IF(M58="Unknown","Missing Ship Mode",""),IF(P58&lt;0,"Negative Discount",""),IF(P58&gt;0.7,"High Discount",""),IF(C58&lt;B58,"Ship Before Order",""))</f>
        <v>Ship Before Order</v>
      </c>
      <c r="Z58" s="2">
        <f>IFERROR(
  IF(ISNUMBER(B58),B58,
    IF(ISNUMBER(SEARCH("-",B58)*1),
      IF(LEN(LEFT(B58,FIND("-",B58)-1))=4,
        DATE(VALUE(LEFT(B58,4)),VALUE(MID(B58,6,2)),VALUE(RIGHT(B58,2))),
        DATE(VALUE(RIGHT(B58,4)),VALUE(MID(B58,4,2)),VALUE(LEFT(B58,2)))
      ),
      IF(ISNUMBER(SEARCH("/",B58)*1),
        DATE(VALUE(RIGHT(B58,4)),VALUE(LEFT(B58,2)),VALUE(MID(B58,4,2))),
        DATEVALUE(B58)
      )
    )
  ),
"INVALID_DATE")</f>
        <v>45662</v>
      </c>
      <c r="AA58" s="2">
        <f>IFERROR(
  IF(ISNUMBER(C58),C58,
    IF(ISNUMBER(SEARCH("-",C58)*1),
      IF(LEN(LEFT(C58,FIND("-",C58)-1))=4,
        DATE(VALUE(LEFT(C58,4)),VALUE(MID(C58,6,2)),VALUE(RIGHT(C58,2))),
        DATE(VALUE(RIGHT(C58,4)),VALUE(MID(C58,4,2)),VALUE(LEFT(C58,2)))
      ),
      IF(ISNUMBER(SEARCH("/",C58)*1),
        DATE(VALUE(RIGHT(C58,4)),VALUE(LEFT(C58,2)),VALUE(MID(C58,4,2))),
        DATEVALUE(C58)
      )
    )
  ),
"INVALID_DATE")</f>
        <v>45663</v>
      </c>
      <c r="AB58">
        <f t="shared" si="3"/>
        <v>1</v>
      </c>
      <c r="AC58" t="str">
        <f t="shared" si="4"/>
        <v>January</v>
      </c>
      <c r="AD58">
        <f t="shared" si="5"/>
        <v>2025</v>
      </c>
    </row>
    <row r="59" spans="1:30">
      <c r="A59" t="s">
        <v>397</v>
      </c>
      <c r="B59" t="s">
        <v>398</v>
      </c>
      <c r="C59" t="s">
        <v>399</v>
      </c>
      <c r="D59" t="s">
        <v>400</v>
      </c>
      <c r="E59" t="s">
        <v>149</v>
      </c>
      <c r="F59" t="s">
        <v>33</v>
      </c>
      <c r="G59" t="s">
        <v>80</v>
      </c>
      <c r="H59" t="s">
        <v>256</v>
      </c>
      <c r="I59" t="s">
        <v>257</v>
      </c>
      <c r="J59" t="s">
        <v>52</v>
      </c>
      <c r="K59" t="s">
        <v>83</v>
      </c>
      <c r="L59" t="s">
        <v>401</v>
      </c>
      <c r="M59" t="s">
        <v>55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41</v>
      </c>
      <c r="U59" t="s">
        <v>42</v>
      </c>
      <c r="V59">
        <f t="shared" si="0"/>
        <v>1279.3499999999999</v>
      </c>
      <c r="W59">
        <f t="shared" si="1"/>
        <v>187.80999999999995</v>
      </c>
      <c r="X59">
        <f t="shared" si="2"/>
        <v>0.14680110993864073</v>
      </c>
      <c r="Y59" t="str">
        <f>_xlfn.TEXTJOIN(", ",TRUE,IF(G59="Unknown","Missing Region",""),IF(M59="Unknown","Missing Ship Mode",""),IF(P59&lt;0,"Negative Discount",""),IF(P59&gt;0.7,"High Discount",""),IF(C59&lt;B59,"Ship Before Order",""))</f>
        <v>Ship Before Order</v>
      </c>
      <c r="Z59" s="2">
        <f>IFERROR(
  IF(ISNUMBER(B59),B59,
    IF(ISNUMBER(SEARCH("-",B59)*1),
      IF(LEN(LEFT(B59,FIND("-",B59)-1))=4,
        DATE(VALUE(LEFT(B59,4)),VALUE(MID(B59,6,2)),VALUE(RIGHT(B59,2))),
        DATE(VALUE(RIGHT(B59,4)),VALUE(MID(B59,4,2)),VALUE(LEFT(B59,2)))
      ),
      IF(ISNUMBER(SEARCH("/",B59)*1),
        DATE(VALUE(RIGHT(B59,4)),VALUE(LEFT(B59,2)),VALUE(MID(B59,4,2))),
        DATEVALUE(B59)
      )
    )
  ),
"INVALID_DATE")</f>
        <v>45329</v>
      </c>
      <c r="AA59" s="2">
        <f>IFERROR(
  IF(ISNUMBER(C59),C59,
    IF(ISNUMBER(SEARCH("-",C59)*1),
      IF(LEN(LEFT(C59,FIND("-",C59)-1))=4,
        DATE(VALUE(LEFT(C59,4)),VALUE(MID(C59,6,2)),VALUE(RIGHT(C59,2))),
        DATE(VALUE(RIGHT(C59,4)),VALUE(MID(C59,4,2)),VALUE(LEFT(C59,2)))
      ),
      IF(ISNUMBER(SEARCH("/",C59)*1),
        DATE(VALUE(RIGHT(C59,4)),VALUE(LEFT(C59,2)),VALUE(MID(C59,4,2))),
        DATEVALUE(C59)
      )
    )
  ),
"INVALID_DATE")</f>
        <v>45337</v>
      </c>
      <c r="AB59">
        <f t="shared" si="3"/>
        <v>8</v>
      </c>
      <c r="AC59" t="str">
        <f t="shared" si="4"/>
        <v>February</v>
      </c>
      <c r="AD59">
        <f t="shared" si="5"/>
        <v>2024</v>
      </c>
    </row>
    <row r="60" spans="1:30">
      <c r="A60" t="s">
        <v>402</v>
      </c>
      <c r="B60" t="s">
        <v>403</v>
      </c>
      <c r="C60" t="s">
        <v>404</v>
      </c>
      <c r="D60" t="s">
        <v>405</v>
      </c>
      <c r="E60" t="s">
        <v>60</v>
      </c>
      <c r="F60" t="s">
        <v>122</v>
      </c>
      <c r="G60" t="s">
        <v>34</v>
      </c>
      <c r="H60" t="s">
        <v>35</v>
      </c>
      <c r="I60" t="s">
        <v>36</v>
      </c>
      <c r="J60" t="s">
        <v>37</v>
      </c>
      <c r="K60" t="s">
        <v>163</v>
      </c>
      <c r="L60" t="s">
        <v>406</v>
      </c>
      <c r="M60" t="s">
        <v>279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144</v>
      </c>
      <c r="U60" t="s">
        <v>132</v>
      </c>
      <c r="V60">
        <f t="shared" si="0"/>
        <v>11254.788</v>
      </c>
      <c r="W60">
        <f t="shared" si="1"/>
        <v>4676.7300000000005</v>
      </c>
      <c r="X60">
        <f t="shared" si="2"/>
        <v>0.41553240886769094</v>
      </c>
      <c r="Y60" t="str">
        <f>_xlfn.TEXTJOIN(", ",TRUE,IF(G60="Unknown","Missing Region",""),IF(M60="Unknown","Missing Ship Mode",""),IF(P60&lt;0,"Negative Discount",""),IF(P60&gt;0.7,"High Discount",""),IF(C60&lt;B60,"Ship Before Order",""))</f>
        <v>Missing Ship Mode</v>
      </c>
      <c r="Z60" s="2">
        <f>IFERROR(
  IF(ISNUMBER(B60),B60,
    IF(ISNUMBER(SEARCH("-",B60)*1),
      IF(LEN(LEFT(B60,FIND("-",B60)-1))=4,
        DATE(VALUE(LEFT(B60,4)),VALUE(MID(B60,6,2)),VALUE(RIGHT(B60,2))),
        DATE(VALUE(RIGHT(B60,4)),VALUE(MID(B60,4,2)),VALUE(LEFT(B60,2)))
      ),
      IF(ISNUMBER(SEARCH("/",B60)*1),
        DATE(VALUE(RIGHT(B60,4)),VALUE(LEFT(B60,2)),VALUE(MID(B60,4,2))),
        DATEVALUE(B60)
      )
    )
  ),
"INVALID_DATE")</f>
        <v>45536</v>
      </c>
      <c r="AA60" s="2">
        <f>IFERROR(
  IF(ISNUMBER(C60),C60,
    IF(ISNUMBER(SEARCH("-",C60)*1),
      IF(LEN(LEFT(C60,FIND("-",C60)-1))=4,
        DATE(VALUE(LEFT(C60,4)),VALUE(MID(C60,6,2)),VALUE(RIGHT(C60,2))),
        DATE(VALUE(RIGHT(C60,4)),VALUE(MID(C60,4,2)),VALUE(LEFT(C60,2)))
      ),
      IF(ISNUMBER(SEARCH("/",C60)*1),
        DATE(VALUE(RIGHT(C60,4)),VALUE(LEFT(C60,2)),VALUE(MID(C60,4,2))),
        DATEVALUE(C60)
      )
    )
  ),
"INVALID_DATE")</f>
        <v>45542</v>
      </c>
      <c r="AB60">
        <f t="shared" si="3"/>
        <v>6</v>
      </c>
      <c r="AC60" t="str">
        <f t="shared" si="4"/>
        <v>September</v>
      </c>
      <c r="AD60">
        <f t="shared" si="5"/>
        <v>2024</v>
      </c>
    </row>
    <row r="61" spans="1:30">
      <c r="A61" t="s">
        <v>407</v>
      </c>
      <c r="B61" t="s">
        <v>408</v>
      </c>
      <c r="C61" t="s">
        <v>409</v>
      </c>
      <c r="D61" t="s">
        <v>410</v>
      </c>
      <c r="E61" t="s">
        <v>149</v>
      </c>
      <c r="F61" t="s">
        <v>115</v>
      </c>
      <c r="G61" t="s">
        <v>49</v>
      </c>
      <c r="H61" t="s">
        <v>223</v>
      </c>
      <c r="I61" t="s">
        <v>224</v>
      </c>
      <c r="J61" t="s">
        <v>37</v>
      </c>
      <c r="K61" t="s">
        <v>116</v>
      </c>
      <c r="L61" t="s">
        <v>411</v>
      </c>
      <c r="M61" t="s">
        <v>55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41</v>
      </c>
      <c r="U61" t="s">
        <v>85</v>
      </c>
      <c r="V61">
        <f t="shared" si="0"/>
        <v>16535.400000000001</v>
      </c>
      <c r="W61">
        <f t="shared" si="1"/>
        <v>3545.1900000000023</v>
      </c>
      <c r="X61">
        <f t="shared" si="2"/>
        <v>0.21440001451431473</v>
      </c>
      <c r="Y61" t="str">
        <f>_xlfn.TEXTJOIN(", ",TRUE,IF(G61="Unknown","Missing Region",""),IF(M61="Unknown","Missing Ship Mode",""),IF(P61&lt;0,"Negative Discount",""),IF(P61&gt;0.7,"High Discount",""),IF(C61&lt;B61,"Ship Before Order",""))</f>
        <v/>
      </c>
      <c r="Z61" s="2">
        <f>IFERROR(
  IF(ISNUMBER(B61),B61,
    IF(ISNUMBER(SEARCH("-",B61)*1),
      IF(LEN(LEFT(B61,FIND("-",B61)-1))=4,
        DATE(VALUE(LEFT(B61,4)),VALUE(MID(B61,6,2)),VALUE(RIGHT(B61,2))),
        DATE(VALUE(RIGHT(B61,4)),VALUE(MID(B61,4,2)),VALUE(LEFT(B61,2)))
      ),
      IF(ISNUMBER(SEARCH("/",B61)*1),
        DATE(VALUE(RIGHT(B61,4)),VALUE(LEFT(B61,2)),VALUE(MID(B61,4,2))),
        DATEVALUE(B61)
      )
    )
  ),
"INVALID_DATE")</f>
        <v>45493</v>
      </c>
      <c r="AA61" s="2">
        <f>IFERROR(
  IF(ISNUMBER(C61),C61,
    IF(ISNUMBER(SEARCH("-",C61)*1),
      IF(LEN(LEFT(C61,FIND("-",C61)-1))=4,
        DATE(VALUE(LEFT(C61,4)),VALUE(MID(C61,6,2)),VALUE(RIGHT(C61,2))),
        DATE(VALUE(RIGHT(C61,4)),VALUE(MID(C61,4,2)),VALUE(LEFT(C61,2)))
      ),
      IF(ISNUMBER(SEARCH("/",C61)*1),
        DATE(VALUE(RIGHT(C61,4)),VALUE(LEFT(C61,2)),VALUE(MID(C61,4,2))),
        DATEVALUE(C61)
      )
    )
  ),
"INVALID_DATE")</f>
        <v>45498</v>
      </c>
      <c r="AB61">
        <f t="shared" si="3"/>
        <v>5</v>
      </c>
      <c r="AC61" t="str">
        <f t="shared" si="4"/>
        <v>July</v>
      </c>
      <c r="AD61">
        <f t="shared" si="5"/>
        <v>2024</v>
      </c>
    </row>
    <row r="62" spans="1:30">
      <c r="A62" t="s">
        <v>412</v>
      </c>
      <c r="B62" t="s">
        <v>413</v>
      </c>
      <c r="C62" t="s">
        <v>414</v>
      </c>
      <c r="D62" t="s">
        <v>415</v>
      </c>
      <c r="E62" t="s">
        <v>79</v>
      </c>
      <c r="F62" t="s">
        <v>115</v>
      </c>
      <c r="G62" t="s">
        <v>49</v>
      </c>
      <c r="H62" t="s">
        <v>223</v>
      </c>
      <c r="I62" t="s">
        <v>224</v>
      </c>
      <c r="J62" t="s">
        <v>37</v>
      </c>
      <c r="K62" t="s">
        <v>116</v>
      </c>
      <c r="L62" t="s">
        <v>416</v>
      </c>
      <c r="M62" t="s">
        <v>55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131</v>
      </c>
      <c r="U62" t="s">
        <v>85</v>
      </c>
      <c r="V62">
        <f t="shared" si="0"/>
        <v>661.82400000000007</v>
      </c>
      <c r="W62">
        <f t="shared" si="1"/>
        <v>180.35000000000002</v>
      </c>
      <c r="X62">
        <f t="shared" si="2"/>
        <v>0.2725061194886827</v>
      </c>
      <c r="Y62" t="str">
        <f>_xlfn.TEXTJOIN(", ",TRUE,IF(G62="Unknown","Missing Region",""),IF(M62="Unknown","Missing Ship Mode",""),IF(P62&lt;0,"Negative Discount",""),IF(P62&gt;0.7,"High Discount",""),IF(C62&lt;B62,"Ship Before Order",""))</f>
        <v/>
      </c>
      <c r="Z62" s="2">
        <f>IFERROR(
  IF(ISNUMBER(B62),B62,
    IF(ISNUMBER(SEARCH("-",B62)*1),
      IF(LEN(LEFT(B62,FIND("-",B62)-1))=4,
        DATE(VALUE(LEFT(B62,4)),VALUE(MID(B62,6,2)),VALUE(RIGHT(B62,2))),
        DATE(VALUE(RIGHT(B62,4)),VALUE(MID(B62,4,2)),VALUE(LEFT(B62,2)))
      ),
      IF(ISNUMBER(SEARCH("/",B62)*1),
        DATE(VALUE(RIGHT(B62,4)),VALUE(LEFT(B62,2)),VALUE(MID(B62,4,2))),
        DATEVALUE(B62)
      )
    )
  ),
"INVALID_DATE")</f>
        <v>45486</v>
      </c>
      <c r="AA62" s="2">
        <f>IFERROR(
  IF(ISNUMBER(C62),C62,
    IF(ISNUMBER(SEARCH("-",C62)*1),
      IF(LEN(LEFT(C62,FIND("-",C62)-1))=4,
        DATE(VALUE(LEFT(C62,4)),VALUE(MID(C62,6,2)),VALUE(RIGHT(C62,2))),
        DATE(VALUE(RIGHT(C62,4)),VALUE(MID(C62,4,2)),VALUE(LEFT(C62,2)))
      ),
      IF(ISNUMBER(SEARCH("/",C62)*1),
        DATE(VALUE(RIGHT(C62,4)),VALUE(LEFT(C62,2)),VALUE(MID(C62,4,2))),
        DATEVALUE(C62)
      )
    )
  ),
"INVALID_DATE")</f>
        <v>45492</v>
      </c>
      <c r="AB62">
        <f t="shared" si="3"/>
        <v>6</v>
      </c>
      <c r="AC62" t="str">
        <f t="shared" si="4"/>
        <v>July</v>
      </c>
      <c r="AD62">
        <f t="shared" si="5"/>
        <v>2024</v>
      </c>
    </row>
    <row r="63" spans="1:30">
      <c r="A63" t="s">
        <v>417</v>
      </c>
      <c r="B63" t="s">
        <v>418</v>
      </c>
      <c r="C63" t="s">
        <v>419</v>
      </c>
      <c r="D63" t="s">
        <v>420</v>
      </c>
      <c r="E63" t="s">
        <v>90</v>
      </c>
      <c r="F63" t="s">
        <v>122</v>
      </c>
      <c r="G63" t="s">
        <v>49</v>
      </c>
      <c r="H63" t="s">
        <v>193</v>
      </c>
      <c r="I63" t="s">
        <v>194</v>
      </c>
      <c r="J63" t="s">
        <v>52</v>
      </c>
      <c r="K63" t="s">
        <v>211</v>
      </c>
      <c r="L63" t="s">
        <v>421</v>
      </c>
      <c r="M63" t="s">
        <v>74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41</v>
      </c>
      <c r="U63" t="s">
        <v>42</v>
      </c>
      <c r="V63">
        <f t="shared" si="0"/>
        <v>949.59</v>
      </c>
      <c r="W63">
        <f t="shared" si="1"/>
        <v>198.34000000000003</v>
      </c>
      <c r="X63">
        <f t="shared" si="2"/>
        <v>0.20886909087079686</v>
      </c>
      <c r="Y63" t="str">
        <f>_xlfn.TEXTJOIN(", ",TRUE,IF(G63="Unknown","Missing Region",""),IF(M63="Unknown","Missing Ship Mode",""),IF(P63&lt;0,"Negative Discount",""),IF(P63&gt;0.7,"High Discount",""),IF(C63&lt;B63,"Ship Before Order",""))</f>
        <v>Ship Before Order</v>
      </c>
      <c r="Z63" s="2">
        <f>IFERROR(
  IF(ISNUMBER(B63),B63,
    IF(ISNUMBER(SEARCH("-",B63)*1),
      IF(LEN(LEFT(B63,FIND("-",B63)-1))=4,
        DATE(VALUE(LEFT(B63,4)),VALUE(MID(B63,6,2)),VALUE(RIGHT(B63,2))),
        DATE(VALUE(RIGHT(B63,4)),VALUE(MID(B63,4,2)),VALUE(LEFT(B63,2)))
      ),
      IF(ISNUMBER(SEARCH("/",B63)*1),
        DATE(VALUE(RIGHT(B63,4)),VALUE(LEFT(B63,2)),VALUE(MID(B63,4,2))),
        DATEVALUE(B63)
      )
    )
  ),
"INVALID_DATE")</f>
        <v>45398</v>
      </c>
      <c r="AA63" s="2">
        <f>IFERROR(
  IF(ISNUMBER(C63),C63,
    IF(ISNUMBER(SEARCH("-",C63)*1),
      IF(LEN(LEFT(C63,FIND("-",C63)-1))=4,
        DATE(VALUE(LEFT(C63,4)),VALUE(MID(C63,6,2)),VALUE(RIGHT(C63,2))),
        DATE(VALUE(RIGHT(C63,4)),VALUE(MID(C63,4,2)),VALUE(LEFT(C63,2)))
      ),
      IF(ISNUMBER(SEARCH("/",C63)*1),
        DATE(VALUE(RIGHT(C63,4)),VALUE(LEFT(C63,2)),VALUE(MID(C63,4,2))),
        DATEVALUE(C63)
      )
    )
  ),
"INVALID_DATE")</f>
        <v>45398</v>
      </c>
      <c r="AB63">
        <f t="shared" si="3"/>
        <v>0</v>
      </c>
      <c r="AC63" t="str">
        <f t="shared" si="4"/>
        <v>April</v>
      </c>
      <c r="AD63">
        <f t="shared" si="5"/>
        <v>2024</v>
      </c>
    </row>
    <row r="64" spans="1:30">
      <c r="A64" t="s">
        <v>422</v>
      </c>
      <c r="B64" t="s">
        <v>423</v>
      </c>
      <c r="C64" t="s">
        <v>424</v>
      </c>
      <c r="D64" t="s">
        <v>425</v>
      </c>
      <c r="E64" t="s">
        <v>175</v>
      </c>
      <c r="F64" t="s">
        <v>122</v>
      </c>
      <c r="G64" t="s">
        <v>34</v>
      </c>
      <c r="H64" t="s">
        <v>35</v>
      </c>
      <c r="I64" t="s">
        <v>36</v>
      </c>
      <c r="J64" t="s">
        <v>93</v>
      </c>
      <c r="K64" t="s">
        <v>230</v>
      </c>
      <c r="L64" t="s">
        <v>426</v>
      </c>
      <c r="M64" t="s">
        <v>74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41</v>
      </c>
      <c r="U64" t="s">
        <v>42</v>
      </c>
      <c r="V64">
        <f t="shared" si="0"/>
        <v>21904.487999999998</v>
      </c>
      <c r="W64">
        <f t="shared" si="1"/>
        <v>8333.9400000000023</v>
      </c>
      <c r="X64">
        <f t="shared" si="2"/>
        <v>0.38046720101677783</v>
      </c>
      <c r="Y64" t="str">
        <f>_xlfn.TEXTJOIN(", ",TRUE,IF(G64="Unknown","Missing Region",""),IF(M64="Unknown","Missing Ship Mode",""),IF(P64&lt;0,"Negative Discount",""),IF(P64&gt;0.7,"High Discount",""),IF(C64&lt;B64,"Ship Before Order",""))</f>
        <v>Ship Before Order</v>
      </c>
      <c r="Z64" s="2">
        <f>IFERROR(
  IF(ISNUMBER(B64),B64,
    IF(ISNUMBER(SEARCH("-",B64)*1),
      IF(LEN(LEFT(B64,FIND("-",B64)-1))=4,
        DATE(VALUE(LEFT(B64,4)),VALUE(MID(B64,6,2)),VALUE(RIGHT(B64,2))),
        DATE(VALUE(RIGHT(B64,4)),VALUE(MID(B64,4,2)),VALUE(LEFT(B64,2)))
      ),
      IF(ISNUMBER(SEARCH("/",B64)*1),
        DATE(VALUE(RIGHT(B64,4)),VALUE(LEFT(B64,2)),VALUE(MID(B64,4,2))),
        DATEVALUE(B64)
      )
    )
  ),
"INVALID_DATE")</f>
        <v>45595</v>
      </c>
      <c r="AA64" s="2">
        <f>IFERROR(
  IF(ISNUMBER(C64),C64,
    IF(ISNUMBER(SEARCH("-",C64)*1),
      IF(LEN(LEFT(C64,FIND("-",C64)-1))=4,
        DATE(VALUE(LEFT(C64,4)),VALUE(MID(C64,6,2)),VALUE(RIGHT(C64,2))),
        DATE(VALUE(RIGHT(C64,4)),VALUE(MID(C64,4,2)),VALUE(LEFT(C64,2)))
      ),
      IF(ISNUMBER(SEARCH("/",C64)*1),
        DATE(VALUE(RIGHT(C64,4)),VALUE(LEFT(C64,2)),VALUE(MID(C64,4,2))),
        DATEVALUE(C64)
      )
    )
  ),
"INVALID_DATE")</f>
        <v>45598</v>
      </c>
      <c r="AB64">
        <f t="shared" si="3"/>
        <v>3</v>
      </c>
      <c r="AC64" t="str">
        <f t="shared" si="4"/>
        <v>October</v>
      </c>
      <c r="AD64">
        <f t="shared" si="5"/>
        <v>2024</v>
      </c>
    </row>
    <row r="65" spans="1:30">
      <c r="A65" t="s">
        <v>427</v>
      </c>
      <c r="B65" t="s">
        <v>428</v>
      </c>
      <c r="C65" t="s">
        <v>429</v>
      </c>
      <c r="D65" t="s">
        <v>430</v>
      </c>
      <c r="E65" t="s">
        <v>175</v>
      </c>
      <c r="F65" t="s">
        <v>122</v>
      </c>
      <c r="G65" t="s">
        <v>34</v>
      </c>
      <c r="H65" t="s">
        <v>331</v>
      </c>
      <c r="I65" t="s">
        <v>332</v>
      </c>
      <c r="J65" t="s">
        <v>37</v>
      </c>
      <c r="K65" t="s">
        <v>205</v>
      </c>
      <c r="L65" t="s">
        <v>431</v>
      </c>
      <c r="M65" t="s">
        <v>55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41</v>
      </c>
      <c r="U65" t="s">
        <v>42</v>
      </c>
      <c r="V65">
        <f t="shared" si="0"/>
        <v>4815.7089999999998</v>
      </c>
      <c r="W65">
        <f t="shared" si="1"/>
        <v>1787.96</v>
      </c>
      <c r="X65">
        <f t="shared" si="2"/>
        <v>0.39816974028751734</v>
      </c>
      <c r="Y65" t="str">
        <f>_xlfn.TEXTJOIN(", ",TRUE,IF(G65="Unknown","Missing Region",""),IF(M65="Unknown","Missing Ship Mode",""),IF(P65&lt;0,"Negative Discount",""),IF(P65&gt;0.7,"High Discount",""),IF(C65&lt;B65,"Ship Before Order",""))</f>
        <v>Ship Before Order</v>
      </c>
      <c r="Z65" s="2">
        <f>IFERROR(
  IF(ISNUMBER(B65),B65,
    IF(ISNUMBER(SEARCH("-",B65)*1),
      IF(LEN(LEFT(B65,FIND("-",B65)-1))=4,
        DATE(VALUE(LEFT(B65,4)),VALUE(MID(B65,6,2)),VALUE(RIGHT(B65,2))),
        DATE(VALUE(RIGHT(B65,4)),VALUE(MID(B65,4,2)),VALUE(LEFT(B65,2)))
      ),
      IF(ISNUMBER(SEARCH("/",B65)*1),
        DATE(VALUE(RIGHT(B65,4)),VALUE(LEFT(B65,2)),VALUE(MID(B65,4,2))),
        DATEVALUE(B65)
      )
    )
  ),
"INVALID_DATE")</f>
        <v>45316</v>
      </c>
      <c r="AA65" s="2">
        <f>IFERROR(
  IF(ISNUMBER(C65),C65,
    IF(ISNUMBER(SEARCH("-",C65)*1),
      IF(LEN(LEFT(C65,FIND("-",C65)-1))=4,
        DATE(VALUE(LEFT(C65,4)),VALUE(MID(C65,6,2)),VALUE(RIGHT(C65,2))),
        DATE(VALUE(RIGHT(C65,4)),VALUE(MID(C65,4,2)),VALUE(LEFT(C65,2)))
      ),
      IF(ISNUMBER(SEARCH("/",C65)*1),
        DATE(VALUE(RIGHT(C65,4)),VALUE(LEFT(C65,2)),VALUE(MID(C65,4,2))),
        DATEVALUE(C65)
      )
    )
  ),
"INVALID_DATE")</f>
        <v>45323</v>
      </c>
      <c r="AB65">
        <f t="shared" si="3"/>
        <v>7</v>
      </c>
      <c r="AC65" t="str">
        <f t="shared" si="4"/>
        <v>January</v>
      </c>
      <c r="AD65">
        <f t="shared" si="5"/>
        <v>2024</v>
      </c>
    </row>
    <row r="66" spans="1:30">
      <c r="A66" t="s">
        <v>432</v>
      </c>
      <c r="B66" t="s">
        <v>433</v>
      </c>
      <c r="C66" t="s">
        <v>434</v>
      </c>
      <c r="D66" t="s">
        <v>435</v>
      </c>
      <c r="E66" t="s">
        <v>169</v>
      </c>
      <c r="F66" t="s">
        <v>115</v>
      </c>
      <c r="G66" t="s">
        <v>49</v>
      </c>
      <c r="H66" t="s">
        <v>319</v>
      </c>
      <c r="I66" t="s">
        <v>320</v>
      </c>
      <c r="J66" t="s">
        <v>37</v>
      </c>
      <c r="K66" t="s">
        <v>38</v>
      </c>
      <c r="L66" t="s">
        <v>436</v>
      </c>
      <c r="M66" t="s">
        <v>63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131</v>
      </c>
      <c r="U66" t="s">
        <v>132</v>
      </c>
      <c r="V66">
        <f t="shared" ref="V66:V129" si="6">O66*(1-P66)*N66</f>
        <v>3134.8799999999997</v>
      </c>
      <c r="W66">
        <f t="shared" ref="W66:W129" si="7">Q66-R66</f>
        <v>767.25</v>
      </c>
      <c r="X66">
        <f t="shared" ref="X66:X129" si="8">IF(Q66=0,"",S66/Q66)</f>
        <v>0.2447462103812586</v>
      </c>
      <c r="Y66" t="str">
        <f>_xlfn.TEXTJOIN(", ",TRUE,IF(G66="Unknown","Missing Region",""),IF(M66="Unknown","Missing Ship Mode",""),IF(P66&lt;0,"Negative Discount",""),IF(P66&gt;0.7,"High Discount",""),IF(C66&lt;B66,"Ship Before Order",""))</f>
        <v>Ship Before Order</v>
      </c>
      <c r="Z66" s="2">
        <f>IFERROR(
  IF(ISNUMBER(B66),B66,
    IF(ISNUMBER(SEARCH("-",B66)*1),
      IF(LEN(LEFT(B66,FIND("-",B66)-1))=4,
        DATE(VALUE(LEFT(B66,4)),VALUE(MID(B66,6,2)),VALUE(RIGHT(B66,2))),
        DATE(VALUE(RIGHT(B66,4)),VALUE(MID(B66,4,2)),VALUE(LEFT(B66,2)))
      ),
      IF(ISNUMBER(SEARCH("/",B66)*1),
        DATE(VALUE(RIGHT(B66,4)),VALUE(LEFT(B66,2)),VALUE(MID(B66,4,2))),
        DATEVALUE(B66)
      )
    )
  ),
"INVALID_DATE")</f>
        <v>45649</v>
      </c>
      <c r="AA66" s="2">
        <f>IFERROR(
  IF(ISNUMBER(C66),C66,
    IF(ISNUMBER(SEARCH("-",C66)*1),
      IF(LEN(LEFT(C66,FIND("-",C66)-1))=4,
        DATE(VALUE(LEFT(C66,4)),VALUE(MID(C66,6,2)),VALUE(RIGHT(C66,2))),
        DATE(VALUE(RIGHT(C66,4)),VALUE(MID(C66,4,2)),VALUE(LEFT(C66,2)))
      ),
      IF(ISNUMBER(SEARCH("/",C66)*1),
        DATE(VALUE(RIGHT(C66,4)),VALUE(LEFT(C66,2)),VALUE(MID(C66,4,2))),
        DATEVALUE(C66)
      )
    )
  ),
"INVALID_DATE")</f>
        <v>45655</v>
      </c>
      <c r="AB66">
        <f t="shared" si="3"/>
        <v>6</v>
      </c>
      <c r="AC66" t="str">
        <f t="shared" si="4"/>
        <v>December</v>
      </c>
      <c r="AD66">
        <f t="shared" si="5"/>
        <v>2024</v>
      </c>
    </row>
    <row r="67" spans="1:30">
      <c r="A67" t="s">
        <v>437</v>
      </c>
      <c r="B67" t="s">
        <v>438</v>
      </c>
      <c r="C67" t="s">
        <v>439</v>
      </c>
      <c r="D67" t="s">
        <v>440</v>
      </c>
      <c r="E67" t="s">
        <v>47</v>
      </c>
      <c r="F67" t="s">
        <v>122</v>
      </c>
      <c r="G67" t="s">
        <v>80</v>
      </c>
      <c r="H67" t="s">
        <v>81</v>
      </c>
      <c r="I67" t="s">
        <v>82</v>
      </c>
      <c r="J67" t="s">
        <v>37</v>
      </c>
      <c r="K67" t="s">
        <v>38</v>
      </c>
      <c r="L67" t="s">
        <v>441</v>
      </c>
      <c r="M67" t="s">
        <v>40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41</v>
      </c>
      <c r="U67" t="s">
        <v>42</v>
      </c>
      <c r="V67">
        <f t="shared" si="6"/>
        <v>4066.1804999999995</v>
      </c>
      <c r="W67">
        <f t="shared" si="7"/>
        <v>1437.2599999999998</v>
      </c>
      <c r="X67">
        <f t="shared" si="8"/>
        <v>0.35346689029998674</v>
      </c>
      <c r="Y67" t="str">
        <f>_xlfn.TEXTJOIN(", ",TRUE,IF(G67="Unknown","Missing Region",""),IF(M67="Unknown","Missing Ship Mode",""),IF(P67&lt;0,"Negative Discount",""),IF(P67&gt;0.7,"High Discount",""),IF(C67&lt;B67,"Ship Before Order",""))</f>
        <v>Ship Before Order</v>
      </c>
      <c r="Z67" s="2">
        <f>IFERROR(
  IF(ISNUMBER(B67),B67,
    IF(ISNUMBER(SEARCH("-",B67)*1),
      IF(LEN(LEFT(B67,FIND("-",B67)-1))=4,
        DATE(VALUE(LEFT(B67,4)),VALUE(MID(B67,6,2)),VALUE(RIGHT(B67,2))),
        DATE(VALUE(RIGHT(B67,4)),VALUE(MID(B67,4,2)),VALUE(LEFT(B67,2)))
      ),
      IF(ISNUMBER(SEARCH("/",B67)*1),
        DATE(VALUE(RIGHT(B67,4)),VALUE(LEFT(B67,2)),VALUE(MID(B67,4,2))),
        DATEVALUE(B67)
      )
    )
  ),
"INVALID_DATE")</f>
        <v>45404</v>
      </c>
      <c r="AA67" s="2">
        <f>IFERROR(
  IF(ISNUMBER(C67),C67,
    IF(ISNUMBER(SEARCH("-",C67)*1),
      IF(LEN(LEFT(C67,FIND("-",C67)-1))=4,
        DATE(VALUE(LEFT(C67,4)),VALUE(MID(C67,6,2)),VALUE(RIGHT(C67,2))),
        DATE(VALUE(RIGHT(C67,4)),VALUE(MID(C67,4,2)),VALUE(LEFT(C67,2)))
      ),
      IF(ISNUMBER(SEARCH("/",C67)*1),
        DATE(VALUE(RIGHT(C67,4)),VALUE(LEFT(C67,2)),VALUE(MID(C67,4,2))),
        DATEVALUE(C67)
      )
    )
  ),
"INVALID_DATE")</f>
        <v>45409</v>
      </c>
      <c r="AB67">
        <f t="shared" ref="AB67:AB130" si="9">AA67-Z67</f>
        <v>5</v>
      </c>
      <c r="AC67" t="str">
        <f t="shared" ref="AC67:AC130" si="10">TEXT(Z67,"mmmm")</f>
        <v>April</v>
      </c>
      <c r="AD67">
        <f t="shared" ref="AD67:AD130" si="11">YEAR(Z67)</f>
        <v>2024</v>
      </c>
    </row>
    <row r="68" spans="1:30">
      <c r="A68" t="s">
        <v>442</v>
      </c>
      <c r="B68" t="s">
        <v>443</v>
      </c>
      <c r="C68" t="s">
        <v>444</v>
      </c>
      <c r="D68" t="s">
        <v>445</v>
      </c>
      <c r="E68" t="s">
        <v>32</v>
      </c>
      <c r="F68" t="s">
        <v>48</v>
      </c>
      <c r="G68" t="s">
        <v>69</v>
      </c>
      <c r="H68" t="s">
        <v>347</v>
      </c>
      <c r="I68" t="s">
        <v>348</v>
      </c>
      <c r="J68" t="s">
        <v>93</v>
      </c>
      <c r="K68" t="s">
        <v>94</v>
      </c>
      <c r="L68" t="s">
        <v>446</v>
      </c>
      <c r="M68" t="s">
        <v>55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41</v>
      </c>
      <c r="U68" t="s">
        <v>42</v>
      </c>
      <c r="V68">
        <f t="shared" si="6"/>
        <v>7032.1090000000004</v>
      </c>
      <c r="W68">
        <f t="shared" si="7"/>
        <v>2421.7699999999995</v>
      </c>
      <c r="X68">
        <f t="shared" si="8"/>
        <v>0.34438738870694574</v>
      </c>
      <c r="Y68" t="str">
        <f>_xlfn.TEXTJOIN(", ",TRUE,IF(G68="Unknown","Missing Region",""),IF(M68="Unknown","Missing Ship Mode",""),IF(P68&lt;0,"Negative Discount",""),IF(P68&gt;0.7,"High Discount",""),IF(C68&lt;B68,"Ship Before Order",""))</f>
        <v>Ship Before Order</v>
      </c>
      <c r="Z68" s="2">
        <f>IFERROR(
  IF(ISNUMBER(B68),B68,
    IF(ISNUMBER(SEARCH("-",B68)*1),
      IF(LEN(LEFT(B68,FIND("-",B68)-1))=4,
        DATE(VALUE(LEFT(B68,4)),VALUE(MID(B68,6,2)),VALUE(RIGHT(B68,2))),
        DATE(VALUE(RIGHT(B68,4)),VALUE(MID(B68,4,2)),VALUE(LEFT(B68,2)))
      ),
      IF(ISNUMBER(SEARCH("/",B68)*1),
        DATE(VALUE(RIGHT(B68,4)),VALUE(LEFT(B68,2)),VALUE(MID(B68,4,2))),
        DATEVALUE(B68)
      )
    )
  ),
"INVALID_DATE")</f>
        <v>45897</v>
      </c>
      <c r="AA68" s="2">
        <f>IFERROR(
  IF(ISNUMBER(C68),C68,
    IF(ISNUMBER(SEARCH("-",C68)*1),
      IF(LEN(LEFT(C68,FIND("-",C68)-1))=4,
        DATE(VALUE(LEFT(C68,4)),VALUE(MID(C68,6,2)),VALUE(RIGHT(C68,2))),
        DATE(VALUE(RIGHT(C68,4)),VALUE(MID(C68,4,2)),VALUE(LEFT(C68,2)))
      ),
      IF(ISNUMBER(SEARCH("/",C68)*1),
        DATE(VALUE(RIGHT(C68,4)),VALUE(LEFT(C68,2)),VALUE(MID(C68,4,2))),
        DATEVALUE(C68)
      )
    )
  ),
"INVALID_DATE")</f>
        <v>45901</v>
      </c>
      <c r="AB68">
        <f t="shared" si="9"/>
        <v>4</v>
      </c>
      <c r="AC68" t="str">
        <f t="shared" si="10"/>
        <v>August</v>
      </c>
      <c r="AD68">
        <f t="shared" si="11"/>
        <v>2025</v>
      </c>
    </row>
    <row r="69" spans="1:30">
      <c r="A69" t="s">
        <v>447</v>
      </c>
      <c r="B69" t="s">
        <v>448</v>
      </c>
      <c r="C69" t="s">
        <v>449</v>
      </c>
      <c r="D69" t="s">
        <v>450</v>
      </c>
      <c r="E69" t="s">
        <v>374</v>
      </c>
      <c r="F69" t="s">
        <v>33</v>
      </c>
      <c r="G69" t="s">
        <v>34</v>
      </c>
      <c r="H69" t="s">
        <v>331</v>
      </c>
      <c r="I69" t="s">
        <v>332</v>
      </c>
      <c r="J69" t="s">
        <v>37</v>
      </c>
      <c r="K69" t="s">
        <v>38</v>
      </c>
      <c r="L69" t="s">
        <v>451</v>
      </c>
      <c r="M69" t="s">
        <v>63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41</v>
      </c>
      <c r="U69" t="s">
        <v>42</v>
      </c>
      <c r="V69">
        <f t="shared" si="6"/>
        <v>24002.111000000001</v>
      </c>
      <c r="W69">
        <f t="shared" si="7"/>
        <v>5294.5400000000009</v>
      </c>
      <c r="X69">
        <f t="shared" si="8"/>
        <v>0.2205864401088071</v>
      </c>
      <c r="Y69" t="str">
        <f>_xlfn.TEXTJOIN(", ",TRUE,IF(G69="Unknown","Missing Region",""),IF(M69="Unknown","Missing Ship Mode",""),IF(P69&lt;0,"Negative Discount",""),IF(P69&gt;0.7,"High Discount",""),IF(C69&lt;B69,"Ship Before Order",""))</f>
        <v/>
      </c>
      <c r="Z69" s="2">
        <f>IFERROR(
  IF(ISNUMBER(B69),B69,
    IF(ISNUMBER(SEARCH("-",B69)*1),
      IF(LEN(LEFT(B69,FIND("-",B69)-1))=4,
        DATE(VALUE(LEFT(B69,4)),VALUE(MID(B69,6,2)),VALUE(RIGHT(B69,2))),
        DATE(VALUE(RIGHT(B69,4)),VALUE(MID(B69,4,2)),VALUE(LEFT(B69,2)))
      ),
      IF(ISNUMBER(SEARCH("/",B69)*1),
        DATE(VALUE(RIGHT(B69,4)),VALUE(LEFT(B69,2)),VALUE(MID(B69,4,2))),
        DATEVALUE(B69)
      )
    )
  ),
"INVALID_DATE")</f>
        <v>45691</v>
      </c>
      <c r="AA69" s="2">
        <f>IFERROR(
  IF(ISNUMBER(C69),C69,
    IF(ISNUMBER(SEARCH("-",C69)*1),
      IF(LEN(LEFT(C69,FIND("-",C69)-1))=4,
        DATE(VALUE(LEFT(C69,4)),VALUE(MID(C69,6,2)),VALUE(RIGHT(C69,2))),
        DATE(VALUE(RIGHT(C69,4)),VALUE(MID(C69,4,2)),VALUE(LEFT(C69,2)))
      ),
      IF(ISNUMBER(SEARCH("/",C69)*1),
        DATE(VALUE(RIGHT(C69,4)),VALUE(LEFT(C69,2)),VALUE(MID(C69,4,2))),
        DATEVALUE(C69)
      )
    )
  ),
"INVALID_DATE")</f>
        <v>45695</v>
      </c>
      <c r="AB69">
        <f t="shared" si="9"/>
        <v>4</v>
      </c>
      <c r="AC69" t="str">
        <f t="shared" si="10"/>
        <v>February</v>
      </c>
      <c r="AD69">
        <f t="shared" si="11"/>
        <v>2025</v>
      </c>
    </row>
    <row r="70" spans="1:30">
      <c r="A70" t="s">
        <v>452</v>
      </c>
      <c r="B70" t="s">
        <v>112</v>
      </c>
      <c r="C70" t="s">
        <v>453</v>
      </c>
      <c r="D70" t="s">
        <v>454</v>
      </c>
      <c r="E70" t="s">
        <v>60</v>
      </c>
      <c r="F70" t="s">
        <v>115</v>
      </c>
      <c r="G70" t="s">
        <v>49</v>
      </c>
      <c r="H70" t="s">
        <v>319</v>
      </c>
      <c r="I70" t="s">
        <v>320</v>
      </c>
      <c r="J70" t="s">
        <v>37</v>
      </c>
      <c r="K70" t="s">
        <v>163</v>
      </c>
      <c r="L70" t="s">
        <v>455</v>
      </c>
      <c r="M70" t="s">
        <v>40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207</v>
      </c>
      <c r="U70" t="s">
        <v>132</v>
      </c>
      <c r="V70">
        <f t="shared" si="6"/>
        <v>19900.079999999998</v>
      </c>
      <c r="W70">
        <f t="shared" si="7"/>
        <v>8937.4200000000019</v>
      </c>
      <c r="X70">
        <f t="shared" si="8"/>
        <v>0.44911477742803041</v>
      </c>
      <c r="Y70" t="str">
        <f>_xlfn.TEXTJOIN(", ",TRUE,IF(G70="Unknown","Missing Region",""),IF(M70="Unknown","Missing Ship Mode",""),IF(P70&lt;0,"Negative Discount",""),IF(P70&gt;0.7,"High Discount",""),IF(C70&lt;B70,"Ship Before Order",""))</f>
        <v/>
      </c>
      <c r="Z70" s="2">
        <f>IFERROR(
  IF(ISNUMBER(B70),B70,
    IF(ISNUMBER(SEARCH("-",B70)*1),
      IF(LEN(LEFT(B70,FIND("-",B70)-1))=4,
        DATE(VALUE(LEFT(B70,4)),VALUE(MID(B70,6,2)),VALUE(RIGHT(B70,2))),
        DATE(VALUE(RIGHT(B70,4)),VALUE(MID(B70,4,2)),VALUE(LEFT(B70,2)))
      ),
      IF(ISNUMBER(SEARCH("/",B70)*1),
        DATE(VALUE(RIGHT(B70,4)),VALUE(LEFT(B70,2)),VALUE(MID(B70,4,2))),
        DATEVALUE(B70)
      )
    )
  ),
"INVALID_DATE")</f>
        <v>45606</v>
      </c>
      <c r="AA70" s="2">
        <f>IFERROR(
  IF(ISNUMBER(C70),C70,
    IF(ISNUMBER(SEARCH("-",C70)*1),
      IF(LEN(LEFT(C70,FIND("-",C70)-1))=4,
        DATE(VALUE(LEFT(C70,4)),VALUE(MID(C70,6,2)),VALUE(RIGHT(C70,2))),
        DATE(VALUE(RIGHT(C70,4)),VALUE(MID(C70,4,2)),VALUE(LEFT(C70,2)))
      ),
      IF(ISNUMBER(SEARCH("/",C70)*1),
        DATE(VALUE(RIGHT(C70,4)),VALUE(LEFT(C70,2)),VALUE(MID(C70,4,2))),
        DATEVALUE(C70)
      )
    )
  ),
"INVALID_DATE")</f>
        <v>45609</v>
      </c>
      <c r="AB70">
        <f t="shared" si="9"/>
        <v>3</v>
      </c>
      <c r="AC70" t="str">
        <f t="shared" si="10"/>
        <v>November</v>
      </c>
      <c r="AD70">
        <f t="shared" si="11"/>
        <v>2024</v>
      </c>
    </row>
    <row r="71" spans="1:30">
      <c r="A71" t="s">
        <v>456</v>
      </c>
      <c r="B71" t="s">
        <v>457</v>
      </c>
      <c r="C71" t="s">
        <v>458</v>
      </c>
      <c r="D71" t="s">
        <v>459</v>
      </c>
      <c r="E71" t="s">
        <v>100</v>
      </c>
      <c r="F71" t="s">
        <v>48</v>
      </c>
      <c r="G71" t="s">
        <v>80</v>
      </c>
      <c r="H71" t="s">
        <v>242</v>
      </c>
      <c r="I71" t="s">
        <v>243</v>
      </c>
      <c r="J71" t="s">
        <v>93</v>
      </c>
      <c r="K71" t="s">
        <v>390</v>
      </c>
      <c r="L71" t="s">
        <v>460</v>
      </c>
      <c r="M71" t="s">
        <v>55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131</v>
      </c>
      <c r="U71" t="s">
        <v>132</v>
      </c>
      <c r="V71">
        <f t="shared" si="6"/>
        <v>21527.667000000001</v>
      </c>
      <c r="W71">
        <f t="shared" si="7"/>
        <v>3240.0899999999965</v>
      </c>
      <c r="X71">
        <f t="shared" si="8"/>
        <v>0.15050815996343311</v>
      </c>
      <c r="Y71" t="str">
        <f>_xlfn.TEXTJOIN(", ",TRUE,IF(G71="Unknown","Missing Region",""),IF(M71="Unknown","Missing Ship Mode",""),IF(P71&lt;0,"Negative Discount",""),IF(P71&gt;0.7,"High Discount",""),IF(C71&lt;B71,"Ship Before Order",""))</f>
        <v>Ship Before Order</v>
      </c>
      <c r="Z71" s="2">
        <f>IFERROR(
  IF(ISNUMBER(B71),B71,
    IF(ISNUMBER(SEARCH("-",B71)*1),
      IF(LEN(LEFT(B71,FIND("-",B71)-1))=4,
        DATE(VALUE(LEFT(B71,4)),VALUE(MID(B71,6,2)),VALUE(RIGHT(B71,2))),
        DATE(VALUE(RIGHT(B71,4)),VALUE(MID(B71,4,2)),VALUE(LEFT(B71,2)))
      ),
      IF(ISNUMBER(SEARCH("/",B71)*1),
        DATE(VALUE(RIGHT(B71,4)),VALUE(LEFT(B71,2)),VALUE(MID(B71,4,2))),
        DATEVALUE(B71)
      )
    )
  ),
"INVALID_DATE")</f>
        <v>45391</v>
      </c>
      <c r="AA71" s="2">
        <f>IFERROR(
  IF(ISNUMBER(C71),C71,
    IF(ISNUMBER(SEARCH("-",C71)*1),
      IF(LEN(LEFT(C71,FIND("-",C71)-1))=4,
        DATE(VALUE(LEFT(C71,4)),VALUE(MID(C71,6,2)),VALUE(RIGHT(C71,2))),
        DATE(VALUE(RIGHT(C71,4)),VALUE(MID(C71,4,2)),VALUE(LEFT(C71,2)))
      ),
      IF(ISNUMBER(SEARCH("/",C71)*1),
        DATE(VALUE(RIGHT(C71,4)),VALUE(LEFT(C71,2)),VALUE(MID(C71,4,2))),
        DATEVALUE(C71)
      )
    )
  ),
"INVALID_DATE")</f>
        <v>45396</v>
      </c>
      <c r="AB71">
        <f t="shared" si="9"/>
        <v>5</v>
      </c>
      <c r="AC71" t="str">
        <f t="shared" si="10"/>
        <v>April</v>
      </c>
      <c r="AD71">
        <f t="shared" si="11"/>
        <v>2024</v>
      </c>
    </row>
    <row r="72" spans="1:30">
      <c r="A72" t="s">
        <v>461</v>
      </c>
      <c r="B72" t="s">
        <v>462</v>
      </c>
      <c r="C72" t="s">
        <v>463</v>
      </c>
      <c r="D72" t="s">
        <v>464</v>
      </c>
      <c r="E72" t="s">
        <v>32</v>
      </c>
      <c r="F72" t="s">
        <v>115</v>
      </c>
      <c r="G72" t="s">
        <v>69</v>
      </c>
      <c r="H72" t="s">
        <v>107</v>
      </c>
      <c r="I72" t="s">
        <v>108</v>
      </c>
      <c r="J72" t="s">
        <v>93</v>
      </c>
      <c r="K72" t="s">
        <v>230</v>
      </c>
      <c r="L72" t="s">
        <v>465</v>
      </c>
      <c r="M72" t="s">
        <v>63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41</v>
      </c>
      <c r="U72" t="s">
        <v>42</v>
      </c>
      <c r="V72">
        <f t="shared" si="6"/>
        <v>1539.979</v>
      </c>
      <c r="W72">
        <f t="shared" si="7"/>
        <v>469.78</v>
      </c>
      <c r="X72">
        <f t="shared" si="8"/>
        <v>0.30505590981701058</v>
      </c>
      <c r="Y72" t="str">
        <f>_xlfn.TEXTJOIN(", ",TRUE,IF(G72="Unknown","Missing Region",""),IF(M72="Unknown","Missing Ship Mode",""),IF(P72&lt;0,"Negative Discount",""),IF(P72&gt;0.7,"High Discount",""),IF(C72&lt;B72,"Ship Before Order",""))</f>
        <v/>
      </c>
      <c r="Z72" s="2">
        <f>IFERROR(
  IF(ISNUMBER(B72),B72,
    IF(ISNUMBER(SEARCH("-",B72)*1),
      IF(LEN(LEFT(B72,FIND("-",B72)-1))=4,
        DATE(VALUE(LEFT(B72,4)),VALUE(MID(B72,6,2)),VALUE(RIGHT(B72,2))),
        DATE(VALUE(RIGHT(B72,4)),VALUE(MID(B72,4,2)),VALUE(LEFT(B72,2)))
      ),
      IF(ISNUMBER(SEARCH("/",B72)*1),
        DATE(VALUE(RIGHT(B72,4)),VALUE(LEFT(B72,2)),VALUE(MID(B72,4,2))),
        DATEVALUE(B72)
      )
    )
  ),
"INVALID_DATE")</f>
        <v>45891</v>
      </c>
      <c r="AA72" s="2">
        <f>IFERROR(
  IF(ISNUMBER(C72),C72,
    IF(ISNUMBER(SEARCH("-",C72)*1),
      IF(LEN(LEFT(C72,FIND("-",C72)-1))=4,
        DATE(VALUE(LEFT(C72,4)),VALUE(MID(C72,6,2)),VALUE(RIGHT(C72,2))),
        DATE(VALUE(RIGHT(C72,4)),VALUE(MID(C72,4,2)),VALUE(LEFT(C72,2)))
      ),
      IF(ISNUMBER(SEARCH("/",C72)*1),
        DATE(VALUE(RIGHT(C72,4)),VALUE(LEFT(C72,2)),VALUE(MID(C72,4,2))),
        DATEVALUE(C72)
      )
    )
  ),
"INVALID_DATE")</f>
        <v>45896</v>
      </c>
      <c r="AB72">
        <f t="shared" si="9"/>
        <v>5</v>
      </c>
      <c r="AC72" t="str">
        <f t="shared" si="10"/>
        <v>August</v>
      </c>
      <c r="AD72">
        <f t="shared" si="11"/>
        <v>2025</v>
      </c>
    </row>
    <row r="73" spans="1:30">
      <c r="A73" t="s">
        <v>466</v>
      </c>
      <c r="B73" t="s">
        <v>98</v>
      </c>
      <c r="C73" t="s">
        <v>467</v>
      </c>
      <c r="D73" t="s">
        <v>468</v>
      </c>
      <c r="E73" t="s">
        <v>47</v>
      </c>
      <c r="F73" t="s">
        <v>48</v>
      </c>
      <c r="G73" t="s">
        <v>80</v>
      </c>
      <c r="H73" t="s">
        <v>256</v>
      </c>
      <c r="I73" t="s">
        <v>257</v>
      </c>
      <c r="J73" t="s">
        <v>93</v>
      </c>
      <c r="K73" t="s">
        <v>390</v>
      </c>
      <c r="L73" t="s">
        <v>469</v>
      </c>
      <c r="M73" t="s">
        <v>74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41</v>
      </c>
      <c r="U73" t="s">
        <v>42</v>
      </c>
      <c r="V73">
        <f t="shared" si="6"/>
        <v>10947.528</v>
      </c>
      <c r="W73">
        <f t="shared" si="7"/>
        <v>4500.170000000001</v>
      </c>
      <c r="X73">
        <f t="shared" si="8"/>
        <v>0.41106715396075644</v>
      </c>
      <c r="Y73" t="str">
        <f>_xlfn.TEXTJOIN(", ",TRUE,IF(G73="Unknown","Missing Region",""),IF(M73="Unknown","Missing Ship Mode",""),IF(P73&lt;0,"Negative Discount",""),IF(P73&gt;0.7,"High Discount",""),IF(C73&lt;B73,"Ship Before Order",""))</f>
        <v/>
      </c>
      <c r="Z73" s="2">
        <f>IFERROR(
  IF(ISNUMBER(B73),B73,
    IF(ISNUMBER(SEARCH("-",B73)*1),
      IF(LEN(LEFT(B73,FIND("-",B73)-1))=4,
        DATE(VALUE(LEFT(B73,4)),VALUE(MID(B73,6,2)),VALUE(RIGHT(B73,2))),
        DATE(VALUE(RIGHT(B73,4)),VALUE(MID(B73,4,2)),VALUE(LEFT(B73,2)))
      ),
      IF(ISNUMBER(SEARCH("/",B73)*1),
        DATE(VALUE(RIGHT(B73,4)),VALUE(LEFT(B73,2)),VALUE(MID(B73,4,2))),
        DATEVALUE(B73)
      )
    )
  ),
"INVALID_DATE")</f>
        <v>45763</v>
      </c>
      <c r="AA73" s="2">
        <f>IFERROR(
  IF(ISNUMBER(C73),C73,
    IF(ISNUMBER(SEARCH("-",C73)*1),
      IF(LEN(LEFT(C73,FIND("-",C73)-1))=4,
        DATE(VALUE(LEFT(C73,4)),VALUE(MID(C73,6,2)),VALUE(RIGHT(C73,2))),
        DATE(VALUE(RIGHT(C73,4)),VALUE(MID(C73,4,2)),VALUE(LEFT(C73,2)))
      ),
      IF(ISNUMBER(SEARCH("/",C73)*1),
        DATE(VALUE(RIGHT(C73,4)),VALUE(LEFT(C73,2)),VALUE(MID(C73,4,2))),
        DATEVALUE(C73)
      )
    )
  ),
"INVALID_DATE")</f>
        <v>45770</v>
      </c>
      <c r="AB73">
        <f t="shared" si="9"/>
        <v>7</v>
      </c>
      <c r="AC73" t="str">
        <f t="shared" si="10"/>
        <v>April</v>
      </c>
      <c r="AD73">
        <f t="shared" si="11"/>
        <v>2025</v>
      </c>
    </row>
    <row r="74" spans="1:30">
      <c r="A74" t="s">
        <v>470</v>
      </c>
      <c r="B74" t="s">
        <v>471</v>
      </c>
      <c r="C74" t="s">
        <v>472</v>
      </c>
      <c r="D74" t="s">
        <v>473</v>
      </c>
      <c r="E74" t="s">
        <v>32</v>
      </c>
      <c r="F74" t="s">
        <v>122</v>
      </c>
      <c r="G74" t="s">
        <v>69</v>
      </c>
      <c r="H74" t="s">
        <v>347</v>
      </c>
      <c r="I74" t="s">
        <v>348</v>
      </c>
      <c r="J74" t="s">
        <v>52</v>
      </c>
      <c r="K74" t="s">
        <v>53</v>
      </c>
      <c r="L74" t="s">
        <v>474</v>
      </c>
      <c r="M74" t="s">
        <v>63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41</v>
      </c>
      <c r="U74" t="s">
        <v>42</v>
      </c>
      <c r="V74">
        <f t="shared" si="6"/>
        <v>13610.446499999998</v>
      </c>
      <c r="W74">
        <f t="shared" si="7"/>
        <v>3571.4000000000015</v>
      </c>
      <c r="X74">
        <f t="shared" si="8"/>
        <v>0.26240131663537941</v>
      </c>
      <c r="Y74" t="str">
        <f>_xlfn.TEXTJOIN(", ",TRUE,IF(G74="Unknown","Missing Region",""),IF(M74="Unknown","Missing Ship Mode",""),IF(P74&lt;0,"Negative Discount",""),IF(P74&gt;0.7,"High Discount",""),IF(C74&lt;B74,"Ship Before Order",""))</f>
        <v>Ship Before Order</v>
      </c>
      <c r="Z74" s="2">
        <f>IFERROR(
  IF(ISNUMBER(B74),B74,
    IF(ISNUMBER(SEARCH("-",B74)*1),
      IF(LEN(LEFT(B74,FIND("-",B74)-1))=4,
        DATE(VALUE(LEFT(B74,4)),VALUE(MID(B74,6,2)),VALUE(RIGHT(B74,2))),
        DATE(VALUE(RIGHT(B74,4)),VALUE(MID(B74,4,2)),VALUE(LEFT(B74,2)))
      ),
      IF(ISNUMBER(SEARCH("/",B74)*1),
        DATE(VALUE(RIGHT(B74,4)),VALUE(LEFT(B74,2)),VALUE(MID(B74,4,2))),
        DATEVALUE(B74)
      )
    )
  ),
"INVALID_DATE")</f>
        <v>45333</v>
      </c>
      <c r="AA74" s="2">
        <f>IFERROR(
  IF(ISNUMBER(C74),C74,
    IF(ISNUMBER(SEARCH("-",C74)*1),
      IF(LEN(LEFT(C74,FIND("-",C74)-1))=4,
        DATE(VALUE(LEFT(C74,4)),VALUE(MID(C74,6,2)),VALUE(RIGHT(C74,2))),
        DATE(VALUE(RIGHT(C74,4)),VALUE(MID(C74,4,2)),VALUE(LEFT(C74,2)))
      ),
      IF(ISNUMBER(SEARCH("/",C74)*1),
        DATE(VALUE(RIGHT(C74,4)),VALUE(LEFT(C74,2)),VALUE(MID(C74,4,2))),
        DATEVALUE(C74)
      )
    )
  ),
"INVALID_DATE")</f>
        <v>45329</v>
      </c>
      <c r="AB74">
        <f t="shared" si="9"/>
        <v>-4</v>
      </c>
      <c r="AC74" t="str">
        <f t="shared" si="10"/>
        <v>February</v>
      </c>
      <c r="AD74">
        <f t="shared" si="11"/>
        <v>2024</v>
      </c>
    </row>
    <row r="75" spans="1:30">
      <c r="A75" t="s">
        <v>475</v>
      </c>
      <c r="B75" t="s">
        <v>476</v>
      </c>
      <c r="C75" t="s">
        <v>477</v>
      </c>
      <c r="D75" t="s">
        <v>478</v>
      </c>
      <c r="E75" t="s">
        <v>175</v>
      </c>
      <c r="F75" t="s">
        <v>115</v>
      </c>
      <c r="G75" t="s">
        <v>49</v>
      </c>
      <c r="H75" t="s">
        <v>128</v>
      </c>
      <c r="I75" t="s">
        <v>129</v>
      </c>
      <c r="J75" t="s">
        <v>52</v>
      </c>
      <c r="K75" t="s">
        <v>211</v>
      </c>
      <c r="L75" t="s">
        <v>479</v>
      </c>
      <c r="M75" t="s">
        <v>63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41</v>
      </c>
      <c r="U75" t="s">
        <v>42</v>
      </c>
      <c r="V75">
        <f t="shared" si="6"/>
        <v>7128.7</v>
      </c>
      <c r="W75">
        <f t="shared" si="7"/>
        <v>2746.55</v>
      </c>
      <c r="X75">
        <f t="shared" si="8"/>
        <v>0.38528062620113068</v>
      </c>
      <c r="Y75" t="str">
        <f>_xlfn.TEXTJOIN(", ",TRUE,IF(G75="Unknown","Missing Region",""),IF(M75="Unknown","Missing Ship Mode",""),IF(P75&lt;0,"Negative Discount",""),IF(P75&gt;0.7,"High Discount",""),IF(C75&lt;B75,"Ship Before Order",""))</f>
        <v>Ship Before Order</v>
      </c>
      <c r="Z75" s="2">
        <f>IFERROR(
  IF(ISNUMBER(B75),B75,
    IF(ISNUMBER(SEARCH("-",B75)*1),
      IF(LEN(LEFT(B75,FIND("-",B75)-1))=4,
        DATE(VALUE(LEFT(B75,4)),VALUE(MID(B75,6,2)),VALUE(RIGHT(B75,2))),
        DATE(VALUE(RIGHT(B75,4)),VALUE(MID(B75,4,2)),VALUE(LEFT(B75,2)))
      ),
      IF(ISNUMBER(SEARCH("/",B75)*1),
        DATE(VALUE(RIGHT(B75,4)),VALUE(LEFT(B75,2)),VALUE(MID(B75,4,2))),
        DATEVALUE(B75)
      )
    )
  ),
"INVALID_DATE")</f>
        <v>45745</v>
      </c>
      <c r="AA75" s="2">
        <f>IFERROR(
  IF(ISNUMBER(C75),C75,
    IF(ISNUMBER(SEARCH("-",C75)*1),
      IF(LEN(LEFT(C75,FIND("-",C75)-1))=4,
        DATE(VALUE(LEFT(C75,4)),VALUE(MID(C75,6,2)),VALUE(RIGHT(C75,2))),
        DATE(VALUE(RIGHT(C75,4)),VALUE(MID(C75,4,2)),VALUE(LEFT(C75,2)))
      ),
      IF(ISNUMBER(SEARCH("/",C75)*1),
        DATE(VALUE(RIGHT(C75,4)),VALUE(LEFT(C75,2)),VALUE(MID(C75,4,2))),
        DATEVALUE(C75)
      )
    )
  ),
"INVALID_DATE")</f>
        <v>45750</v>
      </c>
      <c r="AB75">
        <f t="shared" si="9"/>
        <v>5</v>
      </c>
      <c r="AC75" t="str">
        <f t="shared" si="10"/>
        <v>March</v>
      </c>
      <c r="AD75">
        <f t="shared" si="11"/>
        <v>2025</v>
      </c>
    </row>
    <row r="76" spans="1:30">
      <c r="A76" t="s">
        <v>480</v>
      </c>
      <c r="B76" t="s">
        <v>481</v>
      </c>
      <c r="C76" t="s">
        <v>482</v>
      </c>
      <c r="D76" t="s">
        <v>483</v>
      </c>
      <c r="E76" t="s">
        <v>90</v>
      </c>
      <c r="F76" t="s">
        <v>48</v>
      </c>
      <c r="G76" t="s">
        <v>49</v>
      </c>
      <c r="H76" t="s">
        <v>128</v>
      </c>
      <c r="I76" t="s">
        <v>129</v>
      </c>
      <c r="J76" t="s">
        <v>52</v>
      </c>
      <c r="K76" t="s">
        <v>83</v>
      </c>
      <c r="L76" t="s">
        <v>484</v>
      </c>
      <c r="M76" t="s">
        <v>74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41</v>
      </c>
      <c r="U76" t="s">
        <v>42</v>
      </c>
      <c r="V76">
        <f t="shared" si="6"/>
        <v>3309.84</v>
      </c>
      <c r="W76">
        <f t="shared" si="7"/>
        <v>638.76000000000022</v>
      </c>
      <c r="X76">
        <f t="shared" si="8"/>
        <v>0.19298818069755636</v>
      </c>
      <c r="Y76" t="str">
        <f>_xlfn.TEXTJOIN(", ",TRUE,IF(G76="Unknown","Missing Region",""),IF(M76="Unknown","Missing Ship Mode",""),IF(P76&lt;0,"Negative Discount",""),IF(P76&gt;0.7,"High Discount",""),IF(C76&lt;B76,"Ship Before Order",""))</f>
        <v/>
      </c>
      <c r="Z76" s="2">
        <f>IFERROR(
  IF(ISNUMBER(B76),B76,
    IF(ISNUMBER(SEARCH("-",B76)*1),
      IF(LEN(LEFT(B76,FIND("-",B76)-1))=4,
        DATE(VALUE(LEFT(B76,4)),VALUE(MID(B76,6,2)),VALUE(RIGHT(B76,2))),
        DATE(VALUE(RIGHT(B76,4)),VALUE(MID(B76,4,2)),VALUE(LEFT(B76,2)))
      ),
      IF(ISNUMBER(SEARCH("/",B76)*1),
        DATE(VALUE(RIGHT(B76,4)),VALUE(LEFT(B76,2)),VALUE(MID(B76,4,2))),
        DATEVALUE(B76)
      )
    )
  ),
"INVALID_DATE")</f>
        <v>45715</v>
      </c>
      <c r="AA76" s="2">
        <f>IFERROR(
  IF(ISNUMBER(C76),C76,
    IF(ISNUMBER(SEARCH("-",C76)*1),
      IF(LEN(LEFT(C76,FIND("-",C76)-1))=4,
        DATE(VALUE(LEFT(C76,4)),VALUE(MID(C76,6,2)),VALUE(RIGHT(C76,2))),
        DATE(VALUE(RIGHT(C76,4)),VALUE(MID(C76,4,2)),VALUE(LEFT(C76,2)))
      ),
      IF(ISNUMBER(SEARCH("/",C76)*1),
        DATE(VALUE(RIGHT(C76,4)),VALUE(LEFT(C76,2)),VALUE(MID(C76,4,2))),
        DATEVALUE(C76)
      )
    )
  ),
"INVALID_DATE")</f>
        <v>45717</v>
      </c>
      <c r="AB76">
        <f t="shared" si="9"/>
        <v>2</v>
      </c>
      <c r="AC76" t="str">
        <f t="shared" si="10"/>
        <v>February</v>
      </c>
      <c r="AD76">
        <f t="shared" si="11"/>
        <v>2025</v>
      </c>
    </row>
    <row r="77" spans="1:30">
      <c r="A77" t="s">
        <v>485</v>
      </c>
      <c r="B77" t="s">
        <v>486</v>
      </c>
      <c r="C77" t="s">
        <v>487</v>
      </c>
      <c r="D77" t="s">
        <v>488</v>
      </c>
      <c r="E77" t="s">
        <v>149</v>
      </c>
      <c r="F77" t="s">
        <v>48</v>
      </c>
      <c r="G77" t="s">
        <v>49</v>
      </c>
      <c r="H77" t="s">
        <v>50</v>
      </c>
      <c r="I77" t="s">
        <v>51</v>
      </c>
      <c r="J77" t="s">
        <v>37</v>
      </c>
      <c r="K77" t="s">
        <v>116</v>
      </c>
      <c r="L77" t="s">
        <v>489</v>
      </c>
      <c r="M77" t="s">
        <v>63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41</v>
      </c>
      <c r="U77" t="s">
        <v>42</v>
      </c>
      <c r="V77">
        <f t="shared" si="6"/>
        <v>7907.5680000000011</v>
      </c>
      <c r="W77">
        <f t="shared" si="7"/>
        <v>2516.3899999999994</v>
      </c>
      <c r="X77">
        <f t="shared" si="8"/>
        <v>0.3182254472612952</v>
      </c>
      <c r="Y77" t="str">
        <f>_xlfn.TEXTJOIN(", ",TRUE,IF(G77="Unknown","Missing Region",""),IF(M77="Unknown","Missing Ship Mode",""),IF(P77&lt;0,"Negative Discount",""),IF(P77&gt;0.7,"High Discount",""),IF(C77&lt;B77,"Ship Before Order",""))</f>
        <v>Ship Before Order</v>
      </c>
      <c r="Z77" s="2">
        <f>IFERROR(
  IF(ISNUMBER(B77),B77,
    IF(ISNUMBER(SEARCH("-",B77)*1),
      IF(LEN(LEFT(B77,FIND("-",B77)-1))=4,
        DATE(VALUE(LEFT(B77,4)),VALUE(MID(B77,6,2)),VALUE(RIGHT(B77,2))),
        DATE(VALUE(RIGHT(B77,4)),VALUE(MID(B77,4,2)),VALUE(LEFT(B77,2)))
      ),
      IF(ISNUMBER(SEARCH("/",B77)*1),
        DATE(VALUE(RIGHT(B77,4)),VALUE(LEFT(B77,2)),VALUE(MID(B77,4,2))),
        DATEVALUE(B77)
      )
    )
  ),
"INVALID_DATE")</f>
        <v>45891</v>
      </c>
      <c r="AA77" s="2">
        <f>IFERROR(
  IF(ISNUMBER(C77),C77,
    IF(ISNUMBER(SEARCH("-",C77)*1),
      IF(LEN(LEFT(C77,FIND("-",C77)-1))=4,
        DATE(VALUE(LEFT(C77,4)),VALUE(MID(C77,6,2)),VALUE(RIGHT(C77,2))),
        DATE(VALUE(RIGHT(C77,4)),VALUE(MID(C77,4,2)),VALUE(LEFT(C77,2)))
      ),
      IF(ISNUMBER(SEARCH("/",C77)*1),
        DATE(VALUE(RIGHT(C77,4)),VALUE(LEFT(C77,2)),VALUE(MID(C77,4,2))),
        DATEVALUE(C77)
      )
    )
  ),
"INVALID_DATE")</f>
        <v>45896</v>
      </c>
      <c r="AB77">
        <f t="shared" si="9"/>
        <v>5</v>
      </c>
      <c r="AC77" t="str">
        <f t="shared" si="10"/>
        <v>August</v>
      </c>
      <c r="AD77">
        <f t="shared" si="11"/>
        <v>2025</v>
      </c>
    </row>
    <row r="78" spans="1:30">
      <c r="A78" t="s">
        <v>490</v>
      </c>
      <c r="B78" t="s">
        <v>491</v>
      </c>
      <c r="C78" t="s">
        <v>492</v>
      </c>
      <c r="D78" t="s">
        <v>493</v>
      </c>
      <c r="E78" t="s">
        <v>79</v>
      </c>
      <c r="F78" t="s">
        <v>115</v>
      </c>
      <c r="G78" t="s">
        <v>49</v>
      </c>
      <c r="H78" t="s">
        <v>319</v>
      </c>
      <c r="I78" t="s">
        <v>320</v>
      </c>
      <c r="J78" t="s">
        <v>37</v>
      </c>
      <c r="K78" t="s">
        <v>116</v>
      </c>
      <c r="L78" t="s">
        <v>494</v>
      </c>
      <c r="M78" t="s">
        <v>40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41</v>
      </c>
      <c r="U78" t="s">
        <v>42</v>
      </c>
      <c r="V78">
        <f t="shared" si="6"/>
        <v>10218.81</v>
      </c>
      <c r="W78">
        <f t="shared" si="7"/>
        <v>2601.8399999999992</v>
      </c>
      <c r="X78">
        <f t="shared" si="8"/>
        <v>0.25461281695226745</v>
      </c>
      <c r="Y78" t="str">
        <f>_xlfn.TEXTJOIN(", ",TRUE,IF(G78="Unknown","Missing Region",""),IF(M78="Unknown","Missing Ship Mode",""),IF(P78&lt;0,"Negative Discount",""),IF(P78&gt;0.7,"High Discount",""),IF(C78&lt;B78,"Ship Before Order",""))</f>
        <v/>
      </c>
      <c r="Z78" s="2">
        <f>IFERROR(
  IF(ISNUMBER(B78),B78,
    IF(ISNUMBER(SEARCH("-",B78)*1),
      IF(LEN(LEFT(B78,FIND("-",B78)-1))=4,
        DATE(VALUE(LEFT(B78,4)),VALUE(MID(B78,6,2)),VALUE(RIGHT(B78,2))),
        DATE(VALUE(RIGHT(B78,4)),VALUE(MID(B78,4,2)),VALUE(LEFT(B78,2)))
      ),
      IF(ISNUMBER(SEARCH("/",B78)*1),
        DATE(VALUE(RIGHT(B78,4)),VALUE(LEFT(B78,2)),VALUE(MID(B78,4,2))),
        DATEVALUE(B78)
      )
    )
  ),
"INVALID_DATE")</f>
        <v>45599</v>
      </c>
      <c r="AA78" s="2">
        <f>IFERROR(
  IF(ISNUMBER(C78),C78,
    IF(ISNUMBER(SEARCH("-",C78)*1),
      IF(LEN(LEFT(C78,FIND("-",C78)-1))=4,
        DATE(VALUE(LEFT(C78,4)),VALUE(MID(C78,6,2)),VALUE(RIGHT(C78,2))),
        DATE(VALUE(RIGHT(C78,4)),VALUE(MID(C78,4,2)),VALUE(LEFT(C78,2)))
      ),
      IF(ISNUMBER(SEARCH("/",C78)*1),
        DATE(VALUE(RIGHT(C78,4)),VALUE(LEFT(C78,2)),VALUE(MID(C78,4,2))),
        DATEVALUE(C78)
      )
    )
  ),
"INVALID_DATE")</f>
        <v>45607</v>
      </c>
      <c r="AB78">
        <f t="shared" si="9"/>
        <v>8</v>
      </c>
      <c r="AC78" t="str">
        <f t="shared" si="10"/>
        <v>November</v>
      </c>
      <c r="AD78">
        <f t="shared" si="11"/>
        <v>2024</v>
      </c>
    </row>
    <row r="79" spans="1:30">
      <c r="A79" t="s">
        <v>495</v>
      </c>
      <c r="B79" t="s">
        <v>496</v>
      </c>
      <c r="C79" t="s">
        <v>497</v>
      </c>
      <c r="D79" t="s">
        <v>498</v>
      </c>
      <c r="E79" t="s">
        <v>187</v>
      </c>
      <c r="F79" t="s">
        <v>122</v>
      </c>
      <c r="G79" t="s">
        <v>34</v>
      </c>
      <c r="H79" t="s">
        <v>181</v>
      </c>
      <c r="I79" t="s">
        <v>182</v>
      </c>
      <c r="J79" t="s">
        <v>52</v>
      </c>
      <c r="K79" t="s">
        <v>72</v>
      </c>
      <c r="L79" t="s">
        <v>499</v>
      </c>
      <c r="M79" t="s">
        <v>74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131</v>
      </c>
      <c r="U79" t="s">
        <v>85</v>
      </c>
      <c r="V79">
        <f t="shared" si="6"/>
        <v>2194.87</v>
      </c>
      <c r="W79">
        <f t="shared" si="7"/>
        <v>971.69999999999982</v>
      </c>
      <c r="X79">
        <f t="shared" si="8"/>
        <v>0.44271414707932594</v>
      </c>
      <c r="Y79" t="str">
        <f>_xlfn.TEXTJOIN(", ",TRUE,IF(G79="Unknown","Missing Region",""),IF(M79="Unknown","Missing Ship Mode",""),IF(P79&lt;0,"Negative Discount",""),IF(P79&gt;0.7,"High Discount",""),IF(C79&lt;B79,"Ship Before Order",""))</f>
        <v/>
      </c>
      <c r="Z79" s="2">
        <f>IFERROR(
  IF(ISNUMBER(B79),B79,
    IF(ISNUMBER(SEARCH("-",B79)*1),
      IF(LEN(LEFT(B79,FIND("-",B79)-1))=4,
        DATE(VALUE(LEFT(B79,4)),VALUE(MID(B79,6,2)),VALUE(RIGHT(B79,2))),
        DATE(VALUE(RIGHT(B79,4)),VALUE(MID(B79,4,2)),VALUE(LEFT(B79,2)))
      ),
      IF(ISNUMBER(SEARCH("/",B79)*1),
        DATE(VALUE(RIGHT(B79,4)),VALUE(LEFT(B79,2)),VALUE(MID(B79,4,2))),
        DATEVALUE(B79)
      )
    )
  ),
"INVALID_DATE")</f>
        <v>45846</v>
      </c>
      <c r="AA79" s="2">
        <f>IFERROR(
  IF(ISNUMBER(C79),C79,
    IF(ISNUMBER(SEARCH("-",C79)*1),
      IF(LEN(LEFT(C79,FIND("-",C79)-1))=4,
        DATE(VALUE(LEFT(C79,4)),VALUE(MID(C79,6,2)),VALUE(RIGHT(C79,2))),
        DATE(VALUE(RIGHT(C79,4)),VALUE(MID(C79,4,2)),VALUE(LEFT(C79,2)))
      ),
      IF(ISNUMBER(SEARCH("/",C79)*1),
        DATE(VALUE(RIGHT(C79,4)),VALUE(LEFT(C79,2)),VALUE(MID(C79,4,2))),
        DATEVALUE(C79)
      )
    )
  ),
"INVALID_DATE")</f>
        <v>45850</v>
      </c>
      <c r="AB79">
        <f t="shared" si="9"/>
        <v>4</v>
      </c>
      <c r="AC79" t="str">
        <f t="shared" si="10"/>
        <v>July</v>
      </c>
      <c r="AD79">
        <f t="shared" si="11"/>
        <v>2025</v>
      </c>
    </row>
    <row r="80" spans="1:30">
      <c r="A80" t="s">
        <v>500</v>
      </c>
      <c r="B80" t="s">
        <v>501</v>
      </c>
      <c r="C80" t="s">
        <v>502</v>
      </c>
      <c r="D80" t="s">
        <v>503</v>
      </c>
      <c r="E80" t="s">
        <v>175</v>
      </c>
      <c r="F80" t="s">
        <v>115</v>
      </c>
      <c r="G80" t="s">
        <v>49</v>
      </c>
      <c r="H80" t="s">
        <v>128</v>
      </c>
      <c r="I80" t="s">
        <v>129</v>
      </c>
      <c r="J80" t="s">
        <v>52</v>
      </c>
      <c r="K80" t="s">
        <v>53</v>
      </c>
      <c r="L80" t="s">
        <v>504</v>
      </c>
      <c r="M80" t="s">
        <v>63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41</v>
      </c>
      <c r="U80" t="s">
        <v>42</v>
      </c>
      <c r="V80">
        <f t="shared" si="6"/>
        <v>9050.4175000000014</v>
      </c>
      <c r="W80">
        <f t="shared" si="7"/>
        <v>2271.5699999999997</v>
      </c>
      <c r="X80">
        <f t="shared" si="8"/>
        <v>0.25099056176398443</v>
      </c>
      <c r="Y80" t="str">
        <f>_xlfn.TEXTJOIN(", ",TRUE,IF(G80="Unknown","Missing Region",""),IF(M80="Unknown","Missing Ship Mode",""),IF(P80&lt;0,"Negative Discount",""),IF(P80&gt;0.7,"High Discount",""),IF(C80&lt;B80,"Ship Before Order",""))</f>
        <v/>
      </c>
      <c r="Z80" s="2">
        <f>IFERROR(
  IF(ISNUMBER(B80),B80,
    IF(ISNUMBER(SEARCH("-",B80)*1),
      IF(LEN(LEFT(B80,FIND("-",B80)-1))=4,
        DATE(VALUE(LEFT(B80,4)),VALUE(MID(B80,6,2)),VALUE(RIGHT(B80,2))),
        DATE(VALUE(RIGHT(B80,4)),VALUE(MID(B80,4,2)),VALUE(LEFT(B80,2)))
      ),
      IF(ISNUMBER(SEARCH("/",B80)*1),
        DATE(VALUE(RIGHT(B80,4)),VALUE(LEFT(B80,2)),VALUE(MID(B80,4,2))),
        DATEVALUE(B80)
      )
    )
  ),
"INVALID_DATE")</f>
        <v>45854</v>
      </c>
      <c r="AA80" s="2">
        <f>IFERROR(
  IF(ISNUMBER(C80),C80,
    IF(ISNUMBER(SEARCH("-",C80)*1),
      IF(LEN(LEFT(C80,FIND("-",C80)-1))=4,
        DATE(VALUE(LEFT(C80,4)),VALUE(MID(C80,6,2)),VALUE(RIGHT(C80,2))),
        DATE(VALUE(RIGHT(C80,4)),VALUE(MID(C80,4,2)),VALUE(LEFT(C80,2)))
      ),
      IF(ISNUMBER(SEARCH("/",C80)*1),
        DATE(VALUE(RIGHT(C80,4)),VALUE(LEFT(C80,2)),VALUE(MID(C80,4,2))),
        DATEVALUE(C80)
      )
    )
  ),
"INVALID_DATE")</f>
        <v>45859</v>
      </c>
      <c r="AB80">
        <f t="shared" si="9"/>
        <v>5</v>
      </c>
      <c r="AC80" t="str">
        <f t="shared" si="10"/>
        <v>July</v>
      </c>
      <c r="AD80">
        <f t="shared" si="11"/>
        <v>2025</v>
      </c>
    </row>
    <row r="81" spans="1:30">
      <c r="A81" t="s">
        <v>505</v>
      </c>
      <c r="B81" t="s">
        <v>506</v>
      </c>
      <c r="C81" t="s">
        <v>507</v>
      </c>
      <c r="D81" t="s">
        <v>508</v>
      </c>
      <c r="E81" t="s">
        <v>217</v>
      </c>
      <c r="F81" t="s">
        <v>122</v>
      </c>
      <c r="G81" t="s">
        <v>69</v>
      </c>
      <c r="H81" t="s">
        <v>347</v>
      </c>
      <c r="I81" t="s">
        <v>348</v>
      </c>
      <c r="J81" t="s">
        <v>52</v>
      </c>
      <c r="K81" t="s">
        <v>83</v>
      </c>
      <c r="L81" t="s">
        <v>509</v>
      </c>
      <c r="M81" t="s">
        <v>55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41</v>
      </c>
      <c r="U81" t="s">
        <v>42</v>
      </c>
      <c r="V81">
        <f t="shared" si="6"/>
        <v>33465.312000000005</v>
      </c>
      <c r="W81">
        <f t="shared" si="7"/>
        <v>8684.0499999999993</v>
      </c>
      <c r="X81">
        <f t="shared" si="8"/>
        <v>0.25949408506898636</v>
      </c>
      <c r="Y81" t="str">
        <f>_xlfn.TEXTJOIN(", ",TRUE,IF(G81="Unknown","Missing Region",""),IF(M81="Unknown","Missing Ship Mode",""),IF(P81&lt;0,"Negative Discount",""),IF(P81&gt;0.7,"High Discount",""),IF(C81&lt;B81,"Ship Before Order",""))</f>
        <v/>
      </c>
      <c r="Z81" s="2">
        <f>IFERROR(
  IF(ISNUMBER(B81),B81,
    IF(ISNUMBER(SEARCH("-",B81)*1),
      IF(LEN(LEFT(B81,FIND("-",B81)-1))=4,
        DATE(VALUE(LEFT(B81,4)),VALUE(MID(B81,6,2)),VALUE(RIGHT(B81,2))),
        DATE(VALUE(RIGHT(B81,4)),VALUE(MID(B81,4,2)),VALUE(LEFT(B81,2)))
      ),
      IF(ISNUMBER(SEARCH("/",B81)*1),
        DATE(VALUE(RIGHT(B81,4)),VALUE(LEFT(B81,2)),VALUE(MID(B81,4,2))),
        DATEVALUE(B81)
      )
    )
  ),
"INVALID_DATE")</f>
        <v>45927</v>
      </c>
      <c r="AA81" s="2">
        <f>IFERROR(
  IF(ISNUMBER(C81),C81,
    IF(ISNUMBER(SEARCH("-",C81)*1),
      IF(LEN(LEFT(C81,FIND("-",C81)-1))=4,
        DATE(VALUE(LEFT(C81,4)),VALUE(MID(C81,6,2)),VALUE(RIGHT(C81,2))),
        DATE(VALUE(RIGHT(C81,4)),VALUE(MID(C81,4,2)),VALUE(LEFT(C81,2)))
      ),
      IF(ISNUMBER(SEARCH("/",C81)*1),
        DATE(VALUE(RIGHT(C81,4)),VALUE(LEFT(C81,2)),VALUE(MID(C81,4,2))),
        DATEVALUE(C81)
      )
    )
  ),
"INVALID_DATE")</f>
        <v>45933</v>
      </c>
      <c r="AB81">
        <f t="shared" si="9"/>
        <v>6</v>
      </c>
      <c r="AC81" t="str">
        <f t="shared" si="10"/>
        <v>September</v>
      </c>
      <c r="AD81">
        <f t="shared" si="11"/>
        <v>2025</v>
      </c>
    </row>
    <row r="82" spans="1:30">
      <c r="A82" t="s">
        <v>510</v>
      </c>
      <c r="B82" t="s">
        <v>511</v>
      </c>
      <c r="C82" t="s">
        <v>512</v>
      </c>
      <c r="D82" t="s">
        <v>513</v>
      </c>
      <c r="E82" t="s">
        <v>169</v>
      </c>
      <c r="F82" t="s">
        <v>48</v>
      </c>
      <c r="G82" t="s">
        <v>34</v>
      </c>
      <c r="H82" t="s">
        <v>514</v>
      </c>
      <c r="I82" t="s">
        <v>515</v>
      </c>
      <c r="J82" t="s">
        <v>37</v>
      </c>
      <c r="K82" t="s">
        <v>163</v>
      </c>
      <c r="L82" t="s">
        <v>516</v>
      </c>
      <c r="M82" t="s">
        <v>40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144</v>
      </c>
      <c r="U82" t="s">
        <v>132</v>
      </c>
      <c r="V82">
        <f t="shared" si="6"/>
        <v>4256.3519999999999</v>
      </c>
      <c r="W82">
        <f t="shared" si="7"/>
        <v>1761.0200000000004</v>
      </c>
      <c r="X82">
        <f t="shared" si="8"/>
        <v>0.41373947161300173</v>
      </c>
      <c r="Y82" t="str">
        <f>_xlfn.TEXTJOIN(", ",TRUE,IF(G82="Unknown","Missing Region",""),IF(M82="Unknown","Missing Ship Mode",""),IF(P82&lt;0,"Negative Discount",""),IF(P82&gt;0.7,"High Discount",""),IF(C82&lt;B82,"Ship Before Order",""))</f>
        <v/>
      </c>
      <c r="Z82" s="2">
        <f>IFERROR(
  IF(ISNUMBER(B82),B82,
    IF(ISNUMBER(SEARCH("-",B82)*1),
      IF(LEN(LEFT(B82,FIND("-",B82)-1))=4,
        DATE(VALUE(LEFT(B82,4)),VALUE(MID(B82,6,2)),VALUE(RIGHT(B82,2))),
        DATE(VALUE(RIGHT(B82,4)),VALUE(MID(B82,4,2)),VALUE(LEFT(B82,2)))
      ),
      IF(ISNUMBER(SEARCH("/",B82)*1),
        DATE(VALUE(RIGHT(B82,4)),VALUE(LEFT(B82,2)),VALUE(MID(B82,4,2))),
        DATEVALUE(B82)
      )
    )
  ),
"INVALID_DATE")</f>
        <v>45514</v>
      </c>
      <c r="AA82" s="2">
        <f>IFERROR(
  IF(ISNUMBER(C82),C82,
    IF(ISNUMBER(SEARCH("-",C82)*1),
      IF(LEN(LEFT(C82,FIND("-",C82)-1))=4,
        DATE(VALUE(LEFT(C82,4)),VALUE(MID(C82,6,2)),VALUE(RIGHT(C82,2))),
        DATE(VALUE(RIGHT(C82,4)),VALUE(MID(C82,4,2)),VALUE(LEFT(C82,2)))
      ),
      IF(ISNUMBER(SEARCH("/",C82)*1),
        DATE(VALUE(RIGHT(C82,4)),VALUE(LEFT(C82,2)),VALUE(MID(C82,4,2))),
        DATEVALUE(C82)
      )
    )
  ),
"INVALID_DATE")</f>
        <v>45518</v>
      </c>
      <c r="AB82">
        <f t="shared" si="9"/>
        <v>4</v>
      </c>
      <c r="AC82" t="str">
        <f t="shared" si="10"/>
        <v>August</v>
      </c>
      <c r="AD82">
        <f t="shared" si="11"/>
        <v>2024</v>
      </c>
    </row>
    <row r="83" spans="1:30">
      <c r="A83" t="s">
        <v>517</v>
      </c>
      <c r="B83" t="s">
        <v>518</v>
      </c>
      <c r="C83" t="s">
        <v>519</v>
      </c>
      <c r="D83" t="s">
        <v>520</v>
      </c>
      <c r="E83" t="s">
        <v>32</v>
      </c>
      <c r="F83" t="s">
        <v>122</v>
      </c>
      <c r="G83" t="s">
        <v>80</v>
      </c>
      <c r="H83" t="s">
        <v>256</v>
      </c>
      <c r="I83" t="s">
        <v>257</v>
      </c>
      <c r="J83" t="s">
        <v>37</v>
      </c>
      <c r="K83" t="s">
        <v>116</v>
      </c>
      <c r="L83" t="s">
        <v>521</v>
      </c>
      <c r="M83" t="s">
        <v>55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41</v>
      </c>
      <c r="U83" t="s">
        <v>42</v>
      </c>
      <c r="V83">
        <f t="shared" si="6"/>
        <v>5525.7300000000005</v>
      </c>
      <c r="W83">
        <f t="shared" si="7"/>
        <v>2432.3099999999995</v>
      </c>
      <c r="X83">
        <f t="shared" si="8"/>
        <v>0.44017894468242208</v>
      </c>
      <c r="Y83" t="str">
        <f>_xlfn.TEXTJOIN(", ",TRUE,IF(G83="Unknown","Missing Region",""),IF(M83="Unknown","Missing Ship Mode",""),IF(P83&lt;0,"Negative Discount",""),IF(P83&gt;0.7,"High Discount",""),IF(C83&lt;B83,"Ship Before Order",""))</f>
        <v>Ship Before Order</v>
      </c>
      <c r="Z83" s="2">
        <f>IFERROR(
  IF(ISNUMBER(B83),B83,
    IF(ISNUMBER(SEARCH("-",B83)*1),
      IF(LEN(LEFT(B83,FIND("-",B83)-1))=4,
        DATE(VALUE(LEFT(B83,4)),VALUE(MID(B83,6,2)),VALUE(RIGHT(B83,2))),
        DATE(VALUE(RIGHT(B83,4)),VALUE(MID(B83,4,2)),VALUE(LEFT(B83,2)))
      ),
      IF(ISNUMBER(SEARCH("/",B83)*1),
        DATE(VALUE(RIGHT(B83,4)),VALUE(LEFT(B83,2)),VALUE(MID(B83,4,2))),
        DATEVALUE(B83)
      )
    )
  ),
"INVALID_DATE")</f>
        <v>45732</v>
      </c>
      <c r="AA83" s="2">
        <f>IFERROR(
  IF(ISNUMBER(C83),C83,
    IF(ISNUMBER(SEARCH("-",C83)*1),
      IF(LEN(LEFT(C83,FIND("-",C83)-1))=4,
        DATE(VALUE(LEFT(C83,4)),VALUE(MID(C83,6,2)),VALUE(RIGHT(C83,2))),
        DATE(VALUE(RIGHT(C83,4)),VALUE(MID(C83,4,2)),VALUE(LEFT(C83,2)))
      ),
      IF(ISNUMBER(SEARCH("/",C83)*1),
        DATE(VALUE(RIGHT(C83,4)),VALUE(LEFT(C83,2)),VALUE(MID(C83,4,2))),
        DATEVALUE(C83)
      )
    )
  ),
"INVALID_DATE")</f>
        <v>45733</v>
      </c>
      <c r="AB83">
        <f t="shared" si="9"/>
        <v>1</v>
      </c>
      <c r="AC83" t="str">
        <f t="shared" si="10"/>
        <v>March</v>
      </c>
      <c r="AD83">
        <f t="shared" si="11"/>
        <v>2025</v>
      </c>
    </row>
    <row r="84" spans="1:30">
      <c r="A84" t="s">
        <v>522</v>
      </c>
      <c r="B84" t="s">
        <v>523</v>
      </c>
      <c r="C84" t="s">
        <v>524</v>
      </c>
      <c r="D84" t="s">
        <v>525</v>
      </c>
      <c r="E84" t="s">
        <v>68</v>
      </c>
      <c r="F84" t="s">
        <v>33</v>
      </c>
      <c r="G84" t="s">
        <v>34</v>
      </c>
      <c r="H84" t="s">
        <v>181</v>
      </c>
      <c r="I84" t="s">
        <v>182</v>
      </c>
      <c r="J84" t="s">
        <v>93</v>
      </c>
      <c r="K84" t="s">
        <v>101</v>
      </c>
      <c r="L84" t="s">
        <v>526</v>
      </c>
      <c r="M84" t="s">
        <v>40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207</v>
      </c>
      <c r="U84" t="s">
        <v>132</v>
      </c>
      <c r="V84">
        <f t="shared" si="6"/>
        <v>6010.38</v>
      </c>
      <c r="W84">
        <f t="shared" si="7"/>
        <v>2247.5300000000002</v>
      </c>
      <c r="X84">
        <f t="shared" si="8"/>
        <v>0.37394141468592673</v>
      </c>
      <c r="Y84" t="str">
        <f>_xlfn.TEXTJOIN(", ",TRUE,IF(G84="Unknown","Missing Region",""),IF(M84="Unknown","Missing Ship Mode",""),IF(P84&lt;0,"Negative Discount",""),IF(P84&gt;0.7,"High Discount",""),IF(C84&lt;B84,"Ship Before Order",""))</f>
        <v>Ship Before Order</v>
      </c>
      <c r="Z84" s="2">
        <f>IFERROR(
  IF(ISNUMBER(B84),B84,
    IF(ISNUMBER(SEARCH("-",B84)*1),
      IF(LEN(LEFT(B84,FIND("-",B84)-1))=4,
        DATE(VALUE(LEFT(B84,4)),VALUE(MID(B84,6,2)),VALUE(RIGHT(B84,2))),
        DATE(VALUE(RIGHT(B84,4)),VALUE(MID(B84,4,2)),VALUE(LEFT(B84,2)))
      ),
      IF(ISNUMBER(SEARCH("/",B84)*1),
        DATE(VALUE(RIGHT(B84,4)),VALUE(LEFT(B84,2)),VALUE(MID(B84,4,2))),
        DATEVALUE(B84)
      )
    )
  ),
"INVALID_DATE")</f>
        <v>45507</v>
      </c>
      <c r="AA84" s="2">
        <f>IFERROR(
  IF(ISNUMBER(C84),C84,
    IF(ISNUMBER(SEARCH("-",C84)*1),
      IF(LEN(LEFT(C84,FIND("-",C84)-1))=4,
        DATE(VALUE(LEFT(C84,4)),VALUE(MID(C84,6,2)),VALUE(RIGHT(C84,2))),
        DATE(VALUE(RIGHT(C84,4)),VALUE(MID(C84,4,2)),VALUE(LEFT(C84,2)))
      ),
      IF(ISNUMBER(SEARCH("/",C84)*1),
        DATE(VALUE(RIGHT(C84,4)),VALUE(LEFT(C84,2)),VALUE(MID(C84,4,2))),
        DATEVALUE(C84)
      )
    )
  ),
"INVALID_DATE")</f>
        <v>45508</v>
      </c>
      <c r="AB84">
        <f t="shared" si="9"/>
        <v>1</v>
      </c>
      <c r="AC84" t="str">
        <f t="shared" si="10"/>
        <v>August</v>
      </c>
      <c r="AD84">
        <f t="shared" si="11"/>
        <v>2024</v>
      </c>
    </row>
    <row r="85" spans="1:30">
      <c r="A85" t="s">
        <v>527</v>
      </c>
      <c r="B85" t="s">
        <v>371</v>
      </c>
      <c r="C85" t="s">
        <v>528</v>
      </c>
      <c r="D85" t="s">
        <v>529</v>
      </c>
      <c r="E85" t="s">
        <v>114</v>
      </c>
      <c r="F85" t="s">
        <v>122</v>
      </c>
      <c r="G85" t="s">
        <v>80</v>
      </c>
      <c r="H85" t="s">
        <v>81</v>
      </c>
      <c r="I85" t="s">
        <v>82</v>
      </c>
      <c r="J85" t="s">
        <v>52</v>
      </c>
      <c r="K85" t="s">
        <v>53</v>
      </c>
      <c r="L85" t="s">
        <v>530</v>
      </c>
      <c r="M85" t="s">
        <v>40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41</v>
      </c>
      <c r="U85" t="s">
        <v>42</v>
      </c>
      <c r="V85">
        <f t="shared" si="6"/>
        <v>948.52800000000013</v>
      </c>
      <c r="W85">
        <f t="shared" si="7"/>
        <v>273.90999999999997</v>
      </c>
      <c r="X85">
        <f t="shared" si="8"/>
        <v>0.28877315424920669</v>
      </c>
      <c r="Y85" t="str">
        <f>_xlfn.TEXTJOIN(", ",TRUE,IF(G85="Unknown","Missing Region",""),IF(M85="Unknown","Missing Ship Mode",""),IF(P85&lt;0,"Negative Discount",""),IF(P85&gt;0.7,"High Discount",""),IF(C85&lt;B85,"Ship Before Order",""))</f>
        <v/>
      </c>
      <c r="Z85" s="2">
        <f>IFERROR(
  IF(ISNUMBER(B85),B85,
    IF(ISNUMBER(SEARCH("-",B85)*1),
      IF(LEN(LEFT(B85,FIND("-",B85)-1))=4,
        DATE(VALUE(LEFT(B85,4)),VALUE(MID(B85,6,2)),VALUE(RIGHT(B85,2))),
        DATE(VALUE(RIGHT(B85,4)),VALUE(MID(B85,4,2)),VALUE(LEFT(B85,2)))
      ),
      IF(ISNUMBER(SEARCH("/",B85)*1),
        DATE(VALUE(RIGHT(B85,4)),VALUE(LEFT(B85,2)),VALUE(MID(B85,4,2))),
        DATEVALUE(B85)
      )
    )
  ),
"INVALID_DATE")</f>
        <v>45591</v>
      </c>
      <c r="AA85" s="2">
        <f>IFERROR(
  IF(ISNUMBER(C85),C85,
    IF(ISNUMBER(SEARCH("-",C85)*1),
      IF(LEN(LEFT(C85,FIND("-",C85)-1))=4,
        DATE(VALUE(LEFT(C85,4)),VALUE(MID(C85,6,2)),VALUE(RIGHT(C85,2))),
        DATE(VALUE(RIGHT(C85,4)),VALUE(MID(C85,4,2)),VALUE(LEFT(C85,2)))
      ),
      IF(ISNUMBER(SEARCH("/",C85)*1),
        DATE(VALUE(RIGHT(C85,4)),VALUE(LEFT(C85,2)),VALUE(MID(C85,4,2))),
        DATEVALUE(C85)
      )
    )
  ),
"INVALID_DATE")</f>
        <v>45594</v>
      </c>
      <c r="AB85">
        <f t="shared" si="9"/>
        <v>3</v>
      </c>
      <c r="AC85" t="str">
        <f t="shared" si="10"/>
        <v>October</v>
      </c>
      <c r="AD85">
        <f t="shared" si="11"/>
        <v>2024</v>
      </c>
    </row>
    <row r="86" spans="1:30">
      <c r="A86" t="s">
        <v>531</v>
      </c>
      <c r="B86" t="s">
        <v>532</v>
      </c>
      <c r="C86" t="s">
        <v>533</v>
      </c>
      <c r="D86" t="s">
        <v>534</v>
      </c>
      <c r="E86" t="s">
        <v>187</v>
      </c>
      <c r="F86" t="s">
        <v>115</v>
      </c>
      <c r="G86" t="s">
        <v>69</v>
      </c>
      <c r="H86" t="s">
        <v>347</v>
      </c>
      <c r="I86" t="s">
        <v>348</v>
      </c>
      <c r="J86" t="s">
        <v>93</v>
      </c>
      <c r="K86" t="s">
        <v>230</v>
      </c>
      <c r="L86" t="s">
        <v>535</v>
      </c>
      <c r="M86" t="s">
        <v>40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41</v>
      </c>
      <c r="U86" t="s">
        <v>42</v>
      </c>
      <c r="V86">
        <f t="shared" si="6"/>
        <v>2737.3440000000001</v>
      </c>
      <c r="W86">
        <f t="shared" si="7"/>
        <v>651.90000000000009</v>
      </c>
      <c r="X86">
        <f t="shared" si="8"/>
        <v>0.23815090562370766</v>
      </c>
      <c r="Y86" t="str">
        <f>_xlfn.TEXTJOIN(", ",TRUE,IF(G86="Unknown","Missing Region",""),IF(M86="Unknown","Missing Ship Mode",""),IF(P86&lt;0,"Negative Discount",""),IF(P86&gt;0.7,"High Discount",""),IF(C86&lt;B86,"Ship Before Order",""))</f>
        <v/>
      </c>
      <c r="Z86" s="2">
        <f>IFERROR(
  IF(ISNUMBER(B86),B86,
    IF(ISNUMBER(SEARCH("-",B86)*1),
      IF(LEN(LEFT(B86,FIND("-",B86)-1))=4,
        DATE(VALUE(LEFT(B86,4)),VALUE(MID(B86,6,2)),VALUE(RIGHT(B86,2))),
        DATE(VALUE(RIGHT(B86,4)),VALUE(MID(B86,4,2)),VALUE(LEFT(B86,2)))
      ),
      IF(ISNUMBER(SEARCH("/",B86)*1),
        DATE(VALUE(RIGHT(B86,4)),VALUE(LEFT(B86,2)),VALUE(MID(B86,4,2))),
        DATEVALUE(B86)
      )
    )
  ),
"INVALID_DATE")</f>
        <v>45566</v>
      </c>
      <c r="AA86" s="2">
        <f>IFERROR(
  IF(ISNUMBER(C86),C86,
    IF(ISNUMBER(SEARCH("-",C86)*1),
      IF(LEN(LEFT(C86,FIND("-",C86)-1))=4,
        DATE(VALUE(LEFT(C86,4)),VALUE(MID(C86,6,2)),VALUE(RIGHT(C86,2))),
        DATE(VALUE(RIGHT(C86,4)),VALUE(MID(C86,4,2)),VALUE(LEFT(C86,2)))
      ),
      IF(ISNUMBER(SEARCH("/",C86)*1),
        DATE(VALUE(RIGHT(C86,4)),VALUE(LEFT(C86,2)),VALUE(MID(C86,4,2))),
        DATEVALUE(C86)
      )
    )
  ),
"INVALID_DATE")</f>
        <v>45568</v>
      </c>
      <c r="AB86">
        <f t="shared" si="9"/>
        <v>2</v>
      </c>
      <c r="AC86" t="str">
        <f t="shared" si="10"/>
        <v>October</v>
      </c>
      <c r="AD86">
        <f t="shared" si="11"/>
        <v>2024</v>
      </c>
    </row>
    <row r="87" spans="1:30">
      <c r="A87" t="s">
        <v>536</v>
      </c>
      <c r="B87" t="s">
        <v>537</v>
      </c>
      <c r="C87" t="s">
        <v>538</v>
      </c>
      <c r="D87" t="s">
        <v>539</v>
      </c>
      <c r="E87" t="s">
        <v>374</v>
      </c>
      <c r="F87" t="s">
        <v>115</v>
      </c>
      <c r="G87" t="s">
        <v>34</v>
      </c>
      <c r="H87" t="s">
        <v>514</v>
      </c>
      <c r="I87" t="s">
        <v>515</v>
      </c>
      <c r="J87" t="s">
        <v>37</v>
      </c>
      <c r="K87" t="s">
        <v>205</v>
      </c>
      <c r="L87" t="s">
        <v>540</v>
      </c>
      <c r="M87" t="s">
        <v>74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41</v>
      </c>
      <c r="U87" t="s">
        <v>85</v>
      </c>
      <c r="V87">
        <f t="shared" si="6"/>
        <v>608.64</v>
      </c>
      <c r="W87">
        <f t="shared" si="7"/>
        <v>264.64999999999998</v>
      </c>
      <c r="X87">
        <f t="shared" si="8"/>
        <v>0.43482189800210302</v>
      </c>
      <c r="Y87" t="str">
        <f>_xlfn.TEXTJOIN(", ",TRUE,IF(G87="Unknown","Missing Region",""),IF(M87="Unknown","Missing Ship Mode",""),IF(P87&lt;0,"Negative Discount",""),IF(P87&gt;0.7,"High Discount",""),IF(C87&lt;B87,"Ship Before Order",""))</f>
        <v>Ship Before Order</v>
      </c>
      <c r="Z87" s="2">
        <f>IFERROR(
  IF(ISNUMBER(B87),B87,
    IF(ISNUMBER(SEARCH("-",B87)*1),
      IF(LEN(LEFT(B87,FIND("-",B87)-1))=4,
        DATE(VALUE(LEFT(B87,4)),VALUE(MID(B87,6,2)),VALUE(RIGHT(B87,2))),
        DATE(VALUE(RIGHT(B87,4)),VALUE(MID(B87,4,2)),VALUE(LEFT(B87,2)))
      ),
      IF(ISNUMBER(SEARCH("/",B87)*1),
        DATE(VALUE(RIGHT(B87,4)),VALUE(LEFT(B87,2)),VALUE(MID(B87,4,2))),
        DATEVALUE(B87)
      )
    )
  ),
"INVALID_DATE")</f>
        <v>45503</v>
      </c>
      <c r="AA87" s="2">
        <f>IFERROR(
  IF(ISNUMBER(C87),C87,
    IF(ISNUMBER(SEARCH("-",C87)*1),
      IF(LEN(LEFT(C87,FIND("-",C87)-1))=4,
        DATE(VALUE(LEFT(C87,4)),VALUE(MID(C87,6,2)),VALUE(RIGHT(C87,2))),
        DATE(VALUE(RIGHT(C87,4)),VALUE(MID(C87,4,2)),VALUE(LEFT(C87,2)))
      ),
      IF(ISNUMBER(SEARCH("/",C87)*1),
        DATE(VALUE(RIGHT(C87,4)),VALUE(LEFT(C87,2)),VALUE(MID(C87,4,2))),
        DATEVALUE(C87)
      )
    )
  ),
"INVALID_DATE")</f>
        <v>45509</v>
      </c>
      <c r="AB87">
        <f t="shared" si="9"/>
        <v>6</v>
      </c>
      <c r="AC87" t="str">
        <f t="shared" si="10"/>
        <v>July</v>
      </c>
      <c r="AD87">
        <f t="shared" si="11"/>
        <v>2024</v>
      </c>
    </row>
    <row r="88" spans="1:30">
      <c r="A88" t="s">
        <v>541</v>
      </c>
      <c r="B88" t="s">
        <v>542</v>
      </c>
      <c r="C88" t="s">
        <v>542</v>
      </c>
      <c r="D88" t="s">
        <v>543</v>
      </c>
      <c r="E88" t="s">
        <v>79</v>
      </c>
      <c r="F88" t="s">
        <v>48</v>
      </c>
      <c r="G88" t="s">
        <v>34</v>
      </c>
      <c r="H88" t="s">
        <v>514</v>
      </c>
      <c r="I88" t="s">
        <v>515</v>
      </c>
      <c r="J88" t="s">
        <v>93</v>
      </c>
      <c r="K88" t="s">
        <v>101</v>
      </c>
      <c r="L88" t="s">
        <v>544</v>
      </c>
      <c r="M88" t="s">
        <v>40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131</v>
      </c>
      <c r="U88" t="s">
        <v>85</v>
      </c>
      <c r="V88">
        <f t="shared" si="6"/>
        <v>2390.2559999999999</v>
      </c>
      <c r="W88">
        <f t="shared" si="7"/>
        <v>894.32000000000016</v>
      </c>
      <c r="X88">
        <f t="shared" si="8"/>
        <v>0.37415176591667848</v>
      </c>
      <c r="Y88" t="str">
        <f>_xlfn.TEXTJOIN(", ",TRUE,IF(G88="Unknown","Missing Region",""),IF(M88="Unknown","Missing Ship Mode",""),IF(P88&lt;0,"Negative Discount",""),IF(P88&gt;0.7,"High Discount",""),IF(C88&lt;B88,"Ship Before Order",""))</f>
        <v/>
      </c>
      <c r="Z88" s="2">
        <f>IFERROR(
  IF(ISNUMBER(B88),B88,
    IF(ISNUMBER(SEARCH("-",B88)*1),
      IF(LEN(LEFT(B88,FIND("-",B88)-1))=4,
        DATE(VALUE(LEFT(B88,4)),VALUE(MID(B88,6,2)),VALUE(RIGHT(B88,2))),
        DATE(VALUE(RIGHT(B88,4)),VALUE(MID(B88,4,2)),VALUE(LEFT(B88,2)))
      ),
      IF(ISNUMBER(SEARCH("/",B88)*1),
        DATE(VALUE(RIGHT(B88,4)),VALUE(LEFT(B88,2)),VALUE(MID(B88,4,2))),
        DATEVALUE(B88)
      )
    )
  ),
"INVALID_DATE")</f>
        <v>45474</v>
      </c>
      <c r="AA88" s="2">
        <f>IFERROR(
  IF(ISNUMBER(C88),C88,
    IF(ISNUMBER(SEARCH("-",C88)*1),
      IF(LEN(LEFT(C88,FIND("-",C88)-1))=4,
        DATE(VALUE(LEFT(C88,4)),VALUE(MID(C88,6,2)),VALUE(RIGHT(C88,2))),
        DATE(VALUE(RIGHT(C88,4)),VALUE(MID(C88,4,2)),VALUE(LEFT(C88,2)))
      ),
      IF(ISNUMBER(SEARCH("/",C88)*1),
        DATE(VALUE(RIGHT(C88,4)),VALUE(LEFT(C88,2)),VALUE(MID(C88,4,2))),
        DATEVALUE(C88)
      )
    )
  ),
"INVALID_DATE")</f>
        <v>45474</v>
      </c>
      <c r="AB88">
        <f t="shared" si="9"/>
        <v>0</v>
      </c>
      <c r="AC88" t="str">
        <f t="shared" si="10"/>
        <v>July</v>
      </c>
      <c r="AD88">
        <f t="shared" si="11"/>
        <v>2024</v>
      </c>
    </row>
    <row r="89" spans="1:30">
      <c r="A89" t="s">
        <v>545</v>
      </c>
      <c r="B89" t="s">
        <v>546</v>
      </c>
      <c r="C89" t="s">
        <v>523</v>
      </c>
      <c r="D89" t="s">
        <v>547</v>
      </c>
      <c r="E89" t="s">
        <v>90</v>
      </c>
      <c r="F89" t="s">
        <v>33</v>
      </c>
      <c r="G89" t="s">
        <v>49</v>
      </c>
      <c r="H89" t="s">
        <v>223</v>
      </c>
      <c r="I89" t="s">
        <v>224</v>
      </c>
      <c r="J89" t="s">
        <v>37</v>
      </c>
      <c r="K89" t="s">
        <v>205</v>
      </c>
      <c r="L89" t="s">
        <v>548</v>
      </c>
      <c r="M89" t="s">
        <v>74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41</v>
      </c>
      <c r="U89" t="s">
        <v>42</v>
      </c>
      <c r="V89">
        <f t="shared" si="6"/>
        <v>23416.539999999997</v>
      </c>
      <c r="W89">
        <f t="shared" si="7"/>
        <v>7925.6500000000015</v>
      </c>
      <c r="X89">
        <f t="shared" si="8"/>
        <v>0.33846375254414185</v>
      </c>
      <c r="Y89" t="str">
        <f>_xlfn.TEXTJOIN(", ",TRUE,IF(G89="Unknown","Missing Region",""),IF(M89="Unknown","Missing Ship Mode",""),IF(P89&lt;0,"Negative Discount",""),IF(P89&gt;0.7,"High Discount",""),IF(C89&lt;B89,"Ship Before Order",""))</f>
        <v/>
      </c>
      <c r="Z89" s="2">
        <f>IFERROR(
  IF(ISNUMBER(B89),B89,
    IF(ISNUMBER(SEARCH("-",B89)*1),
      IF(LEN(LEFT(B89,FIND("-",B89)-1))=4,
        DATE(VALUE(LEFT(B89,4)),VALUE(MID(B89,6,2)),VALUE(RIGHT(B89,2))),
        DATE(VALUE(RIGHT(B89,4)),VALUE(MID(B89,4,2)),VALUE(LEFT(B89,2)))
      ),
      IF(ISNUMBER(SEARCH("/",B89)*1),
        DATE(VALUE(RIGHT(B89,4)),VALUE(LEFT(B89,2)),VALUE(MID(B89,4,2))),
        DATEVALUE(B89)
      )
    )
  ),
"INVALID_DATE")</f>
        <v>45506</v>
      </c>
      <c r="AA89" s="2">
        <f>IFERROR(
  IF(ISNUMBER(C89),C89,
    IF(ISNUMBER(SEARCH("-",C89)*1),
      IF(LEN(LEFT(C89,FIND("-",C89)-1))=4,
        DATE(VALUE(LEFT(C89,4)),VALUE(MID(C89,6,2)),VALUE(RIGHT(C89,2))),
        DATE(VALUE(RIGHT(C89,4)),VALUE(MID(C89,4,2)),VALUE(LEFT(C89,2)))
      ),
      IF(ISNUMBER(SEARCH("/",C89)*1),
        DATE(VALUE(RIGHT(C89,4)),VALUE(LEFT(C89,2)),VALUE(MID(C89,4,2))),
        DATEVALUE(C89)
      )
    )
  ),
"INVALID_DATE")</f>
        <v>45507</v>
      </c>
      <c r="AB89">
        <f t="shared" si="9"/>
        <v>1</v>
      </c>
      <c r="AC89" t="str">
        <f t="shared" si="10"/>
        <v>August</v>
      </c>
      <c r="AD89">
        <f t="shared" si="11"/>
        <v>2024</v>
      </c>
    </row>
    <row r="90" spans="1:30">
      <c r="A90" t="s">
        <v>549</v>
      </c>
      <c r="B90" t="s">
        <v>550</v>
      </c>
      <c r="C90" t="s">
        <v>551</v>
      </c>
      <c r="D90" t="s">
        <v>552</v>
      </c>
      <c r="E90" t="s">
        <v>187</v>
      </c>
      <c r="F90" t="s">
        <v>48</v>
      </c>
      <c r="G90" t="s">
        <v>80</v>
      </c>
      <c r="H90" t="s">
        <v>81</v>
      </c>
      <c r="I90" t="s">
        <v>82</v>
      </c>
      <c r="J90" t="s">
        <v>52</v>
      </c>
      <c r="K90" t="s">
        <v>211</v>
      </c>
      <c r="L90" t="s">
        <v>553</v>
      </c>
      <c r="M90" t="s">
        <v>74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41</v>
      </c>
      <c r="U90" t="s">
        <v>42</v>
      </c>
      <c r="V90">
        <f t="shared" si="6"/>
        <v>6241.0249999999996</v>
      </c>
      <c r="W90">
        <f t="shared" si="7"/>
        <v>895.14000000000033</v>
      </c>
      <c r="X90">
        <f t="shared" si="8"/>
        <v>0.1434284780372439</v>
      </c>
      <c r="Y90" t="str">
        <f>_xlfn.TEXTJOIN(", ",TRUE,IF(G90="Unknown","Missing Region",""),IF(M90="Unknown","Missing Ship Mode",""),IF(P90&lt;0,"Negative Discount",""),IF(P90&gt;0.7,"High Discount",""),IF(C90&lt;B90,"Ship Before Order",""))</f>
        <v/>
      </c>
      <c r="Z90" s="2">
        <f>IFERROR(
  IF(ISNUMBER(B90),B90,
    IF(ISNUMBER(SEARCH("-",B90)*1),
      IF(LEN(LEFT(B90,FIND("-",B90)-1))=4,
        DATE(VALUE(LEFT(B90,4)),VALUE(MID(B90,6,2)),VALUE(RIGHT(B90,2))),
        DATE(VALUE(RIGHT(B90,4)),VALUE(MID(B90,4,2)),VALUE(LEFT(B90,2)))
      ),
      IF(ISNUMBER(SEARCH("/",B90)*1),
        DATE(VALUE(RIGHT(B90,4)),VALUE(LEFT(B90,2)),VALUE(MID(B90,4,2))),
        DATEVALUE(B90)
      )
    )
  ),
"INVALID_DATE")</f>
        <v>45375</v>
      </c>
      <c r="AA90" s="2">
        <f>IFERROR(
  IF(ISNUMBER(C90),C90,
    IF(ISNUMBER(SEARCH("-",C90)*1),
      IF(LEN(LEFT(C90,FIND("-",C90)-1))=4,
        DATE(VALUE(LEFT(C90,4)),VALUE(MID(C90,6,2)),VALUE(RIGHT(C90,2))),
        DATE(VALUE(RIGHT(C90,4)),VALUE(MID(C90,4,2)),VALUE(LEFT(C90,2)))
      ),
      IF(ISNUMBER(SEARCH("/",C90)*1),
        DATE(VALUE(RIGHT(C90,4)),VALUE(LEFT(C90,2)),VALUE(MID(C90,4,2))),
        DATEVALUE(C90)
      )
    )
  ),
"INVALID_DATE")</f>
        <v>45378</v>
      </c>
      <c r="AB90">
        <f t="shared" si="9"/>
        <v>3</v>
      </c>
      <c r="AC90" t="str">
        <f t="shared" si="10"/>
        <v>March</v>
      </c>
      <c r="AD90">
        <f t="shared" si="11"/>
        <v>2024</v>
      </c>
    </row>
    <row r="91" spans="1:30">
      <c r="A91" t="s">
        <v>554</v>
      </c>
      <c r="B91" t="s">
        <v>45</v>
      </c>
      <c r="C91" t="s">
        <v>45</v>
      </c>
      <c r="D91" t="s">
        <v>555</v>
      </c>
      <c r="E91" t="s">
        <v>374</v>
      </c>
      <c r="F91" t="s">
        <v>33</v>
      </c>
      <c r="G91" t="s">
        <v>69</v>
      </c>
      <c r="H91" t="s">
        <v>107</v>
      </c>
      <c r="I91" t="s">
        <v>108</v>
      </c>
      <c r="J91" t="s">
        <v>52</v>
      </c>
      <c r="K91" t="s">
        <v>211</v>
      </c>
      <c r="L91" t="s">
        <v>556</v>
      </c>
      <c r="M91" t="s">
        <v>74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144</v>
      </c>
      <c r="U91" t="s">
        <v>85</v>
      </c>
      <c r="V91">
        <f t="shared" si="6"/>
        <v>21062.104000000003</v>
      </c>
      <c r="W91">
        <f t="shared" si="7"/>
        <v>9004.9699999999993</v>
      </c>
      <c r="X91">
        <f t="shared" si="8"/>
        <v>0.42754378718171504</v>
      </c>
      <c r="Y91" t="str">
        <f>_xlfn.TEXTJOIN(", ",TRUE,IF(G91="Unknown","Missing Region",""),IF(M91="Unknown","Missing Ship Mode",""),IF(P91&lt;0,"Negative Discount",""),IF(P91&gt;0.7,"High Discount",""),IF(C91&lt;B91,"Ship Before Order",""))</f>
        <v/>
      </c>
      <c r="Z91" s="2">
        <f>IFERROR(
  IF(ISNUMBER(B91),B91,
    IF(ISNUMBER(SEARCH("-",B91)*1),
      IF(LEN(LEFT(B91,FIND("-",B91)-1))=4,
        DATE(VALUE(LEFT(B91,4)),VALUE(MID(B91,6,2)),VALUE(RIGHT(B91,2))),
        DATE(VALUE(RIGHT(B91,4)),VALUE(MID(B91,4,2)),VALUE(LEFT(B91,2)))
      ),
      IF(ISNUMBER(SEARCH("/",B91)*1),
        DATE(VALUE(RIGHT(B91,4)),VALUE(LEFT(B91,2)),VALUE(MID(B91,4,2))),
        DATEVALUE(B91)
      )
    )
  ),
"INVALID_DATE")</f>
        <v>45540</v>
      </c>
      <c r="AA91" s="2">
        <f>IFERROR(
  IF(ISNUMBER(C91),C91,
    IF(ISNUMBER(SEARCH("-",C91)*1),
      IF(LEN(LEFT(C91,FIND("-",C91)-1))=4,
        DATE(VALUE(LEFT(C91,4)),VALUE(MID(C91,6,2)),VALUE(RIGHT(C91,2))),
        DATE(VALUE(RIGHT(C91,4)),VALUE(MID(C91,4,2)),VALUE(LEFT(C91,2)))
      ),
      IF(ISNUMBER(SEARCH("/",C91)*1),
        DATE(VALUE(RIGHT(C91,4)),VALUE(LEFT(C91,2)),VALUE(MID(C91,4,2))),
        DATEVALUE(C91)
      )
    )
  ),
"INVALID_DATE")</f>
        <v>45540</v>
      </c>
      <c r="AB91">
        <f t="shared" si="9"/>
        <v>0</v>
      </c>
      <c r="AC91" t="str">
        <f t="shared" si="10"/>
        <v>September</v>
      </c>
      <c r="AD91">
        <f t="shared" si="11"/>
        <v>2024</v>
      </c>
    </row>
    <row r="92" spans="1:30">
      <c r="A92" t="s">
        <v>557</v>
      </c>
      <c r="B92" t="s">
        <v>558</v>
      </c>
      <c r="C92" t="s">
        <v>76</v>
      </c>
      <c r="D92" t="s">
        <v>559</v>
      </c>
      <c r="E92" t="s">
        <v>169</v>
      </c>
      <c r="F92" t="s">
        <v>48</v>
      </c>
      <c r="G92" t="s">
        <v>49</v>
      </c>
      <c r="H92" t="s">
        <v>193</v>
      </c>
      <c r="I92" t="s">
        <v>194</v>
      </c>
      <c r="J92" t="s">
        <v>93</v>
      </c>
      <c r="K92" t="s">
        <v>101</v>
      </c>
      <c r="L92" t="s">
        <v>560</v>
      </c>
      <c r="M92" t="s">
        <v>63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41</v>
      </c>
      <c r="U92" t="s">
        <v>42</v>
      </c>
      <c r="V92">
        <f t="shared" si="6"/>
        <v>9445.098</v>
      </c>
      <c r="W92">
        <f t="shared" si="7"/>
        <v>3858.8200000000006</v>
      </c>
      <c r="X92">
        <f t="shared" si="8"/>
        <v>0.40855258282072188</v>
      </c>
      <c r="Y92" t="str">
        <f>_xlfn.TEXTJOIN(", ",TRUE,IF(G92="Unknown","Missing Region",""),IF(M92="Unknown","Missing Ship Mode",""),IF(P92&lt;0,"Negative Discount",""),IF(P92&gt;0.7,"High Discount",""),IF(C92&lt;B92,"Ship Before Order",""))</f>
        <v/>
      </c>
      <c r="Z92" s="2">
        <f>IFERROR(
  IF(ISNUMBER(B92),B92,
    IF(ISNUMBER(SEARCH("-",B92)*1),
      IF(LEN(LEFT(B92,FIND("-",B92)-1))=4,
        DATE(VALUE(LEFT(B92,4)),VALUE(MID(B92,6,2)),VALUE(RIGHT(B92,2))),
        DATE(VALUE(RIGHT(B92,4)),VALUE(MID(B92,4,2)),VALUE(LEFT(B92,2)))
      ),
      IF(ISNUMBER(SEARCH("/",B92)*1),
        DATE(VALUE(RIGHT(B92,4)),VALUE(LEFT(B92,2)),VALUE(MID(B92,4,2))),
        DATEVALUE(B92)
      )
    )
  ),
"INVALID_DATE")</f>
        <v>45893</v>
      </c>
      <c r="AA92" s="2">
        <f>IFERROR(
  IF(ISNUMBER(C92),C92,
    IF(ISNUMBER(SEARCH("-",C92)*1),
      IF(LEN(LEFT(C92,FIND("-",C92)-1))=4,
        DATE(VALUE(LEFT(C92,4)),VALUE(MID(C92,6,2)),VALUE(RIGHT(C92,2))),
        DATE(VALUE(RIGHT(C92,4)),VALUE(MID(C92,4,2)),VALUE(LEFT(C92,2)))
      ),
      IF(ISNUMBER(SEARCH("/",C92)*1),
        DATE(VALUE(RIGHT(C92,4)),VALUE(LEFT(C92,2)),VALUE(MID(C92,4,2))),
        DATEVALUE(C92)
      )
    )
  ),
"INVALID_DATE")</f>
        <v>45898</v>
      </c>
      <c r="AB92">
        <f t="shared" si="9"/>
        <v>5</v>
      </c>
      <c r="AC92" t="str">
        <f t="shared" si="10"/>
        <v>August</v>
      </c>
      <c r="AD92">
        <f t="shared" si="11"/>
        <v>2025</v>
      </c>
    </row>
    <row r="93" spans="1:30">
      <c r="A93" t="s">
        <v>561</v>
      </c>
      <c r="B93" t="s">
        <v>562</v>
      </c>
      <c r="C93" t="s">
        <v>563</v>
      </c>
      <c r="D93" t="s">
        <v>564</v>
      </c>
      <c r="E93" t="s">
        <v>175</v>
      </c>
      <c r="F93" t="s">
        <v>115</v>
      </c>
      <c r="G93" t="s">
        <v>80</v>
      </c>
      <c r="H93" t="s">
        <v>91</v>
      </c>
      <c r="I93" t="s">
        <v>92</v>
      </c>
      <c r="J93" t="s">
        <v>93</v>
      </c>
      <c r="K93" t="s">
        <v>101</v>
      </c>
      <c r="L93" t="s">
        <v>565</v>
      </c>
      <c r="M93" t="s">
        <v>40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41</v>
      </c>
      <c r="U93" t="s">
        <v>42</v>
      </c>
      <c r="V93">
        <f t="shared" si="6"/>
        <v>2427.12</v>
      </c>
      <c r="W93">
        <f t="shared" si="7"/>
        <v>888.77</v>
      </c>
      <c r="X93">
        <f t="shared" si="8"/>
        <v>0.33147516398035531</v>
      </c>
      <c r="Y93" t="str">
        <f>_xlfn.TEXTJOIN(", ",TRUE,IF(G93="Unknown","Missing Region",""),IF(M93="Unknown","Missing Ship Mode",""),IF(P93&lt;0,"Negative Discount",""),IF(P93&gt;0.7,"High Discount",""),IF(C93&lt;B93,"Ship Before Order",""))</f>
        <v/>
      </c>
      <c r="Z93" s="2">
        <f>IFERROR(
  IF(ISNUMBER(B93),B93,
    IF(ISNUMBER(SEARCH("-",B93)*1),
      IF(LEN(LEFT(B93,FIND("-",B93)-1))=4,
        DATE(VALUE(LEFT(B93,4)),VALUE(MID(B93,6,2)),VALUE(RIGHT(B93,2))),
        DATE(VALUE(RIGHT(B93,4)),VALUE(MID(B93,4,2)),VALUE(LEFT(B93,2)))
      ),
      IF(ISNUMBER(SEARCH("/",B93)*1),
        DATE(VALUE(RIGHT(B93,4)),VALUE(LEFT(B93,2)),VALUE(MID(B93,4,2))),
        DATEVALUE(B93)
      )
    )
  ),
"INVALID_DATE")</f>
        <v>45718</v>
      </c>
      <c r="AA93" s="2">
        <f>IFERROR(
  IF(ISNUMBER(C93),C93,
    IF(ISNUMBER(SEARCH("-",C93)*1),
      IF(LEN(LEFT(C93,FIND("-",C93)-1))=4,
        DATE(VALUE(LEFT(C93,4)),VALUE(MID(C93,6,2)),VALUE(RIGHT(C93,2))),
        DATE(VALUE(RIGHT(C93,4)),VALUE(MID(C93,4,2)),VALUE(LEFT(C93,2)))
      ),
      IF(ISNUMBER(SEARCH("/",C93)*1),
        DATE(VALUE(RIGHT(C93,4)),VALUE(LEFT(C93,2)),VALUE(MID(C93,4,2))),
        DATEVALUE(C93)
      )
    )
  ),
"INVALID_DATE")</f>
        <v>45724</v>
      </c>
      <c r="AB93">
        <f t="shared" si="9"/>
        <v>6</v>
      </c>
      <c r="AC93" t="str">
        <f t="shared" si="10"/>
        <v>March</v>
      </c>
      <c r="AD93">
        <f t="shared" si="11"/>
        <v>2025</v>
      </c>
    </row>
    <row r="94" spans="1:30">
      <c r="A94" t="s">
        <v>566</v>
      </c>
      <c r="B94" t="s">
        <v>191</v>
      </c>
      <c r="C94" t="s">
        <v>567</v>
      </c>
      <c r="D94" t="s">
        <v>568</v>
      </c>
      <c r="E94" t="s">
        <v>169</v>
      </c>
      <c r="F94" t="s">
        <v>33</v>
      </c>
      <c r="G94" t="s">
        <v>80</v>
      </c>
      <c r="H94" t="s">
        <v>91</v>
      </c>
      <c r="I94" t="s">
        <v>92</v>
      </c>
      <c r="J94" t="s">
        <v>37</v>
      </c>
      <c r="K94" t="s">
        <v>38</v>
      </c>
      <c r="L94" t="s">
        <v>569</v>
      </c>
      <c r="M94" t="s">
        <v>74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41</v>
      </c>
      <c r="U94" t="s">
        <v>42</v>
      </c>
      <c r="V94">
        <f t="shared" si="6"/>
        <v>36111.906000000003</v>
      </c>
      <c r="W94">
        <f t="shared" si="7"/>
        <v>6917.4100000000035</v>
      </c>
      <c r="X94">
        <f t="shared" si="8"/>
        <v>0.19155480837208552</v>
      </c>
      <c r="Y94" t="str">
        <f>_xlfn.TEXTJOIN(", ",TRUE,IF(G94="Unknown","Missing Region",""),IF(M94="Unknown","Missing Ship Mode",""),IF(P94&lt;0,"Negative Discount",""),IF(P94&gt;0.7,"High Discount",""),IF(C94&lt;B94,"Ship Before Order",""))</f>
        <v>Ship Before Order</v>
      </c>
      <c r="Z94" s="2">
        <f>IFERROR(
  IF(ISNUMBER(B94),B94,
    IF(ISNUMBER(SEARCH("-",B94)*1),
      IF(LEN(LEFT(B94,FIND("-",B94)-1))=4,
        DATE(VALUE(LEFT(B94,4)),VALUE(MID(B94,6,2)),VALUE(RIGHT(B94,2))),
        DATE(VALUE(RIGHT(B94,4)),VALUE(MID(B94,4,2)),VALUE(LEFT(B94,2)))
      ),
      IF(ISNUMBER(SEARCH("/",B94)*1),
        DATE(VALUE(RIGHT(B94,4)),VALUE(LEFT(B94,2)),VALUE(MID(B94,4,2))),
        DATEVALUE(B94)
      )
    )
  ),
"INVALID_DATE")</f>
        <v>45680</v>
      </c>
      <c r="AA94" s="2">
        <f>IFERROR(
  IF(ISNUMBER(C94),C94,
    IF(ISNUMBER(SEARCH("-",C94)*1),
      IF(LEN(LEFT(C94,FIND("-",C94)-1))=4,
        DATE(VALUE(LEFT(C94,4)),VALUE(MID(C94,6,2)),VALUE(RIGHT(C94,2))),
        DATE(VALUE(RIGHT(C94,4)),VALUE(MID(C94,4,2)),VALUE(LEFT(C94,2)))
      ),
      IF(ISNUMBER(SEARCH("/",C94)*1),
        DATE(VALUE(RIGHT(C94,4)),VALUE(LEFT(C94,2)),VALUE(MID(C94,4,2))),
        DATEVALUE(C94)
      )
    )
  ),
"INVALID_DATE")</f>
        <v>45683</v>
      </c>
      <c r="AB94">
        <f t="shared" si="9"/>
        <v>3</v>
      </c>
      <c r="AC94" t="str">
        <f t="shared" si="10"/>
        <v>January</v>
      </c>
      <c r="AD94">
        <f t="shared" si="11"/>
        <v>2025</v>
      </c>
    </row>
    <row r="95" spans="1:30">
      <c r="A95" t="s">
        <v>570</v>
      </c>
      <c r="B95" t="s">
        <v>172</v>
      </c>
      <c r="C95" t="s">
        <v>571</v>
      </c>
      <c r="D95" t="s">
        <v>572</v>
      </c>
      <c r="E95" t="s">
        <v>187</v>
      </c>
      <c r="F95" t="s">
        <v>115</v>
      </c>
      <c r="G95" t="s">
        <v>34</v>
      </c>
      <c r="H95" t="s">
        <v>181</v>
      </c>
      <c r="I95" t="s">
        <v>182</v>
      </c>
      <c r="J95" t="s">
        <v>37</v>
      </c>
      <c r="K95" t="s">
        <v>205</v>
      </c>
      <c r="L95" t="s">
        <v>573</v>
      </c>
      <c r="M95" t="s">
        <v>74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41</v>
      </c>
      <c r="U95" t="s">
        <v>42</v>
      </c>
      <c r="V95">
        <f t="shared" si="6"/>
        <v>21279.841100000001</v>
      </c>
      <c r="W95">
        <f t="shared" si="7"/>
        <v>7067.01</v>
      </c>
      <c r="X95">
        <f t="shared" si="8"/>
        <v>0.36198770769956545</v>
      </c>
      <c r="Y95" t="str">
        <f>_xlfn.TEXTJOIN(", ",TRUE,IF(G95="Unknown","Missing Region",""),IF(M95="Unknown","Missing Ship Mode",""),IF(P95&lt;0,"Negative Discount",""),IF(P95&gt;0.7,"High Discount",""),IF(C95&lt;B95,"Ship Before Order",""))</f>
        <v>Negative Discount</v>
      </c>
      <c r="Z95" s="2">
        <f>IFERROR(
  IF(ISNUMBER(B95),B95,
    IF(ISNUMBER(SEARCH("-",B95)*1),
      IF(LEN(LEFT(B95,FIND("-",B95)-1))=4,
        DATE(VALUE(LEFT(B95,4)),VALUE(MID(B95,6,2)),VALUE(RIGHT(B95,2))),
        DATE(VALUE(RIGHT(B95,4)),VALUE(MID(B95,4,2)),VALUE(LEFT(B95,2)))
      ),
      IF(ISNUMBER(SEARCH("/",B95)*1),
        DATE(VALUE(RIGHT(B95,4)),VALUE(LEFT(B95,2)),VALUE(MID(B95,4,2))),
        DATEVALUE(B95)
      )
    )
  ),
"INVALID_DATE")</f>
        <v>45298</v>
      </c>
      <c r="AA95" s="2">
        <f>IFERROR(
  IF(ISNUMBER(C95),C95,
    IF(ISNUMBER(SEARCH("-",C95)*1),
      IF(LEN(LEFT(C95,FIND("-",C95)-1))=4,
        DATE(VALUE(LEFT(C95,4)),VALUE(MID(C95,6,2)),VALUE(RIGHT(C95,2))),
        DATE(VALUE(RIGHT(C95,4)),VALUE(MID(C95,4,2)),VALUE(LEFT(C95,2)))
      ),
      IF(ISNUMBER(SEARCH("/",C95)*1),
        DATE(VALUE(RIGHT(C95,4)),VALUE(LEFT(C95,2)),VALUE(MID(C95,4,2))),
        DATEVALUE(C95)
      )
    )
  ),
"INVALID_DATE")</f>
        <v>45304</v>
      </c>
      <c r="AB95">
        <f t="shared" si="9"/>
        <v>6</v>
      </c>
      <c r="AC95" t="str">
        <f t="shared" si="10"/>
        <v>January</v>
      </c>
      <c r="AD95">
        <f t="shared" si="11"/>
        <v>2024</v>
      </c>
    </row>
    <row r="96" spans="1:30">
      <c r="A96" t="s">
        <v>574</v>
      </c>
      <c r="B96" t="s">
        <v>575</v>
      </c>
      <c r="C96" t="s">
        <v>576</v>
      </c>
      <c r="D96" t="s">
        <v>577</v>
      </c>
      <c r="E96" t="s">
        <v>217</v>
      </c>
      <c r="F96" t="s">
        <v>33</v>
      </c>
      <c r="G96" t="s">
        <v>34</v>
      </c>
      <c r="H96" t="s">
        <v>331</v>
      </c>
      <c r="I96" t="s">
        <v>332</v>
      </c>
      <c r="J96" t="s">
        <v>93</v>
      </c>
      <c r="K96" t="s">
        <v>230</v>
      </c>
      <c r="L96" t="s">
        <v>578</v>
      </c>
      <c r="M96" t="s">
        <v>40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144</v>
      </c>
      <c r="U96" t="s">
        <v>85</v>
      </c>
      <c r="V96">
        <f t="shared" si="6"/>
        <v>26470.710000000003</v>
      </c>
      <c r="W96">
        <f t="shared" si="7"/>
        <v>5103.1100000000006</v>
      </c>
      <c r="X96">
        <f t="shared" si="8"/>
        <v>0.19278326875251928</v>
      </c>
      <c r="Y96" t="str">
        <f>_xlfn.TEXTJOIN(", ",TRUE,IF(G96="Unknown","Missing Region",""),IF(M96="Unknown","Missing Ship Mode",""),IF(P96&lt;0,"Negative Discount",""),IF(P96&gt;0.7,"High Discount",""),IF(C96&lt;B96,"Ship Before Order",""))</f>
        <v>Ship Before Order</v>
      </c>
      <c r="Z96" s="2">
        <f>IFERROR(
  IF(ISNUMBER(B96),B96,
    IF(ISNUMBER(SEARCH("-",B96)*1),
      IF(LEN(LEFT(B96,FIND("-",B96)-1))=4,
        DATE(VALUE(LEFT(B96,4)),VALUE(MID(B96,6,2)),VALUE(RIGHT(B96,2))),
        DATE(VALUE(RIGHT(B96,4)),VALUE(MID(B96,4,2)),VALUE(LEFT(B96,2)))
      ),
      IF(ISNUMBER(SEARCH("/",B96)*1),
        DATE(VALUE(RIGHT(B96,4)),VALUE(LEFT(B96,2)),VALUE(MID(B96,4,2))),
        DATEVALUE(B96)
      )
    )
  ),
"INVALID_DATE")</f>
        <v>45541</v>
      </c>
      <c r="AA96" s="2">
        <f>IFERROR(
  IF(ISNUMBER(C96),C96,
    IF(ISNUMBER(SEARCH("-",C96)*1),
      IF(LEN(LEFT(C96,FIND("-",C96)-1))=4,
        DATE(VALUE(LEFT(C96,4)),VALUE(MID(C96,6,2)),VALUE(RIGHT(C96,2))),
        DATE(VALUE(RIGHT(C96,4)),VALUE(MID(C96,4,2)),VALUE(LEFT(C96,2)))
      ),
      IF(ISNUMBER(SEARCH("/",C96)*1),
        DATE(VALUE(RIGHT(C96,4)),VALUE(LEFT(C96,2)),VALUE(MID(C96,4,2))),
        DATEVALUE(C96)
      )
    )
  ),
"INVALID_DATE")</f>
        <v>45544</v>
      </c>
      <c r="AB96">
        <f t="shared" si="9"/>
        <v>3</v>
      </c>
      <c r="AC96" t="str">
        <f t="shared" si="10"/>
        <v>September</v>
      </c>
      <c r="AD96">
        <f t="shared" si="11"/>
        <v>2024</v>
      </c>
    </row>
    <row r="97" spans="1:30">
      <c r="A97" t="s">
        <v>579</v>
      </c>
      <c r="B97" t="s">
        <v>580</v>
      </c>
      <c r="C97" t="s">
        <v>581</v>
      </c>
      <c r="D97" t="s">
        <v>582</v>
      </c>
      <c r="E97" t="s">
        <v>175</v>
      </c>
      <c r="F97" t="s">
        <v>115</v>
      </c>
      <c r="G97" t="s">
        <v>80</v>
      </c>
      <c r="H97" t="s">
        <v>256</v>
      </c>
      <c r="I97" t="s">
        <v>257</v>
      </c>
      <c r="J97" t="s">
        <v>52</v>
      </c>
      <c r="K97" t="s">
        <v>211</v>
      </c>
      <c r="L97" t="s">
        <v>583</v>
      </c>
      <c r="M97" t="s">
        <v>55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41</v>
      </c>
      <c r="U97" t="s">
        <v>42</v>
      </c>
      <c r="V97">
        <f t="shared" si="6"/>
        <v>10524.78</v>
      </c>
      <c r="W97">
        <f t="shared" si="7"/>
        <v>1683.7300000000014</v>
      </c>
      <c r="X97">
        <f t="shared" si="8"/>
        <v>0.1599776907450797</v>
      </c>
      <c r="Y97" t="str">
        <f>_xlfn.TEXTJOIN(", ",TRUE,IF(G97="Unknown","Missing Region",""),IF(M97="Unknown","Missing Ship Mode",""),IF(P97&lt;0,"Negative Discount",""),IF(P97&gt;0.7,"High Discount",""),IF(C97&lt;B97,"Ship Before Order",""))</f>
        <v/>
      </c>
      <c r="Z97" s="2">
        <f>IFERROR(
  IF(ISNUMBER(B97),B97,
    IF(ISNUMBER(SEARCH("-",B97)*1),
      IF(LEN(LEFT(B97,FIND("-",B97)-1))=4,
        DATE(VALUE(LEFT(B97,4)),VALUE(MID(B97,6,2)),VALUE(RIGHT(B97,2))),
        DATE(VALUE(RIGHT(B97,4)),VALUE(MID(B97,4,2)),VALUE(LEFT(B97,2)))
      ),
      IF(ISNUMBER(SEARCH("/",B97)*1),
        DATE(VALUE(RIGHT(B97,4)),VALUE(LEFT(B97,2)),VALUE(MID(B97,4,2))),
        DATEVALUE(B97)
      )
    )
  ),
"INVALID_DATE")</f>
        <v>45905</v>
      </c>
      <c r="AA97" s="2">
        <f>IFERROR(
  IF(ISNUMBER(C97),C97,
    IF(ISNUMBER(SEARCH("-",C97)*1),
      IF(LEN(LEFT(C97,FIND("-",C97)-1))=4,
        DATE(VALUE(LEFT(C97,4)),VALUE(MID(C97,6,2)),VALUE(RIGHT(C97,2))),
        DATE(VALUE(RIGHT(C97,4)),VALUE(MID(C97,4,2)),VALUE(LEFT(C97,2)))
      ),
      IF(ISNUMBER(SEARCH("/",C97)*1),
        DATE(VALUE(RIGHT(C97,4)),VALUE(LEFT(C97,2)),VALUE(MID(C97,4,2))),
        DATEVALUE(C97)
      )
    )
  ),
"INVALID_DATE")</f>
        <v>45910</v>
      </c>
      <c r="AB97">
        <f t="shared" si="9"/>
        <v>5</v>
      </c>
      <c r="AC97" t="str">
        <f t="shared" si="10"/>
        <v>September</v>
      </c>
      <c r="AD97">
        <f t="shared" si="11"/>
        <v>2025</v>
      </c>
    </row>
    <row r="98" spans="1:30">
      <c r="A98" t="s">
        <v>584</v>
      </c>
      <c r="B98" t="s">
        <v>585</v>
      </c>
      <c r="C98" t="s">
        <v>586</v>
      </c>
      <c r="D98" t="s">
        <v>587</v>
      </c>
      <c r="E98" t="s">
        <v>155</v>
      </c>
      <c r="F98" t="s">
        <v>122</v>
      </c>
      <c r="G98" t="s">
        <v>49</v>
      </c>
      <c r="H98" t="s">
        <v>50</v>
      </c>
      <c r="I98" t="s">
        <v>51</v>
      </c>
      <c r="J98" t="s">
        <v>93</v>
      </c>
      <c r="K98" t="s">
        <v>101</v>
      </c>
      <c r="L98" t="s">
        <v>588</v>
      </c>
      <c r="M98" t="s">
        <v>40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41</v>
      </c>
      <c r="U98" t="s">
        <v>42</v>
      </c>
      <c r="V98">
        <f t="shared" si="6"/>
        <v>3840.7079999999996</v>
      </c>
      <c r="W98">
        <f t="shared" si="7"/>
        <v>1324.42</v>
      </c>
      <c r="X98">
        <f t="shared" si="8"/>
        <v>0.34483728268991931</v>
      </c>
      <c r="Y98" t="str">
        <f>_xlfn.TEXTJOIN(", ",TRUE,IF(G98="Unknown","Missing Region",""),IF(M98="Unknown","Missing Ship Mode",""),IF(P98&lt;0,"Negative Discount",""),IF(P98&gt;0.7,"High Discount",""),IF(C98&lt;B98,"Ship Before Order",""))</f>
        <v/>
      </c>
      <c r="Z98" s="2">
        <f>IFERROR(
  IF(ISNUMBER(B98),B98,
    IF(ISNUMBER(SEARCH("-",B98)*1),
      IF(LEN(LEFT(B98,FIND("-",B98)-1))=4,
        DATE(VALUE(LEFT(B98,4)),VALUE(MID(B98,6,2)),VALUE(RIGHT(B98,2))),
        DATE(VALUE(RIGHT(B98,4)),VALUE(MID(B98,4,2)),VALUE(LEFT(B98,2)))
      ),
      IF(ISNUMBER(SEARCH("/",B98)*1),
        DATE(VALUE(RIGHT(B98,4)),VALUE(LEFT(B98,2)),VALUE(MID(B98,4,2))),
        DATEVALUE(B98)
      )
    )
  ),
"INVALID_DATE")</f>
        <v>45448</v>
      </c>
      <c r="AA98" s="2">
        <f>IFERROR(
  IF(ISNUMBER(C98),C98,
    IF(ISNUMBER(SEARCH("-",C98)*1),
      IF(LEN(LEFT(C98,FIND("-",C98)-1))=4,
        DATE(VALUE(LEFT(C98,4)),VALUE(MID(C98,6,2)),VALUE(RIGHT(C98,2))),
        DATE(VALUE(RIGHT(C98,4)),VALUE(MID(C98,4,2)),VALUE(LEFT(C98,2)))
      ),
      IF(ISNUMBER(SEARCH("/",C98)*1),
        DATE(VALUE(RIGHT(C98,4)),VALUE(LEFT(C98,2)),VALUE(MID(C98,4,2))),
        DATEVALUE(C98)
      )
    )
  ),
"INVALID_DATE")</f>
        <v>45450</v>
      </c>
      <c r="AB98">
        <f t="shared" si="9"/>
        <v>2</v>
      </c>
      <c r="AC98" t="str">
        <f t="shared" si="10"/>
        <v>June</v>
      </c>
      <c r="AD98">
        <f t="shared" si="11"/>
        <v>2024</v>
      </c>
    </row>
    <row r="99" spans="1:30">
      <c r="A99" t="s">
        <v>589</v>
      </c>
      <c r="B99" t="s">
        <v>590</v>
      </c>
      <c r="C99" t="s">
        <v>591</v>
      </c>
      <c r="D99" t="s">
        <v>592</v>
      </c>
      <c r="E99" t="s">
        <v>217</v>
      </c>
      <c r="F99" t="s">
        <v>48</v>
      </c>
      <c r="G99" t="s">
        <v>80</v>
      </c>
      <c r="H99" t="s">
        <v>242</v>
      </c>
      <c r="I99" t="s">
        <v>243</v>
      </c>
      <c r="J99" t="s">
        <v>37</v>
      </c>
      <c r="K99" t="s">
        <v>163</v>
      </c>
      <c r="L99" t="s">
        <v>593</v>
      </c>
      <c r="M99" t="s">
        <v>55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144</v>
      </c>
      <c r="U99" t="s">
        <v>132</v>
      </c>
      <c r="V99">
        <f t="shared" si="6"/>
        <v>14409.440000000002</v>
      </c>
      <c r="W99">
        <f t="shared" si="7"/>
        <v>5599.4700000000012</v>
      </c>
      <c r="X99">
        <f t="shared" si="8"/>
        <v>0.3885973361907194</v>
      </c>
      <c r="Y99" t="str">
        <f>_xlfn.TEXTJOIN(", ",TRUE,IF(G99="Unknown","Missing Region",""),IF(M99="Unknown","Missing Ship Mode",""),IF(P99&lt;0,"Negative Discount",""),IF(P99&gt;0.7,"High Discount",""),IF(C99&lt;B99,"Ship Before Order",""))</f>
        <v/>
      </c>
      <c r="Z99" s="2">
        <f>IFERROR(
  IF(ISNUMBER(B99),B99,
    IF(ISNUMBER(SEARCH("-",B99)*1),
      IF(LEN(LEFT(B99,FIND("-",B99)-1))=4,
        DATE(VALUE(LEFT(B99,4)),VALUE(MID(B99,6,2)),VALUE(RIGHT(B99,2))),
        DATE(VALUE(RIGHT(B99,4)),VALUE(MID(B99,4,2)),VALUE(LEFT(B99,2)))
      ),
      IF(ISNUMBER(SEARCH("/",B99)*1),
        DATE(VALUE(RIGHT(B99,4)),VALUE(LEFT(B99,2)),VALUE(MID(B99,4,2))),
        DATEVALUE(B99)
      )
    )
  ),
"INVALID_DATE")</f>
        <v>45877</v>
      </c>
      <c r="AA99" s="2">
        <f>IFERROR(
  IF(ISNUMBER(C99),C99,
    IF(ISNUMBER(SEARCH("-",C99)*1),
      IF(LEN(LEFT(C99,FIND("-",C99)-1))=4,
        DATE(VALUE(LEFT(C99,4)),VALUE(MID(C99,6,2)),VALUE(RIGHT(C99,2))),
        DATE(VALUE(RIGHT(C99,4)),VALUE(MID(C99,4,2)),VALUE(LEFT(C99,2)))
      ),
      IF(ISNUMBER(SEARCH("/",C99)*1),
        DATE(VALUE(RIGHT(C99,4)),VALUE(LEFT(C99,2)),VALUE(MID(C99,4,2))),
        DATEVALUE(C99)
      )
    )
  ),
"INVALID_DATE")</f>
        <v>45880</v>
      </c>
      <c r="AB99">
        <f t="shared" si="9"/>
        <v>3</v>
      </c>
      <c r="AC99" t="str">
        <f t="shared" si="10"/>
        <v>August</v>
      </c>
      <c r="AD99">
        <f t="shared" si="11"/>
        <v>2025</v>
      </c>
    </row>
    <row r="100" spans="1:30">
      <c r="A100" t="s">
        <v>594</v>
      </c>
      <c r="B100" t="s">
        <v>595</v>
      </c>
      <c r="C100" t="s">
        <v>596</v>
      </c>
      <c r="D100" t="s">
        <v>597</v>
      </c>
      <c r="E100" t="s">
        <v>187</v>
      </c>
      <c r="F100" t="s">
        <v>122</v>
      </c>
      <c r="G100" t="s">
        <v>69</v>
      </c>
      <c r="H100" t="s">
        <v>249</v>
      </c>
      <c r="I100" t="s">
        <v>250</v>
      </c>
      <c r="J100" t="s">
        <v>93</v>
      </c>
      <c r="K100" t="s">
        <v>101</v>
      </c>
      <c r="L100" t="s">
        <v>598</v>
      </c>
      <c r="M100" t="s">
        <v>279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41</v>
      </c>
      <c r="U100" t="s">
        <v>42</v>
      </c>
      <c r="V100">
        <f t="shared" si="6"/>
        <v>15184.295999999998</v>
      </c>
      <c r="W100">
        <f t="shared" si="7"/>
        <v>3913.5599999999995</v>
      </c>
      <c r="X100">
        <f t="shared" si="8"/>
        <v>0.25773726809928676</v>
      </c>
      <c r="Y100" t="str">
        <f>_xlfn.TEXTJOIN(", ",TRUE,IF(G100="Unknown","Missing Region",""),IF(M100="Unknown","Missing Ship Mode",""),IF(P100&lt;0,"Negative Discount",""),IF(P100&gt;0.7,"High Discount",""),IF(C100&lt;B100,"Ship Before Order",""))</f>
        <v>Missing Ship Mode, Ship Before Order</v>
      </c>
      <c r="Z100" s="2">
        <f>IFERROR(
  IF(ISNUMBER(B100),B100,
    IF(ISNUMBER(SEARCH("-",B100)*1),
      IF(LEN(LEFT(B100,FIND("-",B100)-1))=4,
        DATE(VALUE(LEFT(B100,4)),VALUE(MID(B100,6,2)),VALUE(RIGHT(B100,2))),
        DATE(VALUE(RIGHT(B100,4)),VALUE(MID(B100,4,2)),VALUE(LEFT(B100,2)))
      ),
      IF(ISNUMBER(SEARCH("/",B100)*1),
        DATE(VALUE(RIGHT(B100,4)),VALUE(LEFT(B100,2)),VALUE(MID(B100,4,2))),
        DATEVALUE(B100)
      )
    )
  ),
"INVALID_DATE")</f>
        <v>45317</v>
      </c>
      <c r="AA100" s="2">
        <f>IFERROR(
  IF(ISNUMBER(C100),C100,
    IF(ISNUMBER(SEARCH("-",C100)*1),
      IF(LEN(LEFT(C100,FIND("-",C100)-1))=4,
        DATE(VALUE(LEFT(C100,4)),VALUE(MID(C100,6,2)),VALUE(RIGHT(C100,2))),
        DATE(VALUE(RIGHT(C100,4)),VALUE(MID(C100,4,2)),VALUE(LEFT(C100,2)))
      ),
      IF(ISNUMBER(SEARCH("/",C100)*1),
        DATE(VALUE(RIGHT(C100,4)),VALUE(LEFT(C100,2)),VALUE(MID(C100,4,2))),
        DATEVALUE(C100)
      )
    )
  ),
"INVALID_DATE")</f>
        <v>45323</v>
      </c>
      <c r="AB100">
        <f t="shared" si="9"/>
        <v>6</v>
      </c>
      <c r="AC100" t="str">
        <f t="shared" si="10"/>
        <v>January</v>
      </c>
      <c r="AD100">
        <f t="shared" si="11"/>
        <v>2024</v>
      </c>
    </row>
    <row r="101" spans="1:30">
      <c r="A101" t="s">
        <v>599</v>
      </c>
      <c r="B101" t="s">
        <v>600</v>
      </c>
      <c r="C101" t="s">
        <v>600</v>
      </c>
      <c r="D101" t="s">
        <v>601</v>
      </c>
      <c r="E101" t="s">
        <v>114</v>
      </c>
      <c r="F101" t="s">
        <v>48</v>
      </c>
      <c r="G101" t="s">
        <v>80</v>
      </c>
      <c r="H101" t="s">
        <v>35</v>
      </c>
      <c r="I101" t="s">
        <v>142</v>
      </c>
      <c r="J101" t="s">
        <v>93</v>
      </c>
      <c r="K101" t="s">
        <v>94</v>
      </c>
      <c r="L101" t="s">
        <v>602</v>
      </c>
      <c r="M101" t="s">
        <v>55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41</v>
      </c>
      <c r="U101" t="s">
        <v>42</v>
      </c>
      <c r="V101">
        <f t="shared" si="6"/>
        <v>6495.87</v>
      </c>
      <c r="W101">
        <f t="shared" si="7"/>
        <v>1794.9799999999996</v>
      </c>
      <c r="X101">
        <f t="shared" si="8"/>
        <v>0.27632634273777029</v>
      </c>
      <c r="Y101" t="str">
        <f>_xlfn.TEXTJOIN(", ",TRUE,IF(G101="Unknown","Missing Region",""),IF(M101="Unknown","Missing Ship Mode",""),IF(P101&lt;0,"Negative Discount",""),IF(P101&gt;0.7,"High Discount",""),IF(C101&lt;B101,"Ship Before Order",""))</f>
        <v/>
      </c>
      <c r="Z101" s="2">
        <f>IFERROR(
  IF(ISNUMBER(B101),B101,
    IF(ISNUMBER(SEARCH("-",B101)*1),
      IF(LEN(LEFT(B101,FIND("-",B101)-1))=4,
        DATE(VALUE(LEFT(B101,4)),VALUE(MID(B101,6,2)),VALUE(RIGHT(B101,2))),
        DATE(VALUE(RIGHT(B101,4)),VALUE(MID(B101,4,2)),VALUE(LEFT(B101,2)))
      ),
      IF(ISNUMBER(SEARCH("/",B101)*1),
        DATE(VALUE(RIGHT(B101,4)),VALUE(LEFT(B101,2)),VALUE(MID(B101,4,2))),
        DATEVALUE(B101)
      )
    )
  ),
"INVALID_DATE")</f>
        <v>45668</v>
      </c>
      <c r="AA101" s="2">
        <f>IFERROR(
  IF(ISNUMBER(C101),C101,
    IF(ISNUMBER(SEARCH("-",C101)*1),
      IF(LEN(LEFT(C101,FIND("-",C101)-1))=4,
        DATE(VALUE(LEFT(C101,4)),VALUE(MID(C101,6,2)),VALUE(RIGHT(C101,2))),
        DATE(VALUE(RIGHT(C101,4)),VALUE(MID(C101,4,2)),VALUE(LEFT(C101,2)))
      ),
      IF(ISNUMBER(SEARCH("/",C101)*1),
        DATE(VALUE(RIGHT(C101,4)),VALUE(LEFT(C101,2)),VALUE(MID(C101,4,2))),
        DATEVALUE(C101)
      )
    )
  ),
"INVALID_DATE")</f>
        <v>45668</v>
      </c>
      <c r="AB101">
        <f t="shared" si="9"/>
        <v>0</v>
      </c>
      <c r="AC101" t="str">
        <f t="shared" si="10"/>
        <v>January</v>
      </c>
      <c r="AD101">
        <f t="shared" si="11"/>
        <v>2025</v>
      </c>
    </row>
    <row r="102" spans="1:30">
      <c r="A102" t="s">
        <v>603</v>
      </c>
      <c r="B102" t="s">
        <v>604</v>
      </c>
      <c r="C102" t="s">
        <v>605</v>
      </c>
      <c r="D102" t="s">
        <v>606</v>
      </c>
      <c r="E102" t="s">
        <v>169</v>
      </c>
      <c r="F102" t="s">
        <v>122</v>
      </c>
      <c r="G102" t="s">
        <v>69</v>
      </c>
      <c r="H102" t="s">
        <v>249</v>
      </c>
      <c r="I102" t="s">
        <v>250</v>
      </c>
      <c r="J102" t="s">
        <v>37</v>
      </c>
      <c r="K102" t="s">
        <v>163</v>
      </c>
      <c r="L102" t="s">
        <v>607</v>
      </c>
      <c r="M102" t="s">
        <v>74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41</v>
      </c>
      <c r="U102" t="s">
        <v>42</v>
      </c>
      <c r="V102">
        <f t="shared" si="6"/>
        <v>9540.66</v>
      </c>
      <c r="W102">
        <f t="shared" si="7"/>
        <v>3979.17</v>
      </c>
      <c r="X102">
        <f t="shared" si="8"/>
        <v>0.41707491934520252</v>
      </c>
      <c r="Y102" t="str">
        <f>_xlfn.TEXTJOIN(", ",TRUE,IF(G102="Unknown","Missing Region",""),IF(M102="Unknown","Missing Ship Mode",""),IF(P102&lt;0,"Negative Discount",""),IF(P102&gt;0.7,"High Discount",""),IF(C102&lt;B102,"Ship Before Order",""))</f>
        <v/>
      </c>
      <c r="Z102" s="2">
        <f>IFERROR(
  IF(ISNUMBER(B102),B102,
    IF(ISNUMBER(SEARCH("-",B102)*1),
      IF(LEN(LEFT(B102,FIND("-",B102)-1))=4,
        DATE(VALUE(LEFT(B102,4)),VALUE(MID(B102,6,2)),VALUE(RIGHT(B102,2))),
        DATE(VALUE(RIGHT(B102,4)),VALUE(MID(B102,4,2)),VALUE(LEFT(B102,2)))
      ),
      IF(ISNUMBER(SEARCH("/",B102)*1),
        DATE(VALUE(RIGHT(B102,4)),VALUE(LEFT(B102,2)),VALUE(MID(B102,4,2))),
        DATEVALUE(B102)
      )
    )
  ),
"INVALID_DATE")</f>
        <v>45912</v>
      </c>
      <c r="AA102" s="2">
        <f>IFERROR(
  IF(ISNUMBER(C102),C102,
    IF(ISNUMBER(SEARCH("-",C102)*1),
      IF(LEN(LEFT(C102,FIND("-",C102)-1))=4,
        DATE(VALUE(LEFT(C102,4)),VALUE(MID(C102,6,2)),VALUE(RIGHT(C102,2))),
        DATE(VALUE(RIGHT(C102,4)),VALUE(MID(C102,4,2)),VALUE(LEFT(C102,2)))
      ),
      IF(ISNUMBER(SEARCH("/",C102)*1),
        DATE(VALUE(RIGHT(C102,4)),VALUE(LEFT(C102,2)),VALUE(MID(C102,4,2))),
        DATEVALUE(C102)
      )
    )
  ),
"INVALID_DATE")</f>
        <v>45918</v>
      </c>
      <c r="AB102">
        <f t="shared" si="9"/>
        <v>6</v>
      </c>
      <c r="AC102" t="str">
        <f t="shared" si="10"/>
        <v>September</v>
      </c>
      <c r="AD102">
        <f t="shared" si="11"/>
        <v>2025</v>
      </c>
    </row>
    <row r="103" spans="1:30">
      <c r="A103" t="s">
        <v>608</v>
      </c>
      <c r="B103" t="s">
        <v>328</v>
      </c>
      <c r="C103" t="s">
        <v>609</v>
      </c>
      <c r="D103" t="s">
        <v>610</v>
      </c>
      <c r="E103" t="s">
        <v>187</v>
      </c>
      <c r="F103" t="s">
        <v>122</v>
      </c>
      <c r="G103" t="s">
        <v>49</v>
      </c>
      <c r="H103" t="s">
        <v>193</v>
      </c>
      <c r="I103" t="s">
        <v>194</v>
      </c>
      <c r="J103" t="s">
        <v>52</v>
      </c>
      <c r="K103" t="s">
        <v>72</v>
      </c>
      <c r="L103" t="s">
        <v>611</v>
      </c>
      <c r="M103" t="s">
        <v>63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41</v>
      </c>
      <c r="U103" t="s">
        <v>42</v>
      </c>
      <c r="V103">
        <f t="shared" si="6"/>
        <v>16486.95</v>
      </c>
      <c r="W103">
        <f t="shared" si="7"/>
        <v>4432.8100000000013</v>
      </c>
      <c r="X103">
        <f t="shared" si="8"/>
        <v>0.2688678015036135</v>
      </c>
      <c r="Y103" t="str">
        <f>_xlfn.TEXTJOIN(", ",TRUE,IF(G103="Unknown","Missing Region",""),IF(M103="Unknown","Missing Ship Mode",""),IF(P103&lt;0,"Negative Discount",""),IF(P103&gt;0.7,"High Discount",""),IF(C103&lt;B103,"Ship Before Order",""))</f>
        <v/>
      </c>
      <c r="Z103" s="2">
        <f>IFERROR(
  IF(ISNUMBER(B103),B103,
    IF(ISNUMBER(SEARCH("-",B103)*1),
      IF(LEN(LEFT(B103,FIND("-",B103)-1))=4,
        DATE(VALUE(LEFT(B103,4)),VALUE(MID(B103,6,2)),VALUE(RIGHT(B103,2))),
        DATE(VALUE(RIGHT(B103,4)),VALUE(MID(B103,4,2)),VALUE(LEFT(B103,2)))
      ),
      IF(ISNUMBER(SEARCH("/",B103)*1),
        DATE(VALUE(RIGHT(B103,4)),VALUE(LEFT(B103,2)),VALUE(MID(B103,4,2))),
        DATEVALUE(B103)
      )
    )
  ),
"INVALID_DATE")</f>
        <v>45465</v>
      </c>
      <c r="AA103" s="2">
        <f>IFERROR(
  IF(ISNUMBER(C103),C103,
    IF(ISNUMBER(SEARCH("-",C103)*1),
      IF(LEN(LEFT(C103,FIND("-",C103)-1))=4,
        DATE(VALUE(LEFT(C103,4)),VALUE(MID(C103,6,2)),VALUE(RIGHT(C103,2))),
        DATE(VALUE(RIGHT(C103,4)),VALUE(MID(C103,4,2)),VALUE(LEFT(C103,2)))
      ),
      IF(ISNUMBER(SEARCH("/",C103)*1),
        DATE(VALUE(RIGHT(C103,4)),VALUE(LEFT(C103,2)),VALUE(MID(C103,4,2))),
        DATEVALUE(C103)
      )
    )
  ),
"INVALID_DATE")</f>
        <v>45469</v>
      </c>
      <c r="AB103">
        <f t="shared" si="9"/>
        <v>4</v>
      </c>
      <c r="AC103" t="str">
        <f t="shared" si="10"/>
        <v>June</v>
      </c>
      <c r="AD103">
        <f t="shared" si="11"/>
        <v>2024</v>
      </c>
    </row>
    <row r="104" spans="1:30">
      <c r="A104" t="s">
        <v>612</v>
      </c>
      <c r="B104" t="s">
        <v>613</v>
      </c>
      <c r="C104" t="s">
        <v>614</v>
      </c>
      <c r="D104" t="s">
        <v>615</v>
      </c>
      <c r="E104" t="s">
        <v>90</v>
      </c>
      <c r="F104" t="s">
        <v>33</v>
      </c>
      <c r="G104" t="s">
        <v>69</v>
      </c>
      <c r="H104" t="s">
        <v>236</v>
      </c>
      <c r="I104" t="s">
        <v>237</v>
      </c>
      <c r="J104" t="s">
        <v>52</v>
      </c>
      <c r="K104" t="s">
        <v>83</v>
      </c>
      <c r="L104" t="s">
        <v>616</v>
      </c>
      <c r="M104" t="s">
        <v>63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131</v>
      </c>
      <c r="U104" t="s">
        <v>85</v>
      </c>
      <c r="V104">
        <f t="shared" si="6"/>
        <v>11462.84</v>
      </c>
      <c r="W104">
        <f t="shared" si="7"/>
        <v>2483.0599999999995</v>
      </c>
      <c r="X104">
        <f t="shared" si="8"/>
        <v>0.2166182202665308</v>
      </c>
      <c r="Y104" t="str">
        <f>_xlfn.TEXTJOIN(", ",TRUE,IF(G104="Unknown","Missing Region",""),IF(M104="Unknown","Missing Ship Mode",""),IF(P104&lt;0,"Negative Discount",""),IF(P104&gt;0.7,"High Discount",""),IF(C104&lt;B104,"Ship Before Order",""))</f>
        <v/>
      </c>
      <c r="Z104" s="2">
        <f>IFERROR(
  IF(ISNUMBER(B104),B104,
    IF(ISNUMBER(SEARCH("-",B104)*1),
      IF(LEN(LEFT(B104,FIND("-",B104)-1))=4,
        DATE(VALUE(LEFT(B104,4)),VALUE(MID(B104,6,2)),VALUE(RIGHT(B104,2))),
        DATE(VALUE(RIGHT(B104,4)),VALUE(MID(B104,4,2)),VALUE(LEFT(B104,2)))
      ),
      IF(ISNUMBER(SEARCH("/",B104)*1),
        DATE(VALUE(RIGHT(B104,4)),VALUE(LEFT(B104,2)),VALUE(MID(B104,4,2))),
        DATEVALUE(B104)
      )
    )
  ),
"INVALID_DATE")</f>
        <v>45850</v>
      </c>
      <c r="AA104" s="2">
        <f>IFERROR(
  IF(ISNUMBER(C104),C104,
    IF(ISNUMBER(SEARCH("-",C104)*1),
      IF(LEN(LEFT(C104,FIND("-",C104)-1))=4,
        DATE(VALUE(LEFT(C104,4)),VALUE(MID(C104,6,2)),VALUE(RIGHT(C104,2))),
        DATE(VALUE(RIGHT(C104,4)),VALUE(MID(C104,4,2)),VALUE(LEFT(C104,2)))
      ),
      IF(ISNUMBER(SEARCH("/",C104)*1),
        DATE(VALUE(RIGHT(C104,4)),VALUE(LEFT(C104,2)),VALUE(MID(C104,4,2))),
        DATEVALUE(C104)
      )
    )
  ),
"INVALID_DATE")</f>
        <v>45854</v>
      </c>
      <c r="AB104">
        <f t="shared" si="9"/>
        <v>4</v>
      </c>
      <c r="AC104" t="str">
        <f t="shared" si="10"/>
        <v>July</v>
      </c>
      <c r="AD104">
        <f t="shared" si="11"/>
        <v>2025</v>
      </c>
    </row>
    <row r="105" spans="1:30">
      <c r="A105" t="s">
        <v>617</v>
      </c>
      <c r="B105" t="s">
        <v>618</v>
      </c>
      <c r="C105" t="s">
        <v>619</v>
      </c>
      <c r="D105" t="s">
        <v>620</v>
      </c>
      <c r="E105" t="s">
        <v>374</v>
      </c>
      <c r="F105" t="s">
        <v>115</v>
      </c>
      <c r="G105" t="s">
        <v>80</v>
      </c>
      <c r="H105" t="s">
        <v>81</v>
      </c>
      <c r="I105" t="s">
        <v>82</v>
      </c>
      <c r="J105" t="s">
        <v>52</v>
      </c>
      <c r="K105" t="s">
        <v>53</v>
      </c>
      <c r="L105" t="s">
        <v>621</v>
      </c>
      <c r="M105" t="s">
        <v>63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41</v>
      </c>
      <c r="U105" t="s">
        <v>42</v>
      </c>
      <c r="V105">
        <f t="shared" si="6"/>
        <v>7809.0880000000006</v>
      </c>
      <c r="W105">
        <f t="shared" si="7"/>
        <v>1151.3400000000001</v>
      </c>
      <c r="X105">
        <f t="shared" si="8"/>
        <v>0.147435872809764</v>
      </c>
      <c r="Y105" t="str">
        <f>_xlfn.TEXTJOIN(", ",TRUE,IF(G105="Unknown","Missing Region",""),IF(M105="Unknown","Missing Ship Mode",""),IF(P105&lt;0,"Negative Discount",""),IF(P105&gt;0.7,"High Discount",""),IF(C105&lt;B105,"Ship Before Order",""))</f>
        <v/>
      </c>
      <c r="Z105" s="2">
        <f>IFERROR(
  IF(ISNUMBER(B105),B105,
    IF(ISNUMBER(SEARCH("-",B105)*1),
      IF(LEN(LEFT(B105,FIND("-",B105)-1))=4,
        DATE(VALUE(LEFT(B105,4)),VALUE(MID(B105,6,2)),VALUE(RIGHT(B105,2))),
        DATE(VALUE(RIGHT(B105,4)),VALUE(MID(B105,4,2)),VALUE(LEFT(B105,2)))
      ),
      IF(ISNUMBER(SEARCH("/",B105)*1),
        DATE(VALUE(RIGHT(B105,4)),VALUE(LEFT(B105,2)),VALUE(MID(B105,4,2))),
        DATEVALUE(B105)
      )
    )
  ),
"INVALID_DATE")</f>
        <v>45779</v>
      </c>
      <c r="AA105" s="2">
        <f>IFERROR(
  IF(ISNUMBER(C105),C105,
    IF(ISNUMBER(SEARCH("-",C105)*1),
      IF(LEN(LEFT(C105,FIND("-",C105)-1))=4,
        DATE(VALUE(LEFT(C105,4)),VALUE(MID(C105,6,2)),VALUE(RIGHT(C105,2))),
        DATE(VALUE(RIGHT(C105,4)),VALUE(MID(C105,4,2)),VALUE(LEFT(C105,2)))
      ),
      IF(ISNUMBER(SEARCH("/",C105)*1),
        DATE(VALUE(RIGHT(C105,4)),VALUE(LEFT(C105,2)),VALUE(MID(C105,4,2))),
        DATEVALUE(C105)
      )
    )
  ),
"INVALID_DATE")</f>
        <v>45787</v>
      </c>
      <c r="AB105">
        <f t="shared" si="9"/>
        <v>8</v>
      </c>
      <c r="AC105" t="str">
        <f t="shared" si="10"/>
        <v>May</v>
      </c>
      <c r="AD105">
        <f t="shared" si="11"/>
        <v>2025</v>
      </c>
    </row>
    <row r="106" spans="1:30">
      <c r="A106" t="s">
        <v>622</v>
      </c>
      <c r="B106" t="s">
        <v>623</v>
      </c>
      <c r="C106" t="s">
        <v>624</v>
      </c>
      <c r="D106" t="s">
        <v>625</v>
      </c>
      <c r="E106" t="s">
        <v>79</v>
      </c>
      <c r="F106" t="s">
        <v>33</v>
      </c>
      <c r="G106" t="s">
        <v>69</v>
      </c>
      <c r="H106" t="s">
        <v>236</v>
      </c>
      <c r="I106" t="s">
        <v>237</v>
      </c>
      <c r="J106" t="s">
        <v>37</v>
      </c>
      <c r="K106" t="s">
        <v>116</v>
      </c>
      <c r="L106" t="s">
        <v>626</v>
      </c>
      <c r="M106" t="s">
        <v>55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41</v>
      </c>
      <c r="U106" t="s">
        <v>85</v>
      </c>
      <c r="V106">
        <f t="shared" si="6"/>
        <v>7922.0249999999996</v>
      </c>
      <c r="W106">
        <f t="shared" si="7"/>
        <v>2640.5099999999993</v>
      </c>
      <c r="X106">
        <f t="shared" si="8"/>
        <v>0.27868665909646678</v>
      </c>
      <c r="Y106" t="str">
        <f>_xlfn.TEXTJOIN(", ",TRUE,IF(G106="Unknown","Missing Region",""),IF(M106="Unknown","Missing Ship Mode",""),IF(P106&lt;0,"Negative Discount",""),IF(P106&gt;0.7,"High Discount",""),IF(C106&lt;B106,"Ship Before Order",""))</f>
        <v>Ship Before Order</v>
      </c>
      <c r="Z106" s="2">
        <f>IFERROR(
  IF(ISNUMBER(B106),B106,
    IF(ISNUMBER(SEARCH("-",B106)*1),
      IF(LEN(LEFT(B106,FIND("-",B106)-1))=4,
        DATE(VALUE(LEFT(B106,4)),VALUE(MID(B106,6,2)),VALUE(RIGHT(B106,2))),
        DATE(VALUE(RIGHT(B106,4)),VALUE(MID(B106,4,2)),VALUE(LEFT(B106,2)))
      ),
      IF(ISNUMBER(SEARCH("/",B106)*1),
        DATE(VALUE(RIGHT(B106,4)),VALUE(LEFT(B106,2)),VALUE(MID(B106,4,2))),
        DATEVALUE(B106)
      )
    )
  ),
"INVALID_DATE")</f>
        <v>45689</v>
      </c>
      <c r="AA106" s="2">
        <f>IFERROR(
  IF(ISNUMBER(C106),C106,
    IF(ISNUMBER(SEARCH("-",C106)*1),
      IF(LEN(LEFT(C106,FIND("-",C106)-1))=4,
        DATE(VALUE(LEFT(C106,4)),VALUE(MID(C106,6,2)),VALUE(RIGHT(C106,2))),
        DATE(VALUE(RIGHT(C106,4)),VALUE(MID(C106,4,2)),VALUE(LEFT(C106,2)))
      ),
      IF(ISNUMBER(SEARCH("/",C106)*1),
        DATE(VALUE(RIGHT(C106,4)),VALUE(LEFT(C106,2)),VALUE(MID(C106,4,2))),
        DATEVALUE(C106)
      )
    )
  ),
"INVALID_DATE")</f>
        <v>45696</v>
      </c>
      <c r="AB106">
        <f t="shared" si="9"/>
        <v>7</v>
      </c>
      <c r="AC106" t="str">
        <f t="shared" si="10"/>
        <v>February</v>
      </c>
      <c r="AD106">
        <f t="shared" si="11"/>
        <v>2025</v>
      </c>
    </row>
    <row r="107" spans="1:30">
      <c r="A107" t="s">
        <v>627</v>
      </c>
      <c r="B107" t="s">
        <v>628</v>
      </c>
      <c r="C107" t="s">
        <v>629</v>
      </c>
      <c r="D107" t="s">
        <v>630</v>
      </c>
      <c r="E107" t="s">
        <v>47</v>
      </c>
      <c r="F107" t="s">
        <v>122</v>
      </c>
      <c r="G107" t="s">
        <v>49</v>
      </c>
      <c r="H107" t="s">
        <v>128</v>
      </c>
      <c r="I107" t="s">
        <v>129</v>
      </c>
      <c r="J107" t="s">
        <v>52</v>
      </c>
      <c r="K107" t="s">
        <v>53</v>
      </c>
      <c r="L107" t="s">
        <v>631</v>
      </c>
      <c r="M107" t="s">
        <v>40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41</v>
      </c>
      <c r="U107" t="s">
        <v>42</v>
      </c>
      <c r="V107">
        <f t="shared" si="6"/>
        <v>1233</v>
      </c>
      <c r="W107">
        <f t="shared" si="7"/>
        <v>226.10000000000002</v>
      </c>
      <c r="X107">
        <f t="shared" si="8"/>
        <v>0.18337388483373884</v>
      </c>
      <c r="Y107" t="str">
        <f>_xlfn.TEXTJOIN(", ",TRUE,IF(G107="Unknown","Missing Region",""),IF(M107="Unknown","Missing Ship Mode",""),IF(P107&lt;0,"Negative Discount",""),IF(P107&gt;0.7,"High Discount",""),IF(C107&lt;B107,"Ship Before Order",""))</f>
        <v/>
      </c>
      <c r="Z107" s="2">
        <f>IFERROR(
  IF(ISNUMBER(B107),B107,
    IF(ISNUMBER(SEARCH("-",B107)*1),
      IF(LEN(LEFT(B107,FIND("-",B107)-1))=4,
        DATE(VALUE(LEFT(B107,4)),VALUE(MID(B107,6,2)),VALUE(RIGHT(B107,2))),
        DATE(VALUE(RIGHT(B107,4)),VALUE(MID(B107,4,2)),VALUE(LEFT(B107,2)))
      ),
      IF(ISNUMBER(SEARCH("/",B107)*1),
        DATE(VALUE(RIGHT(B107,4)),VALUE(LEFT(B107,2)),VALUE(MID(B107,4,2))),
        DATEVALUE(B107)
      )
    )
  ),
"INVALID_DATE")</f>
        <v>45467</v>
      </c>
      <c r="AA107" s="2">
        <f>IFERROR(
  IF(ISNUMBER(C107),C107,
    IF(ISNUMBER(SEARCH("-",C107)*1),
      IF(LEN(LEFT(C107,FIND("-",C107)-1))=4,
        DATE(VALUE(LEFT(C107,4)),VALUE(MID(C107,6,2)),VALUE(RIGHT(C107,2))),
        DATE(VALUE(RIGHT(C107,4)),VALUE(MID(C107,4,2)),VALUE(LEFT(C107,2)))
      ),
      IF(ISNUMBER(SEARCH("/",C107)*1),
        DATE(VALUE(RIGHT(C107,4)),VALUE(LEFT(C107,2)),VALUE(MID(C107,4,2))),
        DATEVALUE(C107)
      )
    )
  ),
"INVALID_DATE")</f>
        <v>45472</v>
      </c>
      <c r="AB107">
        <f t="shared" si="9"/>
        <v>5</v>
      </c>
      <c r="AC107" t="str">
        <f t="shared" si="10"/>
        <v>June</v>
      </c>
      <c r="AD107">
        <f t="shared" si="11"/>
        <v>2024</v>
      </c>
    </row>
    <row r="108" spans="1:30">
      <c r="A108" t="s">
        <v>632</v>
      </c>
      <c r="B108" t="s">
        <v>633</v>
      </c>
      <c r="C108" t="s">
        <v>634</v>
      </c>
      <c r="D108" t="s">
        <v>635</v>
      </c>
      <c r="E108" t="s">
        <v>68</v>
      </c>
      <c r="F108" t="s">
        <v>122</v>
      </c>
      <c r="G108" t="s">
        <v>49</v>
      </c>
      <c r="H108" t="s">
        <v>128</v>
      </c>
      <c r="I108" t="s">
        <v>129</v>
      </c>
      <c r="J108" t="s">
        <v>37</v>
      </c>
      <c r="K108" t="s">
        <v>38</v>
      </c>
      <c r="L108" t="s">
        <v>636</v>
      </c>
      <c r="M108" t="s">
        <v>74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41</v>
      </c>
      <c r="U108" t="s">
        <v>85</v>
      </c>
      <c r="V108">
        <f t="shared" si="6"/>
        <v>8008.08</v>
      </c>
      <c r="W108">
        <f t="shared" si="7"/>
        <v>1497.88</v>
      </c>
      <c r="X108">
        <f t="shared" si="8"/>
        <v>0.2078290392894952</v>
      </c>
      <c r="Y108" t="str">
        <f>_xlfn.TEXTJOIN(", ",TRUE,IF(G108="Unknown","Missing Region",""),IF(M108="Unknown","Missing Ship Mode",""),IF(P108&lt;0,"Negative Discount",""),IF(P108&gt;0.7,"High Discount",""),IF(C108&lt;B108,"Ship Before Order",""))</f>
        <v/>
      </c>
      <c r="Z108" s="2">
        <f>IFERROR(
  IF(ISNUMBER(B108),B108,
    IF(ISNUMBER(SEARCH("-",B108)*1),
      IF(LEN(LEFT(B108,FIND("-",B108)-1))=4,
        DATE(VALUE(LEFT(B108,4)),VALUE(MID(B108,6,2)),VALUE(RIGHT(B108,2))),
        DATE(VALUE(RIGHT(B108,4)),VALUE(MID(B108,4,2)),VALUE(LEFT(B108,2)))
      ),
      IF(ISNUMBER(SEARCH("/",B108)*1),
        DATE(VALUE(RIGHT(B108,4)),VALUE(LEFT(B108,2)),VALUE(MID(B108,4,2))),
        DATEVALUE(B108)
      )
    )
  ),
"INVALID_DATE")</f>
        <v>45342</v>
      </c>
      <c r="AA108" s="2">
        <f>IFERROR(
  IF(ISNUMBER(C108),C108,
    IF(ISNUMBER(SEARCH("-",C108)*1),
      IF(LEN(LEFT(C108,FIND("-",C108)-1))=4,
        DATE(VALUE(LEFT(C108,4)),VALUE(MID(C108,6,2)),VALUE(RIGHT(C108,2))),
        DATE(VALUE(RIGHT(C108,4)),VALUE(MID(C108,4,2)),VALUE(LEFT(C108,2)))
      ),
      IF(ISNUMBER(SEARCH("/",C108)*1),
        DATE(VALUE(RIGHT(C108,4)),VALUE(LEFT(C108,2)),VALUE(MID(C108,4,2))),
        DATEVALUE(C108)
      )
    )
  ),
"INVALID_DATE")</f>
        <v>45350</v>
      </c>
      <c r="AB108">
        <f t="shared" si="9"/>
        <v>8</v>
      </c>
      <c r="AC108" t="str">
        <f t="shared" si="10"/>
        <v>February</v>
      </c>
      <c r="AD108">
        <f t="shared" si="11"/>
        <v>2024</v>
      </c>
    </row>
    <row r="109" spans="1:30">
      <c r="A109" t="s">
        <v>637</v>
      </c>
      <c r="B109" t="s">
        <v>638</v>
      </c>
      <c r="C109" t="s">
        <v>639</v>
      </c>
      <c r="D109" t="s">
        <v>640</v>
      </c>
      <c r="E109" t="s">
        <v>187</v>
      </c>
      <c r="F109" t="s">
        <v>122</v>
      </c>
      <c r="G109" t="s">
        <v>49</v>
      </c>
      <c r="H109" t="s">
        <v>128</v>
      </c>
      <c r="I109" t="s">
        <v>129</v>
      </c>
      <c r="J109" t="s">
        <v>52</v>
      </c>
      <c r="K109" t="s">
        <v>72</v>
      </c>
      <c r="L109" t="s">
        <v>641</v>
      </c>
      <c r="M109" t="s">
        <v>63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41</v>
      </c>
      <c r="U109" t="s">
        <v>42</v>
      </c>
      <c r="V109">
        <f t="shared" si="6"/>
        <v>12263.236499999999</v>
      </c>
      <c r="W109">
        <f t="shared" si="7"/>
        <v>3337.67</v>
      </c>
      <c r="X109">
        <f t="shared" si="8"/>
        <v>0.2721686927761342</v>
      </c>
      <c r="Y109" t="str">
        <f>_xlfn.TEXTJOIN(", ",TRUE,IF(G109="Unknown","Missing Region",""),IF(M109="Unknown","Missing Ship Mode",""),IF(P109&lt;0,"Negative Discount",""),IF(P109&gt;0.7,"High Discount",""),IF(C109&lt;B109,"Ship Before Order",""))</f>
        <v>Ship Before Order</v>
      </c>
      <c r="Z109" s="2">
        <f>IFERROR(
  IF(ISNUMBER(B109),B109,
    IF(ISNUMBER(SEARCH("-",B109)*1),
      IF(LEN(LEFT(B109,FIND("-",B109)-1))=4,
        DATE(VALUE(LEFT(B109,4)),VALUE(MID(B109,6,2)),VALUE(RIGHT(B109,2))),
        DATE(VALUE(RIGHT(B109,4)),VALUE(MID(B109,4,2)),VALUE(LEFT(B109,2)))
      ),
      IF(ISNUMBER(SEARCH("/",B109)*1),
        DATE(VALUE(RIGHT(B109,4)),VALUE(LEFT(B109,2)),VALUE(MID(B109,4,2))),
        DATEVALUE(B109)
      )
    )
  ),
"INVALID_DATE")</f>
        <v>45594</v>
      </c>
      <c r="AA109" s="2">
        <f>IFERROR(
  IF(ISNUMBER(C109),C109,
    IF(ISNUMBER(SEARCH("-",C109)*1),
      IF(LEN(LEFT(C109,FIND("-",C109)-1))=4,
        DATE(VALUE(LEFT(C109,4)),VALUE(MID(C109,6,2)),VALUE(RIGHT(C109,2))),
        DATE(VALUE(RIGHT(C109,4)),VALUE(MID(C109,4,2)),VALUE(LEFT(C109,2)))
      ),
      IF(ISNUMBER(SEARCH("/",C109)*1),
        DATE(VALUE(RIGHT(C109,4)),VALUE(LEFT(C109,2)),VALUE(MID(C109,4,2))),
        DATEVALUE(C109)
      )
    )
  ),
"INVALID_DATE")</f>
        <v>45600</v>
      </c>
      <c r="AB109">
        <f t="shared" si="9"/>
        <v>6</v>
      </c>
      <c r="AC109" t="str">
        <f t="shared" si="10"/>
        <v>October</v>
      </c>
      <c r="AD109">
        <f t="shared" si="11"/>
        <v>2024</v>
      </c>
    </row>
    <row r="110" spans="1:30">
      <c r="A110" t="s">
        <v>642</v>
      </c>
      <c r="B110" t="s">
        <v>643</v>
      </c>
      <c r="C110" t="s">
        <v>644</v>
      </c>
      <c r="D110" t="s">
        <v>645</v>
      </c>
      <c r="E110" t="s">
        <v>114</v>
      </c>
      <c r="F110" t="s">
        <v>48</v>
      </c>
      <c r="G110" t="s">
        <v>49</v>
      </c>
      <c r="H110" t="s">
        <v>50</v>
      </c>
      <c r="I110" t="s">
        <v>51</v>
      </c>
      <c r="J110" t="s">
        <v>52</v>
      </c>
      <c r="K110" t="s">
        <v>211</v>
      </c>
      <c r="L110" t="s">
        <v>646</v>
      </c>
      <c r="M110" t="s">
        <v>55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41</v>
      </c>
      <c r="U110" t="s">
        <v>42</v>
      </c>
      <c r="V110">
        <f t="shared" si="6"/>
        <v>806.31</v>
      </c>
      <c r="W110">
        <f t="shared" si="7"/>
        <v>307.80999999999995</v>
      </c>
      <c r="X110">
        <f t="shared" si="8"/>
        <v>0.38175143555208296</v>
      </c>
      <c r="Y110" t="str">
        <f>_xlfn.TEXTJOIN(", ",TRUE,IF(G110="Unknown","Missing Region",""),IF(M110="Unknown","Missing Ship Mode",""),IF(P110&lt;0,"Negative Discount",""),IF(P110&gt;0.7,"High Discount",""),IF(C110&lt;B110,"Ship Before Order",""))</f>
        <v>Ship Before Order</v>
      </c>
      <c r="Z110" s="2">
        <f>IFERROR(
  IF(ISNUMBER(B110),B110,
    IF(ISNUMBER(SEARCH("-",B110)*1),
      IF(LEN(LEFT(B110,FIND("-",B110)-1))=4,
        DATE(VALUE(LEFT(B110,4)),VALUE(MID(B110,6,2)),VALUE(RIGHT(B110,2))),
        DATE(VALUE(RIGHT(B110,4)),VALUE(MID(B110,4,2)),VALUE(LEFT(B110,2)))
      ),
      IF(ISNUMBER(SEARCH("/",B110)*1),
        DATE(VALUE(RIGHT(B110,4)),VALUE(LEFT(B110,2)),VALUE(MID(B110,4,2))),
        DATEVALUE(B110)
      )
    )
  ),
"INVALID_DATE")</f>
        <v>45519</v>
      </c>
      <c r="AA110" s="2">
        <f>IFERROR(
  IF(ISNUMBER(C110),C110,
    IF(ISNUMBER(SEARCH("-",C110)*1),
      IF(LEN(LEFT(C110,FIND("-",C110)-1))=4,
        DATE(VALUE(LEFT(C110,4)),VALUE(MID(C110,6,2)),VALUE(RIGHT(C110,2))),
        DATE(VALUE(RIGHT(C110,4)),VALUE(MID(C110,4,2)),VALUE(LEFT(C110,2)))
      ),
      IF(ISNUMBER(SEARCH("/",C110)*1),
        DATE(VALUE(RIGHT(C110,4)),VALUE(LEFT(C110,2)),VALUE(MID(C110,4,2))),
        DATEVALUE(C110)
      )
    )
  ),
"INVALID_DATE")</f>
        <v>45527</v>
      </c>
      <c r="AB110">
        <f t="shared" si="9"/>
        <v>8</v>
      </c>
      <c r="AC110" t="str">
        <f t="shared" si="10"/>
        <v>August</v>
      </c>
      <c r="AD110">
        <f t="shared" si="11"/>
        <v>2024</v>
      </c>
    </row>
    <row r="111" spans="1:30">
      <c r="A111" t="s">
        <v>647</v>
      </c>
      <c r="B111" t="s">
        <v>648</v>
      </c>
      <c r="C111" t="s">
        <v>487</v>
      </c>
      <c r="D111" t="s">
        <v>649</v>
      </c>
      <c r="E111" t="s">
        <v>175</v>
      </c>
      <c r="F111" t="s">
        <v>33</v>
      </c>
      <c r="G111" t="s">
        <v>34</v>
      </c>
      <c r="H111" t="s">
        <v>514</v>
      </c>
      <c r="I111" t="s">
        <v>515</v>
      </c>
      <c r="J111" t="s">
        <v>37</v>
      </c>
      <c r="K111" t="s">
        <v>205</v>
      </c>
      <c r="L111" t="s">
        <v>650</v>
      </c>
      <c r="M111" t="s">
        <v>40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41</v>
      </c>
      <c r="U111" t="s">
        <v>42</v>
      </c>
      <c r="V111">
        <f t="shared" si="6"/>
        <v>2091.4650000000001</v>
      </c>
      <c r="W111">
        <f t="shared" si="7"/>
        <v>774.24999999999977</v>
      </c>
      <c r="X111">
        <f t="shared" si="8"/>
        <v>0.37019416965101104</v>
      </c>
      <c r="Y111" t="str">
        <f>_xlfn.TEXTJOIN(", ",TRUE,IF(G111="Unknown","Missing Region",""),IF(M111="Unknown","Missing Ship Mode",""),IF(P111&lt;0,"Negative Discount",""),IF(P111&gt;0.7,"High Discount",""),IF(C111&lt;B111,"Ship Before Order",""))</f>
        <v>Ship Before Order</v>
      </c>
      <c r="Z111" s="2">
        <f>IFERROR(
  IF(ISNUMBER(B111),B111,
    IF(ISNUMBER(SEARCH("-",B111)*1),
      IF(LEN(LEFT(B111,FIND("-",B111)-1))=4,
        DATE(VALUE(LEFT(B111,4)),VALUE(MID(B111,6,2)),VALUE(RIGHT(B111,2))),
        DATE(VALUE(RIGHT(B111,4)),VALUE(MID(B111,4,2)),VALUE(LEFT(B111,2)))
      ),
      IF(ISNUMBER(SEARCH("/",B111)*1),
        DATE(VALUE(RIGHT(B111,4)),VALUE(LEFT(B111,2)),VALUE(MID(B111,4,2))),
        DATEVALUE(B111)
      )
    )
  ),
"INVALID_DATE")</f>
        <v>45892</v>
      </c>
      <c r="AA111" s="2">
        <f>IFERROR(
  IF(ISNUMBER(C111),C111,
    IF(ISNUMBER(SEARCH("-",C111)*1),
      IF(LEN(LEFT(C111,FIND("-",C111)-1))=4,
        DATE(VALUE(LEFT(C111,4)),VALUE(MID(C111,6,2)),VALUE(RIGHT(C111,2))),
        DATE(VALUE(RIGHT(C111,4)),VALUE(MID(C111,4,2)),VALUE(LEFT(C111,2)))
      ),
      IF(ISNUMBER(SEARCH("/",C111)*1),
        DATE(VALUE(RIGHT(C111,4)),VALUE(LEFT(C111,2)),VALUE(MID(C111,4,2))),
        DATEVALUE(C111)
      )
    )
  ),
"INVALID_DATE")</f>
        <v>45896</v>
      </c>
      <c r="AB111">
        <f t="shared" si="9"/>
        <v>4</v>
      </c>
      <c r="AC111" t="str">
        <f t="shared" si="10"/>
        <v>August</v>
      </c>
      <c r="AD111">
        <f t="shared" si="11"/>
        <v>2025</v>
      </c>
    </row>
    <row r="112" spans="1:30">
      <c r="A112" t="s">
        <v>651</v>
      </c>
      <c r="B112" t="s">
        <v>652</v>
      </c>
      <c r="C112" t="s">
        <v>653</v>
      </c>
      <c r="D112" t="s">
        <v>654</v>
      </c>
      <c r="E112" t="s">
        <v>90</v>
      </c>
      <c r="F112" t="s">
        <v>115</v>
      </c>
      <c r="G112" t="s">
        <v>69</v>
      </c>
      <c r="H112" t="s">
        <v>249</v>
      </c>
      <c r="I112" t="s">
        <v>250</v>
      </c>
      <c r="J112" t="s">
        <v>37</v>
      </c>
      <c r="K112" t="s">
        <v>116</v>
      </c>
      <c r="L112" t="s">
        <v>655</v>
      </c>
      <c r="M112" t="s">
        <v>63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131</v>
      </c>
      <c r="U112" t="s">
        <v>85</v>
      </c>
      <c r="V112">
        <f t="shared" si="6"/>
        <v>4500.9399999999996</v>
      </c>
      <c r="W112">
        <f t="shared" si="7"/>
        <v>1893.2099999999996</v>
      </c>
      <c r="X112">
        <f t="shared" si="8"/>
        <v>0.42062546934640321</v>
      </c>
      <c r="Y112" t="str">
        <f>_xlfn.TEXTJOIN(", ",TRUE,IF(G112="Unknown","Missing Region",""),IF(M112="Unknown","Missing Ship Mode",""),IF(P112&lt;0,"Negative Discount",""),IF(P112&gt;0.7,"High Discount",""),IF(C112&lt;B112,"Ship Before Order",""))</f>
        <v/>
      </c>
      <c r="Z112" s="2">
        <f>IFERROR(
  IF(ISNUMBER(B112),B112,
    IF(ISNUMBER(SEARCH("-",B112)*1),
      IF(LEN(LEFT(B112,FIND("-",B112)-1))=4,
        DATE(VALUE(LEFT(B112,4)),VALUE(MID(B112,6,2)),VALUE(RIGHT(B112,2))),
        DATE(VALUE(RIGHT(B112,4)),VALUE(MID(B112,4,2)),VALUE(LEFT(B112,2)))
      ),
      IF(ISNUMBER(SEARCH("/",B112)*1),
        DATE(VALUE(RIGHT(B112,4)),VALUE(LEFT(B112,2)),VALUE(MID(B112,4,2))),
        DATEVALUE(B112)
      )
    )
  ),
"INVALID_DATE")</f>
        <v>45583</v>
      </c>
      <c r="AA112" s="2">
        <f>IFERROR(
  IF(ISNUMBER(C112),C112,
    IF(ISNUMBER(SEARCH("-",C112)*1),
      IF(LEN(LEFT(C112,FIND("-",C112)-1))=4,
        DATE(VALUE(LEFT(C112,4)),VALUE(MID(C112,6,2)),VALUE(RIGHT(C112,2))),
        DATE(VALUE(RIGHT(C112,4)),VALUE(MID(C112,4,2)),VALUE(LEFT(C112,2)))
      ),
      IF(ISNUMBER(SEARCH("/",C112)*1),
        DATE(VALUE(RIGHT(C112,4)),VALUE(LEFT(C112,2)),VALUE(MID(C112,4,2))),
        DATEVALUE(C112)
      )
    )
  ),
"INVALID_DATE")</f>
        <v>45589</v>
      </c>
      <c r="AB112">
        <f t="shared" si="9"/>
        <v>6</v>
      </c>
      <c r="AC112" t="str">
        <f t="shared" si="10"/>
        <v>October</v>
      </c>
      <c r="AD112">
        <f t="shared" si="11"/>
        <v>2024</v>
      </c>
    </row>
    <row r="113" spans="1:30">
      <c r="A113" t="s">
        <v>656</v>
      </c>
      <c r="B113" t="s">
        <v>657</v>
      </c>
      <c r="C113" t="s">
        <v>658</v>
      </c>
      <c r="D113" t="s">
        <v>659</v>
      </c>
      <c r="E113" t="s">
        <v>100</v>
      </c>
      <c r="F113" t="s">
        <v>115</v>
      </c>
      <c r="G113" t="s">
        <v>49</v>
      </c>
      <c r="H113" t="s">
        <v>193</v>
      </c>
      <c r="I113" t="s">
        <v>194</v>
      </c>
      <c r="J113" t="s">
        <v>93</v>
      </c>
      <c r="K113" t="s">
        <v>94</v>
      </c>
      <c r="L113" t="s">
        <v>660</v>
      </c>
      <c r="M113" t="s">
        <v>63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144</v>
      </c>
      <c r="U113" t="s">
        <v>85</v>
      </c>
      <c r="V113">
        <f t="shared" si="6"/>
        <v>1623.018</v>
      </c>
      <c r="W113">
        <f t="shared" si="7"/>
        <v>545.55999999999995</v>
      </c>
      <c r="X113">
        <f t="shared" si="8"/>
        <v>0.33613880297223692</v>
      </c>
      <c r="Y113" t="str">
        <f>_xlfn.TEXTJOIN(", ",TRUE,IF(G113="Unknown","Missing Region",""),IF(M113="Unknown","Missing Ship Mode",""),IF(P113&lt;0,"Negative Discount",""),IF(P113&gt;0.7,"High Discount",""),IF(C113&lt;B113,"Ship Before Order",""))</f>
        <v/>
      </c>
      <c r="Z113" s="2">
        <f>IFERROR(
  IF(ISNUMBER(B113),B113,
    IF(ISNUMBER(SEARCH("-",B113)*1),
      IF(LEN(LEFT(B113,FIND("-",B113)-1))=4,
        DATE(VALUE(LEFT(B113,4)),VALUE(MID(B113,6,2)),VALUE(RIGHT(B113,2))),
        DATE(VALUE(RIGHT(B113,4)),VALUE(MID(B113,4,2)),VALUE(LEFT(B113,2)))
      ),
      IF(ISNUMBER(SEARCH("/",B113)*1),
        DATE(VALUE(RIGHT(B113,4)),VALUE(LEFT(B113,2)),VALUE(MID(B113,4,2))),
        DATEVALUE(B113)
      )
    )
  ),
"INVALID_DATE")</f>
        <v>45835</v>
      </c>
      <c r="AA113" s="2">
        <f>IFERROR(
  IF(ISNUMBER(C113),C113,
    IF(ISNUMBER(SEARCH("-",C113)*1),
      IF(LEN(LEFT(C113,FIND("-",C113)-1))=4,
        DATE(VALUE(LEFT(C113,4)),VALUE(MID(C113,6,2)),VALUE(RIGHT(C113,2))),
        DATE(VALUE(RIGHT(C113,4)),VALUE(MID(C113,4,2)),VALUE(LEFT(C113,2)))
      ),
      IF(ISNUMBER(SEARCH("/",C113)*1),
        DATE(VALUE(RIGHT(C113,4)),VALUE(LEFT(C113,2)),VALUE(MID(C113,4,2))),
        DATEVALUE(C113)
      )
    )
  ),
"INVALID_DATE")</f>
        <v>45838</v>
      </c>
      <c r="AB113">
        <f t="shared" si="9"/>
        <v>3</v>
      </c>
      <c r="AC113" t="str">
        <f t="shared" si="10"/>
        <v>June</v>
      </c>
      <c r="AD113">
        <f t="shared" si="11"/>
        <v>2025</v>
      </c>
    </row>
    <row r="114" spans="1:30">
      <c r="A114" t="s">
        <v>661</v>
      </c>
      <c r="B114" t="s">
        <v>662</v>
      </c>
      <c r="C114" t="s">
        <v>663</v>
      </c>
      <c r="D114" t="s">
        <v>664</v>
      </c>
      <c r="E114" t="s">
        <v>175</v>
      </c>
      <c r="F114" t="s">
        <v>33</v>
      </c>
      <c r="G114" t="s">
        <v>279</v>
      </c>
      <c r="H114" t="s">
        <v>242</v>
      </c>
      <c r="I114" t="s">
        <v>243</v>
      </c>
      <c r="J114" t="s">
        <v>93</v>
      </c>
      <c r="K114" t="s">
        <v>94</v>
      </c>
      <c r="L114" t="s">
        <v>665</v>
      </c>
      <c r="M114" t="s">
        <v>74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41</v>
      </c>
      <c r="U114" t="s">
        <v>42</v>
      </c>
      <c r="V114">
        <f t="shared" si="6"/>
        <v>10914.018</v>
      </c>
      <c r="W114">
        <f t="shared" si="7"/>
        <v>4365.2800000000007</v>
      </c>
      <c r="X114">
        <f t="shared" si="8"/>
        <v>0.39996994691232007</v>
      </c>
      <c r="Y114" t="str">
        <f>_xlfn.TEXTJOIN(", ",TRUE,IF(G114="Unknown","Missing Region",""),IF(M114="Unknown","Missing Ship Mode",""),IF(P114&lt;0,"Negative Discount",""),IF(P114&gt;0.7,"High Discount",""),IF(C114&lt;B114,"Ship Before Order",""))</f>
        <v>Missing Region</v>
      </c>
      <c r="Z114" s="2">
        <f>IFERROR(
  IF(ISNUMBER(B114),B114,
    IF(ISNUMBER(SEARCH("-",B114)*1),
      IF(LEN(LEFT(B114,FIND("-",B114)-1))=4,
        DATE(VALUE(LEFT(B114,4)),VALUE(MID(B114,6,2)),VALUE(RIGHT(B114,2))),
        DATE(VALUE(RIGHT(B114,4)),VALUE(MID(B114,4,2)),VALUE(LEFT(B114,2)))
      ),
      IF(ISNUMBER(SEARCH("/",B114)*1),
        DATE(VALUE(RIGHT(B114,4)),VALUE(LEFT(B114,2)),VALUE(MID(B114,4,2))),
        DATEVALUE(B114)
      )
    )
  ),
"INVALID_DATE")</f>
        <v>45301</v>
      </c>
      <c r="AA114" s="2">
        <f>IFERROR(
  IF(ISNUMBER(C114),C114,
    IF(ISNUMBER(SEARCH("-",C114)*1),
      IF(LEN(LEFT(C114,FIND("-",C114)-1))=4,
        DATE(VALUE(LEFT(C114,4)),VALUE(MID(C114,6,2)),VALUE(RIGHT(C114,2))),
        DATE(VALUE(RIGHT(C114,4)),VALUE(MID(C114,4,2)),VALUE(LEFT(C114,2)))
      ),
      IF(ISNUMBER(SEARCH("/",C114)*1),
        DATE(VALUE(RIGHT(C114,4)),VALUE(LEFT(C114,2)),VALUE(MID(C114,4,2))),
        DATEVALUE(C114)
      )
    )
  ),
"INVALID_DATE")</f>
        <v>45305</v>
      </c>
      <c r="AB114">
        <f t="shared" si="9"/>
        <v>4</v>
      </c>
      <c r="AC114" t="str">
        <f t="shared" si="10"/>
        <v>January</v>
      </c>
      <c r="AD114">
        <f t="shared" si="11"/>
        <v>2024</v>
      </c>
    </row>
    <row r="115" spans="1:30">
      <c r="A115" t="s">
        <v>666</v>
      </c>
      <c r="B115" t="s">
        <v>667</v>
      </c>
      <c r="C115" t="s">
        <v>667</v>
      </c>
      <c r="D115" t="s">
        <v>529</v>
      </c>
      <c r="E115" t="s">
        <v>60</v>
      </c>
      <c r="F115" t="s">
        <v>122</v>
      </c>
      <c r="G115" t="s">
        <v>69</v>
      </c>
      <c r="H115" t="s">
        <v>347</v>
      </c>
      <c r="I115" t="s">
        <v>348</v>
      </c>
      <c r="J115" t="s">
        <v>52</v>
      </c>
      <c r="K115" t="s">
        <v>53</v>
      </c>
      <c r="L115" t="s">
        <v>668</v>
      </c>
      <c r="M115" t="s">
        <v>74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41</v>
      </c>
      <c r="U115" t="s">
        <v>42</v>
      </c>
      <c r="V115">
        <f t="shared" si="6"/>
        <v>2450.5875000000001</v>
      </c>
      <c r="W115">
        <f t="shared" si="7"/>
        <v>810.7</v>
      </c>
      <c r="X115">
        <f t="shared" si="8"/>
        <v>0.33081829273766727</v>
      </c>
      <c r="Y115" t="str">
        <f>_xlfn.TEXTJOIN(", ",TRUE,IF(G115="Unknown","Missing Region",""),IF(M115="Unknown","Missing Ship Mode",""),IF(P115&lt;0,"Negative Discount",""),IF(P115&gt;0.7,"High Discount",""),IF(C115&lt;B115,"Ship Before Order",""))</f>
        <v/>
      </c>
      <c r="Z115" s="2">
        <f>IFERROR(
  IF(ISNUMBER(B115),B115,
    IF(ISNUMBER(SEARCH("-",B115)*1),
      IF(LEN(LEFT(B115,FIND("-",B115)-1))=4,
        DATE(VALUE(LEFT(B115,4)),VALUE(MID(B115,6,2)),VALUE(RIGHT(B115,2))),
        DATE(VALUE(RIGHT(B115,4)),VALUE(MID(B115,4,2)),VALUE(LEFT(B115,2)))
      ),
      IF(ISNUMBER(SEARCH("/",B115)*1),
        DATE(VALUE(RIGHT(B115,4)),VALUE(LEFT(B115,2)),VALUE(MID(B115,4,2))),
        DATEVALUE(B115)
      )
    )
  ),
"INVALID_DATE")</f>
        <v>45334</v>
      </c>
      <c r="AA115" s="2">
        <f>IFERROR(
  IF(ISNUMBER(C115),C115,
    IF(ISNUMBER(SEARCH("-",C115)*1),
      IF(LEN(LEFT(C115,FIND("-",C115)-1))=4,
        DATE(VALUE(LEFT(C115,4)),VALUE(MID(C115,6,2)),VALUE(RIGHT(C115,2))),
        DATE(VALUE(RIGHT(C115,4)),VALUE(MID(C115,4,2)),VALUE(LEFT(C115,2)))
      ),
      IF(ISNUMBER(SEARCH("/",C115)*1),
        DATE(VALUE(RIGHT(C115,4)),VALUE(LEFT(C115,2)),VALUE(MID(C115,4,2))),
        DATEVALUE(C115)
      )
    )
  ),
"INVALID_DATE")</f>
        <v>45334</v>
      </c>
      <c r="AB115">
        <f t="shared" si="9"/>
        <v>0</v>
      </c>
      <c r="AC115" t="str">
        <f t="shared" si="10"/>
        <v>February</v>
      </c>
      <c r="AD115">
        <f t="shared" si="11"/>
        <v>2024</v>
      </c>
    </row>
    <row r="116" spans="1:30">
      <c r="A116" t="s">
        <v>669</v>
      </c>
      <c r="B116" t="s">
        <v>670</v>
      </c>
      <c r="C116" t="s">
        <v>671</v>
      </c>
      <c r="D116" t="s">
        <v>672</v>
      </c>
      <c r="E116" t="s">
        <v>100</v>
      </c>
      <c r="F116" t="s">
        <v>48</v>
      </c>
      <c r="G116" t="s">
        <v>34</v>
      </c>
      <c r="H116" t="s">
        <v>35</v>
      </c>
      <c r="I116" t="s">
        <v>36</v>
      </c>
      <c r="J116" t="s">
        <v>93</v>
      </c>
      <c r="K116" t="s">
        <v>94</v>
      </c>
      <c r="L116" t="s">
        <v>673</v>
      </c>
      <c r="M116" t="s">
        <v>40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144</v>
      </c>
      <c r="U116" t="s">
        <v>85</v>
      </c>
      <c r="V116">
        <f t="shared" si="6"/>
        <v>3949.56</v>
      </c>
      <c r="W116">
        <f t="shared" si="7"/>
        <v>762.82999999999993</v>
      </c>
      <c r="X116">
        <f t="shared" si="8"/>
        <v>0.19314303365438176</v>
      </c>
      <c r="Y116" t="str">
        <f>_xlfn.TEXTJOIN(", ",TRUE,IF(G116="Unknown","Missing Region",""),IF(M116="Unknown","Missing Ship Mode",""),IF(P116&lt;0,"Negative Discount",""),IF(P116&gt;0.7,"High Discount",""),IF(C116&lt;B116,"Ship Before Order",""))</f>
        <v/>
      </c>
      <c r="Z116" s="2">
        <f>IFERROR(
  IF(ISNUMBER(B116),B116,
    IF(ISNUMBER(SEARCH("-",B116)*1),
      IF(LEN(LEFT(B116,FIND("-",B116)-1))=4,
        DATE(VALUE(LEFT(B116,4)),VALUE(MID(B116,6,2)),VALUE(RIGHT(B116,2))),
        DATE(VALUE(RIGHT(B116,4)),VALUE(MID(B116,4,2)),VALUE(LEFT(B116,2)))
      ),
      IF(ISNUMBER(SEARCH("/",B116)*1),
        DATE(VALUE(RIGHT(B116,4)),VALUE(LEFT(B116,2)),VALUE(MID(B116,4,2))),
        DATEVALUE(B116)
      )
    )
  ),
"INVALID_DATE")</f>
        <v>45560</v>
      </c>
      <c r="AA116" s="2">
        <f>IFERROR(
  IF(ISNUMBER(C116),C116,
    IF(ISNUMBER(SEARCH("-",C116)*1),
      IF(LEN(LEFT(C116,FIND("-",C116)-1))=4,
        DATE(VALUE(LEFT(C116,4)),VALUE(MID(C116,6,2)),VALUE(RIGHT(C116,2))),
        DATE(VALUE(RIGHT(C116,4)),VALUE(MID(C116,4,2)),VALUE(LEFT(C116,2)))
      ),
      IF(ISNUMBER(SEARCH("/",C116)*1),
        DATE(VALUE(RIGHT(C116,4)),VALUE(LEFT(C116,2)),VALUE(MID(C116,4,2))),
        DATEVALUE(C116)
      )
    )
  ),
"INVALID_DATE")</f>
        <v>45565</v>
      </c>
      <c r="AB116">
        <f t="shared" si="9"/>
        <v>5</v>
      </c>
      <c r="AC116" t="str">
        <f t="shared" si="10"/>
        <v>September</v>
      </c>
      <c r="AD116">
        <f t="shared" si="11"/>
        <v>2024</v>
      </c>
    </row>
    <row r="117" spans="1:30">
      <c r="A117" t="s">
        <v>674</v>
      </c>
      <c r="B117" t="s">
        <v>675</v>
      </c>
      <c r="C117" t="s">
        <v>676</v>
      </c>
      <c r="D117" t="s">
        <v>677</v>
      </c>
      <c r="E117" t="s">
        <v>374</v>
      </c>
      <c r="F117" t="s">
        <v>115</v>
      </c>
      <c r="G117" t="s">
        <v>69</v>
      </c>
      <c r="H117" t="s">
        <v>347</v>
      </c>
      <c r="I117" t="s">
        <v>348</v>
      </c>
      <c r="J117" t="s">
        <v>37</v>
      </c>
      <c r="K117" t="s">
        <v>205</v>
      </c>
      <c r="L117" t="s">
        <v>678</v>
      </c>
      <c r="M117" t="s">
        <v>55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41</v>
      </c>
      <c r="U117" t="s">
        <v>85</v>
      </c>
      <c r="V117">
        <f t="shared" si="6"/>
        <v>758.77799999999991</v>
      </c>
      <c r="W117">
        <f t="shared" si="7"/>
        <v>268.03999999999996</v>
      </c>
      <c r="X117">
        <f t="shared" si="8"/>
        <v>0.35325127177838112</v>
      </c>
      <c r="Y117" t="str">
        <f>_xlfn.TEXTJOIN(", ",TRUE,IF(G117="Unknown","Missing Region",""),IF(M117="Unknown","Missing Ship Mode",""),IF(P117&lt;0,"Negative Discount",""),IF(P117&gt;0.7,"High Discount",""),IF(C117&lt;B117,"Ship Before Order",""))</f>
        <v>Ship Before Order</v>
      </c>
      <c r="Z117" s="2">
        <f>IFERROR(
  IF(ISNUMBER(B117),B117,
    IF(ISNUMBER(SEARCH("-",B117)*1),
      IF(LEN(LEFT(B117,FIND("-",B117)-1))=4,
        DATE(VALUE(LEFT(B117,4)),VALUE(MID(B117,6,2)),VALUE(RIGHT(B117,2))),
        DATE(VALUE(RIGHT(B117,4)),VALUE(MID(B117,4,2)),VALUE(LEFT(B117,2)))
      ),
      IF(ISNUMBER(SEARCH("/",B117)*1),
        DATE(VALUE(RIGHT(B117,4)),VALUE(LEFT(B117,2)),VALUE(MID(B117,4,2))),
        DATEVALUE(B117)
      )
    )
  ),
"INVALID_DATE")</f>
        <v>45653</v>
      </c>
      <c r="AA117" s="2">
        <f>IFERROR(
  IF(ISNUMBER(C117),C117,
    IF(ISNUMBER(SEARCH("-",C117)*1),
      IF(LEN(LEFT(C117,FIND("-",C117)-1))=4,
        DATE(VALUE(LEFT(C117,4)),VALUE(MID(C117,6,2)),VALUE(RIGHT(C117,2))),
        DATE(VALUE(RIGHT(C117,4)),VALUE(MID(C117,4,2)),VALUE(LEFT(C117,2)))
      ),
      IF(ISNUMBER(SEARCH("/",C117)*1),
        DATE(VALUE(RIGHT(C117,4)),VALUE(LEFT(C117,2)),VALUE(MID(C117,4,2))),
        DATEVALUE(C117)
      )
    )
  ),
"INVALID_DATE")</f>
        <v>45658</v>
      </c>
      <c r="AB117">
        <f t="shared" si="9"/>
        <v>5</v>
      </c>
      <c r="AC117" t="str">
        <f t="shared" si="10"/>
        <v>December</v>
      </c>
      <c r="AD117">
        <f t="shared" si="11"/>
        <v>2024</v>
      </c>
    </row>
    <row r="118" spans="1:30">
      <c r="A118" t="s">
        <v>679</v>
      </c>
      <c r="B118" t="s">
        <v>680</v>
      </c>
      <c r="C118" t="s">
        <v>681</v>
      </c>
      <c r="D118" t="s">
        <v>682</v>
      </c>
      <c r="E118" t="s">
        <v>79</v>
      </c>
      <c r="F118" t="s">
        <v>48</v>
      </c>
      <c r="G118" t="s">
        <v>279</v>
      </c>
      <c r="H118" t="s">
        <v>91</v>
      </c>
      <c r="I118" t="s">
        <v>92</v>
      </c>
      <c r="J118" t="s">
        <v>37</v>
      </c>
      <c r="K118" t="s">
        <v>205</v>
      </c>
      <c r="L118" t="s">
        <v>683</v>
      </c>
      <c r="M118" t="s">
        <v>63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207</v>
      </c>
      <c r="U118" t="s">
        <v>85</v>
      </c>
      <c r="V118">
        <f t="shared" si="6"/>
        <v>3590.9324999999999</v>
      </c>
      <c r="W118">
        <f t="shared" si="7"/>
        <v>529.54</v>
      </c>
      <c r="X118">
        <f t="shared" si="8"/>
        <v>0.14746597678038836</v>
      </c>
      <c r="Y118" t="str">
        <f>_xlfn.TEXTJOIN(", ",TRUE,IF(G118="Unknown","Missing Region",""),IF(M118="Unknown","Missing Ship Mode",""),IF(P118&lt;0,"Negative Discount",""),IF(P118&gt;0.7,"High Discount",""),IF(C118&lt;B118,"Ship Before Order",""))</f>
        <v>Missing Region, Ship Before Order</v>
      </c>
      <c r="Z118" s="2">
        <f>IFERROR(
  IF(ISNUMBER(B118),B118,
    IF(ISNUMBER(SEARCH("-",B118)*1),
      IF(LEN(LEFT(B118,FIND("-",B118)-1))=4,
        DATE(VALUE(LEFT(B118,4)),VALUE(MID(B118,6,2)),VALUE(RIGHT(B118,2))),
        DATE(VALUE(RIGHT(B118,4)),VALUE(MID(B118,4,2)),VALUE(LEFT(B118,2)))
      ),
      IF(ISNUMBER(SEARCH("/",B118)*1),
        DATE(VALUE(RIGHT(B118,4)),VALUE(LEFT(B118,2)),VALUE(MID(B118,4,2))),
        DATEVALUE(B118)
      )
    )
  ),
"INVALID_DATE")</f>
        <v>45703</v>
      </c>
      <c r="AA118" s="2">
        <f>IFERROR(
  IF(ISNUMBER(C118),C118,
    IF(ISNUMBER(SEARCH("-",C118)*1),
      IF(LEN(LEFT(C118,FIND("-",C118)-1))=4,
        DATE(VALUE(LEFT(C118,4)),VALUE(MID(C118,6,2)),VALUE(RIGHT(C118,2))),
        DATE(VALUE(RIGHT(C118,4)),VALUE(MID(C118,4,2)),VALUE(LEFT(C118,2)))
      ),
      IF(ISNUMBER(SEARCH("/",C118)*1),
        DATE(VALUE(RIGHT(C118,4)),VALUE(LEFT(C118,2)),VALUE(MID(C118,4,2))),
        DATEVALUE(C118)
      )
    )
  ),
"INVALID_DATE")</f>
        <v>45707</v>
      </c>
      <c r="AB118">
        <f t="shared" si="9"/>
        <v>4</v>
      </c>
      <c r="AC118" t="str">
        <f t="shared" si="10"/>
        <v>February</v>
      </c>
      <c r="AD118">
        <f t="shared" si="11"/>
        <v>2025</v>
      </c>
    </row>
    <row r="119" spans="1:30">
      <c r="A119" t="s">
        <v>684</v>
      </c>
      <c r="B119" t="s">
        <v>685</v>
      </c>
      <c r="C119" t="s">
        <v>686</v>
      </c>
      <c r="D119" t="s">
        <v>687</v>
      </c>
      <c r="E119" t="s">
        <v>47</v>
      </c>
      <c r="F119" t="s">
        <v>122</v>
      </c>
      <c r="G119" t="s">
        <v>69</v>
      </c>
      <c r="H119" t="s">
        <v>347</v>
      </c>
      <c r="I119" t="s">
        <v>348</v>
      </c>
      <c r="J119" t="s">
        <v>93</v>
      </c>
      <c r="K119" t="s">
        <v>390</v>
      </c>
      <c r="L119" t="s">
        <v>688</v>
      </c>
      <c r="M119" t="s">
        <v>74</v>
      </c>
      <c r="N119">
        <v>9</v>
      </c>
      <c r="O119">
        <v>3324.55</v>
      </c>
      <c r="P119" t="s">
        <v>689</v>
      </c>
      <c r="Q119">
        <v>25432.81</v>
      </c>
      <c r="R119">
        <v>20370.16</v>
      </c>
      <c r="S119">
        <v>5062.6499999999996</v>
      </c>
      <c r="T119" t="s">
        <v>41</v>
      </c>
      <c r="U119" t="s">
        <v>42</v>
      </c>
      <c r="V119">
        <f t="shared" si="6"/>
        <v>8976.2850000000017</v>
      </c>
      <c r="W119">
        <f t="shared" si="7"/>
        <v>5062.6500000000015</v>
      </c>
      <c r="X119">
        <f t="shared" si="8"/>
        <v>0.19905979716751707</v>
      </c>
      <c r="Y119" t="str">
        <f>_xlfn.TEXTJOIN(", ",TRUE,IF(G119="Unknown","Missing Region",""),IF(M119="Unknown","Missing Ship Mode",""),IF(P119&lt;0,"Negative Discount",""),IF(P119&gt;0.7,"High Discount",""),IF(C119&lt;B119,"Ship Before Order",""))</f>
        <v>High Discount, Ship Before Order</v>
      </c>
      <c r="Z119" s="2">
        <f>IFERROR(
  IF(ISNUMBER(B119),B119,
    IF(ISNUMBER(SEARCH("-",B119)*1),
      IF(LEN(LEFT(B119,FIND("-",B119)-1))=4,
        DATE(VALUE(LEFT(B119,4)),VALUE(MID(B119,6,2)),VALUE(RIGHT(B119,2))),
        DATE(VALUE(RIGHT(B119,4)),VALUE(MID(B119,4,2)),VALUE(LEFT(B119,2)))
      ),
      IF(ISNUMBER(SEARCH("/",B119)*1),
        DATE(VALUE(RIGHT(B119,4)),VALUE(LEFT(B119,2)),VALUE(MID(B119,4,2))),
        DATEVALUE(B119)
      )
    )
  ),
"INVALID_DATE")</f>
        <v>45337</v>
      </c>
      <c r="AA119" s="2">
        <f>IFERROR(
  IF(ISNUMBER(C119),C119,
    IF(ISNUMBER(SEARCH("-",C119)*1),
      IF(LEN(LEFT(C119,FIND("-",C119)-1))=4,
        DATE(VALUE(LEFT(C119,4)),VALUE(MID(C119,6,2)),VALUE(RIGHT(C119,2))),
        DATE(VALUE(RIGHT(C119,4)),VALUE(MID(C119,4,2)),VALUE(LEFT(C119,2)))
      ),
      IF(ISNUMBER(SEARCH("/",C119)*1),
        DATE(VALUE(RIGHT(C119,4)),VALUE(LEFT(C119,2)),VALUE(MID(C119,4,2))),
        DATEVALUE(C119)
      )
    )
  ),
"INVALID_DATE")</f>
        <v>45339</v>
      </c>
      <c r="AB119">
        <f t="shared" si="9"/>
        <v>2</v>
      </c>
      <c r="AC119" t="str">
        <f t="shared" si="10"/>
        <v>February</v>
      </c>
      <c r="AD119">
        <f t="shared" si="11"/>
        <v>2024</v>
      </c>
    </row>
    <row r="120" spans="1:30">
      <c r="A120" t="s">
        <v>690</v>
      </c>
      <c r="B120" t="s">
        <v>691</v>
      </c>
      <c r="C120" t="s">
        <v>692</v>
      </c>
      <c r="D120" t="s">
        <v>693</v>
      </c>
      <c r="E120" t="s">
        <v>694</v>
      </c>
      <c r="F120" t="s">
        <v>122</v>
      </c>
      <c r="G120" t="s">
        <v>69</v>
      </c>
      <c r="H120" t="s">
        <v>107</v>
      </c>
      <c r="I120" t="s">
        <v>108</v>
      </c>
      <c r="J120" t="s">
        <v>93</v>
      </c>
      <c r="K120" t="s">
        <v>101</v>
      </c>
      <c r="L120" t="s">
        <v>695</v>
      </c>
      <c r="M120" t="s">
        <v>55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41</v>
      </c>
      <c r="U120" t="s">
        <v>42</v>
      </c>
      <c r="V120">
        <f t="shared" si="6"/>
        <v>6321.0800000000008</v>
      </c>
      <c r="W120">
        <f t="shared" si="7"/>
        <v>1913.8599999999997</v>
      </c>
      <c r="X120">
        <f t="shared" si="8"/>
        <v>0.30277420947053352</v>
      </c>
      <c r="Y120" t="str">
        <f>_xlfn.TEXTJOIN(", ",TRUE,IF(G120="Unknown","Missing Region",""),IF(M120="Unknown","Missing Ship Mode",""),IF(P120&lt;0,"Negative Discount",""),IF(P120&gt;0.7,"High Discount",""),IF(C120&lt;B120,"Ship Before Order",""))</f>
        <v/>
      </c>
      <c r="Z120" s="2">
        <f>IFERROR(
  IF(ISNUMBER(B120),B120,
    IF(ISNUMBER(SEARCH("-",B120)*1),
      IF(LEN(LEFT(B120,FIND("-",B120)-1))=4,
        DATE(VALUE(LEFT(B120,4)),VALUE(MID(B120,6,2)),VALUE(RIGHT(B120,2))),
        DATE(VALUE(RIGHT(B120,4)),VALUE(MID(B120,4,2)),VALUE(LEFT(B120,2)))
      ),
      IF(ISNUMBER(SEARCH("/",B120)*1),
        DATE(VALUE(RIGHT(B120,4)),VALUE(LEFT(B120,2)),VALUE(MID(B120,4,2))),
        DATEVALUE(B120)
      )
    )
  ),
"INVALID_DATE")</f>
        <v>45453</v>
      </c>
      <c r="AA120" s="2">
        <f>IFERROR(
  IF(ISNUMBER(C120),C120,
    IF(ISNUMBER(SEARCH("-",C120)*1),
      IF(LEN(LEFT(C120,FIND("-",C120)-1))=4,
        DATE(VALUE(LEFT(C120,4)),VALUE(MID(C120,6,2)),VALUE(RIGHT(C120,2))),
        DATE(VALUE(RIGHT(C120,4)),VALUE(MID(C120,4,2)),VALUE(LEFT(C120,2)))
      ),
      IF(ISNUMBER(SEARCH("/",C120)*1),
        DATE(VALUE(RIGHT(C120,4)),VALUE(LEFT(C120,2)),VALUE(MID(C120,4,2))),
        DATEVALUE(C120)
      )
    )
  ),
"INVALID_DATE")</f>
        <v>45461</v>
      </c>
      <c r="AB120">
        <f t="shared" si="9"/>
        <v>8</v>
      </c>
      <c r="AC120" t="str">
        <f t="shared" si="10"/>
        <v>June</v>
      </c>
      <c r="AD120">
        <f t="shared" si="11"/>
        <v>2024</v>
      </c>
    </row>
    <row r="121" spans="1:30">
      <c r="A121" t="s">
        <v>696</v>
      </c>
      <c r="B121" t="s">
        <v>697</v>
      </c>
      <c r="C121" t="s">
        <v>698</v>
      </c>
      <c r="D121" t="s">
        <v>699</v>
      </c>
      <c r="E121" t="s">
        <v>114</v>
      </c>
      <c r="F121" t="s">
        <v>48</v>
      </c>
      <c r="G121" t="s">
        <v>69</v>
      </c>
      <c r="H121" t="s">
        <v>249</v>
      </c>
      <c r="I121" t="s">
        <v>250</v>
      </c>
      <c r="J121" t="s">
        <v>52</v>
      </c>
      <c r="K121" t="s">
        <v>83</v>
      </c>
      <c r="L121" t="s">
        <v>700</v>
      </c>
      <c r="M121" t="s">
        <v>74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131</v>
      </c>
      <c r="U121" t="s">
        <v>132</v>
      </c>
      <c r="V121">
        <f t="shared" si="6"/>
        <v>1884.3000000000002</v>
      </c>
      <c r="W121">
        <f t="shared" si="7"/>
        <v>366.6099999999999</v>
      </c>
      <c r="X121">
        <f t="shared" si="8"/>
        <v>0.19456031417502523</v>
      </c>
      <c r="Y121" t="str">
        <f>_xlfn.TEXTJOIN(", ",TRUE,IF(G121="Unknown","Missing Region",""),IF(M121="Unknown","Missing Ship Mode",""),IF(P121&lt;0,"Negative Discount",""),IF(P121&gt;0.7,"High Discount",""),IF(C121&lt;B121,"Ship Before Order",""))</f>
        <v/>
      </c>
      <c r="Z121" s="2">
        <f>IFERROR(
  IF(ISNUMBER(B121),B121,
    IF(ISNUMBER(SEARCH("-",B121)*1),
      IF(LEN(LEFT(B121,FIND("-",B121)-1))=4,
        DATE(VALUE(LEFT(B121,4)),VALUE(MID(B121,6,2)),VALUE(RIGHT(B121,2))),
        DATE(VALUE(RIGHT(B121,4)),VALUE(MID(B121,4,2)),VALUE(LEFT(B121,2)))
      ),
      IF(ISNUMBER(SEARCH("/",B121)*1),
        DATE(VALUE(RIGHT(B121,4)),VALUE(LEFT(B121,2)),VALUE(MID(B121,4,2))),
        DATEVALUE(B121)
      )
    )
  ),
"INVALID_DATE")</f>
        <v>45455</v>
      </c>
      <c r="AA121" s="2">
        <f>IFERROR(
  IF(ISNUMBER(C121),C121,
    IF(ISNUMBER(SEARCH("-",C121)*1),
      IF(LEN(LEFT(C121,FIND("-",C121)-1))=4,
        DATE(VALUE(LEFT(C121,4)),VALUE(MID(C121,6,2)),VALUE(RIGHT(C121,2))),
        DATE(VALUE(RIGHT(C121,4)),VALUE(MID(C121,4,2)),VALUE(LEFT(C121,2)))
      ),
      IF(ISNUMBER(SEARCH("/",C121)*1),
        DATE(VALUE(RIGHT(C121,4)),VALUE(LEFT(C121,2)),VALUE(MID(C121,4,2))),
        DATEVALUE(C121)
      )
    )
  ),
"INVALID_DATE")</f>
        <v>45462</v>
      </c>
      <c r="AB121">
        <f t="shared" si="9"/>
        <v>7</v>
      </c>
      <c r="AC121" t="str">
        <f t="shared" si="10"/>
        <v>June</v>
      </c>
      <c r="AD121">
        <f t="shared" si="11"/>
        <v>2024</v>
      </c>
    </row>
    <row r="122" spans="1:30">
      <c r="A122" t="s">
        <v>701</v>
      </c>
      <c r="B122" t="s">
        <v>511</v>
      </c>
      <c r="C122" t="s">
        <v>702</v>
      </c>
      <c r="D122" t="s">
        <v>703</v>
      </c>
      <c r="E122" t="s">
        <v>175</v>
      </c>
      <c r="F122" t="s">
        <v>48</v>
      </c>
      <c r="G122" t="s">
        <v>49</v>
      </c>
      <c r="H122" t="s">
        <v>193</v>
      </c>
      <c r="I122" t="s">
        <v>194</v>
      </c>
      <c r="J122" t="s">
        <v>93</v>
      </c>
      <c r="K122" t="s">
        <v>230</v>
      </c>
      <c r="L122" t="s">
        <v>704</v>
      </c>
      <c r="M122" t="s">
        <v>74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41</v>
      </c>
      <c r="U122" t="s">
        <v>132</v>
      </c>
      <c r="V122">
        <f t="shared" si="6"/>
        <v>1458.9360000000001</v>
      </c>
      <c r="W122">
        <f t="shared" si="7"/>
        <v>565.74</v>
      </c>
      <c r="X122">
        <f t="shared" si="8"/>
        <v>0.38777468573073598</v>
      </c>
      <c r="Y122" t="str">
        <f>_xlfn.TEXTJOIN(", ",TRUE,IF(G122="Unknown","Missing Region",""),IF(M122="Unknown","Missing Ship Mode",""),IF(P122&lt;0,"Negative Discount",""),IF(P122&gt;0.7,"High Discount",""),IF(C122&lt;B122,"Ship Before Order",""))</f>
        <v/>
      </c>
      <c r="Z122" s="2">
        <f>IFERROR(
  IF(ISNUMBER(B122),B122,
    IF(ISNUMBER(SEARCH("-",B122)*1),
      IF(LEN(LEFT(B122,FIND("-",B122)-1))=4,
        DATE(VALUE(LEFT(B122,4)),VALUE(MID(B122,6,2)),VALUE(RIGHT(B122,2))),
        DATE(VALUE(RIGHT(B122,4)),VALUE(MID(B122,4,2)),VALUE(LEFT(B122,2)))
      ),
      IF(ISNUMBER(SEARCH("/",B122)*1),
        DATE(VALUE(RIGHT(B122,4)),VALUE(LEFT(B122,2)),VALUE(MID(B122,4,2))),
        DATEVALUE(B122)
      )
    )
  ),
"INVALID_DATE")</f>
        <v>45514</v>
      </c>
      <c r="AA122" s="2">
        <f>IFERROR(
  IF(ISNUMBER(C122),C122,
    IF(ISNUMBER(SEARCH("-",C122)*1),
      IF(LEN(LEFT(C122,FIND("-",C122)-1))=4,
        DATE(VALUE(LEFT(C122,4)),VALUE(MID(C122,6,2)),VALUE(RIGHT(C122,2))),
        DATE(VALUE(RIGHT(C122,4)),VALUE(MID(C122,4,2)),VALUE(LEFT(C122,2)))
      ),
      IF(ISNUMBER(SEARCH("/",C122)*1),
        DATE(VALUE(RIGHT(C122,4)),VALUE(LEFT(C122,2)),VALUE(MID(C122,4,2))),
        DATEVALUE(C122)
      )
    )
  ),
"INVALID_DATE")</f>
        <v>45522</v>
      </c>
      <c r="AB122">
        <f t="shared" si="9"/>
        <v>8</v>
      </c>
      <c r="AC122" t="str">
        <f t="shared" si="10"/>
        <v>August</v>
      </c>
      <c r="AD122">
        <f t="shared" si="11"/>
        <v>2024</v>
      </c>
    </row>
    <row r="123" spans="1:30">
      <c r="A123" t="s">
        <v>705</v>
      </c>
      <c r="B123" t="s">
        <v>706</v>
      </c>
      <c r="C123" t="s">
        <v>707</v>
      </c>
      <c r="D123" t="s">
        <v>708</v>
      </c>
      <c r="E123" t="s">
        <v>374</v>
      </c>
      <c r="F123" t="s">
        <v>709</v>
      </c>
      <c r="G123" t="s">
        <v>69</v>
      </c>
      <c r="H123" t="s">
        <v>107</v>
      </c>
      <c r="I123" t="s">
        <v>108</v>
      </c>
      <c r="J123" t="s">
        <v>93</v>
      </c>
      <c r="K123" t="s">
        <v>390</v>
      </c>
      <c r="L123" t="s">
        <v>710</v>
      </c>
      <c r="M123" t="s">
        <v>40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131</v>
      </c>
      <c r="U123" t="s">
        <v>85</v>
      </c>
      <c r="V123">
        <f t="shared" si="6"/>
        <v>17414.599999999999</v>
      </c>
      <c r="W123">
        <f t="shared" si="7"/>
        <v>5653.6899999999987</v>
      </c>
      <c r="X123">
        <f t="shared" si="8"/>
        <v>0.32465230323981026</v>
      </c>
      <c r="Y123" t="str">
        <f>_xlfn.TEXTJOIN(", ",TRUE,IF(G123="Unknown","Missing Region",""),IF(M123="Unknown","Missing Ship Mode",""),IF(P123&lt;0,"Negative Discount",""),IF(P123&gt;0.7,"High Discount",""),IF(C123&lt;B123,"Ship Before Order",""))</f>
        <v/>
      </c>
      <c r="Z123" s="2">
        <f>IFERROR(
  IF(ISNUMBER(B123),B123,
    IF(ISNUMBER(SEARCH("-",B123)*1),
      IF(LEN(LEFT(B123,FIND("-",B123)-1))=4,
        DATE(VALUE(LEFT(B123,4)),VALUE(MID(B123,6,2)),VALUE(RIGHT(B123,2))),
        DATE(VALUE(RIGHT(B123,4)),VALUE(MID(B123,4,2)),VALUE(LEFT(B123,2)))
      ),
      IF(ISNUMBER(SEARCH("/",B123)*1),
        DATE(VALUE(RIGHT(B123,4)),VALUE(LEFT(B123,2)),VALUE(MID(B123,4,2))),
        DATEVALUE(B123)
      )
    )
  ),
"INVALID_DATE")</f>
        <v>45891</v>
      </c>
      <c r="AA123" s="2">
        <f>IFERROR(
  IF(ISNUMBER(C123),C123,
    IF(ISNUMBER(SEARCH("-",C123)*1),
      IF(LEN(LEFT(C123,FIND("-",C123)-1))=4,
        DATE(VALUE(LEFT(C123,4)),VALUE(MID(C123,6,2)),VALUE(RIGHT(C123,2))),
        DATE(VALUE(RIGHT(C123,4)),VALUE(MID(C123,4,2)),VALUE(LEFT(C123,2)))
      ),
      IF(ISNUMBER(SEARCH("/",C123)*1),
        DATE(VALUE(RIGHT(C123,4)),VALUE(LEFT(C123,2)),VALUE(MID(C123,4,2))),
        DATEVALUE(C123)
      )
    )
  ),
"INVALID_DATE")</f>
        <v>45895</v>
      </c>
      <c r="AB123">
        <f t="shared" si="9"/>
        <v>4</v>
      </c>
      <c r="AC123" t="str">
        <f t="shared" si="10"/>
        <v>August</v>
      </c>
      <c r="AD123">
        <f t="shared" si="11"/>
        <v>2025</v>
      </c>
    </row>
    <row r="124" spans="1:30">
      <c r="A124" t="s">
        <v>711</v>
      </c>
      <c r="B124" t="s">
        <v>712</v>
      </c>
      <c r="C124" t="s">
        <v>713</v>
      </c>
      <c r="D124" t="s">
        <v>714</v>
      </c>
      <c r="E124" t="s">
        <v>79</v>
      </c>
      <c r="F124" t="s">
        <v>48</v>
      </c>
      <c r="G124" t="s">
        <v>49</v>
      </c>
      <c r="H124" t="s">
        <v>223</v>
      </c>
      <c r="I124" t="s">
        <v>224</v>
      </c>
      <c r="J124" t="s">
        <v>52</v>
      </c>
      <c r="K124" t="s">
        <v>83</v>
      </c>
      <c r="L124" t="s">
        <v>715</v>
      </c>
      <c r="M124" t="s">
        <v>40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41</v>
      </c>
      <c r="U124" t="s">
        <v>42</v>
      </c>
      <c r="V124">
        <f t="shared" si="6"/>
        <v>511.04999999999995</v>
      </c>
      <c r="W124">
        <f t="shared" si="7"/>
        <v>143.87</v>
      </c>
      <c r="X124">
        <f t="shared" si="8"/>
        <v>0.28151844242246354</v>
      </c>
      <c r="Y124" t="str">
        <f>_xlfn.TEXTJOIN(", ",TRUE,IF(G124="Unknown","Missing Region",""),IF(M124="Unknown","Missing Ship Mode",""),IF(P124&lt;0,"Negative Discount",""),IF(P124&gt;0.7,"High Discount",""),IF(C124&lt;B124,"Ship Before Order",""))</f>
        <v>Ship Before Order</v>
      </c>
      <c r="Z124" s="2">
        <f>IFERROR(
  IF(ISNUMBER(B124),B124,
    IF(ISNUMBER(SEARCH("-",B124)*1),
      IF(LEN(LEFT(B124,FIND("-",B124)-1))=4,
        DATE(VALUE(LEFT(B124,4)),VALUE(MID(B124,6,2)),VALUE(RIGHT(B124,2))),
        DATE(VALUE(RIGHT(B124,4)),VALUE(MID(B124,4,2)),VALUE(LEFT(B124,2)))
      ),
      IF(ISNUMBER(SEARCH("/",B124)*1),
        DATE(VALUE(RIGHT(B124,4)),VALUE(LEFT(B124,2)),VALUE(MID(B124,4,2))),
        DATEVALUE(B124)
      )
    )
  ),
"INVALID_DATE")</f>
        <v>45626</v>
      </c>
      <c r="AA124" s="2">
        <f>IFERROR(
  IF(ISNUMBER(C124),C124,
    IF(ISNUMBER(SEARCH("-",C124)*1),
      IF(LEN(LEFT(C124,FIND("-",C124)-1))=4,
        DATE(VALUE(LEFT(C124,4)),VALUE(MID(C124,6,2)),VALUE(RIGHT(C124,2))),
        DATE(VALUE(RIGHT(C124,4)),VALUE(MID(C124,4,2)),VALUE(LEFT(C124,2)))
      ),
      IF(ISNUMBER(SEARCH("/",C124)*1),
        DATE(VALUE(RIGHT(C124,4)),VALUE(LEFT(C124,2)),VALUE(MID(C124,4,2))),
        DATEVALUE(C124)
      )
    )
  ),
"INVALID_DATE")</f>
        <v>45630</v>
      </c>
      <c r="AB124">
        <f t="shared" si="9"/>
        <v>4</v>
      </c>
      <c r="AC124" t="str">
        <f t="shared" si="10"/>
        <v>November</v>
      </c>
      <c r="AD124">
        <f t="shared" si="11"/>
        <v>2024</v>
      </c>
    </row>
    <row r="125" spans="1:30">
      <c r="A125" t="s">
        <v>716</v>
      </c>
      <c r="B125" t="s">
        <v>717</v>
      </c>
      <c r="C125" t="s">
        <v>718</v>
      </c>
      <c r="D125" t="s">
        <v>719</v>
      </c>
      <c r="E125" t="s">
        <v>175</v>
      </c>
      <c r="F125" t="s">
        <v>48</v>
      </c>
      <c r="G125" t="s">
        <v>720</v>
      </c>
      <c r="H125" t="s">
        <v>161</v>
      </c>
      <c r="I125" t="s">
        <v>162</v>
      </c>
      <c r="J125" t="s">
        <v>93</v>
      </c>
      <c r="K125" t="s">
        <v>101</v>
      </c>
      <c r="L125" t="s">
        <v>721</v>
      </c>
      <c r="M125" t="s">
        <v>55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131</v>
      </c>
      <c r="U125" t="s">
        <v>85</v>
      </c>
      <c r="V125">
        <f t="shared" si="6"/>
        <v>634.13</v>
      </c>
      <c r="W125">
        <f t="shared" si="7"/>
        <v>180.77999999999997</v>
      </c>
      <c r="X125">
        <f t="shared" si="8"/>
        <v>0.28508350022865975</v>
      </c>
      <c r="Y125" t="str">
        <f>_xlfn.TEXTJOIN(", ",TRUE,IF(G125="Unknown","Missing Region",""),IF(M125="Unknown","Missing Ship Mode",""),IF(P125&lt;0,"Negative Discount",""),IF(P125&gt;0.7,"High Discount",""),IF(C125&lt;B125,"Ship Before Order",""))</f>
        <v/>
      </c>
      <c r="Z125" s="2">
        <f>IFERROR(
  IF(ISNUMBER(B125),B125,
    IF(ISNUMBER(SEARCH("-",B125)*1),
      IF(LEN(LEFT(B125,FIND("-",B125)-1))=4,
        DATE(VALUE(LEFT(B125,4)),VALUE(MID(B125,6,2)),VALUE(RIGHT(B125,2))),
        DATE(VALUE(RIGHT(B125,4)),VALUE(MID(B125,4,2)),VALUE(LEFT(B125,2)))
      ),
      IF(ISNUMBER(SEARCH("/",B125)*1),
        DATE(VALUE(RIGHT(B125,4)),VALUE(LEFT(B125,2)),VALUE(MID(B125,4,2))),
        DATEVALUE(B125)
      )
    )
  ),
"INVALID_DATE")</f>
        <v>45436</v>
      </c>
      <c r="AA125" s="2">
        <f>IFERROR(
  IF(ISNUMBER(C125),C125,
    IF(ISNUMBER(SEARCH("-",C125)*1),
      IF(LEN(LEFT(C125,FIND("-",C125)-1))=4,
        DATE(VALUE(LEFT(C125,4)),VALUE(MID(C125,6,2)),VALUE(RIGHT(C125,2))),
        DATE(VALUE(RIGHT(C125,4)),VALUE(MID(C125,4,2)),VALUE(LEFT(C125,2)))
      ),
      IF(ISNUMBER(SEARCH("/",C125)*1),
        DATE(VALUE(RIGHT(C125,4)),VALUE(LEFT(C125,2)),VALUE(MID(C125,4,2))),
        DATEVALUE(C125)
      )
    )
  ),
"INVALID_DATE")</f>
        <v>45437</v>
      </c>
      <c r="AB125">
        <f t="shared" si="9"/>
        <v>1</v>
      </c>
      <c r="AC125" t="str">
        <f t="shared" si="10"/>
        <v>May</v>
      </c>
      <c r="AD125">
        <f t="shared" si="11"/>
        <v>2024</v>
      </c>
    </row>
    <row r="126" spans="1:30">
      <c r="A126" t="s">
        <v>722</v>
      </c>
      <c r="B126" t="s">
        <v>29</v>
      </c>
      <c r="C126" t="s">
        <v>723</v>
      </c>
      <c r="D126" t="s">
        <v>724</v>
      </c>
      <c r="E126" t="s">
        <v>60</v>
      </c>
      <c r="F126" t="s">
        <v>115</v>
      </c>
      <c r="G126" t="s">
        <v>69</v>
      </c>
      <c r="H126" t="s">
        <v>236</v>
      </c>
      <c r="I126" t="s">
        <v>237</v>
      </c>
      <c r="J126" t="s">
        <v>93</v>
      </c>
      <c r="K126" t="s">
        <v>101</v>
      </c>
      <c r="L126" t="s">
        <v>725</v>
      </c>
      <c r="M126" t="s">
        <v>74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41</v>
      </c>
      <c r="U126" t="s">
        <v>42</v>
      </c>
      <c r="V126">
        <f t="shared" si="6"/>
        <v>4813.3709999999992</v>
      </c>
      <c r="W126">
        <f t="shared" si="7"/>
        <v>741.80000000000018</v>
      </c>
      <c r="X126">
        <f t="shared" si="8"/>
        <v>0.17722922251370193</v>
      </c>
      <c r="Y126" t="str">
        <f>_xlfn.TEXTJOIN(", ",TRUE,IF(G126="Unknown","Missing Region",""),IF(M126="Unknown","Missing Ship Mode",""),IF(P126&lt;0,"Negative Discount",""),IF(P126&gt;0.7,"High Discount",""),IF(C126&lt;B126,"Ship Before Order",""))</f>
        <v>Negative Discount, Ship Before Order</v>
      </c>
      <c r="Z126" s="2">
        <f>IFERROR(
  IF(ISNUMBER(B126),B126,
    IF(ISNUMBER(SEARCH("-",B126)*1),
      IF(LEN(LEFT(B126,FIND("-",B126)-1))=4,
        DATE(VALUE(LEFT(B126,4)),VALUE(MID(B126,6,2)),VALUE(RIGHT(B126,2))),
        DATE(VALUE(RIGHT(B126,4)),VALUE(MID(B126,4,2)),VALUE(LEFT(B126,2)))
      ),
      IF(ISNUMBER(SEARCH("/",B126)*1),
        DATE(VALUE(RIGHT(B126,4)),VALUE(LEFT(B126,2)),VALUE(MID(B126,4,2))),
        DATEVALUE(B126)
      )
    )
  ),
"INVALID_DATE")</f>
        <v>45494</v>
      </c>
      <c r="AA126" s="2">
        <f>IFERROR(
  IF(ISNUMBER(C126),C126,
    IF(ISNUMBER(SEARCH("-",C126)*1),
      IF(LEN(LEFT(C126,FIND("-",C126)-1))=4,
        DATE(VALUE(LEFT(C126,4)),VALUE(MID(C126,6,2)),VALUE(RIGHT(C126,2))),
        DATE(VALUE(RIGHT(C126,4)),VALUE(MID(C126,4,2)),VALUE(LEFT(C126,2)))
      ),
      IF(ISNUMBER(SEARCH("/",C126)*1),
        DATE(VALUE(RIGHT(C126,4)),VALUE(LEFT(C126,2)),VALUE(MID(C126,4,2))),
        DATEVALUE(C126)
      )
    )
  ),
"INVALID_DATE")</f>
        <v>45497</v>
      </c>
      <c r="AB126">
        <f t="shared" si="9"/>
        <v>3</v>
      </c>
      <c r="AC126" t="str">
        <f t="shared" si="10"/>
        <v>July</v>
      </c>
      <c r="AD126">
        <f t="shared" si="11"/>
        <v>2024</v>
      </c>
    </row>
    <row r="127" spans="1:30">
      <c r="A127" t="s">
        <v>726</v>
      </c>
      <c r="B127" t="s">
        <v>727</v>
      </c>
      <c r="C127" t="s">
        <v>728</v>
      </c>
      <c r="D127" t="s">
        <v>729</v>
      </c>
      <c r="E127" t="s">
        <v>100</v>
      </c>
      <c r="F127" t="s">
        <v>48</v>
      </c>
      <c r="G127" t="s">
        <v>80</v>
      </c>
      <c r="H127" t="s">
        <v>35</v>
      </c>
      <c r="I127" t="s">
        <v>142</v>
      </c>
      <c r="J127" t="s">
        <v>52</v>
      </c>
      <c r="K127" t="s">
        <v>53</v>
      </c>
      <c r="L127" t="s">
        <v>730</v>
      </c>
      <c r="M127" t="s">
        <v>55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131</v>
      </c>
      <c r="U127" t="s">
        <v>132</v>
      </c>
      <c r="V127">
        <f t="shared" si="6"/>
        <v>14558.715</v>
      </c>
      <c r="W127">
        <f t="shared" si="7"/>
        <v>4967.24</v>
      </c>
      <c r="X127">
        <f t="shared" si="8"/>
        <v>0.34118658783189731</v>
      </c>
      <c r="Y127" t="str">
        <f>_xlfn.TEXTJOIN(", ",TRUE,IF(G127="Unknown","Missing Region",""),IF(M127="Unknown","Missing Ship Mode",""),IF(P127&lt;0,"Negative Discount",""),IF(P127&gt;0.7,"High Discount",""),IF(C127&lt;B127,"Ship Before Order",""))</f>
        <v>Ship Before Order</v>
      </c>
      <c r="Z127" s="2">
        <f>IFERROR(
  IF(ISNUMBER(B127),B127,
    IF(ISNUMBER(SEARCH("-",B127)*1),
      IF(LEN(LEFT(B127,FIND("-",B127)-1))=4,
        DATE(VALUE(LEFT(B127,4)),VALUE(MID(B127,6,2)),VALUE(RIGHT(B127,2))),
        DATE(VALUE(RIGHT(B127,4)),VALUE(MID(B127,4,2)),VALUE(LEFT(B127,2)))
      ),
      IF(ISNUMBER(SEARCH("/",B127)*1),
        DATE(VALUE(RIGHT(B127,4)),VALUE(LEFT(B127,2)),VALUE(MID(B127,4,2))),
        DATEVALUE(B127)
      )
    )
  ),
"INVALID_DATE")</f>
        <v>45855</v>
      </c>
      <c r="AA127" s="2">
        <f>IFERROR(
  IF(ISNUMBER(C127),C127,
    IF(ISNUMBER(SEARCH("-",C127)*1),
      IF(LEN(LEFT(C127,FIND("-",C127)-1))=4,
        DATE(VALUE(LEFT(C127,4)),VALUE(MID(C127,6,2)),VALUE(RIGHT(C127,2))),
        DATE(VALUE(RIGHT(C127,4)),VALUE(MID(C127,4,2)),VALUE(LEFT(C127,2)))
      ),
      IF(ISNUMBER(SEARCH("/",C127)*1),
        DATE(VALUE(RIGHT(C127,4)),VALUE(LEFT(C127,2)),VALUE(MID(C127,4,2))),
        DATEVALUE(C127)
      )
    )
  ),
"INVALID_DATE")</f>
        <v>45856</v>
      </c>
      <c r="AB127">
        <f t="shared" si="9"/>
        <v>1</v>
      </c>
      <c r="AC127" t="str">
        <f t="shared" si="10"/>
        <v>July</v>
      </c>
      <c r="AD127">
        <f t="shared" si="11"/>
        <v>2025</v>
      </c>
    </row>
    <row r="128" spans="1:30">
      <c r="A128" t="s">
        <v>731</v>
      </c>
      <c r="B128" t="s">
        <v>732</v>
      </c>
      <c r="C128" t="s">
        <v>733</v>
      </c>
      <c r="D128" t="s">
        <v>734</v>
      </c>
      <c r="E128" t="s">
        <v>149</v>
      </c>
      <c r="F128" t="s">
        <v>115</v>
      </c>
      <c r="G128" t="s">
        <v>34</v>
      </c>
      <c r="H128" t="s">
        <v>514</v>
      </c>
      <c r="I128" t="s">
        <v>515</v>
      </c>
      <c r="J128" t="s">
        <v>93</v>
      </c>
      <c r="K128" t="s">
        <v>101</v>
      </c>
      <c r="L128" t="s">
        <v>735</v>
      </c>
      <c r="M128" t="s">
        <v>74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41</v>
      </c>
      <c r="U128" t="s">
        <v>42</v>
      </c>
      <c r="V128">
        <f t="shared" si="6"/>
        <v>4303.4219999999996</v>
      </c>
      <c r="W128">
        <f t="shared" si="7"/>
        <v>1734.85</v>
      </c>
      <c r="X128">
        <f t="shared" si="8"/>
        <v>0.40313285712293939</v>
      </c>
      <c r="Y128" t="str">
        <f>_xlfn.TEXTJOIN(", ",TRUE,IF(G128="Unknown","Missing Region",""),IF(M128="Unknown","Missing Ship Mode",""),IF(P128&lt;0,"Negative Discount",""),IF(P128&gt;0.7,"High Discount",""),IF(C128&lt;B128,"Ship Before Order",""))</f>
        <v/>
      </c>
      <c r="Z128" s="2">
        <f>IFERROR(
  IF(ISNUMBER(B128),B128,
    IF(ISNUMBER(SEARCH("-",B128)*1),
      IF(LEN(LEFT(B128,FIND("-",B128)-1))=4,
        DATE(VALUE(LEFT(B128,4)),VALUE(MID(B128,6,2)),VALUE(RIGHT(B128,2))),
        DATE(VALUE(RIGHT(B128,4)),VALUE(MID(B128,4,2)),VALUE(LEFT(B128,2)))
      ),
      IF(ISNUMBER(SEARCH("/",B128)*1),
        DATE(VALUE(RIGHT(B128,4)),VALUE(LEFT(B128,2)),VALUE(MID(B128,4,2))),
        DATEVALUE(B128)
      )
    )
  ),
"INVALID_DATE")</f>
        <v>45924</v>
      </c>
      <c r="AA128" s="2">
        <f>IFERROR(
  IF(ISNUMBER(C128),C128,
    IF(ISNUMBER(SEARCH("-",C128)*1),
      IF(LEN(LEFT(C128,FIND("-",C128)-1))=4,
        DATE(VALUE(LEFT(C128,4)),VALUE(MID(C128,6,2)),VALUE(RIGHT(C128,2))),
        DATE(VALUE(RIGHT(C128,4)),VALUE(MID(C128,4,2)),VALUE(LEFT(C128,2)))
      ),
      IF(ISNUMBER(SEARCH("/",C128)*1),
        DATE(VALUE(RIGHT(C128,4)),VALUE(LEFT(C128,2)),VALUE(MID(C128,4,2))),
        DATEVALUE(C128)
      )
    )
  ),
"INVALID_DATE")</f>
        <v>45926</v>
      </c>
      <c r="AB128">
        <f t="shared" si="9"/>
        <v>2</v>
      </c>
      <c r="AC128" t="str">
        <f t="shared" si="10"/>
        <v>September</v>
      </c>
      <c r="AD128">
        <f t="shared" si="11"/>
        <v>2025</v>
      </c>
    </row>
    <row r="129" spans="1:30">
      <c r="A129" t="s">
        <v>736</v>
      </c>
      <c r="B129" t="s">
        <v>198</v>
      </c>
      <c r="C129" t="s">
        <v>737</v>
      </c>
      <c r="D129" t="s">
        <v>738</v>
      </c>
      <c r="E129" t="s">
        <v>149</v>
      </c>
      <c r="F129" t="s">
        <v>115</v>
      </c>
      <c r="G129" t="s">
        <v>80</v>
      </c>
      <c r="H129" t="s">
        <v>91</v>
      </c>
      <c r="I129" t="s">
        <v>92</v>
      </c>
      <c r="J129" t="s">
        <v>37</v>
      </c>
      <c r="K129" t="s">
        <v>163</v>
      </c>
      <c r="L129" t="s">
        <v>739</v>
      </c>
      <c r="M129" t="s">
        <v>40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41</v>
      </c>
      <c r="U129" t="s">
        <v>42</v>
      </c>
      <c r="V129">
        <f t="shared" si="6"/>
        <v>5774.67</v>
      </c>
      <c r="W129">
        <f t="shared" si="7"/>
        <v>2256.31</v>
      </c>
      <c r="X129">
        <f t="shared" si="8"/>
        <v>0.39072535746631409</v>
      </c>
      <c r="Y129" t="str">
        <f>_xlfn.TEXTJOIN(", ",TRUE,IF(G129="Unknown","Missing Region",""),IF(M129="Unknown","Missing Ship Mode",""),IF(P129&lt;0,"Negative Discount",""),IF(P129&gt;0.7,"High Discount",""),IF(C129&lt;B129,"Ship Before Order",""))</f>
        <v/>
      </c>
      <c r="Z129" s="2">
        <f>IFERROR(
  IF(ISNUMBER(B129),B129,
    IF(ISNUMBER(SEARCH("-",B129)*1),
      IF(LEN(LEFT(B129,FIND("-",B129)-1))=4,
        DATE(VALUE(LEFT(B129,4)),VALUE(MID(B129,6,2)),VALUE(RIGHT(B129,2))),
        DATE(VALUE(RIGHT(B129,4)),VALUE(MID(B129,4,2)),VALUE(LEFT(B129,2)))
      ),
      IF(ISNUMBER(SEARCH("/",B129)*1),
        DATE(VALUE(RIGHT(B129,4)),VALUE(LEFT(B129,2)),VALUE(MID(B129,4,2))),
        DATEVALUE(B129)
      )
    )
  ),
"INVALID_DATE")</f>
        <v>45687</v>
      </c>
      <c r="AA129" s="2">
        <f>IFERROR(
  IF(ISNUMBER(C129),C129,
    IF(ISNUMBER(SEARCH("-",C129)*1),
      IF(LEN(LEFT(C129,FIND("-",C129)-1))=4,
        DATE(VALUE(LEFT(C129,4)),VALUE(MID(C129,6,2)),VALUE(RIGHT(C129,2))),
        DATE(VALUE(RIGHT(C129,4)),VALUE(MID(C129,4,2)),VALUE(LEFT(C129,2)))
      ),
      IF(ISNUMBER(SEARCH("/",C129)*1),
        DATE(VALUE(RIGHT(C129,4)),VALUE(LEFT(C129,2)),VALUE(MID(C129,4,2))),
        DATEVALUE(C129)
      )
    )
  ),
"INVALID_DATE")</f>
        <v>45683</v>
      </c>
      <c r="AB129">
        <f t="shared" si="9"/>
        <v>-4</v>
      </c>
      <c r="AC129" t="str">
        <f t="shared" si="10"/>
        <v>January</v>
      </c>
      <c r="AD129">
        <f t="shared" si="11"/>
        <v>2025</v>
      </c>
    </row>
    <row r="130" spans="1:30">
      <c r="A130" t="s">
        <v>740</v>
      </c>
      <c r="B130" t="s">
        <v>741</v>
      </c>
      <c r="C130" t="s">
        <v>742</v>
      </c>
      <c r="D130" t="s">
        <v>743</v>
      </c>
      <c r="E130" t="s">
        <v>100</v>
      </c>
      <c r="F130" t="s">
        <v>48</v>
      </c>
      <c r="G130" t="s">
        <v>49</v>
      </c>
      <c r="H130" t="s">
        <v>50</v>
      </c>
      <c r="I130" t="s">
        <v>51</v>
      </c>
      <c r="J130" t="s">
        <v>52</v>
      </c>
      <c r="K130" t="s">
        <v>72</v>
      </c>
      <c r="L130" t="s">
        <v>744</v>
      </c>
      <c r="M130" t="s">
        <v>74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41</v>
      </c>
      <c r="U130" t="s">
        <v>132</v>
      </c>
      <c r="V130">
        <f t="shared" ref="V130:V193" si="12">O130*(1-P130)*N130</f>
        <v>4386.3874999999998</v>
      </c>
      <c r="W130">
        <f t="shared" ref="W130:W193" si="13">Q130-R130</f>
        <v>1019.5100000000002</v>
      </c>
      <c r="X130">
        <f t="shared" ref="X130:X193" si="14">IF(Q130=0,"",S130/Q130)</f>
        <v>0.23242575329599052</v>
      </c>
      <c r="Y130" t="str">
        <f>_xlfn.TEXTJOIN(", ",TRUE,IF(G130="Unknown","Missing Region",""),IF(M130="Unknown","Missing Ship Mode",""),IF(P130&lt;0,"Negative Discount",""),IF(P130&gt;0.7,"High Discount",""),IF(C130&lt;B130,"Ship Before Order",""))</f>
        <v/>
      </c>
      <c r="Z130" s="2">
        <f>IFERROR(
  IF(ISNUMBER(B130),B130,
    IF(ISNUMBER(SEARCH("-",B130)*1),
      IF(LEN(LEFT(B130,FIND("-",B130)-1))=4,
        DATE(VALUE(LEFT(B130,4)),VALUE(MID(B130,6,2)),VALUE(RIGHT(B130,2))),
        DATE(VALUE(RIGHT(B130,4)),VALUE(MID(B130,4,2)),VALUE(LEFT(B130,2)))
      ),
      IF(ISNUMBER(SEARCH("/",B130)*1),
        DATE(VALUE(RIGHT(B130,4)),VALUE(LEFT(B130,2)),VALUE(MID(B130,4,2))),
        DATEVALUE(B130)
      )
    )
  ),
"INVALID_DATE")</f>
        <v>45639</v>
      </c>
      <c r="AA130" s="2">
        <f>IFERROR(
  IF(ISNUMBER(C130),C130,
    IF(ISNUMBER(SEARCH("-",C130)*1),
      IF(LEN(LEFT(C130,FIND("-",C130)-1))=4,
        DATE(VALUE(LEFT(C130,4)),VALUE(MID(C130,6,2)),VALUE(RIGHT(C130,2))),
        DATE(VALUE(RIGHT(C130,4)),VALUE(MID(C130,4,2)),VALUE(LEFT(C130,2)))
      ),
      IF(ISNUMBER(SEARCH("/",C130)*1),
        DATE(VALUE(RIGHT(C130,4)),VALUE(LEFT(C130,2)),VALUE(MID(C130,4,2))),
        DATEVALUE(C130)
      )
    )
  ),
"INVALID_DATE")</f>
        <v>45642</v>
      </c>
      <c r="AB130">
        <f t="shared" si="9"/>
        <v>3</v>
      </c>
      <c r="AC130" t="str">
        <f t="shared" si="10"/>
        <v>December</v>
      </c>
      <c r="AD130">
        <f t="shared" si="11"/>
        <v>2024</v>
      </c>
    </row>
    <row r="131" spans="1:30">
      <c r="A131" t="s">
        <v>745</v>
      </c>
      <c r="B131" t="s">
        <v>414</v>
      </c>
      <c r="C131" t="s">
        <v>746</v>
      </c>
      <c r="D131" t="s">
        <v>747</v>
      </c>
      <c r="E131" t="s">
        <v>60</v>
      </c>
      <c r="F131" t="s">
        <v>48</v>
      </c>
      <c r="G131" t="s">
        <v>80</v>
      </c>
      <c r="H131" t="s">
        <v>256</v>
      </c>
      <c r="I131" t="s">
        <v>257</v>
      </c>
      <c r="J131" t="s">
        <v>37</v>
      </c>
      <c r="K131" t="s">
        <v>205</v>
      </c>
      <c r="L131" t="s">
        <v>748</v>
      </c>
      <c r="M131" t="s">
        <v>74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41</v>
      </c>
      <c r="U131" t="s">
        <v>42</v>
      </c>
      <c r="V131">
        <f t="shared" si="12"/>
        <v>18229.5785</v>
      </c>
      <c r="W131">
        <f t="shared" si="13"/>
        <v>3090.4300000000021</v>
      </c>
      <c r="X131">
        <f t="shared" si="14"/>
        <v>0.16952831606652483</v>
      </c>
      <c r="Y131" t="str">
        <f>_xlfn.TEXTJOIN(", ",TRUE,IF(G131="Unknown","Missing Region",""),IF(M131="Unknown","Missing Ship Mode",""),IF(P131&lt;0,"Negative Discount",""),IF(P131&gt;0.7,"High Discount",""),IF(C131&lt;B131,"Ship Before Order",""))</f>
        <v/>
      </c>
      <c r="Z131" s="2">
        <f>IFERROR(
  IF(ISNUMBER(B131),B131,
    IF(ISNUMBER(SEARCH("-",B131)*1),
      IF(LEN(LEFT(B131,FIND("-",B131)-1))=4,
        DATE(VALUE(LEFT(B131,4)),VALUE(MID(B131,6,2)),VALUE(RIGHT(B131,2))),
        DATE(VALUE(RIGHT(B131,4)),VALUE(MID(B131,4,2)),VALUE(LEFT(B131,2)))
      ),
      IF(ISNUMBER(SEARCH("/",B131)*1),
        DATE(VALUE(RIGHT(B131,4)),VALUE(LEFT(B131,2)),VALUE(MID(B131,4,2))),
        DATEVALUE(B131)
      )
    )
  ),
"INVALID_DATE")</f>
        <v>45492</v>
      </c>
      <c r="AA131" s="2">
        <f>IFERROR(
  IF(ISNUMBER(C131),C131,
    IF(ISNUMBER(SEARCH("-",C131)*1),
      IF(LEN(LEFT(C131,FIND("-",C131)-1))=4,
        DATE(VALUE(LEFT(C131,4)),VALUE(MID(C131,6,2)),VALUE(RIGHT(C131,2))),
        DATE(VALUE(RIGHT(C131,4)),VALUE(MID(C131,4,2)),VALUE(LEFT(C131,2)))
      ),
      IF(ISNUMBER(SEARCH("/",C131)*1),
        DATE(VALUE(RIGHT(C131,4)),VALUE(LEFT(C131,2)),VALUE(MID(C131,4,2))),
        DATEVALUE(C131)
      )
    )
  ),
"INVALID_DATE")</f>
        <v>45498</v>
      </c>
      <c r="AB131">
        <f t="shared" ref="AB131:AB194" si="15">AA131-Z131</f>
        <v>6</v>
      </c>
      <c r="AC131" t="str">
        <f t="shared" ref="AC131:AC194" si="16">TEXT(Z131,"mmmm")</f>
        <v>July</v>
      </c>
      <c r="AD131">
        <f t="shared" ref="AD131:AD194" si="17">YEAR(Z131)</f>
        <v>2024</v>
      </c>
    </row>
    <row r="132" spans="1:30">
      <c r="A132" t="s">
        <v>749</v>
      </c>
      <c r="B132" t="s">
        <v>750</v>
      </c>
      <c r="C132" t="s">
        <v>751</v>
      </c>
      <c r="D132" t="s">
        <v>752</v>
      </c>
      <c r="E132" t="s">
        <v>68</v>
      </c>
      <c r="F132" t="s">
        <v>33</v>
      </c>
      <c r="G132" t="s">
        <v>80</v>
      </c>
      <c r="H132" t="s">
        <v>242</v>
      </c>
      <c r="I132" t="s">
        <v>243</v>
      </c>
      <c r="J132" t="s">
        <v>37</v>
      </c>
      <c r="K132" t="s">
        <v>116</v>
      </c>
      <c r="L132" t="s">
        <v>753</v>
      </c>
      <c r="M132" t="s">
        <v>55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144</v>
      </c>
      <c r="U132" t="s">
        <v>85</v>
      </c>
      <c r="V132">
        <f t="shared" si="12"/>
        <v>873.68</v>
      </c>
      <c r="W132">
        <f t="shared" si="13"/>
        <v>211.95999999999992</v>
      </c>
      <c r="X132">
        <f t="shared" si="14"/>
        <v>0.24260598846259501</v>
      </c>
      <c r="Y132" t="str">
        <f>_xlfn.TEXTJOIN(", ",TRUE,IF(G132="Unknown","Missing Region",""),IF(M132="Unknown","Missing Ship Mode",""),IF(P132&lt;0,"Negative Discount",""),IF(P132&gt;0.7,"High Discount",""),IF(C132&lt;B132,"Ship Before Order",""))</f>
        <v>Ship Before Order</v>
      </c>
      <c r="Z132" s="2">
        <f>IFERROR(
  IF(ISNUMBER(B132),B132,
    IF(ISNUMBER(SEARCH("-",B132)*1),
      IF(LEN(LEFT(B132,FIND("-",B132)-1))=4,
        DATE(VALUE(LEFT(B132,4)),VALUE(MID(B132,6,2)),VALUE(RIGHT(B132,2))),
        DATE(VALUE(RIGHT(B132,4)),VALUE(MID(B132,4,2)),VALUE(LEFT(B132,2)))
      ),
      IF(ISNUMBER(SEARCH("/",B132)*1),
        DATE(VALUE(RIGHT(B132,4)),VALUE(LEFT(B132,2)),VALUE(MID(B132,4,2))),
        DATEVALUE(B132)
      )
    )
  ),
"INVALID_DATE")</f>
        <v>45318</v>
      </c>
      <c r="AA132" s="2">
        <f>IFERROR(
  IF(ISNUMBER(C132),C132,
    IF(ISNUMBER(SEARCH("-",C132)*1),
      IF(LEN(LEFT(C132,FIND("-",C132)-1))=4,
        DATE(VALUE(LEFT(C132,4)),VALUE(MID(C132,6,2)),VALUE(RIGHT(C132,2))),
        DATE(VALUE(RIGHT(C132,4)),VALUE(MID(C132,4,2)),VALUE(LEFT(C132,2)))
      ),
      IF(ISNUMBER(SEARCH("/",C132)*1),
        DATE(VALUE(RIGHT(C132,4)),VALUE(LEFT(C132,2)),VALUE(MID(C132,4,2))),
        DATEVALUE(C132)
      )
    )
  ),
"INVALID_DATE")</f>
        <v>45324</v>
      </c>
      <c r="AB132">
        <f t="shared" si="15"/>
        <v>6</v>
      </c>
      <c r="AC132" t="str">
        <f t="shared" si="16"/>
        <v>January</v>
      </c>
      <c r="AD132">
        <f t="shared" si="17"/>
        <v>2024</v>
      </c>
    </row>
    <row r="133" spans="1:30">
      <c r="A133" t="s">
        <v>754</v>
      </c>
      <c r="B133" t="s">
        <v>755</v>
      </c>
      <c r="C133" t="s">
        <v>756</v>
      </c>
      <c r="D133" t="s">
        <v>757</v>
      </c>
      <c r="E133" t="s">
        <v>79</v>
      </c>
      <c r="F133" t="s">
        <v>122</v>
      </c>
      <c r="G133" t="s">
        <v>49</v>
      </c>
      <c r="H133" t="s">
        <v>319</v>
      </c>
      <c r="I133" t="s">
        <v>320</v>
      </c>
      <c r="J133" t="s">
        <v>37</v>
      </c>
      <c r="K133" t="s">
        <v>38</v>
      </c>
      <c r="L133" t="s">
        <v>758</v>
      </c>
      <c r="M133" t="s">
        <v>55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41</v>
      </c>
      <c r="U133" t="s">
        <v>42</v>
      </c>
      <c r="V133">
        <f t="shared" si="12"/>
        <v>2692.1520000000005</v>
      </c>
      <c r="W133">
        <f t="shared" si="13"/>
        <v>647.66000000000008</v>
      </c>
      <c r="X133">
        <f t="shared" si="14"/>
        <v>0.24057351930613077</v>
      </c>
      <c r="Y133" t="str">
        <f>_xlfn.TEXTJOIN(", ",TRUE,IF(G133="Unknown","Missing Region",""),IF(M133="Unknown","Missing Ship Mode",""),IF(P133&lt;0,"Negative Discount",""),IF(P133&gt;0.7,"High Discount",""),IF(C133&lt;B133,"Ship Before Order",""))</f>
        <v/>
      </c>
      <c r="Z133" s="2">
        <f>IFERROR(
  IF(ISNUMBER(B133),B133,
    IF(ISNUMBER(SEARCH("-",B133)*1),
      IF(LEN(LEFT(B133,FIND("-",B133)-1))=4,
        DATE(VALUE(LEFT(B133,4)),VALUE(MID(B133,6,2)),VALUE(RIGHT(B133,2))),
        DATE(VALUE(RIGHT(B133,4)),VALUE(MID(B133,4,2)),VALUE(LEFT(B133,2)))
      ),
      IF(ISNUMBER(SEARCH("/",B133)*1),
        DATE(VALUE(RIGHT(B133,4)),VALUE(LEFT(B133,2)),VALUE(MID(B133,4,2))),
        DATEVALUE(B133)
      )
    )
  ),
"INVALID_DATE")</f>
        <v>45929</v>
      </c>
      <c r="AA133" s="2">
        <f>IFERROR(
  IF(ISNUMBER(C133),C133,
    IF(ISNUMBER(SEARCH("-",C133)*1),
      IF(LEN(LEFT(C133,FIND("-",C133)-1))=4,
        DATE(VALUE(LEFT(C133,4)),VALUE(MID(C133,6,2)),VALUE(RIGHT(C133,2))),
        DATE(VALUE(RIGHT(C133,4)),VALUE(MID(C133,4,2)),VALUE(LEFT(C133,2)))
      ),
      IF(ISNUMBER(SEARCH("/",C133)*1),
        DATE(VALUE(RIGHT(C133,4)),VALUE(LEFT(C133,2)),VALUE(MID(C133,4,2))),
        DATEVALUE(C133)
      )
    )
  ),
"INVALID_DATE")</f>
        <v>45934</v>
      </c>
      <c r="AB133">
        <f t="shared" si="15"/>
        <v>5</v>
      </c>
      <c r="AC133" t="str">
        <f t="shared" si="16"/>
        <v>September</v>
      </c>
      <c r="AD133">
        <f t="shared" si="17"/>
        <v>2025</v>
      </c>
    </row>
    <row r="134" spans="1:30">
      <c r="A134" t="s">
        <v>759</v>
      </c>
      <c r="B134" t="s">
        <v>760</v>
      </c>
      <c r="C134" t="s">
        <v>760</v>
      </c>
      <c r="D134" t="s">
        <v>761</v>
      </c>
      <c r="E134" t="s">
        <v>374</v>
      </c>
      <c r="F134" t="s">
        <v>115</v>
      </c>
      <c r="G134" t="s">
        <v>49</v>
      </c>
      <c r="H134" t="s">
        <v>223</v>
      </c>
      <c r="I134" t="s">
        <v>224</v>
      </c>
      <c r="J134" t="s">
        <v>93</v>
      </c>
      <c r="K134" t="s">
        <v>390</v>
      </c>
      <c r="L134" t="s">
        <v>762</v>
      </c>
      <c r="M134" t="s">
        <v>63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207</v>
      </c>
      <c r="U134" t="s">
        <v>85</v>
      </c>
      <c r="V134">
        <f t="shared" si="12"/>
        <v>1066.1600000000001</v>
      </c>
      <c r="W134">
        <f t="shared" si="13"/>
        <v>409.86000000000013</v>
      </c>
      <c r="X134">
        <f t="shared" si="14"/>
        <v>0.38442635251744578</v>
      </c>
      <c r="Y134" t="str">
        <f>_xlfn.TEXTJOIN(", ",TRUE,IF(G134="Unknown","Missing Region",""),IF(M134="Unknown","Missing Ship Mode",""),IF(P134&lt;0,"Negative Discount",""),IF(P134&gt;0.7,"High Discount",""),IF(C134&lt;B134,"Ship Before Order",""))</f>
        <v/>
      </c>
      <c r="Z134" s="2">
        <f>IFERROR(
  IF(ISNUMBER(B134),B134,
    IF(ISNUMBER(SEARCH("-",B134)*1),
      IF(LEN(LEFT(B134,FIND("-",B134)-1))=4,
        DATE(VALUE(LEFT(B134,4)),VALUE(MID(B134,6,2)),VALUE(RIGHT(B134,2))),
        DATE(VALUE(RIGHT(B134,4)),VALUE(MID(B134,4,2)),VALUE(LEFT(B134,2)))
      ),
      IF(ISNUMBER(SEARCH("/",B134)*1),
        DATE(VALUE(RIGHT(B134,4)),VALUE(LEFT(B134,2)),VALUE(MID(B134,4,2))),
        DATEVALUE(B134)
      )
    )
  ),
"INVALID_DATE")</f>
        <v>45600</v>
      </c>
      <c r="AA134" s="2">
        <f>IFERROR(
  IF(ISNUMBER(C134),C134,
    IF(ISNUMBER(SEARCH("-",C134)*1),
      IF(LEN(LEFT(C134,FIND("-",C134)-1))=4,
        DATE(VALUE(LEFT(C134,4)),VALUE(MID(C134,6,2)),VALUE(RIGHT(C134,2))),
        DATE(VALUE(RIGHT(C134,4)),VALUE(MID(C134,4,2)),VALUE(LEFT(C134,2)))
      ),
      IF(ISNUMBER(SEARCH("/",C134)*1),
        DATE(VALUE(RIGHT(C134,4)),VALUE(LEFT(C134,2)),VALUE(MID(C134,4,2))),
        DATEVALUE(C134)
      )
    )
  ),
"INVALID_DATE")</f>
        <v>45600</v>
      </c>
      <c r="AB134">
        <f t="shared" si="15"/>
        <v>0</v>
      </c>
      <c r="AC134" t="str">
        <f t="shared" si="16"/>
        <v>November</v>
      </c>
      <c r="AD134">
        <f t="shared" si="17"/>
        <v>2024</v>
      </c>
    </row>
    <row r="135" spans="1:30">
      <c r="A135" t="s">
        <v>763</v>
      </c>
      <c r="B135" t="s">
        <v>764</v>
      </c>
      <c r="C135" t="s">
        <v>765</v>
      </c>
      <c r="D135" t="s">
        <v>766</v>
      </c>
      <c r="E135" t="s">
        <v>32</v>
      </c>
      <c r="F135" t="s">
        <v>33</v>
      </c>
      <c r="G135" t="s">
        <v>80</v>
      </c>
      <c r="H135" t="s">
        <v>256</v>
      </c>
      <c r="I135" t="s">
        <v>257</v>
      </c>
      <c r="J135" t="s">
        <v>93</v>
      </c>
      <c r="K135" t="s">
        <v>230</v>
      </c>
      <c r="L135" t="s">
        <v>767</v>
      </c>
      <c r="M135" t="s">
        <v>40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41</v>
      </c>
      <c r="U135" t="s">
        <v>42</v>
      </c>
      <c r="V135">
        <f t="shared" si="12"/>
        <v>22930.62</v>
      </c>
      <c r="W135">
        <f t="shared" si="13"/>
        <v>6055.07</v>
      </c>
      <c r="X135">
        <f t="shared" si="14"/>
        <v>0.26406045715292475</v>
      </c>
      <c r="Y135" t="str">
        <f>_xlfn.TEXTJOIN(", ",TRUE,IF(G135="Unknown","Missing Region",""),IF(M135="Unknown","Missing Ship Mode",""),IF(P135&lt;0,"Negative Discount",""),IF(P135&gt;0.7,"High Discount",""),IF(C135&lt;B135,"Ship Before Order",""))</f>
        <v>Ship Before Order</v>
      </c>
      <c r="Z135" s="2">
        <f>IFERROR(
  IF(ISNUMBER(B135),B135,
    IF(ISNUMBER(SEARCH("-",B135)*1),
      IF(LEN(LEFT(B135,FIND("-",B135)-1))=4,
        DATE(VALUE(LEFT(B135,4)),VALUE(MID(B135,6,2)),VALUE(RIGHT(B135,2))),
        DATE(VALUE(RIGHT(B135,4)),VALUE(MID(B135,4,2)),VALUE(LEFT(B135,2)))
      ),
      IF(ISNUMBER(SEARCH("/",B135)*1),
        DATE(VALUE(RIGHT(B135,4)),VALUE(LEFT(B135,2)),VALUE(MID(B135,4,2))),
        DATEVALUE(B135)
      )
    )
  ),
"INVALID_DATE")</f>
        <v>45639</v>
      </c>
      <c r="AA135" s="2">
        <f>IFERROR(
  IF(ISNUMBER(C135),C135,
    IF(ISNUMBER(SEARCH("-",C135)*1),
      IF(LEN(LEFT(C135,FIND("-",C135)-1))=4,
        DATE(VALUE(LEFT(C135,4)),VALUE(MID(C135,6,2)),VALUE(RIGHT(C135,2))),
        DATE(VALUE(RIGHT(C135,4)),VALUE(MID(C135,4,2)),VALUE(LEFT(C135,2)))
      ),
      IF(ISNUMBER(SEARCH("/",C135)*1),
        DATE(VALUE(RIGHT(C135,4)),VALUE(LEFT(C135,2)),VALUE(MID(C135,4,2))),
        DATEVALUE(C135)
      )
    )
  ),
"INVALID_DATE")</f>
        <v>45644</v>
      </c>
      <c r="AB135">
        <f t="shared" si="15"/>
        <v>5</v>
      </c>
      <c r="AC135" t="str">
        <f t="shared" si="16"/>
        <v>December</v>
      </c>
      <c r="AD135">
        <f t="shared" si="17"/>
        <v>2024</v>
      </c>
    </row>
    <row r="136" spans="1:30">
      <c r="A136" t="s">
        <v>768</v>
      </c>
      <c r="B136" t="s">
        <v>769</v>
      </c>
      <c r="C136" t="s">
        <v>770</v>
      </c>
      <c r="D136" t="s">
        <v>771</v>
      </c>
      <c r="E136" t="s">
        <v>90</v>
      </c>
      <c r="F136" t="s">
        <v>122</v>
      </c>
      <c r="G136" t="s">
        <v>49</v>
      </c>
      <c r="H136" t="s">
        <v>128</v>
      </c>
      <c r="I136" t="s">
        <v>129</v>
      </c>
      <c r="J136" t="s">
        <v>52</v>
      </c>
      <c r="K136" t="s">
        <v>211</v>
      </c>
      <c r="L136" t="s">
        <v>772</v>
      </c>
      <c r="M136" t="s">
        <v>279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144</v>
      </c>
      <c r="U136" t="s">
        <v>85</v>
      </c>
      <c r="V136">
        <f t="shared" si="12"/>
        <v>1436.6250000000002</v>
      </c>
      <c r="W136">
        <f t="shared" si="13"/>
        <v>524.09999999999991</v>
      </c>
      <c r="X136">
        <f t="shared" si="14"/>
        <v>0.36481463435007172</v>
      </c>
      <c r="Y136" t="str">
        <f>_xlfn.TEXTJOIN(", ",TRUE,IF(G136="Unknown","Missing Region",""),IF(M136="Unknown","Missing Ship Mode",""),IF(P136&lt;0,"Negative Discount",""),IF(P136&gt;0.7,"High Discount",""),IF(C136&lt;B136,"Ship Before Order",""))</f>
        <v>Missing Ship Mode</v>
      </c>
      <c r="Z136" s="2">
        <f>IFERROR(
  IF(ISNUMBER(B136),B136,
    IF(ISNUMBER(SEARCH("-",B136)*1),
      IF(LEN(LEFT(B136,FIND("-",B136)-1))=4,
        DATE(VALUE(LEFT(B136,4)),VALUE(MID(B136,6,2)),VALUE(RIGHT(B136,2))),
        DATE(VALUE(RIGHT(B136,4)),VALUE(MID(B136,4,2)),VALUE(LEFT(B136,2)))
      ),
      IF(ISNUMBER(SEARCH("/",B136)*1),
        DATE(VALUE(RIGHT(B136,4)),VALUE(LEFT(B136,2)),VALUE(MID(B136,4,2))),
        DATEVALUE(B136)
      )
    )
  ),
"INVALID_DATE")</f>
        <v>45852</v>
      </c>
      <c r="AA136" s="2">
        <f>IFERROR(
  IF(ISNUMBER(C136),C136,
    IF(ISNUMBER(SEARCH("-",C136)*1),
      IF(LEN(LEFT(C136,FIND("-",C136)-1))=4,
        DATE(VALUE(LEFT(C136,4)),VALUE(MID(C136,6,2)),VALUE(RIGHT(C136,2))),
        DATE(VALUE(RIGHT(C136,4)),VALUE(MID(C136,4,2)),VALUE(LEFT(C136,2)))
      ),
      IF(ISNUMBER(SEARCH("/",C136)*1),
        DATE(VALUE(RIGHT(C136,4)),VALUE(LEFT(C136,2)),VALUE(MID(C136,4,2))),
        DATEVALUE(C136)
      )
    )
  ),
"INVALID_DATE")</f>
        <v>45852</v>
      </c>
      <c r="AB136">
        <f t="shared" si="15"/>
        <v>0</v>
      </c>
      <c r="AC136" t="str">
        <f t="shared" si="16"/>
        <v>July</v>
      </c>
      <c r="AD136">
        <f t="shared" si="17"/>
        <v>2025</v>
      </c>
    </row>
    <row r="137" spans="1:30">
      <c r="A137" t="s">
        <v>773</v>
      </c>
      <c r="B137" t="s">
        <v>774</v>
      </c>
      <c r="C137" t="s">
        <v>774</v>
      </c>
      <c r="D137" t="s">
        <v>775</v>
      </c>
      <c r="E137" t="s">
        <v>217</v>
      </c>
      <c r="F137" t="s">
        <v>48</v>
      </c>
      <c r="G137" t="s">
        <v>69</v>
      </c>
      <c r="H137" t="s">
        <v>249</v>
      </c>
      <c r="I137" t="s">
        <v>250</v>
      </c>
      <c r="J137" t="s">
        <v>52</v>
      </c>
      <c r="K137" t="s">
        <v>211</v>
      </c>
      <c r="L137" t="s">
        <v>776</v>
      </c>
      <c r="M137" t="s">
        <v>74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41</v>
      </c>
      <c r="U137" t="s">
        <v>42</v>
      </c>
      <c r="V137">
        <f t="shared" si="12"/>
        <v>3424.78</v>
      </c>
      <c r="W137">
        <f t="shared" si="13"/>
        <v>1473.3300000000002</v>
      </c>
      <c r="X137">
        <f t="shared" si="14"/>
        <v>0.43019697615613262</v>
      </c>
      <c r="Y137" t="str">
        <f>_xlfn.TEXTJOIN(", ",TRUE,IF(G137="Unknown","Missing Region",""),IF(M137="Unknown","Missing Ship Mode",""),IF(P137&lt;0,"Negative Discount",""),IF(P137&gt;0.7,"High Discount",""),IF(C137&lt;B137,"Ship Before Order",""))</f>
        <v/>
      </c>
      <c r="Z137" s="2">
        <f>IFERROR(
  IF(ISNUMBER(B137),B137,
    IF(ISNUMBER(SEARCH("-",B137)*1),
      IF(LEN(LEFT(B137,FIND("-",B137)-1))=4,
        DATE(VALUE(LEFT(B137,4)),VALUE(MID(B137,6,2)),VALUE(RIGHT(B137,2))),
        DATE(VALUE(RIGHT(B137,4)),VALUE(MID(B137,4,2)),VALUE(LEFT(B137,2)))
      ),
      IF(ISNUMBER(SEARCH("/",B137)*1),
        DATE(VALUE(RIGHT(B137,4)),VALUE(LEFT(B137,2)),VALUE(MID(B137,4,2))),
        DATEVALUE(B137)
      )
    )
  ),
"INVALID_DATE")</f>
        <v>45893</v>
      </c>
      <c r="AA137" s="2">
        <f>IFERROR(
  IF(ISNUMBER(C137),C137,
    IF(ISNUMBER(SEARCH("-",C137)*1),
      IF(LEN(LEFT(C137,FIND("-",C137)-1))=4,
        DATE(VALUE(LEFT(C137,4)),VALUE(MID(C137,6,2)),VALUE(RIGHT(C137,2))),
        DATE(VALUE(RIGHT(C137,4)),VALUE(MID(C137,4,2)),VALUE(LEFT(C137,2)))
      ),
      IF(ISNUMBER(SEARCH("/",C137)*1),
        DATE(VALUE(RIGHT(C137,4)),VALUE(LEFT(C137,2)),VALUE(MID(C137,4,2))),
        DATEVALUE(C137)
      )
    )
  ),
"INVALID_DATE")</f>
        <v>45893</v>
      </c>
      <c r="AB137">
        <f t="shared" si="15"/>
        <v>0</v>
      </c>
      <c r="AC137" t="str">
        <f t="shared" si="16"/>
        <v>August</v>
      </c>
      <c r="AD137">
        <f t="shared" si="17"/>
        <v>2025</v>
      </c>
    </row>
    <row r="138" spans="1:30">
      <c r="A138" t="s">
        <v>777</v>
      </c>
      <c r="B138" t="s">
        <v>778</v>
      </c>
      <c r="C138" t="s">
        <v>779</v>
      </c>
      <c r="D138" t="s">
        <v>780</v>
      </c>
      <c r="E138" t="s">
        <v>47</v>
      </c>
      <c r="F138" t="s">
        <v>122</v>
      </c>
      <c r="G138" t="s">
        <v>49</v>
      </c>
      <c r="H138" t="s">
        <v>319</v>
      </c>
      <c r="I138" t="s">
        <v>320</v>
      </c>
      <c r="J138" t="s">
        <v>37</v>
      </c>
      <c r="K138" t="s">
        <v>205</v>
      </c>
      <c r="L138" t="s">
        <v>781</v>
      </c>
      <c r="M138" t="s">
        <v>782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41</v>
      </c>
      <c r="U138" t="s">
        <v>42</v>
      </c>
      <c r="V138">
        <f t="shared" si="12"/>
        <v>31178.376</v>
      </c>
      <c r="W138">
        <f t="shared" si="13"/>
        <v>9757.2900000000009</v>
      </c>
      <c r="X138">
        <f t="shared" si="14"/>
        <v>0.31295051250257394</v>
      </c>
      <c r="Y138" t="str">
        <f>_xlfn.TEXTJOIN(", ",TRUE,IF(G138="Unknown","Missing Region",""),IF(M138="Unknown","Missing Ship Mode",""),IF(P138&lt;0,"Negative Discount",""),IF(P138&gt;0.7,"High Discount",""),IF(C138&lt;B138,"Ship Before Order",""))</f>
        <v/>
      </c>
      <c r="Z138" s="2">
        <f>IFERROR(
  IF(ISNUMBER(B138),B138,
    IF(ISNUMBER(SEARCH("-",B138)*1),
      IF(LEN(LEFT(B138,FIND("-",B138)-1))=4,
        DATE(VALUE(LEFT(B138,4)),VALUE(MID(B138,6,2)),VALUE(RIGHT(B138,2))),
        DATE(VALUE(RIGHT(B138,4)),VALUE(MID(B138,4,2)),VALUE(LEFT(B138,2)))
      ),
      IF(ISNUMBER(SEARCH("/",B138)*1),
        DATE(VALUE(RIGHT(B138,4)),VALUE(LEFT(B138,2)),VALUE(MID(B138,4,2))),
        DATEVALUE(B138)
      )
    )
  ),
"INVALID_DATE")</f>
        <v>45697</v>
      </c>
      <c r="AA138" s="2">
        <f>IFERROR(
  IF(ISNUMBER(C138),C138,
    IF(ISNUMBER(SEARCH("-",C138)*1),
      IF(LEN(LEFT(C138,FIND("-",C138)-1))=4,
        DATE(VALUE(LEFT(C138,4)),VALUE(MID(C138,6,2)),VALUE(RIGHT(C138,2))),
        DATE(VALUE(RIGHT(C138,4)),VALUE(MID(C138,4,2)),VALUE(LEFT(C138,2)))
      ),
      IF(ISNUMBER(SEARCH("/",C138)*1),
        DATE(VALUE(RIGHT(C138,4)),VALUE(LEFT(C138,2)),VALUE(MID(C138,4,2))),
        DATEVALUE(C138)
      )
    )
  ),
"INVALID_DATE")</f>
        <v>45703</v>
      </c>
      <c r="AB138">
        <f t="shared" si="15"/>
        <v>6</v>
      </c>
      <c r="AC138" t="str">
        <f t="shared" si="16"/>
        <v>February</v>
      </c>
      <c r="AD138">
        <f t="shared" si="17"/>
        <v>2025</v>
      </c>
    </row>
    <row r="139" spans="1:30">
      <c r="A139" t="s">
        <v>783</v>
      </c>
      <c r="B139" t="s">
        <v>784</v>
      </c>
      <c r="C139" t="s">
        <v>785</v>
      </c>
      <c r="D139" t="s">
        <v>786</v>
      </c>
      <c r="E139" t="s">
        <v>175</v>
      </c>
      <c r="F139" t="s">
        <v>48</v>
      </c>
      <c r="G139" t="s">
        <v>34</v>
      </c>
      <c r="H139" t="s">
        <v>35</v>
      </c>
      <c r="I139" t="s">
        <v>36</v>
      </c>
      <c r="J139" t="s">
        <v>52</v>
      </c>
      <c r="K139" t="s">
        <v>83</v>
      </c>
      <c r="L139" t="s">
        <v>787</v>
      </c>
      <c r="M139" t="s">
        <v>55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41</v>
      </c>
      <c r="U139" t="s">
        <v>42</v>
      </c>
      <c r="V139">
        <f t="shared" si="12"/>
        <v>19202.904000000002</v>
      </c>
      <c r="W139">
        <f t="shared" si="13"/>
        <v>3676.2800000000007</v>
      </c>
      <c r="X139">
        <f t="shared" si="14"/>
        <v>0.1914440006457358</v>
      </c>
      <c r="Y139" t="str">
        <f>_xlfn.TEXTJOIN(", ",TRUE,IF(G139="Unknown","Missing Region",""),IF(M139="Unknown","Missing Ship Mode",""),IF(P139&lt;0,"Negative Discount",""),IF(P139&gt;0.7,"High Discount",""),IF(C139&lt;B139,"Ship Before Order",""))</f>
        <v/>
      </c>
      <c r="Z139" s="2">
        <f>IFERROR(
  IF(ISNUMBER(B139),B139,
    IF(ISNUMBER(SEARCH("-",B139)*1),
      IF(LEN(LEFT(B139,FIND("-",B139)-1))=4,
        DATE(VALUE(LEFT(B139,4)),VALUE(MID(B139,6,2)),VALUE(RIGHT(B139,2))),
        DATE(VALUE(RIGHT(B139,4)),VALUE(MID(B139,4,2)),VALUE(LEFT(B139,2)))
      ),
      IF(ISNUMBER(SEARCH("/",B139)*1),
        DATE(VALUE(RIGHT(B139,4)),VALUE(LEFT(B139,2)),VALUE(MID(B139,4,2))),
        DATEVALUE(B139)
      )
    )
  ),
"INVALID_DATE")</f>
        <v>45666</v>
      </c>
      <c r="AA139" s="2">
        <f>IFERROR(
  IF(ISNUMBER(C139),C139,
    IF(ISNUMBER(SEARCH("-",C139)*1),
      IF(LEN(LEFT(C139,FIND("-",C139)-1))=4,
        DATE(VALUE(LEFT(C139,4)),VALUE(MID(C139,6,2)),VALUE(RIGHT(C139,2))),
        DATE(VALUE(RIGHT(C139,4)),VALUE(MID(C139,4,2)),VALUE(LEFT(C139,2)))
      ),
      IF(ISNUMBER(SEARCH("/",C139)*1),
        DATE(VALUE(RIGHT(C139,4)),VALUE(LEFT(C139,2)),VALUE(MID(C139,4,2))),
        DATEVALUE(C139)
      )
    )
  ),
"INVALID_DATE")</f>
        <v>45666</v>
      </c>
      <c r="AB139">
        <f t="shared" si="15"/>
        <v>0</v>
      </c>
      <c r="AC139" t="str">
        <f t="shared" si="16"/>
        <v>January</v>
      </c>
      <c r="AD139">
        <f t="shared" si="17"/>
        <v>2025</v>
      </c>
    </row>
    <row r="140" spans="1:30">
      <c r="A140" t="s">
        <v>788</v>
      </c>
      <c r="B140" t="s">
        <v>789</v>
      </c>
      <c r="C140" t="s">
        <v>790</v>
      </c>
      <c r="D140" t="s">
        <v>791</v>
      </c>
      <c r="E140" t="s">
        <v>217</v>
      </c>
      <c r="F140" t="s">
        <v>122</v>
      </c>
      <c r="G140" t="s">
        <v>49</v>
      </c>
      <c r="H140" t="s">
        <v>319</v>
      </c>
      <c r="I140" t="s">
        <v>320</v>
      </c>
      <c r="J140" t="s">
        <v>93</v>
      </c>
      <c r="K140" t="s">
        <v>390</v>
      </c>
      <c r="L140" t="s">
        <v>792</v>
      </c>
      <c r="M140" t="s">
        <v>74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41</v>
      </c>
      <c r="U140" t="s">
        <v>42</v>
      </c>
      <c r="V140">
        <f t="shared" si="12"/>
        <v>24018.300000000003</v>
      </c>
      <c r="W140">
        <f t="shared" si="13"/>
        <v>9947.5199999999986</v>
      </c>
      <c r="X140">
        <f t="shared" si="14"/>
        <v>0.41416419979765434</v>
      </c>
      <c r="Y140" t="str">
        <f>_xlfn.TEXTJOIN(", ",TRUE,IF(G140="Unknown","Missing Region",""),IF(M140="Unknown","Missing Ship Mode",""),IF(P140&lt;0,"Negative Discount",""),IF(P140&gt;0.7,"High Discount",""),IF(C140&lt;B140,"Ship Before Order",""))</f>
        <v/>
      </c>
      <c r="Z140" s="2">
        <f>IFERROR(
  IF(ISNUMBER(B140),B140,
    IF(ISNUMBER(SEARCH("-",B140)*1),
      IF(LEN(LEFT(B140,FIND("-",B140)-1))=4,
        DATE(VALUE(LEFT(B140,4)),VALUE(MID(B140,6,2)),VALUE(RIGHT(B140,2))),
        DATE(VALUE(RIGHT(B140,4)),VALUE(MID(B140,4,2)),VALUE(LEFT(B140,2)))
      ),
      IF(ISNUMBER(SEARCH("/",B140)*1),
        DATE(VALUE(RIGHT(B140,4)),VALUE(LEFT(B140,2)),VALUE(MID(B140,4,2))),
        DATEVALUE(B140)
      )
    )
  ),
"INVALID_DATE")</f>
        <v>45311</v>
      </c>
      <c r="AA140" s="2">
        <f>IFERROR(
  IF(ISNUMBER(C140),C140,
    IF(ISNUMBER(SEARCH("-",C140)*1),
      IF(LEN(LEFT(C140,FIND("-",C140)-1))=4,
        DATE(VALUE(LEFT(C140,4)),VALUE(MID(C140,6,2)),VALUE(RIGHT(C140,2))),
        DATE(VALUE(RIGHT(C140,4)),VALUE(MID(C140,4,2)),VALUE(LEFT(C140,2)))
      ),
      IF(ISNUMBER(SEARCH("/",C140)*1),
        DATE(VALUE(RIGHT(C140,4)),VALUE(LEFT(C140,2)),VALUE(MID(C140,4,2))),
        DATEVALUE(C140)
      )
    )
  ),
"INVALID_DATE")</f>
        <v>45317</v>
      </c>
      <c r="AB140">
        <f t="shared" si="15"/>
        <v>6</v>
      </c>
      <c r="AC140" t="str">
        <f t="shared" si="16"/>
        <v>January</v>
      </c>
      <c r="AD140">
        <f t="shared" si="17"/>
        <v>2024</v>
      </c>
    </row>
    <row r="141" spans="1:30">
      <c r="A141" t="s">
        <v>793</v>
      </c>
      <c r="B141" t="s">
        <v>794</v>
      </c>
      <c r="C141" t="s">
        <v>795</v>
      </c>
      <c r="D141" t="s">
        <v>796</v>
      </c>
      <c r="E141" t="s">
        <v>100</v>
      </c>
      <c r="F141" t="s">
        <v>122</v>
      </c>
      <c r="G141" t="s">
        <v>69</v>
      </c>
      <c r="H141" t="s">
        <v>236</v>
      </c>
      <c r="I141" t="s">
        <v>237</v>
      </c>
      <c r="J141" t="s">
        <v>37</v>
      </c>
      <c r="K141" t="s">
        <v>116</v>
      </c>
      <c r="L141" t="s">
        <v>797</v>
      </c>
      <c r="M141" t="s">
        <v>74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41</v>
      </c>
      <c r="U141" t="s">
        <v>42</v>
      </c>
      <c r="V141">
        <f t="shared" si="12"/>
        <v>10301.040000000001</v>
      </c>
      <c r="W141">
        <f t="shared" si="13"/>
        <v>3736.9800000000005</v>
      </c>
      <c r="X141">
        <f t="shared" si="14"/>
        <v>0.36277696232613404</v>
      </c>
      <c r="Y141" t="str">
        <f>_xlfn.TEXTJOIN(", ",TRUE,IF(G141="Unknown","Missing Region",""),IF(M141="Unknown","Missing Ship Mode",""),IF(P141&lt;0,"Negative Discount",""),IF(P141&gt;0.7,"High Discount",""),IF(C141&lt;B141,"Ship Before Order",""))</f>
        <v/>
      </c>
      <c r="Z141" s="2">
        <f>IFERROR(
  IF(ISNUMBER(B141),B141,
    IF(ISNUMBER(SEARCH("-",B141)*1),
      IF(LEN(LEFT(B141,FIND("-",B141)-1))=4,
        DATE(VALUE(LEFT(B141,4)),VALUE(MID(B141,6,2)),VALUE(RIGHT(B141,2))),
        DATE(VALUE(RIGHT(B141,4)),VALUE(MID(B141,4,2)),VALUE(LEFT(B141,2)))
      ),
      IF(ISNUMBER(SEARCH("/",B141)*1),
        DATE(VALUE(RIGHT(B141,4)),VALUE(LEFT(B141,2)),VALUE(MID(B141,4,2))),
        DATEVALUE(B141)
      )
    )
  ),
"INVALID_DATE")</f>
        <v>45718</v>
      </c>
      <c r="AA141" s="2">
        <f>IFERROR(
  IF(ISNUMBER(C141),C141,
    IF(ISNUMBER(SEARCH("-",C141)*1),
      IF(LEN(LEFT(C141,FIND("-",C141)-1))=4,
        DATE(VALUE(LEFT(C141,4)),VALUE(MID(C141,6,2)),VALUE(RIGHT(C141,2))),
        DATE(VALUE(RIGHT(C141,4)),VALUE(MID(C141,4,2)),VALUE(LEFT(C141,2)))
      ),
      IF(ISNUMBER(SEARCH("/",C141)*1),
        DATE(VALUE(RIGHT(C141,4)),VALUE(LEFT(C141,2)),VALUE(MID(C141,4,2))),
        DATEVALUE(C141)
      )
    )
  ),
"INVALID_DATE")</f>
        <v>45723</v>
      </c>
      <c r="AB141">
        <f t="shared" si="15"/>
        <v>5</v>
      </c>
      <c r="AC141" t="str">
        <f t="shared" si="16"/>
        <v>March</v>
      </c>
      <c r="AD141">
        <f t="shared" si="17"/>
        <v>2025</v>
      </c>
    </row>
    <row r="142" spans="1:30">
      <c r="A142" t="s">
        <v>798</v>
      </c>
      <c r="B142" t="s">
        <v>799</v>
      </c>
      <c r="C142" t="s">
        <v>800</v>
      </c>
      <c r="D142" t="s">
        <v>801</v>
      </c>
      <c r="E142" t="s">
        <v>47</v>
      </c>
      <c r="F142" t="s">
        <v>115</v>
      </c>
      <c r="G142" t="s">
        <v>69</v>
      </c>
      <c r="H142" t="s">
        <v>236</v>
      </c>
      <c r="I142" t="s">
        <v>237</v>
      </c>
      <c r="J142" t="s">
        <v>52</v>
      </c>
      <c r="K142" t="s">
        <v>211</v>
      </c>
      <c r="L142" t="s">
        <v>802</v>
      </c>
      <c r="M142" t="s">
        <v>55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41</v>
      </c>
      <c r="U142" t="s">
        <v>42</v>
      </c>
      <c r="V142">
        <f t="shared" si="12"/>
        <v>8743.6500000000015</v>
      </c>
      <c r="W142">
        <f t="shared" si="13"/>
        <v>2139.8899999999994</v>
      </c>
      <c r="X142">
        <f t="shared" si="14"/>
        <v>0.24473646589239048</v>
      </c>
      <c r="Y142" t="str">
        <f>_xlfn.TEXTJOIN(", ",TRUE,IF(G142="Unknown","Missing Region",""),IF(M142="Unknown","Missing Ship Mode",""),IF(P142&lt;0,"Negative Discount",""),IF(P142&gt;0.7,"High Discount",""),IF(C142&lt;B142,"Ship Before Order",""))</f>
        <v>Ship Before Order</v>
      </c>
      <c r="Z142" s="2">
        <f>IFERROR(
  IF(ISNUMBER(B142),B142,
    IF(ISNUMBER(SEARCH("-",B142)*1),
      IF(LEN(LEFT(B142,FIND("-",B142)-1))=4,
        DATE(VALUE(LEFT(B142,4)),VALUE(MID(B142,6,2)),VALUE(RIGHT(B142,2))),
        DATE(VALUE(RIGHT(B142,4)),VALUE(MID(B142,4,2)),VALUE(LEFT(B142,2)))
      ),
      IF(ISNUMBER(SEARCH("/",B142)*1),
        DATE(VALUE(RIGHT(B142,4)),VALUE(LEFT(B142,2)),VALUE(MID(B142,4,2))),
        DATEVALUE(B142)
      )
    )
  ),
"INVALID_DATE")</f>
        <v>45443</v>
      </c>
      <c r="AA142" s="2">
        <f>IFERROR(
  IF(ISNUMBER(C142),C142,
    IF(ISNUMBER(SEARCH("-",C142)*1),
      IF(LEN(LEFT(C142,FIND("-",C142)-1))=4,
        DATE(VALUE(LEFT(C142,4)),VALUE(MID(C142,6,2)),VALUE(RIGHT(C142,2))),
        DATE(VALUE(RIGHT(C142,4)),VALUE(MID(C142,4,2)),VALUE(LEFT(C142,2)))
      ),
      IF(ISNUMBER(SEARCH("/",C142)*1),
        DATE(VALUE(RIGHT(C142,4)),VALUE(LEFT(C142,2)),VALUE(MID(C142,4,2))),
        DATEVALUE(C142)
      )
    )
  ),
"INVALID_DATE")</f>
        <v>45444</v>
      </c>
      <c r="AB142">
        <f t="shared" si="15"/>
        <v>1</v>
      </c>
      <c r="AC142" t="str">
        <f t="shared" si="16"/>
        <v>May</v>
      </c>
      <c r="AD142">
        <f t="shared" si="17"/>
        <v>2024</v>
      </c>
    </row>
    <row r="143" spans="1:30">
      <c r="A143" t="s">
        <v>803</v>
      </c>
      <c r="B143" t="s">
        <v>804</v>
      </c>
      <c r="C143" t="s">
        <v>805</v>
      </c>
      <c r="D143" t="s">
        <v>806</v>
      </c>
      <c r="E143" t="s">
        <v>149</v>
      </c>
      <c r="F143" t="s">
        <v>115</v>
      </c>
      <c r="G143" t="s">
        <v>34</v>
      </c>
      <c r="H143" t="s">
        <v>514</v>
      </c>
      <c r="I143" t="s">
        <v>515</v>
      </c>
      <c r="J143" t="s">
        <v>52</v>
      </c>
      <c r="K143" t="s">
        <v>211</v>
      </c>
      <c r="L143" t="s">
        <v>807</v>
      </c>
      <c r="M143" t="s">
        <v>55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41</v>
      </c>
      <c r="U143" t="s">
        <v>132</v>
      </c>
      <c r="V143">
        <f t="shared" si="12"/>
        <v>3996.027</v>
      </c>
      <c r="W143">
        <f t="shared" si="13"/>
        <v>1136.52</v>
      </c>
      <c r="X143">
        <f t="shared" si="14"/>
        <v>0.28441227918709316</v>
      </c>
      <c r="Y143" t="str">
        <f>_xlfn.TEXTJOIN(", ",TRUE,IF(G143="Unknown","Missing Region",""),IF(M143="Unknown","Missing Ship Mode",""),IF(P143&lt;0,"Negative Discount",""),IF(P143&gt;0.7,"High Discount",""),IF(C143&lt;B143,"Ship Before Order",""))</f>
        <v/>
      </c>
      <c r="Z143" s="2">
        <f>IFERROR(
  IF(ISNUMBER(B143),B143,
    IF(ISNUMBER(SEARCH("-",B143)*1),
      IF(LEN(LEFT(B143,FIND("-",B143)-1))=4,
        DATE(VALUE(LEFT(B143,4)),VALUE(MID(B143,6,2)),VALUE(RIGHT(B143,2))),
        DATE(VALUE(RIGHT(B143,4)),VALUE(MID(B143,4,2)),VALUE(LEFT(B143,2)))
      ),
      IF(ISNUMBER(SEARCH("/",B143)*1),
        DATE(VALUE(RIGHT(B143,4)),VALUE(LEFT(B143,2)),VALUE(MID(B143,4,2))),
        DATEVALUE(B143)
      )
    )
  ),
"INVALID_DATE")</f>
        <v>45374</v>
      </c>
      <c r="AA143" s="2">
        <f>IFERROR(
  IF(ISNUMBER(C143),C143,
    IF(ISNUMBER(SEARCH("-",C143)*1),
      IF(LEN(LEFT(C143,FIND("-",C143)-1))=4,
        DATE(VALUE(LEFT(C143,4)),VALUE(MID(C143,6,2)),VALUE(RIGHT(C143,2))),
        DATE(VALUE(RIGHT(C143,4)),VALUE(MID(C143,4,2)),VALUE(LEFT(C143,2)))
      ),
      IF(ISNUMBER(SEARCH("/",C143)*1),
        DATE(VALUE(RIGHT(C143,4)),VALUE(LEFT(C143,2)),VALUE(MID(C143,4,2))),
        DATEVALUE(C143)
      )
    )
  ),
"INVALID_DATE")</f>
        <v>45380</v>
      </c>
      <c r="AB143">
        <f t="shared" si="15"/>
        <v>6</v>
      </c>
      <c r="AC143" t="str">
        <f t="shared" si="16"/>
        <v>March</v>
      </c>
      <c r="AD143">
        <f t="shared" si="17"/>
        <v>2024</v>
      </c>
    </row>
    <row r="144" spans="1:30">
      <c r="A144" t="s">
        <v>808</v>
      </c>
      <c r="B144" t="s">
        <v>809</v>
      </c>
      <c r="C144" t="s">
        <v>810</v>
      </c>
      <c r="D144" t="s">
        <v>811</v>
      </c>
      <c r="E144" t="s">
        <v>114</v>
      </c>
      <c r="F144" t="s">
        <v>122</v>
      </c>
      <c r="G144" t="s">
        <v>34</v>
      </c>
      <c r="H144" t="s">
        <v>35</v>
      </c>
      <c r="I144" t="s">
        <v>36</v>
      </c>
      <c r="J144" t="s">
        <v>93</v>
      </c>
      <c r="K144" t="s">
        <v>230</v>
      </c>
      <c r="L144" t="s">
        <v>812</v>
      </c>
      <c r="M144" t="s">
        <v>40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41</v>
      </c>
      <c r="U144" t="s">
        <v>42</v>
      </c>
      <c r="V144">
        <f t="shared" si="12"/>
        <v>3857.0450000000001</v>
      </c>
      <c r="W144">
        <f t="shared" si="13"/>
        <v>1087.7799999999997</v>
      </c>
      <c r="X144">
        <f t="shared" si="14"/>
        <v>0.28202455769190882</v>
      </c>
      <c r="Y144" t="str">
        <f>_xlfn.TEXTJOIN(", ",TRUE,IF(G144="Unknown","Missing Region",""),IF(M144="Unknown","Missing Ship Mode",""),IF(P144&lt;0,"Negative Discount",""),IF(P144&gt;0.7,"High Discount",""),IF(C144&lt;B144,"Ship Before Order",""))</f>
        <v>Ship Before Order</v>
      </c>
      <c r="Z144" s="2">
        <f>IFERROR(
  IF(ISNUMBER(B144),B144,
    IF(ISNUMBER(SEARCH("-",B144)*1),
      IF(LEN(LEFT(B144,FIND("-",B144)-1))=4,
        DATE(VALUE(LEFT(B144,4)),VALUE(MID(B144,6,2)),VALUE(RIGHT(B144,2))),
        DATE(VALUE(RIGHT(B144,4)),VALUE(MID(B144,4,2)),VALUE(LEFT(B144,2)))
      ),
      IF(ISNUMBER(SEARCH("/",B144)*1),
        DATE(VALUE(RIGHT(B144,4)),VALUE(LEFT(B144,2)),VALUE(MID(B144,4,2))),
        DATEVALUE(B144)
      )
    )
  ),
"INVALID_DATE")</f>
        <v>45381</v>
      </c>
      <c r="AA144" s="2">
        <f>IFERROR(
  IF(ISNUMBER(C144),C144,
    IF(ISNUMBER(SEARCH("-",C144)*1),
      IF(LEN(LEFT(C144,FIND("-",C144)-1))=4,
        DATE(VALUE(LEFT(C144,4)),VALUE(MID(C144,6,2)),VALUE(RIGHT(C144,2))),
        DATE(VALUE(RIGHT(C144,4)),VALUE(MID(C144,4,2)),VALUE(LEFT(C144,2)))
      ),
      IF(ISNUMBER(SEARCH("/",C144)*1),
        DATE(VALUE(RIGHT(C144,4)),VALUE(LEFT(C144,2)),VALUE(MID(C144,4,2))),
        DATEVALUE(C144)
      )
    )
  ),
"INVALID_DATE")</f>
        <v>45377</v>
      </c>
      <c r="AB144">
        <f t="shared" si="15"/>
        <v>-4</v>
      </c>
      <c r="AC144" t="str">
        <f t="shared" si="16"/>
        <v>March</v>
      </c>
      <c r="AD144">
        <f t="shared" si="17"/>
        <v>2024</v>
      </c>
    </row>
    <row r="145" spans="1:30">
      <c r="A145" t="s">
        <v>813</v>
      </c>
      <c r="B145" t="s">
        <v>550</v>
      </c>
      <c r="C145" t="s">
        <v>814</v>
      </c>
      <c r="D145" t="s">
        <v>815</v>
      </c>
      <c r="E145" t="s">
        <v>149</v>
      </c>
      <c r="F145" t="s">
        <v>33</v>
      </c>
      <c r="G145" t="s">
        <v>80</v>
      </c>
      <c r="H145" t="s">
        <v>242</v>
      </c>
      <c r="I145" t="s">
        <v>243</v>
      </c>
      <c r="J145" t="s">
        <v>37</v>
      </c>
      <c r="K145" t="s">
        <v>38</v>
      </c>
      <c r="L145" t="s">
        <v>816</v>
      </c>
      <c r="M145" t="s">
        <v>40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41</v>
      </c>
      <c r="U145" t="s">
        <v>132</v>
      </c>
      <c r="V145">
        <f t="shared" si="12"/>
        <v>3068.55</v>
      </c>
      <c r="W145">
        <f t="shared" si="13"/>
        <v>1152.3900000000001</v>
      </c>
      <c r="X145">
        <f t="shared" si="14"/>
        <v>0.3755487119323459</v>
      </c>
      <c r="Y145" t="str">
        <f>_xlfn.TEXTJOIN(", ",TRUE,IF(G145="Unknown","Missing Region",""),IF(M145="Unknown","Missing Ship Mode",""),IF(P145&lt;0,"Negative Discount",""),IF(P145&gt;0.7,"High Discount",""),IF(C145&lt;B145,"Ship Before Order",""))</f>
        <v/>
      </c>
      <c r="Z145" s="2">
        <f>IFERROR(
  IF(ISNUMBER(B145),B145,
    IF(ISNUMBER(SEARCH("-",B145)*1),
      IF(LEN(LEFT(B145,FIND("-",B145)-1))=4,
        DATE(VALUE(LEFT(B145,4)),VALUE(MID(B145,6,2)),VALUE(RIGHT(B145,2))),
        DATE(VALUE(RIGHT(B145,4)),VALUE(MID(B145,4,2)),VALUE(LEFT(B145,2)))
      ),
      IF(ISNUMBER(SEARCH("/",B145)*1),
        DATE(VALUE(RIGHT(B145,4)),VALUE(LEFT(B145,2)),VALUE(MID(B145,4,2))),
        DATEVALUE(B145)
      )
    )
  ),
"INVALID_DATE")</f>
        <v>45375</v>
      </c>
      <c r="AA145" s="2">
        <f>IFERROR(
  IF(ISNUMBER(C145),C145,
    IF(ISNUMBER(SEARCH("-",C145)*1),
      IF(LEN(LEFT(C145,FIND("-",C145)-1))=4,
        DATE(VALUE(LEFT(C145,4)),VALUE(MID(C145,6,2)),VALUE(RIGHT(C145,2))),
        DATE(VALUE(RIGHT(C145,4)),VALUE(MID(C145,4,2)),VALUE(LEFT(C145,2)))
      ),
      IF(ISNUMBER(SEARCH("/",C145)*1),
        DATE(VALUE(RIGHT(C145,4)),VALUE(LEFT(C145,2)),VALUE(MID(C145,4,2))),
        DATEVALUE(C145)
      )
    )
  ),
"INVALID_DATE")</f>
        <v>45377</v>
      </c>
      <c r="AB145">
        <f t="shared" si="15"/>
        <v>2</v>
      </c>
      <c r="AC145" t="str">
        <f t="shared" si="16"/>
        <v>March</v>
      </c>
      <c r="AD145">
        <f t="shared" si="17"/>
        <v>2024</v>
      </c>
    </row>
    <row r="146" spans="1:30">
      <c r="A146" t="s">
        <v>817</v>
      </c>
      <c r="B146" t="s">
        <v>586</v>
      </c>
      <c r="C146" t="s">
        <v>818</v>
      </c>
      <c r="D146" t="s">
        <v>819</v>
      </c>
      <c r="E146" t="s">
        <v>374</v>
      </c>
      <c r="F146" t="s">
        <v>48</v>
      </c>
      <c r="G146" t="s">
        <v>69</v>
      </c>
      <c r="H146" t="s">
        <v>70</v>
      </c>
      <c r="I146" t="s">
        <v>71</v>
      </c>
      <c r="J146" t="s">
        <v>93</v>
      </c>
      <c r="K146" t="s">
        <v>94</v>
      </c>
      <c r="L146" t="s">
        <v>820</v>
      </c>
      <c r="M146" t="s">
        <v>63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131</v>
      </c>
      <c r="U146" t="s">
        <v>132</v>
      </c>
      <c r="V146">
        <f t="shared" si="12"/>
        <v>11276.947499999998</v>
      </c>
      <c r="W146">
        <f t="shared" si="13"/>
        <v>4368.1900000000005</v>
      </c>
      <c r="X146">
        <f t="shared" si="14"/>
        <v>0.38735562363937054</v>
      </c>
      <c r="Y146" t="str">
        <f>_xlfn.TEXTJOIN(", ",TRUE,IF(G146="Unknown","Missing Region",""),IF(M146="Unknown","Missing Ship Mode",""),IF(P146&lt;0,"Negative Discount",""),IF(P146&gt;0.7,"High Discount",""),IF(C146&lt;B146,"Ship Before Order",""))</f>
        <v/>
      </c>
      <c r="Z146" s="2">
        <f>IFERROR(
  IF(ISNUMBER(B146),B146,
    IF(ISNUMBER(SEARCH("-",B146)*1),
      IF(LEN(LEFT(B146,FIND("-",B146)-1))=4,
        DATE(VALUE(LEFT(B146,4)),VALUE(MID(B146,6,2)),VALUE(RIGHT(B146,2))),
        DATE(VALUE(RIGHT(B146,4)),VALUE(MID(B146,4,2)),VALUE(LEFT(B146,2)))
      ),
      IF(ISNUMBER(SEARCH("/",B146)*1),
        DATE(VALUE(RIGHT(B146,4)),VALUE(LEFT(B146,2)),VALUE(MID(B146,4,2))),
        DATEVALUE(B146)
      )
    )
  ),
"INVALID_DATE")</f>
        <v>45450</v>
      </c>
      <c r="AA146" s="2">
        <f>IFERROR(
  IF(ISNUMBER(C146),C146,
    IF(ISNUMBER(SEARCH("-",C146)*1),
      IF(LEN(LEFT(C146,FIND("-",C146)-1))=4,
        DATE(VALUE(LEFT(C146,4)),VALUE(MID(C146,6,2)),VALUE(RIGHT(C146,2))),
        DATE(VALUE(RIGHT(C146,4)),VALUE(MID(C146,4,2)),VALUE(LEFT(C146,2)))
      ),
      IF(ISNUMBER(SEARCH("/",C146)*1),
        DATE(VALUE(RIGHT(C146,4)),VALUE(LEFT(C146,2)),VALUE(MID(C146,4,2))),
        DATEVALUE(C146)
      )
    )
  ),
"INVALID_DATE")</f>
        <v>45458</v>
      </c>
      <c r="AB146">
        <f t="shared" si="15"/>
        <v>8</v>
      </c>
      <c r="AC146" t="str">
        <f t="shared" si="16"/>
        <v>June</v>
      </c>
      <c r="AD146">
        <f t="shared" si="17"/>
        <v>2024</v>
      </c>
    </row>
    <row r="147" spans="1:30">
      <c r="A147" t="s">
        <v>821</v>
      </c>
      <c r="B147" t="s">
        <v>822</v>
      </c>
      <c r="C147" t="s">
        <v>823</v>
      </c>
      <c r="D147" t="s">
        <v>824</v>
      </c>
      <c r="E147" t="s">
        <v>47</v>
      </c>
      <c r="F147" t="s">
        <v>48</v>
      </c>
      <c r="G147" t="s">
        <v>80</v>
      </c>
      <c r="H147" t="s">
        <v>256</v>
      </c>
      <c r="I147" t="s">
        <v>257</v>
      </c>
      <c r="J147" t="s">
        <v>37</v>
      </c>
      <c r="K147" t="s">
        <v>38</v>
      </c>
      <c r="L147" t="s">
        <v>825</v>
      </c>
      <c r="M147" t="s">
        <v>74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41</v>
      </c>
      <c r="U147" t="s">
        <v>42</v>
      </c>
      <c r="V147">
        <f t="shared" si="12"/>
        <v>15055.74</v>
      </c>
      <c r="W147">
        <f t="shared" si="13"/>
        <v>5246.91</v>
      </c>
      <c r="X147">
        <f t="shared" si="14"/>
        <v>0.34849897779850075</v>
      </c>
      <c r="Y147" t="str">
        <f>_xlfn.TEXTJOIN(", ",TRUE,IF(G147="Unknown","Missing Region",""),IF(M147="Unknown","Missing Ship Mode",""),IF(P147&lt;0,"Negative Discount",""),IF(P147&gt;0.7,"High Discount",""),IF(C147&lt;B147,"Ship Before Order",""))</f>
        <v>Ship Before Order</v>
      </c>
      <c r="Z147" s="2">
        <f>IFERROR(
  IF(ISNUMBER(B147),B147,
    IF(ISNUMBER(SEARCH("-",B147)*1),
      IF(LEN(LEFT(B147,FIND("-",B147)-1))=4,
        DATE(VALUE(LEFT(B147,4)),VALUE(MID(B147,6,2)),VALUE(RIGHT(B147,2))),
        DATE(VALUE(RIGHT(B147,4)),VALUE(MID(B147,4,2)),VALUE(LEFT(B147,2)))
      ),
      IF(ISNUMBER(SEARCH("/",B147)*1),
        DATE(VALUE(RIGHT(B147,4)),VALUE(LEFT(B147,2)),VALUE(MID(B147,4,2))),
        DATEVALUE(B147)
      )
    )
  ),
"INVALID_DATE")</f>
        <v>45758</v>
      </c>
      <c r="AA147" s="2">
        <f>IFERROR(
  IF(ISNUMBER(C147),C147,
    IF(ISNUMBER(SEARCH("-",C147)*1),
      IF(LEN(LEFT(C147,FIND("-",C147)-1))=4,
        DATE(VALUE(LEFT(C147,4)),VALUE(MID(C147,6,2)),VALUE(RIGHT(C147,2))),
        DATE(VALUE(RIGHT(C147,4)),VALUE(MID(C147,4,2)),VALUE(LEFT(C147,2)))
      ),
      IF(ISNUMBER(SEARCH("/",C147)*1),
        DATE(VALUE(RIGHT(C147,4)),VALUE(LEFT(C147,2)),VALUE(MID(C147,4,2))),
        DATEVALUE(C147)
      )
    )
  ),
"INVALID_DATE")</f>
        <v>45760</v>
      </c>
      <c r="AB147">
        <f t="shared" si="15"/>
        <v>2</v>
      </c>
      <c r="AC147" t="str">
        <f t="shared" si="16"/>
        <v>April</v>
      </c>
      <c r="AD147">
        <f t="shared" si="17"/>
        <v>2025</v>
      </c>
    </row>
    <row r="148" spans="1:30">
      <c r="A148" t="s">
        <v>826</v>
      </c>
      <c r="B148" t="s">
        <v>827</v>
      </c>
      <c r="C148" t="s">
        <v>828</v>
      </c>
      <c r="D148" t="s">
        <v>829</v>
      </c>
      <c r="E148" t="s">
        <v>175</v>
      </c>
      <c r="F148" t="s">
        <v>48</v>
      </c>
      <c r="G148" t="s">
        <v>69</v>
      </c>
      <c r="H148" t="s">
        <v>347</v>
      </c>
      <c r="I148" t="s">
        <v>348</v>
      </c>
      <c r="J148" t="s">
        <v>37</v>
      </c>
      <c r="K148" t="s">
        <v>163</v>
      </c>
      <c r="L148" t="s">
        <v>830</v>
      </c>
      <c r="M148" t="s">
        <v>55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41</v>
      </c>
      <c r="U148" t="s">
        <v>42</v>
      </c>
      <c r="V148">
        <f t="shared" si="12"/>
        <v>25639.982999999997</v>
      </c>
      <c r="W148">
        <f t="shared" si="13"/>
        <v>4004.8999999999978</v>
      </c>
      <c r="X148">
        <f t="shared" si="14"/>
        <v>0.1561974697328157</v>
      </c>
      <c r="Y148" t="str">
        <f>_xlfn.TEXTJOIN(", ",TRUE,IF(G148="Unknown","Missing Region",""),IF(M148="Unknown","Missing Ship Mode",""),IF(P148&lt;0,"Negative Discount",""),IF(P148&gt;0.7,"High Discount",""),IF(C148&lt;B148,"Ship Before Order",""))</f>
        <v>Ship Before Order</v>
      </c>
      <c r="Z148" s="2">
        <f>IFERROR(
  IF(ISNUMBER(B148),B148,
    IF(ISNUMBER(SEARCH("-",B148)*1),
      IF(LEN(LEFT(B148,FIND("-",B148)-1))=4,
        DATE(VALUE(LEFT(B148,4)),VALUE(MID(B148,6,2)),VALUE(RIGHT(B148,2))),
        DATE(VALUE(RIGHT(B148,4)),VALUE(MID(B148,4,2)),VALUE(LEFT(B148,2)))
      ),
      IF(ISNUMBER(SEARCH("/",B148)*1),
        DATE(VALUE(RIGHT(B148,4)),VALUE(LEFT(B148,2)),VALUE(MID(B148,4,2))),
        DATEVALUE(B148)
      )
    )
  ),
"INVALID_DATE")</f>
        <v>45868</v>
      </c>
      <c r="AA148" s="2">
        <f>IFERROR(
  IF(ISNUMBER(C148),C148,
    IF(ISNUMBER(SEARCH("-",C148)*1),
      IF(LEN(LEFT(C148,FIND("-",C148)-1))=4,
        DATE(VALUE(LEFT(C148,4)),VALUE(MID(C148,6,2)),VALUE(RIGHT(C148,2))),
        DATE(VALUE(RIGHT(C148,4)),VALUE(MID(C148,4,2)),VALUE(LEFT(C148,2)))
      ),
      IF(ISNUMBER(SEARCH("/",C148)*1),
        DATE(VALUE(RIGHT(C148,4)),VALUE(LEFT(C148,2)),VALUE(MID(C148,4,2))),
        DATEVALUE(C148)
      )
    )
  ),
"INVALID_DATE")</f>
        <v>45870</v>
      </c>
      <c r="AB148">
        <f t="shared" si="15"/>
        <v>2</v>
      </c>
      <c r="AC148" t="str">
        <f t="shared" si="16"/>
        <v>July</v>
      </c>
      <c r="AD148">
        <f t="shared" si="17"/>
        <v>2025</v>
      </c>
    </row>
    <row r="149" spans="1:30">
      <c r="A149" t="s">
        <v>831</v>
      </c>
      <c r="B149" t="s">
        <v>832</v>
      </c>
      <c r="C149" t="s">
        <v>833</v>
      </c>
      <c r="D149" t="s">
        <v>834</v>
      </c>
      <c r="E149" t="s">
        <v>149</v>
      </c>
      <c r="F149" t="s">
        <v>122</v>
      </c>
      <c r="G149" t="s">
        <v>80</v>
      </c>
      <c r="H149" t="s">
        <v>256</v>
      </c>
      <c r="I149" t="s">
        <v>257</v>
      </c>
      <c r="J149" t="s">
        <v>52</v>
      </c>
      <c r="K149" t="s">
        <v>72</v>
      </c>
      <c r="L149" t="s">
        <v>835</v>
      </c>
      <c r="M149" t="s">
        <v>63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41</v>
      </c>
      <c r="U149" t="s">
        <v>42</v>
      </c>
      <c r="V149">
        <f t="shared" si="12"/>
        <v>2779.92</v>
      </c>
      <c r="W149">
        <f t="shared" si="13"/>
        <v>1035.8700000000001</v>
      </c>
      <c r="X149">
        <f t="shared" si="14"/>
        <v>0.37262583095916424</v>
      </c>
      <c r="Y149" t="str">
        <f>_xlfn.TEXTJOIN(", ",TRUE,IF(G149="Unknown","Missing Region",""),IF(M149="Unknown","Missing Ship Mode",""),IF(P149&lt;0,"Negative Discount",""),IF(P149&gt;0.7,"High Discount",""),IF(C149&lt;B149,"Ship Before Order",""))</f>
        <v>Ship Before Order</v>
      </c>
      <c r="Z149" s="2">
        <f>IFERROR(
  IF(ISNUMBER(B149),B149,
    IF(ISNUMBER(SEARCH("-",B149)*1),
      IF(LEN(LEFT(B149,FIND("-",B149)-1))=4,
        DATE(VALUE(LEFT(B149,4)),VALUE(MID(B149,6,2)),VALUE(RIGHT(B149,2))),
        DATE(VALUE(RIGHT(B149,4)),VALUE(MID(B149,4,2)),VALUE(LEFT(B149,2)))
      ),
      IF(ISNUMBER(SEARCH("/",B149)*1),
        DATE(VALUE(RIGHT(B149,4)),VALUE(LEFT(B149,2)),VALUE(MID(B149,4,2))),
        DATEVALUE(B149)
      )
    )
  ),
"INVALID_DATE")</f>
        <v>45649</v>
      </c>
      <c r="AA149" s="2">
        <f>IFERROR(
  IF(ISNUMBER(C149),C149,
    IF(ISNUMBER(SEARCH("-",C149)*1),
      IF(LEN(LEFT(C149,FIND("-",C149)-1))=4,
        DATE(VALUE(LEFT(C149,4)),VALUE(MID(C149,6,2)),VALUE(RIGHT(C149,2))),
        DATE(VALUE(RIGHT(C149,4)),VALUE(MID(C149,4,2)),VALUE(LEFT(C149,2)))
      ),
      IF(ISNUMBER(SEARCH("/",C149)*1),
        DATE(VALUE(RIGHT(C149,4)),VALUE(LEFT(C149,2)),VALUE(MID(C149,4,2))),
        DATEVALUE(C149)
      )
    )
  ),
"INVALID_DATE")</f>
        <v>45656</v>
      </c>
      <c r="AB149">
        <f t="shared" si="15"/>
        <v>7</v>
      </c>
      <c r="AC149" t="str">
        <f t="shared" si="16"/>
        <v>December</v>
      </c>
      <c r="AD149">
        <f t="shared" si="17"/>
        <v>2024</v>
      </c>
    </row>
    <row r="150" spans="1:30">
      <c r="A150" t="s">
        <v>836</v>
      </c>
      <c r="B150" t="s">
        <v>837</v>
      </c>
      <c r="C150" t="s">
        <v>838</v>
      </c>
      <c r="D150" t="s">
        <v>839</v>
      </c>
      <c r="E150" t="s">
        <v>47</v>
      </c>
      <c r="F150" t="s">
        <v>122</v>
      </c>
      <c r="G150" t="s">
        <v>80</v>
      </c>
      <c r="H150" t="s">
        <v>91</v>
      </c>
      <c r="I150" t="s">
        <v>92</v>
      </c>
      <c r="J150" t="s">
        <v>93</v>
      </c>
      <c r="K150" t="s">
        <v>230</v>
      </c>
      <c r="L150" t="s">
        <v>840</v>
      </c>
      <c r="M150" t="s">
        <v>279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41</v>
      </c>
      <c r="U150" t="s">
        <v>42</v>
      </c>
      <c r="V150">
        <f t="shared" si="12"/>
        <v>10176.42</v>
      </c>
      <c r="W150">
        <f t="shared" si="13"/>
        <v>2571.9499999999998</v>
      </c>
      <c r="X150">
        <f t="shared" si="14"/>
        <v>0.252736227474888</v>
      </c>
      <c r="Y150" t="str">
        <f>_xlfn.TEXTJOIN(", ",TRUE,IF(G150="Unknown","Missing Region",""),IF(M150="Unknown","Missing Ship Mode",""),IF(P150&lt;0,"Negative Discount",""),IF(P150&gt;0.7,"High Discount",""),IF(C150&lt;B150,"Ship Before Order",""))</f>
        <v>Missing Ship Mode</v>
      </c>
      <c r="Z150" s="2">
        <f>IFERROR(
  IF(ISNUMBER(B150),B150,
    IF(ISNUMBER(SEARCH("-",B150)*1),
      IF(LEN(LEFT(B150,FIND("-",B150)-1))=4,
        DATE(VALUE(LEFT(B150,4)),VALUE(MID(B150,6,2)),VALUE(RIGHT(B150,2))),
        DATE(VALUE(RIGHT(B150,4)),VALUE(MID(B150,4,2)),VALUE(LEFT(B150,2)))
      ),
      IF(ISNUMBER(SEARCH("/",B150)*1),
        DATE(VALUE(RIGHT(B150,4)),VALUE(LEFT(B150,2)),VALUE(MID(B150,4,2))),
        DATEVALUE(B150)
      )
    )
  ),
"INVALID_DATE")</f>
        <v>45697</v>
      </c>
      <c r="AA150" s="2">
        <f>IFERROR(
  IF(ISNUMBER(C150),C150,
    IF(ISNUMBER(SEARCH("-",C150)*1),
      IF(LEN(LEFT(C150,FIND("-",C150)-1))=4,
        DATE(VALUE(LEFT(C150,4)),VALUE(MID(C150,6,2)),VALUE(RIGHT(C150,2))),
        DATE(VALUE(RIGHT(C150,4)),VALUE(MID(C150,4,2)),VALUE(LEFT(C150,2)))
      ),
      IF(ISNUMBER(SEARCH("/",C150)*1),
        DATE(VALUE(RIGHT(C150,4)),VALUE(LEFT(C150,2)),VALUE(MID(C150,4,2))),
        DATEVALUE(C150)
      )
    )
  ),
"INVALID_DATE")</f>
        <v>45701</v>
      </c>
      <c r="AB150">
        <f t="shared" si="15"/>
        <v>4</v>
      </c>
      <c r="AC150" t="str">
        <f t="shared" si="16"/>
        <v>February</v>
      </c>
      <c r="AD150">
        <f t="shared" si="17"/>
        <v>2025</v>
      </c>
    </row>
    <row r="151" spans="1:30">
      <c r="A151" t="s">
        <v>841</v>
      </c>
      <c r="B151" t="s">
        <v>842</v>
      </c>
      <c r="C151" t="s">
        <v>842</v>
      </c>
      <c r="D151" t="s">
        <v>843</v>
      </c>
      <c r="E151" t="s">
        <v>169</v>
      </c>
      <c r="F151" t="s">
        <v>48</v>
      </c>
      <c r="G151" t="s">
        <v>844</v>
      </c>
      <c r="H151" t="s">
        <v>35</v>
      </c>
      <c r="I151" t="s">
        <v>142</v>
      </c>
      <c r="J151" t="s">
        <v>93</v>
      </c>
      <c r="K151" t="s">
        <v>101</v>
      </c>
      <c r="L151" t="s">
        <v>845</v>
      </c>
      <c r="M151" t="s">
        <v>55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41</v>
      </c>
      <c r="U151" t="s">
        <v>42</v>
      </c>
      <c r="V151">
        <f t="shared" si="12"/>
        <v>13269.952499999999</v>
      </c>
      <c r="W151">
        <f t="shared" si="13"/>
        <v>4292.8500000000004</v>
      </c>
      <c r="X151">
        <f t="shared" si="14"/>
        <v>0.32350159571060932</v>
      </c>
      <c r="Y151" t="str">
        <f>_xlfn.TEXTJOIN(", ",TRUE,IF(G151="Unknown","Missing Region",""),IF(M151="Unknown","Missing Ship Mode",""),IF(P151&lt;0,"Negative Discount",""),IF(P151&gt;0.7,"High Discount",""),IF(C151&lt;B151,"Ship Before Order",""))</f>
        <v/>
      </c>
      <c r="Z151" s="2">
        <f>IFERROR(
  IF(ISNUMBER(B151),B151,
    IF(ISNUMBER(SEARCH("-",B151)*1),
      IF(LEN(LEFT(B151,FIND("-",B151)-1))=4,
        DATE(VALUE(LEFT(B151,4)),VALUE(MID(B151,6,2)),VALUE(RIGHT(B151,2))),
        DATE(VALUE(RIGHT(B151,4)),VALUE(MID(B151,4,2)),VALUE(LEFT(B151,2)))
      ),
      IF(ISNUMBER(SEARCH("/",B151)*1),
        DATE(VALUE(RIGHT(B151,4)),VALUE(LEFT(B151,2)),VALUE(MID(B151,4,2))),
        DATEVALUE(B151)
      )
    )
  ),
"INVALID_DATE")</f>
        <v>45321</v>
      </c>
      <c r="AA151" s="2">
        <f>IFERROR(
  IF(ISNUMBER(C151),C151,
    IF(ISNUMBER(SEARCH("-",C151)*1),
      IF(LEN(LEFT(C151,FIND("-",C151)-1))=4,
        DATE(VALUE(LEFT(C151,4)),VALUE(MID(C151,6,2)),VALUE(RIGHT(C151,2))),
        DATE(VALUE(RIGHT(C151,4)),VALUE(MID(C151,4,2)),VALUE(LEFT(C151,2)))
      ),
      IF(ISNUMBER(SEARCH("/",C151)*1),
        DATE(VALUE(RIGHT(C151,4)),VALUE(LEFT(C151,2)),VALUE(MID(C151,4,2))),
        DATEVALUE(C151)
      )
    )
  ),
"INVALID_DATE")</f>
        <v>45321</v>
      </c>
      <c r="AB151">
        <f t="shared" si="15"/>
        <v>0</v>
      </c>
      <c r="AC151" t="str">
        <f t="shared" si="16"/>
        <v>January</v>
      </c>
      <c r="AD151">
        <f t="shared" si="17"/>
        <v>2024</v>
      </c>
    </row>
    <row r="152" spans="1:30">
      <c r="A152" t="s">
        <v>846</v>
      </c>
      <c r="B152" t="s">
        <v>847</v>
      </c>
      <c r="C152" t="s">
        <v>848</v>
      </c>
      <c r="D152" t="s">
        <v>849</v>
      </c>
      <c r="E152" t="s">
        <v>68</v>
      </c>
      <c r="F152" t="s">
        <v>33</v>
      </c>
      <c r="G152" t="s">
        <v>279</v>
      </c>
      <c r="H152" t="s">
        <v>242</v>
      </c>
      <c r="I152" t="s">
        <v>243</v>
      </c>
      <c r="J152" t="s">
        <v>52</v>
      </c>
      <c r="K152" t="s">
        <v>211</v>
      </c>
      <c r="L152" t="s">
        <v>850</v>
      </c>
      <c r="M152" t="s">
        <v>63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41</v>
      </c>
      <c r="U152" t="s">
        <v>42</v>
      </c>
      <c r="V152">
        <f t="shared" si="12"/>
        <v>1398.7079999999999</v>
      </c>
      <c r="W152">
        <f t="shared" si="13"/>
        <v>341.78999999999996</v>
      </c>
      <c r="X152">
        <f t="shared" si="14"/>
        <v>0.24436087537802689</v>
      </c>
      <c r="Y152" t="str">
        <f>_xlfn.TEXTJOIN(", ",TRUE,IF(G152="Unknown","Missing Region",""),IF(M152="Unknown","Missing Ship Mode",""),IF(P152&lt;0,"Negative Discount",""),IF(P152&gt;0.7,"High Discount",""),IF(C152&lt;B152,"Ship Before Order",""))</f>
        <v>Missing Region</v>
      </c>
      <c r="Z152" s="2">
        <f>IFERROR(
  IF(ISNUMBER(B152),B152,
    IF(ISNUMBER(SEARCH("-",B152)*1),
      IF(LEN(LEFT(B152,FIND("-",B152)-1))=4,
        DATE(VALUE(LEFT(B152,4)),VALUE(MID(B152,6,2)),VALUE(RIGHT(B152,2))),
        DATE(VALUE(RIGHT(B152,4)),VALUE(MID(B152,4,2)),VALUE(LEFT(B152,2)))
      ),
      IF(ISNUMBER(SEARCH("/",B152)*1),
        DATE(VALUE(RIGHT(B152,4)),VALUE(LEFT(B152,2)),VALUE(MID(B152,4,2))),
        DATEVALUE(B152)
      )
    )
  ),
"INVALID_DATE")</f>
        <v>45355</v>
      </c>
      <c r="AA152" s="2">
        <f>IFERROR(
  IF(ISNUMBER(C152),C152,
    IF(ISNUMBER(SEARCH("-",C152)*1),
      IF(LEN(LEFT(C152,FIND("-",C152)-1))=4,
        DATE(VALUE(LEFT(C152,4)),VALUE(MID(C152,6,2)),VALUE(RIGHT(C152,2))),
        DATE(VALUE(RIGHT(C152,4)),VALUE(MID(C152,4,2)),VALUE(LEFT(C152,2)))
      ),
      IF(ISNUMBER(SEARCH("/",C152)*1),
        DATE(VALUE(RIGHT(C152,4)),VALUE(LEFT(C152,2)),VALUE(MID(C152,4,2))),
        DATEVALUE(C152)
      )
    )
  ),
"INVALID_DATE")</f>
        <v>45363</v>
      </c>
      <c r="AB152">
        <f t="shared" si="15"/>
        <v>8</v>
      </c>
      <c r="AC152" t="str">
        <f t="shared" si="16"/>
        <v>March</v>
      </c>
      <c r="AD152">
        <f t="shared" si="17"/>
        <v>2024</v>
      </c>
    </row>
    <row r="153" spans="1:30">
      <c r="A153" t="s">
        <v>851</v>
      </c>
      <c r="B153" t="s">
        <v>852</v>
      </c>
      <c r="C153" t="s">
        <v>853</v>
      </c>
      <c r="D153" t="s">
        <v>854</v>
      </c>
      <c r="E153" t="s">
        <v>100</v>
      </c>
      <c r="F153" t="s">
        <v>122</v>
      </c>
      <c r="G153" t="s">
        <v>279</v>
      </c>
      <c r="H153" t="s">
        <v>91</v>
      </c>
      <c r="I153" t="s">
        <v>92</v>
      </c>
      <c r="J153" t="s">
        <v>93</v>
      </c>
      <c r="K153" t="s">
        <v>101</v>
      </c>
      <c r="L153" t="s">
        <v>855</v>
      </c>
      <c r="M153" t="s">
        <v>74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144</v>
      </c>
      <c r="U153" t="s">
        <v>132</v>
      </c>
      <c r="V153">
        <f t="shared" si="12"/>
        <v>7718.22</v>
      </c>
      <c r="W153">
        <f t="shared" si="13"/>
        <v>2362.29</v>
      </c>
      <c r="X153">
        <f t="shared" si="14"/>
        <v>0.30606668376905555</v>
      </c>
      <c r="Y153" t="str">
        <f>_xlfn.TEXTJOIN(", ",TRUE,IF(G153="Unknown","Missing Region",""),IF(M153="Unknown","Missing Ship Mode",""),IF(P153&lt;0,"Negative Discount",""),IF(P153&gt;0.7,"High Discount",""),IF(C153&lt;B153,"Ship Before Order",""))</f>
        <v>Missing Region, Ship Before Order</v>
      </c>
      <c r="Z153" s="2">
        <f>IFERROR(
  IF(ISNUMBER(B153),B153,
    IF(ISNUMBER(SEARCH("-",B153)*1),
      IF(LEN(LEFT(B153,FIND("-",B153)-1))=4,
        DATE(VALUE(LEFT(B153,4)),VALUE(MID(B153,6,2)),VALUE(RIGHT(B153,2))),
        DATE(VALUE(RIGHT(B153,4)),VALUE(MID(B153,4,2)),VALUE(LEFT(B153,2)))
      ),
      IF(ISNUMBER(SEARCH("/",B153)*1),
        DATE(VALUE(RIGHT(B153,4)),VALUE(LEFT(B153,2)),VALUE(MID(B153,4,2))),
        DATEVALUE(B153)
      )
    )
  ),
"INVALID_DATE")</f>
        <v>45470</v>
      </c>
      <c r="AA153" s="2">
        <f>IFERROR(
  IF(ISNUMBER(C153),C153,
    IF(ISNUMBER(SEARCH("-",C153)*1),
      IF(LEN(LEFT(C153,FIND("-",C153)-1))=4,
        DATE(VALUE(LEFT(C153,4)),VALUE(MID(C153,6,2)),VALUE(RIGHT(C153,2))),
        DATE(VALUE(RIGHT(C153,4)),VALUE(MID(C153,4,2)),VALUE(LEFT(C153,2)))
      ),
      IF(ISNUMBER(SEARCH("/",C153)*1),
        DATE(VALUE(RIGHT(C153,4)),VALUE(LEFT(C153,2)),VALUE(MID(C153,4,2))),
        DATEVALUE(C153)
      )
    )
  ),
"INVALID_DATE")</f>
        <v>45470</v>
      </c>
      <c r="AB153">
        <f t="shared" si="15"/>
        <v>0</v>
      </c>
      <c r="AC153" t="str">
        <f t="shared" si="16"/>
        <v>June</v>
      </c>
      <c r="AD153">
        <f t="shared" si="17"/>
        <v>2024</v>
      </c>
    </row>
    <row r="154" spans="1:30">
      <c r="A154" t="s">
        <v>856</v>
      </c>
      <c r="B154" t="s">
        <v>857</v>
      </c>
      <c r="C154" t="s">
        <v>858</v>
      </c>
      <c r="D154" t="s">
        <v>859</v>
      </c>
      <c r="E154" t="s">
        <v>374</v>
      </c>
      <c r="F154" t="s">
        <v>48</v>
      </c>
      <c r="G154" t="s">
        <v>69</v>
      </c>
      <c r="H154" t="s">
        <v>249</v>
      </c>
      <c r="I154" t="s">
        <v>250</v>
      </c>
      <c r="J154" t="s">
        <v>52</v>
      </c>
      <c r="K154" t="s">
        <v>53</v>
      </c>
      <c r="L154" t="s">
        <v>860</v>
      </c>
      <c r="M154" t="s">
        <v>40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144</v>
      </c>
      <c r="U154" t="s">
        <v>132</v>
      </c>
      <c r="V154">
        <f t="shared" si="12"/>
        <v>5875.4160000000002</v>
      </c>
      <c r="W154">
        <f t="shared" si="13"/>
        <v>1494.87</v>
      </c>
      <c r="X154">
        <f t="shared" si="14"/>
        <v>0.25442776856803428</v>
      </c>
      <c r="Y154" t="str">
        <f>_xlfn.TEXTJOIN(", ",TRUE,IF(G154="Unknown","Missing Region",""),IF(M154="Unknown","Missing Ship Mode",""),IF(P154&lt;0,"Negative Discount",""),IF(P154&gt;0.7,"High Discount",""),IF(C154&lt;B154,"Ship Before Order",""))</f>
        <v>Ship Before Order</v>
      </c>
      <c r="Z154" s="2">
        <f>IFERROR(
  IF(ISNUMBER(B154),B154,
    IF(ISNUMBER(SEARCH("-",B154)*1),
      IF(LEN(LEFT(B154,FIND("-",B154)-1))=4,
        DATE(VALUE(LEFT(B154,4)),VALUE(MID(B154,6,2)),VALUE(RIGHT(B154,2))),
        DATE(VALUE(RIGHT(B154,4)),VALUE(MID(B154,4,2)),VALUE(LEFT(B154,2)))
      ),
      IF(ISNUMBER(SEARCH("/",B154)*1),
        DATE(VALUE(RIGHT(B154,4)),VALUE(LEFT(B154,2)),VALUE(MID(B154,4,2))),
        DATEVALUE(B154)
      )
    )
  ),
"INVALID_DATE")</f>
        <v>45457</v>
      </c>
      <c r="AA154" s="2">
        <f>IFERROR(
  IF(ISNUMBER(C154),C154,
    IF(ISNUMBER(SEARCH("-",C154)*1),
      IF(LEN(LEFT(C154,FIND("-",C154)-1))=4,
        DATE(VALUE(LEFT(C154,4)),VALUE(MID(C154,6,2)),VALUE(RIGHT(C154,2))),
        DATE(VALUE(RIGHT(C154,4)),VALUE(MID(C154,4,2)),VALUE(LEFT(C154,2)))
      ),
      IF(ISNUMBER(SEARCH("/",C154)*1),
        DATE(VALUE(RIGHT(C154,4)),VALUE(LEFT(C154,2)),VALUE(MID(C154,4,2))),
        DATEVALUE(C154)
      )
    )
  ),
"INVALID_DATE")</f>
        <v>45460</v>
      </c>
      <c r="AB154">
        <f t="shared" si="15"/>
        <v>3</v>
      </c>
      <c r="AC154" t="str">
        <f t="shared" si="16"/>
        <v>June</v>
      </c>
      <c r="AD154">
        <f t="shared" si="17"/>
        <v>2024</v>
      </c>
    </row>
    <row r="155" spans="1:30">
      <c r="A155" t="s">
        <v>861</v>
      </c>
      <c r="B155" t="s">
        <v>862</v>
      </c>
      <c r="C155" t="s">
        <v>863</v>
      </c>
      <c r="D155" t="s">
        <v>864</v>
      </c>
      <c r="E155" t="s">
        <v>114</v>
      </c>
      <c r="F155" t="s">
        <v>33</v>
      </c>
      <c r="G155" t="s">
        <v>49</v>
      </c>
      <c r="H155" t="s">
        <v>50</v>
      </c>
      <c r="I155" t="s">
        <v>51</v>
      </c>
      <c r="J155" t="s">
        <v>37</v>
      </c>
      <c r="K155" t="s">
        <v>116</v>
      </c>
      <c r="L155" t="s">
        <v>865</v>
      </c>
      <c r="M155" t="s">
        <v>74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131</v>
      </c>
      <c r="U155" t="s">
        <v>132</v>
      </c>
      <c r="V155">
        <f t="shared" si="12"/>
        <v>22962.17</v>
      </c>
      <c r="W155">
        <f t="shared" si="13"/>
        <v>7245.6699999999983</v>
      </c>
      <c r="X155">
        <f t="shared" si="14"/>
        <v>0.31554813852523522</v>
      </c>
      <c r="Y155" t="str">
        <f>_xlfn.TEXTJOIN(", ",TRUE,IF(G155="Unknown","Missing Region",""),IF(M155="Unknown","Missing Ship Mode",""),IF(P155&lt;0,"Negative Discount",""),IF(P155&gt;0.7,"High Discount",""),IF(C155&lt;B155,"Ship Before Order",""))</f>
        <v>Ship Before Order</v>
      </c>
      <c r="Z155" s="2">
        <f>IFERROR(
  IF(ISNUMBER(B155),B155,
    IF(ISNUMBER(SEARCH("-",B155)*1),
      IF(LEN(LEFT(B155,FIND("-",B155)-1))=4,
        DATE(VALUE(LEFT(B155,4)),VALUE(MID(B155,6,2)),VALUE(RIGHT(B155,2))),
        DATE(VALUE(RIGHT(B155,4)),VALUE(MID(B155,4,2)),VALUE(LEFT(B155,2)))
      ),
      IF(ISNUMBER(SEARCH("/",B155)*1),
        DATE(VALUE(RIGHT(B155,4)),VALUE(LEFT(B155,2)),VALUE(MID(B155,4,2))),
        DATEVALUE(B155)
      )
    )
  ),
"INVALID_DATE")</f>
        <v>45923</v>
      </c>
      <c r="AA155" s="2">
        <f>IFERROR(
  IF(ISNUMBER(C155),C155,
    IF(ISNUMBER(SEARCH("-",C155)*1),
      IF(LEN(LEFT(C155,FIND("-",C155)-1))=4,
        DATE(VALUE(LEFT(C155,4)),VALUE(MID(C155,6,2)),VALUE(RIGHT(C155,2))),
        DATE(VALUE(RIGHT(C155,4)),VALUE(MID(C155,4,2)),VALUE(LEFT(C155,2)))
      ),
      IF(ISNUMBER(SEARCH("/",C155)*1),
        DATE(VALUE(RIGHT(C155,4)),VALUE(LEFT(C155,2)),VALUE(MID(C155,4,2))),
        DATEVALUE(C155)
      )
    )
  ),
"INVALID_DATE")</f>
        <v>45925</v>
      </c>
      <c r="AB155">
        <f t="shared" si="15"/>
        <v>2</v>
      </c>
      <c r="AC155" t="str">
        <f t="shared" si="16"/>
        <v>September</v>
      </c>
      <c r="AD155">
        <f t="shared" si="17"/>
        <v>2025</v>
      </c>
    </row>
    <row r="156" spans="1:30">
      <c r="A156" t="s">
        <v>866</v>
      </c>
      <c r="B156" t="s">
        <v>867</v>
      </c>
      <c r="C156" t="s">
        <v>868</v>
      </c>
      <c r="D156" t="s">
        <v>677</v>
      </c>
      <c r="E156" t="s">
        <v>149</v>
      </c>
      <c r="F156" t="s">
        <v>33</v>
      </c>
      <c r="G156" t="s">
        <v>69</v>
      </c>
      <c r="H156" t="s">
        <v>347</v>
      </c>
      <c r="I156" t="s">
        <v>348</v>
      </c>
      <c r="J156" t="s">
        <v>52</v>
      </c>
      <c r="K156" t="s">
        <v>211</v>
      </c>
      <c r="L156" t="s">
        <v>869</v>
      </c>
      <c r="M156" t="s">
        <v>55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41</v>
      </c>
      <c r="U156" t="s">
        <v>42</v>
      </c>
      <c r="V156">
        <f t="shared" si="12"/>
        <v>2209.252</v>
      </c>
      <c r="W156">
        <f t="shared" si="13"/>
        <v>685.47</v>
      </c>
      <c r="X156">
        <f t="shared" si="14"/>
        <v>0.31027271698540232</v>
      </c>
      <c r="Y156" t="str">
        <f>_xlfn.TEXTJOIN(", ",TRUE,IF(G156="Unknown","Missing Region",""),IF(M156="Unknown","Missing Ship Mode",""),IF(P156&lt;0,"Negative Discount",""),IF(P156&gt;0.7,"High Discount",""),IF(C156&lt;B156,"Ship Before Order",""))</f>
        <v>Ship Before Order</v>
      </c>
      <c r="Z156" s="2">
        <f>IFERROR(
  IF(ISNUMBER(B156),B156,
    IF(ISNUMBER(SEARCH("-",B156)*1),
      IF(LEN(LEFT(B156,FIND("-",B156)-1))=4,
        DATE(VALUE(LEFT(B156,4)),VALUE(MID(B156,6,2)),VALUE(RIGHT(B156,2))),
        DATE(VALUE(RIGHT(B156,4)),VALUE(MID(B156,4,2)),VALUE(LEFT(B156,2)))
      ),
      IF(ISNUMBER(SEARCH("/",B156)*1),
        DATE(VALUE(RIGHT(B156,4)),VALUE(LEFT(B156,2)),VALUE(MID(B156,4,2))),
        DATEVALUE(B156)
      )
    )
  ),
"INVALID_DATE")</f>
        <v>45334</v>
      </c>
      <c r="AA156" s="2">
        <f>IFERROR(
  IF(ISNUMBER(C156),C156,
    IF(ISNUMBER(SEARCH("-",C156)*1),
      IF(LEN(LEFT(C156,FIND("-",C156)-1))=4,
        DATE(VALUE(LEFT(C156,4)),VALUE(MID(C156,6,2)),VALUE(RIGHT(C156,2))),
        DATE(VALUE(RIGHT(C156,4)),VALUE(MID(C156,4,2)),VALUE(LEFT(C156,2)))
      ),
      IF(ISNUMBER(SEARCH("/",C156)*1),
        DATE(VALUE(RIGHT(C156,4)),VALUE(LEFT(C156,2)),VALUE(MID(C156,4,2))),
        DATEVALUE(C156)
      )
    )
  ),
"INVALID_DATE")</f>
        <v>45333</v>
      </c>
      <c r="AB156">
        <f t="shared" si="15"/>
        <v>-1</v>
      </c>
      <c r="AC156" t="str">
        <f t="shared" si="16"/>
        <v>February</v>
      </c>
      <c r="AD156">
        <f t="shared" si="17"/>
        <v>2024</v>
      </c>
    </row>
    <row r="157" spans="1:30">
      <c r="A157" t="s">
        <v>870</v>
      </c>
      <c r="B157" t="s">
        <v>567</v>
      </c>
      <c r="C157" t="s">
        <v>448</v>
      </c>
      <c r="D157" t="s">
        <v>871</v>
      </c>
      <c r="E157" t="s">
        <v>32</v>
      </c>
      <c r="F157" t="s">
        <v>115</v>
      </c>
      <c r="G157" t="s">
        <v>80</v>
      </c>
      <c r="H157" t="s">
        <v>35</v>
      </c>
      <c r="I157" t="s">
        <v>142</v>
      </c>
      <c r="J157" t="s">
        <v>52</v>
      </c>
      <c r="K157" t="s">
        <v>72</v>
      </c>
      <c r="L157" t="s">
        <v>872</v>
      </c>
      <c r="M157" t="s">
        <v>55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131</v>
      </c>
      <c r="U157" t="s">
        <v>132</v>
      </c>
      <c r="V157">
        <f t="shared" si="12"/>
        <v>7720.1640000000007</v>
      </c>
      <c r="W157">
        <f t="shared" si="13"/>
        <v>1839.1599999999999</v>
      </c>
      <c r="X157">
        <f t="shared" si="14"/>
        <v>0.2382282232492591</v>
      </c>
      <c r="Y157" t="str">
        <f>_xlfn.TEXTJOIN(", ",TRUE,IF(G157="Unknown","Missing Region",""),IF(M157="Unknown","Missing Ship Mode",""),IF(P157&lt;0,"Negative Discount",""),IF(P157&gt;0.7,"High Discount",""),IF(C157&lt;B157,"Ship Before Order",""))</f>
        <v/>
      </c>
      <c r="Z157" s="2">
        <f>IFERROR(
  IF(ISNUMBER(B157),B157,
    IF(ISNUMBER(SEARCH("-",B157)*1),
      IF(LEN(LEFT(B157,FIND("-",B157)-1))=4,
        DATE(VALUE(LEFT(B157,4)),VALUE(MID(B157,6,2)),VALUE(RIGHT(B157,2))),
        DATE(VALUE(RIGHT(B157,4)),VALUE(MID(B157,4,2)),VALUE(LEFT(B157,2)))
      ),
      IF(ISNUMBER(SEARCH("/",B157)*1),
        DATE(VALUE(RIGHT(B157,4)),VALUE(LEFT(B157,2)),VALUE(MID(B157,4,2))),
        DATEVALUE(B157)
      )
    )
  ),
"INVALID_DATE")</f>
        <v>45683</v>
      </c>
      <c r="AA157" s="2">
        <f>IFERROR(
  IF(ISNUMBER(C157),C157,
    IF(ISNUMBER(SEARCH("-",C157)*1),
      IF(LEN(LEFT(C157,FIND("-",C157)-1))=4,
        DATE(VALUE(LEFT(C157,4)),VALUE(MID(C157,6,2)),VALUE(RIGHT(C157,2))),
        DATE(VALUE(RIGHT(C157,4)),VALUE(MID(C157,4,2)),VALUE(LEFT(C157,2)))
      ),
      IF(ISNUMBER(SEARCH("/",C157)*1),
        DATE(VALUE(RIGHT(C157,4)),VALUE(LEFT(C157,2)),VALUE(MID(C157,4,2))),
        DATEVALUE(C157)
      )
    )
  ),
"INVALID_DATE")</f>
        <v>45691</v>
      </c>
      <c r="AB157">
        <f t="shared" si="15"/>
        <v>8</v>
      </c>
      <c r="AC157" t="str">
        <f t="shared" si="16"/>
        <v>January</v>
      </c>
      <c r="AD157">
        <f t="shared" si="17"/>
        <v>2025</v>
      </c>
    </row>
    <row r="158" spans="1:30">
      <c r="A158" t="s">
        <v>873</v>
      </c>
      <c r="B158" t="s">
        <v>874</v>
      </c>
      <c r="C158" t="s">
        <v>875</v>
      </c>
      <c r="D158" t="s">
        <v>876</v>
      </c>
      <c r="E158" t="s">
        <v>90</v>
      </c>
      <c r="F158" t="s">
        <v>48</v>
      </c>
      <c r="G158" t="s">
        <v>49</v>
      </c>
      <c r="H158" t="s">
        <v>193</v>
      </c>
      <c r="I158" t="s">
        <v>194</v>
      </c>
      <c r="J158" t="s">
        <v>93</v>
      </c>
      <c r="K158" t="s">
        <v>390</v>
      </c>
      <c r="L158" t="s">
        <v>877</v>
      </c>
      <c r="M158" t="s">
        <v>40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41</v>
      </c>
      <c r="U158" t="s">
        <v>42</v>
      </c>
      <c r="V158">
        <f t="shared" si="12"/>
        <v>12103.192499999999</v>
      </c>
      <c r="W158">
        <f t="shared" si="13"/>
        <v>5385.3200000000006</v>
      </c>
      <c r="X158">
        <f t="shared" si="14"/>
        <v>0.444950463472853</v>
      </c>
      <c r="Y158" t="str">
        <f>_xlfn.TEXTJOIN(", ",TRUE,IF(G158="Unknown","Missing Region",""),IF(M158="Unknown","Missing Ship Mode",""),IF(P158&lt;0,"Negative Discount",""),IF(P158&gt;0.7,"High Discount",""),IF(C158&lt;B158,"Ship Before Order",""))</f>
        <v>Ship Before Order</v>
      </c>
      <c r="Z158" s="2">
        <f>IFERROR(
  IF(ISNUMBER(B158),B158,
    IF(ISNUMBER(SEARCH("-",B158)*1),
      IF(LEN(LEFT(B158,FIND("-",B158)-1))=4,
        DATE(VALUE(LEFT(B158,4)),VALUE(MID(B158,6,2)),VALUE(RIGHT(B158,2))),
        DATE(VALUE(RIGHT(B158,4)),VALUE(MID(B158,4,2)),VALUE(LEFT(B158,2)))
      ),
      IF(ISNUMBER(SEARCH("/",B158)*1),
        DATE(VALUE(RIGHT(B158,4)),VALUE(LEFT(B158,2)),VALUE(MID(B158,4,2))),
        DATEVALUE(B158)
      )
    )
  ),
"INVALID_DATE")</f>
        <v>45743</v>
      </c>
      <c r="AA158" s="2">
        <f>IFERROR(
  IF(ISNUMBER(C158),C158,
    IF(ISNUMBER(SEARCH("-",C158)*1),
      IF(LEN(LEFT(C158,FIND("-",C158)-1))=4,
        DATE(VALUE(LEFT(C158,4)),VALUE(MID(C158,6,2)),VALUE(RIGHT(C158,2))),
        DATE(VALUE(RIGHT(C158,4)),VALUE(MID(C158,4,2)),VALUE(LEFT(C158,2)))
      ),
      IF(ISNUMBER(SEARCH("/",C158)*1),
        DATE(VALUE(RIGHT(C158,4)),VALUE(LEFT(C158,2)),VALUE(MID(C158,4,2))),
        DATEVALUE(C158)
      )
    )
  ),
"INVALID_DATE")</f>
        <v>45743</v>
      </c>
      <c r="AB158">
        <f t="shared" si="15"/>
        <v>0</v>
      </c>
      <c r="AC158" t="str">
        <f t="shared" si="16"/>
        <v>March</v>
      </c>
      <c r="AD158">
        <f t="shared" si="17"/>
        <v>2025</v>
      </c>
    </row>
    <row r="159" spans="1:30">
      <c r="A159" t="s">
        <v>878</v>
      </c>
      <c r="B159" t="s">
        <v>879</v>
      </c>
      <c r="C159" t="s">
        <v>880</v>
      </c>
      <c r="D159" t="s">
        <v>881</v>
      </c>
      <c r="E159" t="s">
        <v>187</v>
      </c>
      <c r="F159" t="s">
        <v>48</v>
      </c>
      <c r="G159" t="s">
        <v>69</v>
      </c>
      <c r="H159" t="s">
        <v>107</v>
      </c>
      <c r="I159" t="s">
        <v>108</v>
      </c>
      <c r="J159" t="s">
        <v>52</v>
      </c>
      <c r="K159" t="s">
        <v>211</v>
      </c>
      <c r="L159" t="s">
        <v>882</v>
      </c>
      <c r="M159" t="s">
        <v>74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41</v>
      </c>
      <c r="U159" t="s">
        <v>42</v>
      </c>
      <c r="V159">
        <f t="shared" si="12"/>
        <v>2335.3920000000003</v>
      </c>
      <c r="W159">
        <f t="shared" si="13"/>
        <v>869.23999999999978</v>
      </c>
      <c r="X159">
        <f t="shared" si="14"/>
        <v>0.37220335789739617</v>
      </c>
      <c r="Y159" t="str">
        <f>_xlfn.TEXTJOIN(", ",TRUE,IF(G159="Unknown","Missing Region",""),IF(M159="Unknown","Missing Ship Mode",""),IF(P159&lt;0,"Negative Discount",""),IF(P159&gt;0.7,"High Discount",""),IF(C159&lt;B159,"Ship Before Order",""))</f>
        <v/>
      </c>
      <c r="Z159" s="2">
        <f>IFERROR(
  IF(ISNUMBER(B159),B159,
    IF(ISNUMBER(SEARCH("-",B159)*1),
      IF(LEN(LEFT(B159,FIND("-",B159)-1))=4,
        DATE(VALUE(LEFT(B159,4)),VALUE(MID(B159,6,2)),VALUE(RIGHT(B159,2))),
        DATE(VALUE(RIGHT(B159,4)),VALUE(MID(B159,4,2)),VALUE(LEFT(B159,2)))
      ),
      IF(ISNUMBER(SEARCH("/",B159)*1),
        DATE(VALUE(RIGHT(B159,4)),VALUE(LEFT(B159,2)),VALUE(MID(B159,4,2))),
        DATEVALUE(B159)
      )
    )
  ),
"INVALID_DATE")</f>
        <v>45587</v>
      </c>
      <c r="AA159" s="2">
        <f>IFERROR(
  IF(ISNUMBER(C159),C159,
    IF(ISNUMBER(SEARCH("-",C159)*1),
      IF(LEN(LEFT(C159,FIND("-",C159)-1))=4,
        DATE(VALUE(LEFT(C159,4)),VALUE(MID(C159,6,2)),VALUE(RIGHT(C159,2))),
        DATE(VALUE(RIGHT(C159,4)),VALUE(MID(C159,4,2)),VALUE(LEFT(C159,2)))
      ),
      IF(ISNUMBER(SEARCH("/",C159)*1),
        DATE(VALUE(RIGHT(C159,4)),VALUE(LEFT(C159,2)),VALUE(MID(C159,4,2))),
        DATEVALUE(C159)
      )
    )
  ),
"INVALID_DATE")</f>
        <v>45589</v>
      </c>
      <c r="AB159">
        <f t="shared" si="15"/>
        <v>2</v>
      </c>
      <c r="AC159" t="str">
        <f t="shared" si="16"/>
        <v>October</v>
      </c>
      <c r="AD159">
        <f t="shared" si="17"/>
        <v>2024</v>
      </c>
    </row>
    <row r="160" spans="1:30">
      <c r="A160" t="s">
        <v>883</v>
      </c>
      <c r="B160" t="s">
        <v>884</v>
      </c>
      <c r="C160" t="s">
        <v>885</v>
      </c>
      <c r="D160" t="s">
        <v>886</v>
      </c>
      <c r="E160" t="s">
        <v>100</v>
      </c>
      <c r="F160" t="s">
        <v>122</v>
      </c>
      <c r="G160" t="s">
        <v>69</v>
      </c>
      <c r="H160" t="s">
        <v>70</v>
      </c>
      <c r="I160" t="s">
        <v>71</v>
      </c>
      <c r="J160" t="s">
        <v>52</v>
      </c>
      <c r="K160" t="s">
        <v>211</v>
      </c>
      <c r="L160" t="s">
        <v>887</v>
      </c>
      <c r="M160" t="s">
        <v>63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41</v>
      </c>
      <c r="U160" t="s">
        <v>42</v>
      </c>
      <c r="V160">
        <f t="shared" si="12"/>
        <v>3989.5629999999996</v>
      </c>
      <c r="W160">
        <f t="shared" si="13"/>
        <v>1608.1799999999998</v>
      </c>
      <c r="X160">
        <f t="shared" si="14"/>
        <v>0.40309708338764177</v>
      </c>
      <c r="Y160" t="str">
        <f>_xlfn.TEXTJOIN(", ",TRUE,IF(G160="Unknown","Missing Region",""),IF(M160="Unknown","Missing Ship Mode",""),IF(P160&lt;0,"Negative Discount",""),IF(P160&gt;0.7,"High Discount",""),IF(C160&lt;B160,"Ship Before Order",""))</f>
        <v>Ship Before Order</v>
      </c>
      <c r="Z160" s="2">
        <f>IFERROR(
  IF(ISNUMBER(B160),B160,
    IF(ISNUMBER(SEARCH("-",B160)*1),
      IF(LEN(LEFT(B160,FIND("-",B160)-1))=4,
        DATE(VALUE(LEFT(B160,4)),VALUE(MID(B160,6,2)),VALUE(RIGHT(B160,2))),
        DATE(VALUE(RIGHT(B160,4)),VALUE(MID(B160,4,2)),VALUE(LEFT(B160,2)))
      ),
      IF(ISNUMBER(SEARCH("/",B160)*1),
        DATE(VALUE(RIGHT(B160,4)),VALUE(LEFT(B160,2)),VALUE(MID(B160,4,2))),
        DATEVALUE(B160)
      )
    )
  ),
"INVALID_DATE")</f>
        <v>45544</v>
      </c>
      <c r="AA160" s="2">
        <f>IFERROR(
  IF(ISNUMBER(C160),C160,
    IF(ISNUMBER(SEARCH("-",C160)*1),
      IF(LEN(LEFT(C160,FIND("-",C160)-1))=4,
        DATE(VALUE(LEFT(C160,4)),VALUE(MID(C160,6,2)),VALUE(RIGHT(C160,2))),
        DATE(VALUE(RIGHT(C160,4)),VALUE(MID(C160,4,2)),VALUE(LEFT(C160,2)))
      ),
      IF(ISNUMBER(SEARCH("/",C160)*1),
        DATE(VALUE(RIGHT(C160,4)),VALUE(LEFT(C160,2)),VALUE(MID(C160,4,2))),
        DATEVALUE(C160)
      )
    )
  ),
"INVALID_DATE")</f>
        <v>45546</v>
      </c>
      <c r="AB160">
        <f t="shared" si="15"/>
        <v>2</v>
      </c>
      <c r="AC160" t="str">
        <f t="shared" si="16"/>
        <v>September</v>
      </c>
      <c r="AD160">
        <f t="shared" si="17"/>
        <v>2024</v>
      </c>
    </row>
    <row r="161" spans="1:30">
      <c r="A161" t="s">
        <v>888</v>
      </c>
      <c r="B161" t="s">
        <v>889</v>
      </c>
      <c r="C161" t="s">
        <v>890</v>
      </c>
      <c r="D161" t="s">
        <v>891</v>
      </c>
      <c r="E161" t="s">
        <v>149</v>
      </c>
      <c r="F161" t="s">
        <v>115</v>
      </c>
      <c r="G161" t="s">
        <v>34</v>
      </c>
      <c r="H161" t="s">
        <v>331</v>
      </c>
      <c r="I161" t="s">
        <v>332</v>
      </c>
      <c r="J161" t="s">
        <v>52</v>
      </c>
      <c r="K161" t="s">
        <v>83</v>
      </c>
      <c r="L161" t="s">
        <v>892</v>
      </c>
      <c r="M161" t="s">
        <v>55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144</v>
      </c>
      <c r="U161" t="s">
        <v>85</v>
      </c>
      <c r="V161">
        <f t="shared" si="12"/>
        <v>33893.324999999997</v>
      </c>
      <c r="W161">
        <f t="shared" si="13"/>
        <v>8142.9700000000012</v>
      </c>
      <c r="X161">
        <f t="shared" si="14"/>
        <v>0.24025294659832677</v>
      </c>
      <c r="Y161" t="str">
        <f>_xlfn.TEXTJOIN(", ",TRUE,IF(G161="Unknown","Missing Region",""),IF(M161="Unknown","Missing Ship Mode",""),IF(P161&lt;0,"Negative Discount",""),IF(P161&gt;0.7,"High Discount",""),IF(C161&lt;B161,"Ship Before Order",""))</f>
        <v>Ship Before Order</v>
      </c>
      <c r="Z161" s="2">
        <f>IFERROR(
  IF(ISNUMBER(B161),B161,
    IF(ISNUMBER(SEARCH("-",B161)*1),
      IF(LEN(LEFT(B161,FIND("-",B161)-1))=4,
        DATE(VALUE(LEFT(B161,4)),VALUE(MID(B161,6,2)),VALUE(RIGHT(B161,2))),
        DATE(VALUE(RIGHT(B161,4)),VALUE(MID(B161,4,2)),VALUE(LEFT(B161,2)))
      ),
      IF(ISNUMBER(SEARCH("/",B161)*1),
        DATE(VALUE(RIGHT(B161,4)),VALUE(LEFT(B161,2)),VALUE(MID(B161,4,2))),
        DATEVALUE(B161)
      )
    )
  ),
"INVALID_DATE")</f>
        <v>45687</v>
      </c>
      <c r="AA161" s="2">
        <f>IFERROR(
  IF(ISNUMBER(C161),C161,
    IF(ISNUMBER(SEARCH("-",C161)*1),
      IF(LEN(LEFT(C161,FIND("-",C161)-1))=4,
        DATE(VALUE(LEFT(C161,4)),VALUE(MID(C161,6,2)),VALUE(RIGHT(C161,2))),
        DATE(VALUE(RIGHT(C161,4)),VALUE(MID(C161,4,2)),VALUE(LEFT(C161,2)))
      ),
      IF(ISNUMBER(SEARCH("/",C161)*1),
        DATE(VALUE(RIGHT(C161,4)),VALUE(LEFT(C161,2)),VALUE(MID(C161,4,2))),
        DATEVALUE(C161)
      )
    )
  ),
"INVALID_DATE")</f>
        <v>45692</v>
      </c>
      <c r="AB161">
        <f t="shared" si="15"/>
        <v>5</v>
      </c>
      <c r="AC161" t="str">
        <f t="shared" si="16"/>
        <v>January</v>
      </c>
      <c r="AD161">
        <f t="shared" si="17"/>
        <v>2025</v>
      </c>
    </row>
    <row r="162" spans="1:30">
      <c r="A162" t="s">
        <v>893</v>
      </c>
      <c r="B162" t="s">
        <v>894</v>
      </c>
      <c r="C162" t="s">
        <v>895</v>
      </c>
      <c r="D162" t="s">
        <v>896</v>
      </c>
      <c r="E162" t="s">
        <v>90</v>
      </c>
      <c r="F162" t="s">
        <v>48</v>
      </c>
      <c r="G162" t="s">
        <v>80</v>
      </c>
      <c r="H162" t="s">
        <v>81</v>
      </c>
      <c r="I162" t="s">
        <v>82</v>
      </c>
      <c r="J162" t="s">
        <v>37</v>
      </c>
      <c r="K162" t="s">
        <v>38</v>
      </c>
      <c r="L162" t="s">
        <v>897</v>
      </c>
      <c r="M162" t="s">
        <v>40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144</v>
      </c>
      <c r="U162" t="s">
        <v>85</v>
      </c>
      <c r="V162">
        <f t="shared" si="12"/>
        <v>4789.5960000000005</v>
      </c>
      <c r="W162">
        <f t="shared" si="13"/>
        <v>751.96000000000049</v>
      </c>
      <c r="X162">
        <f t="shared" si="14"/>
        <v>0.15699849674294303</v>
      </c>
      <c r="Y162" t="str">
        <f>_xlfn.TEXTJOIN(", ",TRUE,IF(G162="Unknown","Missing Region",""),IF(M162="Unknown","Missing Ship Mode",""),IF(P162&lt;0,"Negative Discount",""),IF(P162&gt;0.7,"High Discount",""),IF(C162&lt;B162,"Ship Before Order",""))</f>
        <v/>
      </c>
      <c r="Z162" s="2">
        <f>IFERROR(
  IF(ISNUMBER(B162),B162,
    IF(ISNUMBER(SEARCH("-",B162)*1),
      IF(LEN(LEFT(B162,FIND("-",B162)-1))=4,
        DATE(VALUE(LEFT(B162,4)),VALUE(MID(B162,6,2)),VALUE(RIGHT(B162,2))),
        DATE(VALUE(RIGHT(B162,4)),VALUE(MID(B162,4,2)),VALUE(LEFT(B162,2)))
      ),
      IF(ISNUMBER(SEARCH("/",B162)*1),
        DATE(VALUE(RIGHT(B162,4)),VALUE(LEFT(B162,2)),VALUE(MID(B162,4,2))),
        DATEVALUE(B162)
      )
    )
  ),
"INVALID_DATE")</f>
        <v>45938</v>
      </c>
      <c r="AA162" s="2">
        <f>IFERROR(
  IF(ISNUMBER(C162),C162,
    IF(ISNUMBER(SEARCH("-",C162)*1),
      IF(LEN(LEFT(C162,FIND("-",C162)-1))=4,
        DATE(VALUE(LEFT(C162,4)),VALUE(MID(C162,6,2)),VALUE(RIGHT(C162,2))),
        DATE(VALUE(RIGHT(C162,4)),VALUE(MID(C162,4,2)),VALUE(LEFT(C162,2)))
      ),
      IF(ISNUMBER(SEARCH("/",C162)*1),
        DATE(VALUE(RIGHT(C162,4)),VALUE(LEFT(C162,2)),VALUE(MID(C162,4,2))),
        DATEVALUE(C162)
      )
    )
  ),
"INVALID_DATE")</f>
        <v>45936</v>
      </c>
      <c r="AB162">
        <f t="shared" si="15"/>
        <v>-2</v>
      </c>
      <c r="AC162" t="str">
        <f t="shared" si="16"/>
        <v>October</v>
      </c>
      <c r="AD162">
        <f t="shared" si="17"/>
        <v>2025</v>
      </c>
    </row>
    <row r="163" spans="1:30">
      <c r="A163" t="s">
        <v>898</v>
      </c>
      <c r="B163" t="s">
        <v>899</v>
      </c>
      <c r="C163" t="s">
        <v>900</v>
      </c>
      <c r="D163" t="s">
        <v>901</v>
      </c>
      <c r="E163" t="s">
        <v>68</v>
      </c>
      <c r="F163" t="s">
        <v>902</v>
      </c>
      <c r="G163" t="s">
        <v>80</v>
      </c>
      <c r="H163" t="s">
        <v>35</v>
      </c>
      <c r="I163" t="s">
        <v>142</v>
      </c>
      <c r="J163" t="s">
        <v>37</v>
      </c>
      <c r="K163" t="s">
        <v>205</v>
      </c>
      <c r="L163" t="s">
        <v>903</v>
      </c>
      <c r="M163" t="s">
        <v>74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144</v>
      </c>
      <c r="U163" t="s">
        <v>85</v>
      </c>
      <c r="V163">
        <f t="shared" si="12"/>
        <v>1643.41</v>
      </c>
      <c r="W163">
        <f t="shared" si="13"/>
        <v>736.0100000000001</v>
      </c>
      <c r="X163">
        <f t="shared" si="14"/>
        <v>0.4478553738872223</v>
      </c>
      <c r="Y163" t="str">
        <f>_xlfn.TEXTJOIN(", ",TRUE,IF(G163="Unknown","Missing Region",""),IF(M163="Unknown","Missing Ship Mode",""),IF(P163&lt;0,"Negative Discount",""),IF(P163&gt;0.7,"High Discount",""),IF(C163&lt;B163,"Ship Before Order",""))</f>
        <v/>
      </c>
      <c r="Z163" s="2">
        <f>IFERROR(
  IF(ISNUMBER(B163),B163,
    IF(ISNUMBER(SEARCH("-",B163)*1),
      IF(LEN(LEFT(B163,FIND("-",B163)-1))=4,
        DATE(VALUE(LEFT(B163,4)),VALUE(MID(B163,6,2)),VALUE(RIGHT(B163,2))),
        DATE(VALUE(RIGHT(B163,4)),VALUE(MID(B163,4,2)),VALUE(LEFT(B163,2)))
      ),
      IF(ISNUMBER(SEARCH("/",B163)*1),
        DATE(VALUE(RIGHT(B163,4)),VALUE(LEFT(B163,2)),VALUE(MID(B163,4,2))),
        DATEVALUE(B163)
      )
    )
  ),
"INVALID_DATE")</f>
        <v>45862</v>
      </c>
      <c r="AA163" s="2">
        <f>IFERROR(
  IF(ISNUMBER(C163),C163,
    IF(ISNUMBER(SEARCH("-",C163)*1),
      IF(LEN(LEFT(C163,FIND("-",C163)-1))=4,
        DATE(VALUE(LEFT(C163,4)),VALUE(MID(C163,6,2)),VALUE(RIGHT(C163,2))),
        DATE(VALUE(RIGHT(C163,4)),VALUE(MID(C163,4,2)),VALUE(LEFT(C163,2)))
      ),
      IF(ISNUMBER(SEARCH("/",C163)*1),
        DATE(VALUE(RIGHT(C163,4)),VALUE(LEFT(C163,2)),VALUE(MID(C163,4,2))),
        DATEVALUE(C163)
      )
    )
  ),
"INVALID_DATE")</f>
        <v>45868</v>
      </c>
      <c r="AB163">
        <f t="shared" si="15"/>
        <v>6</v>
      </c>
      <c r="AC163" t="str">
        <f t="shared" si="16"/>
        <v>July</v>
      </c>
      <c r="AD163">
        <f t="shared" si="17"/>
        <v>2025</v>
      </c>
    </row>
    <row r="164" spans="1:30">
      <c r="A164" t="s">
        <v>904</v>
      </c>
      <c r="B164" t="s">
        <v>905</v>
      </c>
      <c r="C164" t="s">
        <v>906</v>
      </c>
      <c r="D164" t="s">
        <v>907</v>
      </c>
      <c r="E164" t="s">
        <v>100</v>
      </c>
      <c r="F164" t="s">
        <v>48</v>
      </c>
      <c r="G164" t="s">
        <v>80</v>
      </c>
      <c r="H164" t="s">
        <v>256</v>
      </c>
      <c r="I164" t="s">
        <v>257</v>
      </c>
      <c r="J164" t="s">
        <v>52</v>
      </c>
      <c r="K164" t="s">
        <v>72</v>
      </c>
      <c r="L164" t="s">
        <v>908</v>
      </c>
      <c r="M164" t="s">
        <v>40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144</v>
      </c>
      <c r="U164" t="s">
        <v>132</v>
      </c>
      <c r="V164">
        <f t="shared" si="12"/>
        <v>35782.720000000001</v>
      </c>
      <c r="W164">
        <f t="shared" si="13"/>
        <v>9573.2100000000028</v>
      </c>
      <c r="X164">
        <f t="shared" si="14"/>
        <v>0.25997024247714151</v>
      </c>
      <c r="Y164" t="str">
        <f>_xlfn.TEXTJOIN(", ",TRUE,IF(G164="Unknown","Missing Region",""),IF(M164="Unknown","Missing Ship Mode",""),IF(P164&lt;0,"Negative Discount",""),IF(P164&gt;0.7,"High Discount",""),IF(C164&lt;B164,"Ship Before Order",""))</f>
        <v>Ship Before Order</v>
      </c>
      <c r="Z164" s="2">
        <f>IFERROR(
  IF(ISNUMBER(B164),B164,
    IF(ISNUMBER(SEARCH("-",B164)*1),
      IF(LEN(LEFT(B164,FIND("-",B164)-1))=4,
        DATE(VALUE(LEFT(B164,4)),VALUE(MID(B164,6,2)),VALUE(RIGHT(B164,2))),
        DATE(VALUE(RIGHT(B164,4)),VALUE(MID(B164,4,2)),VALUE(LEFT(B164,2)))
      ),
      IF(ISNUMBER(SEARCH("/",B164)*1),
        DATE(VALUE(RIGHT(B164,4)),VALUE(LEFT(B164,2)),VALUE(MID(B164,4,2))),
        DATEVALUE(B164)
      )
    )
  ),
"INVALID_DATE")</f>
        <v>45360</v>
      </c>
      <c r="AA164" s="2">
        <f>IFERROR(
  IF(ISNUMBER(C164),C164,
    IF(ISNUMBER(SEARCH("-",C164)*1),
      IF(LEN(LEFT(C164,FIND("-",C164)-1))=4,
        DATE(VALUE(LEFT(C164,4)),VALUE(MID(C164,6,2)),VALUE(RIGHT(C164,2))),
        DATE(VALUE(RIGHT(C164,4)),VALUE(MID(C164,4,2)),VALUE(LEFT(C164,2)))
      ),
      IF(ISNUMBER(SEARCH("/",C164)*1),
        DATE(VALUE(RIGHT(C164,4)),VALUE(LEFT(C164,2)),VALUE(MID(C164,4,2))),
        DATEVALUE(C164)
      )
    )
  ),
"INVALID_DATE")</f>
        <v>45365</v>
      </c>
      <c r="AB164">
        <f t="shared" si="15"/>
        <v>5</v>
      </c>
      <c r="AC164" t="str">
        <f t="shared" si="16"/>
        <v>March</v>
      </c>
      <c r="AD164">
        <f t="shared" si="17"/>
        <v>2024</v>
      </c>
    </row>
    <row r="165" spans="1:30">
      <c r="A165" t="s">
        <v>909</v>
      </c>
      <c r="B165" t="s">
        <v>910</v>
      </c>
      <c r="C165" t="s">
        <v>733</v>
      </c>
      <c r="D165" t="s">
        <v>911</v>
      </c>
      <c r="E165" t="s">
        <v>187</v>
      </c>
      <c r="F165" t="s">
        <v>122</v>
      </c>
      <c r="G165" t="s">
        <v>80</v>
      </c>
      <c r="H165" t="s">
        <v>242</v>
      </c>
      <c r="I165" t="s">
        <v>243</v>
      </c>
      <c r="J165" t="s">
        <v>52</v>
      </c>
      <c r="K165" t="s">
        <v>53</v>
      </c>
      <c r="L165" t="s">
        <v>912</v>
      </c>
      <c r="M165" t="s">
        <v>279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144</v>
      </c>
      <c r="U165" t="s">
        <v>132</v>
      </c>
      <c r="V165">
        <f t="shared" si="12"/>
        <v>15679.332000000002</v>
      </c>
      <c r="W165">
        <f t="shared" si="13"/>
        <v>3201.51</v>
      </c>
      <c r="X165">
        <f t="shared" si="14"/>
        <v>0.20418665848604503</v>
      </c>
      <c r="Y165" t="str">
        <f>_xlfn.TEXTJOIN(", ",TRUE,IF(G165="Unknown","Missing Region",""),IF(M165="Unknown","Missing Ship Mode",""),IF(P165&lt;0,"Negative Discount",""),IF(P165&gt;0.7,"High Discount",""),IF(C165&lt;B165,"Ship Before Order",""))</f>
        <v>Missing Ship Mode</v>
      </c>
      <c r="Z165" s="2">
        <f>IFERROR(
  IF(ISNUMBER(B165),B165,
    IF(ISNUMBER(SEARCH("-",B165)*1),
      IF(LEN(LEFT(B165,FIND("-",B165)-1))=4,
        DATE(VALUE(LEFT(B165,4)),VALUE(MID(B165,6,2)),VALUE(RIGHT(B165,2))),
        DATE(VALUE(RIGHT(B165,4)),VALUE(MID(B165,4,2)),VALUE(LEFT(B165,2)))
      ),
      IF(ISNUMBER(SEARCH("/",B165)*1),
        DATE(VALUE(RIGHT(B165,4)),VALUE(LEFT(B165,2)),VALUE(MID(B165,4,2))),
        DATEVALUE(B165)
      )
    )
  ),
"INVALID_DATE")</f>
        <v>45921</v>
      </c>
      <c r="AA165" s="2">
        <f>IFERROR(
  IF(ISNUMBER(C165),C165,
    IF(ISNUMBER(SEARCH("-",C165)*1),
      IF(LEN(LEFT(C165,FIND("-",C165)-1))=4,
        DATE(VALUE(LEFT(C165,4)),VALUE(MID(C165,6,2)),VALUE(RIGHT(C165,2))),
        DATE(VALUE(RIGHT(C165,4)),VALUE(MID(C165,4,2)),VALUE(LEFT(C165,2)))
      ),
      IF(ISNUMBER(SEARCH("/",C165)*1),
        DATE(VALUE(RIGHT(C165,4)),VALUE(LEFT(C165,2)),VALUE(MID(C165,4,2))),
        DATEVALUE(C165)
      )
    )
  ),
"INVALID_DATE")</f>
        <v>45926</v>
      </c>
      <c r="AB165">
        <f t="shared" si="15"/>
        <v>5</v>
      </c>
      <c r="AC165" t="str">
        <f t="shared" si="16"/>
        <v>September</v>
      </c>
      <c r="AD165">
        <f t="shared" si="17"/>
        <v>2025</v>
      </c>
    </row>
    <row r="166" spans="1:30">
      <c r="A166" t="s">
        <v>913</v>
      </c>
      <c r="B166" t="s">
        <v>914</v>
      </c>
      <c r="C166" t="s">
        <v>915</v>
      </c>
      <c r="D166" t="s">
        <v>916</v>
      </c>
      <c r="E166" t="s">
        <v>155</v>
      </c>
      <c r="F166" t="s">
        <v>48</v>
      </c>
      <c r="G166" t="s">
        <v>49</v>
      </c>
      <c r="H166" t="s">
        <v>128</v>
      </c>
      <c r="I166" t="s">
        <v>129</v>
      </c>
      <c r="J166" t="s">
        <v>52</v>
      </c>
      <c r="K166" t="s">
        <v>211</v>
      </c>
      <c r="L166" t="s">
        <v>917</v>
      </c>
      <c r="M166" t="s">
        <v>40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41</v>
      </c>
      <c r="U166" t="s">
        <v>42</v>
      </c>
      <c r="V166">
        <f t="shared" si="12"/>
        <v>2365.8150000000001</v>
      </c>
      <c r="W166">
        <f t="shared" si="13"/>
        <v>817.83000000000015</v>
      </c>
      <c r="X166">
        <f t="shared" si="14"/>
        <v>0.34568563965136823</v>
      </c>
      <c r="Y166" t="str">
        <f>_xlfn.TEXTJOIN(", ",TRUE,IF(G166="Unknown","Missing Region",""),IF(M166="Unknown","Missing Ship Mode",""),IF(P166&lt;0,"Negative Discount",""),IF(P166&gt;0.7,"High Discount",""),IF(C166&lt;B166,"Ship Before Order",""))</f>
        <v/>
      </c>
      <c r="Z166" s="2">
        <f>IFERROR(
  IF(ISNUMBER(B166),B166,
    IF(ISNUMBER(SEARCH("-",B166)*1),
      IF(LEN(LEFT(B166,FIND("-",B166)-1))=4,
        DATE(VALUE(LEFT(B166,4)),VALUE(MID(B166,6,2)),VALUE(RIGHT(B166,2))),
        DATE(VALUE(RIGHT(B166,4)),VALUE(MID(B166,4,2)),VALUE(LEFT(B166,2)))
      ),
      IF(ISNUMBER(SEARCH("/",B166)*1),
        DATE(VALUE(RIGHT(B166,4)),VALUE(LEFT(B166,2)),VALUE(MID(B166,4,2))),
        DATEVALUE(B166)
      )
    )
  ),
"INVALID_DATE")</f>
        <v>45909</v>
      </c>
      <c r="AA166" s="2">
        <f>IFERROR(
  IF(ISNUMBER(C166),C166,
    IF(ISNUMBER(SEARCH("-",C166)*1),
      IF(LEN(LEFT(C166,FIND("-",C166)-1))=4,
        DATE(VALUE(LEFT(C166,4)),VALUE(MID(C166,6,2)),VALUE(RIGHT(C166,2))),
        DATE(VALUE(RIGHT(C166,4)),VALUE(MID(C166,4,2)),VALUE(LEFT(C166,2)))
      ),
      IF(ISNUMBER(SEARCH("/",C166)*1),
        DATE(VALUE(RIGHT(C166,4)),VALUE(LEFT(C166,2)),VALUE(MID(C166,4,2))),
        DATEVALUE(C166)
      )
    )
  ),
"INVALID_DATE")</f>
        <v>45914</v>
      </c>
      <c r="AB166">
        <f t="shared" si="15"/>
        <v>5</v>
      </c>
      <c r="AC166" t="str">
        <f t="shared" si="16"/>
        <v>September</v>
      </c>
      <c r="AD166">
        <f t="shared" si="17"/>
        <v>2025</v>
      </c>
    </row>
    <row r="167" spans="1:30">
      <c r="A167" t="s">
        <v>918</v>
      </c>
      <c r="B167" t="s">
        <v>919</v>
      </c>
      <c r="C167" t="s">
        <v>920</v>
      </c>
      <c r="D167" t="s">
        <v>921</v>
      </c>
      <c r="E167" t="s">
        <v>47</v>
      </c>
      <c r="F167" t="s">
        <v>122</v>
      </c>
      <c r="G167" t="s">
        <v>49</v>
      </c>
      <c r="H167" t="s">
        <v>193</v>
      </c>
      <c r="I167" t="s">
        <v>194</v>
      </c>
      <c r="J167" t="s">
        <v>52</v>
      </c>
      <c r="K167" t="s">
        <v>83</v>
      </c>
      <c r="L167" t="s">
        <v>922</v>
      </c>
      <c r="M167" t="s">
        <v>74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41</v>
      </c>
      <c r="U167" t="s">
        <v>42</v>
      </c>
      <c r="V167">
        <f t="shared" si="12"/>
        <v>10268.969999999999</v>
      </c>
      <c r="W167">
        <f t="shared" si="13"/>
        <v>3798.0499999999993</v>
      </c>
      <c r="X167">
        <f t="shared" si="14"/>
        <v>0.36985695741637187</v>
      </c>
      <c r="Y167" t="str">
        <f>_xlfn.TEXTJOIN(", ",TRUE,IF(G167="Unknown","Missing Region",""),IF(M167="Unknown","Missing Ship Mode",""),IF(P167&lt;0,"Negative Discount",""),IF(P167&gt;0.7,"High Discount",""),IF(C167&lt;B167,"Ship Before Order",""))</f>
        <v/>
      </c>
      <c r="Z167" s="2">
        <f>IFERROR(
  IF(ISNUMBER(B167),B167,
    IF(ISNUMBER(SEARCH("-",B167)*1),
      IF(LEN(LEFT(B167,FIND("-",B167)-1))=4,
        DATE(VALUE(LEFT(B167,4)),VALUE(MID(B167,6,2)),VALUE(RIGHT(B167,2))),
        DATE(VALUE(RIGHT(B167,4)),VALUE(MID(B167,4,2)),VALUE(LEFT(B167,2)))
      ),
      IF(ISNUMBER(SEARCH("/",B167)*1),
        DATE(VALUE(RIGHT(B167,4)),VALUE(LEFT(B167,2)),VALUE(MID(B167,4,2))),
        DATEVALUE(B167)
      )
    )
  ),
"INVALID_DATE")</f>
        <v>45618</v>
      </c>
      <c r="AA167" s="2">
        <f>IFERROR(
  IF(ISNUMBER(C167),C167,
    IF(ISNUMBER(SEARCH("-",C167)*1),
      IF(LEN(LEFT(C167,FIND("-",C167)-1))=4,
        DATE(VALUE(LEFT(C167,4)),VALUE(MID(C167,6,2)),VALUE(RIGHT(C167,2))),
        DATE(VALUE(RIGHT(C167,4)),VALUE(MID(C167,4,2)),VALUE(LEFT(C167,2)))
      ),
      IF(ISNUMBER(SEARCH("/",C167)*1),
        DATE(VALUE(RIGHT(C167,4)),VALUE(LEFT(C167,2)),VALUE(MID(C167,4,2))),
        DATEVALUE(C167)
      )
    )
  ),
"INVALID_DATE")</f>
        <v>45625</v>
      </c>
      <c r="AB167">
        <f t="shared" si="15"/>
        <v>7</v>
      </c>
      <c r="AC167" t="str">
        <f t="shared" si="16"/>
        <v>November</v>
      </c>
      <c r="AD167">
        <f t="shared" si="17"/>
        <v>2024</v>
      </c>
    </row>
    <row r="168" spans="1:30">
      <c r="A168" t="s">
        <v>923</v>
      </c>
      <c r="B168" t="s">
        <v>924</v>
      </c>
      <c r="C168" t="s">
        <v>105</v>
      </c>
      <c r="D168" t="s">
        <v>925</v>
      </c>
      <c r="E168" t="s">
        <v>32</v>
      </c>
      <c r="F168" t="s">
        <v>48</v>
      </c>
      <c r="G168" t="s">
        <v>80</v>
      </c>
      <c r="H168" t="s">
        <v>242</v>
      </c>
      <c r="I168" t="s">
        <v>243</v>
      </c>
      <c r="J168" t="s">
        <v>926</v>
      </c>
      <c r="K168" t="s">
        <v>116</v>
      </c>
      <c r="L168" t="s">
        <v>927</v>
      </c>
      <c r="M168" t="s">
        <v>63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41</v>
      </c>
      <c r="U168" t="s">
        <v>42</v>
      </c>
      <c r="V168">
        <f t="shared" si="12"/>
        <v>2046.28</v>
      </c>
      <c r="W168">
        <f t="shared" si="13"/>
        <v>596.74</v>
      </c>
      <c r="X168">
        <f t="shared" si="14"/>
        <v>0.29162186992982386</v>
      </c>
      <c r="Y168" t="str">
        <f>_xlfn.TEXTJOIN(", ",TRUE,IF(G168="Unknown","Missing Region",""),IF(M168="Unknown","Missing Ship Mode",""),IF(P168&lt;0,"Negative Discount",""),IF(P168&gt;0.7,"High Discount",""),IF(C168&lt;B168,"Ship Before Order",""))</f>
        <v/>
      </c>
      <c r="Z168" s="2">
        <f>IFERROR(
  IF(ISNUMBER(B168),B168,
    IF(ISNUMBER(SEARCH("-",B168)*1),
      IF(LEN(LEFT(B168,FIND("-",B168)-1))=4,
        DATE(VALUE(LEFT(B168,4)),VALUE(MID(B168,6,2)),VALUE(RIGHT(B168,2))),
        DATE(VALUE(RIGHT(B168,4)),VALUE(MID(B168,4,2)),VALUE(LEFT(B168,2)))
      ),
      IF(ISNUMBER(SEARCH("/",B168)*1),
        DATE(VALUE(RIGHT(B168,4)),VALUE(LEFT(B168,2)),VALUE(MID(B168,4,2))),
        DATEVALUE(B168)
      )
    )
  ),
"INVALID_DATE")</f>
        <v>45708</v>
      </c>
      <c r="AA168" s="2">
        <f>IFERROR(
  IF(ISNUMBER(C168),C168,
    IF(ISNUMBER(SEARCH("-",C168)*1),
      IF(LEN(LEFT(C168,FIND("-",C168)-1))=4,
        DATE(VALUE(LEFT(C168,4)),VALUE(MID(C168,6,2)),VALUE(RIGHT(C168,2))),
        DATE(VALUE(RIGHT(C168,4)),VALUE(MID(C168,4,2)),VALUE(LEFT(C168,2)))
      ),
      IF(ISNUMBER(SEARCH("/",C168)*1),
        DATE(VALUE(RIGHT(C168,4)),VALUE(LEFT(C168,2)),VALUE(MID(C168,4,2))),
        DATEVALUE(C168)
      )
    )
  ),
"INVALID_DATE")</f>
        <v>45714</v>
      </c>
      <c r="AB168">
        <f t="shared" si="15"/>
        <v>6</v>
      </c>
      <c r="AC168" t="str">
        <f t="shared" si="16"/>
        <v>February</v>
      </c>
      <c r="AD168">
        <f t="shared" si="17"/>
        <v>2025</v>
      </c>
    </row>
    <row r="169" spans="1:30">
      <c r="A169" t="s">
        <v>928</v>
      </c>
      <c r="B169" t="s">
        <v>929</v>
      </c>
      <c r="C169" t="s">
        <v>930</v>
      </c>
      <c r="D169" t="s">
        <v>931</v>
      </c>
      <c r="E169" t="s">
        <v>68</v>
      </c>
      <c r="F169" t="s">
        <v>122</v>
      </c>
      <c r="G169" t="s">
        <v>69</v>
      </c>
      <c r="H169" t="s">
        <v>236</v>
      </c>
      <c r="I169" t="s">
        <v>237</v>
      </c>
      <c r="J169" t="s">
        <v>37</v>
      </c>
      <c r="K169" t="s">
        <v>163</v>
      </c>
      <c r="L169" t="s">
        <v>932</v>
      </c>
      <c r="M169" t="s">
        <v>63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41</v>
      </c>
      <c r="U169" t="s">
        <v>132</v>
      </c>
      <c r="V169">
        <f t="shared" si="12"/>
        <v>23186.614499999996</v>
      </c>
      <c r="W169">
        <f t="shared" si="13"/>
        <v>5280.07</v>
      </c>
      <c r="X169">
        <f t="shared" si="14"/>
        <v>0.22772065429142077</v>
      </c>
      <c r="Y169" t="str">
        <f>_xlfn.TEXTJOIN(", ",TRUE,IF(G169="Unknown","Missing Region",""),IF(M169="Unknown","Missing Ship Mode",""),IF(P169&lt;0,"Negative Discount",""),IF(P169&gt;0.7,"High Discount",""),IF(C169&lt;B169,"Ship Before Order",""))</f>
        <v>Ship Before Order</v>
      </c>
      <c r="Z169" s="2">
        <f>IFERROR(
  IF(ISNUMBER(B169),B169,
    IF(ISNUMBER(SEARCH("-",B169)*1),
      IF(LEN(LEFT(B169,FIND("-",B169)-1))=4,
        DATE(VALUE(LEFT(B169,4)),VALUE(MID(B169,6,2)),VALUE(RIGHT(B169,2))),
        DATE(VALUE(RIGHT(B169,4)),VALUE(MID(B169,4,2)),VALUE(LEFT(B169,2)))
      ),
      IF(ISNUMBER(SEARCH("/",B169)*1),
        DATE(VALUE(RIGHT(B169,4)),VALUE(LEFT(B169,2)),VALUE(MID(B169,4,2))),
        DATEVALUE(B169)
      )
    )
  ),
"INVALID_DATE")</f>
        <v>45887</v>
      </c>
      <c r="AA169" s="2">
        <f>IFERROR(
  IF(ISNUMBER(C169),C169,
    IF(ISNUMBER(SEARCH("-",C169)*1),
      IF(LEN(LEFT(C169,FIND("-",C169)-1))=4,
        DATE(VALUE(LEFT(C169,4)),VALUE(MID(C169,6,2)),VALUE(RIGHT(C169,2))),
        DATE(VALUE(RIGHT(C169,4)),VALUE(MID(C169,4,2)),VALUE(LEFT(C169,2)))
      ),
      IF(ISNUMBER(SEARCH("/",C169)*1),
        DATE(VALUE(RIGHT(C169,4)),VALUE(LEFT(C169,2)),VALUE(MID(C169,4,2))),
        DATEVALUE(C169)
      )
    )
  ),
"INVALID_DATE")</f>
        <v>45887</v>
      </c>
      <c r="AB169">
        <f t="shared" si="15"/>
        <v>0</v>
      </c>
      <c r="AC169" t="str">
        <f t="shared" si="16"/>
        <v>August</v>
      </c>
      <c r="AD169">
        <f t="shared" si="17"/>
        <v>2025</v>
      </c>
    </row>
    <row r="170" spans="1:30">
      <c r="A170" t="s">
        <v>933</v>
      </c>
      <c r="B170" t="s">
        <v>934</v>
      </c>
      <c r="C170" t="s">
        <v>191</v>
      </c>
      <c r="D170" t="s">
        <v>935</v>
      </c>
      <c r="E170" t="s">
        <v>374</v>
      </c>
      <c r="F170" t="s">
        <v>33</v>
      </c>
      <c r="G170" t="s">
        <v>80</v>
      </c>
      <c r="H170" t="s">
        <v>81</v>
      </c>
      <c r="I170" t="s">
        <v>82</v>
      </c>
      <c r="J170" t="s">
        <v>93</v>
      </c>
      <c r="K170" t="s">
        <v>94</v>
      </c>
      <c r="L170" t="s">
        <v>936</v>
      </c>
      <c r="M170" t="s">
        <v>55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41</v>
      </c>
      <c r="U170" t="s">
        <v>85</v>
      </c>
      <c r="V170">
        <f t="shared" si="12"/>
        <v>2557.08</v>
      </c>
      <c r="W170">
        <f t="shared" si="13"/>
        <v>531.38999999999987</v>
      </c>
      <c r="X170">
        <f t="shared" si="14"/>
        <v>0.20781125346097892</v>
      </c>
      <c r="Y170" t="str">
        <f>_xlfn.TEXTJOIN(", ",TRUE,IF(G170="Unknown","Missing Region",""),IF(M170="Unknown","Missing Ship Mode",""),IF(P170&lt;0,"Negative Discount",""),IF(P170&gt;0.7,"High Discount",""),IF(C170&lt;B170,"Ship Before Order",""))</f>
        <v/>
      </c>
      <c r="Z170" s="2">
        <f>IFERROR(
  IF(ISNUMBER(B170),B170,
    IF(ISNUMBER(SEARCH("-",B170)*1),
      IF(LEN(LEFT(B170,FIND("-",B170)-1))=4,
        DATE(VALUE(LEFT(B170,4)),VALUE(MID(B170,6,2)),VALUE(RIGHT(B170,2))),
        DATE(VALUE(RIGHT(B170,4)),VALUE(MID(B170,4,2)),VALUE(LEFT(B170,2)))
      ),
      IF(ISNUMBER(SEARCH("/",B170)*1),
        DATE(VALUE(RIGHT(B170,4)),VALUE(LEFT(B170,2)),VALUE(MID(B170,4,2))),
        DATEVALUE(B170)
      )
    )
  ),
"INVALID_DATE")</f>
        <v>45677</v>
      </c>
      <c r="AA170" s="2">
        <f>IFERROR(
  IF(ISNUMBER(C170),C170,
    IF(ISNUMBER(SEARCH("-",C170)*1),
      IF(LEN(LEFT(C170,FIND("-",C170)-1))=4,
        DATE(VALUE(LEFT(C170,4)),VALUE(MID(C170,6,2)),VALUE(RIGHT(C170,2))),
        DATE(VALUE(RIGHT(C170,4)),VALUE(MID(C170,4,2)),VALUE(LEFT(C170,2)))
      ),
      IF(ISNUMBER(SEARCH("/",C170)*1),
        DATE(VALUE(RIGHT(C170,4)),VALUE(LEFT(C170,2)),VALUE(MID(C170,4,2))),
        DATEVALUE(C170)
      )
    )
  ),
"INVALID_DATE")</f>
        <v>45680</v>
      </c>
      <c r="AB170">
        <f t="shared" si="15"/>
        <v>3</v>
      </c>
      <c r="AC170" t="str">
        <f t="shared" si="16"/>
        <v>January</v>
      </c>
      <c r="AD170">
        <f t="shared" si="17"/>
        <v>2025</v>
      </c>
    </row>
    <row r="171" spans="1:30">
      <c r="A171" t="s">
        <v>937</v>
      </c>
      <c r="B171" t="s">
        <v>938</v>
      </c>
      <c r="C171" t="s">
        <v>939</v>
      </c>
      <c r="D171" t="s">
        <v>940</v>
      </c>
      <c r="E171" t="s">
        <v>217</v>
      </c>
      <c r="F171" t="s">
        <v>33</v>
      </c>
      <c r="G171" t="s">
        <v>49</v>
      </c>
      <c r="H171" t="s">
        <v>223</v>
      </c>
      <c r="I171" t="s">
        <v>224</v>
      </c>
      <c r="J171" t="s">
        <v>37</v>
      </c>
      <c r="K171" t="s">
        <v>61</v>
      </c>
      <c r="L171" t="s">
        <v>941</v>
      </c>
      <c r="M171" t="s">
        <v>74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144</v>
      </c>
      <c r="U171" t="s">
        <v>132</v>
      </c>
      <c r="V171">
        <f t="shared" si="12"/>
        <v>5577.6399999999994</v>
      </c>
      <c r="W171">
        <f t="shared" si="13"/>
        <v>2036.3500000000004</v>
      </c>
      <c r="X171">
        <f t="shared" si="14"/>
        <v>0.36509168752375554</v>
      </c>
      <c r="Y171" t="str">
        <f>_xlfn.TEXTJOIN(", ",TRUE,IF(G171="Unknown","Missing Region",""),IF(M171="Unknown","Missing Ship Mode",""),IF(P171&lt;0,"Negative Discount",""),IF(P171&gt;0.7,"High Discount",""),IF(C171&lt;B171,"Ship Before Order",""))</f>
        <v>Ship Before Order</v>
      </c>
      <c r="Z171" s="2">
        <f>IFERROR(
  IF(ISNUMBER(B171),B171,
    IF(ISNUMBER(SEARCH("-",B171)*1),
      IF(LEN(LEFT(B171,FIND("-",B171)-1))=4,
        DATE(VALUE(LEFT(B171,4)),VALUE(MID(B171,6,2)),VALUE(RIGHT(B171,2))),
        DATE(VALUE(RIGHT(B171,4)),VALUE(MID(B171,4,2)),VALUE(LEFT(B171,2)))
      ),
      IF(ISNUMBER(SEARCH("/",B171)*1),
        DATE(VALUE(RIGHT(B171,4)),VALUE(LEFT(B171,2)),VALUE(MID(B171,4,2))),
        DATEVALUE(B171)
      )
    )
  ),
"INVALID_DATE")</f>
        <v>45913</v>
      </c>
      <c r="AA171" s="2">
        <f>IFERROR(
  IF(ISNUMBER(C171),C171,
    IF(ISNUMBER(SEARCH("-",C171)*1),
      IF(LEN(LEFT(C171,FIND("-",C171)-1))=4,
        DATE(VALUE(LEFT(C171,4)),VALUE(MID(C171,6,2)),VALUE(RIGHT(C171,2))),
        DATE(VALUE(RIGHT(C171,4)),VALUE(MID(C171,4,2)),VALUE(LEFT(C171,2)))
      ),
      IF(ISNUMBER(SEARCH("/",C171)*1),
        DATE(VALUE(RIGHT(C171,4)),VALUE(LEFT(C171,2)),VALUE(MID(C171,4,2))),
        DATEVALUE(C171)
      )
    )
  ),
"INVALID_DATE")</f>
        <v>45913</v>
      </c>
      <c r="AB171">
        <f t="shared" si="15"/>
        <v>0</v>
      </c>
      <c r="AC171" t="str">
        <f t="shared" si="16"/>
        <v>September</v>
      </c>
      <c r="AD171">
        <f t="shared" si="17"/>
        <v>2025</v>
      </c>
    </row>
    <row r="172" spans="1:30">
      <c r="A172" t="s">
        <v>942</v>
      </c>
      <c r="B172" t="s">
        <v>119</v>
      </c>
      <c r="C172" t="s">
        <v>943</v>
      </c>
      <c r="D172" t="s">
        <v>944</v>
      </c>
      <c r="E172" t="s">
        <v>187</v>
      </c>
      <c r="F172" t="s">
        <v>115</v>
      </c>
      <c r="G172" t="s">
        <v>49</v>
      </c>
      <c r="H172" t="s">
        <v>193</v>
      </c>
      <c r="I172" t="s">
        <v>194</v>
      </c>
      <c r="J172" t="s">
        <v>93</v>
      </c>
      <c r="K172" t="s">
        <v>101</v>
      </c>
      <c r="L172" t="s">
        <v>945</v>
      </c>
      <c r="M172" t="s">
        <v>74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41</v>
      </c>
      <c r="U172" t="s">
        <v>42</v>
      </c>
      <c r="V172">
        <f t="shared" si="12"/>
        <v>5133.96</v>
      </c>
      <c r="W172">
        <f t="shared" si="13"/>
        <v>1203.96</v>
      </c>
      <c r="X172">
        <f t="shared" si="14"/>
        <v>0.23450903396208775</v>
      </c>
      <c r="Y172" t="str">
        <f>_xlfn.TEXTJOIN(", ",TRUE,IF(G172="Unknown","Missing Region",""),IF(M172="Unknown","Missing Ship Mode",""),IF(P172&lt;0,"Negative Discount",""),IF(P172&gt;0.7,"High Discount",""),IF(C172&lt;B172,"Ship Before Order",""))</f>
        <v/>
      </c>
      <c r="Z172" s="2">
        <f>IFERROR(
  IF(ISNUMBER(B172),B172,
    IF(ISNUMBER(SEARCH("-",B172)*1),
      IF(LEN(LEFT(B172,FIND("-",B172)-1))=4,
        DATE(VALUE(LEFT(B172,4)),VALUE(MID(B172,6,2)),VALUE(RIGHT(B172,2))),
        DATE(VALUE(RIGHT(B172,4)),VALUE(MID(B172,4,2)),VALUE(LEFT(B172,2)))
      ),
      IF(ISNUMBER(SEARCH("/",B172)*1),
        DATE(VALUE(RIGHT(B172,4)),VALUE(LEFT(B172,2)),VALUE(MID(B172,4,2))),
        DATEVALUE(B172)
      )
    )
  ),
"INVALID_DATE")</f>
        <v>45907</v>
      </c>
      <c r="AA172" s="2">
        <f>IFERROR(
  IF(ISNUMBER(C172),C172,
    IF(ISNUMBER(SEARCH("-",C172)*1),
      IF(LEN(LEFT(C172,FIND("-",C172)-1))=4,
        DATE(VALUE(LEFT(C172,4)),VALUE(MID(C172,6,2)),VALUE(RIGHT(C172,2))),
        DATE(VALUE(RIGHT(C172,4)),VALUE(MID(C172,4,2)),VALUE(LEFT(C172,2)))
      ),
      IF(ISNUMBER(SEARCH("/",C172)*1),
        DATE(VALUE(RIGHT(C172,4)),VALUE(LEFT(C172,2)),VALUE(MID(C172,4,2))),
        DATEVALUE(C172)
      )
    )
  ),
"INVALID_DATE")</f>
        <v>45915</v>
      </c>
      <c r="AB172">
        <f t="shared" si="15"/>
        <v>8</v>
      </c>
      <c r="AC172" t="str">
        <f t="shared" si="16"/>
        <v>September</v>
      </c>
      <c r="AD172">
        <f t="shared" si="17"/>
        <v>2025</v>
      </c>
    </row>
    <row r="173" spans="1:30">
      <c r="A173" t="s">
        <v>946</v>
      </c>
      <c r="B173" t="s">
        <v>104</v>
      </c>
      <c r="C173" t="s">
        <v>947</v>
      </c>
      <c r="D173" t="s">
        <v>948</v>
      </c>
      <c r="E173" t="s">
        <v>32</v>
      </c>
      <c r="F173" t="s">
        <v>115</v>
      </c>
      <c r="G173" t="s">
        <v>49</v>
      </c>
      <c r="H173" t="s">
        <v>193</v>
      </c>
      <c r="I173" t="s">
        <v>194</v>
      </c>
      <c r="J173" t="s">
        <v>37</v>
      </c>
      <c r="K173" t="s">
        <v>116</v>
      </c>
      <c r="L173" t="s">
        <v>949</v>
      </c>
      <c r="M173" t="s">
        <v>55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41</v>
      </c>
      <c r="U173" t="s">
        <v>42</v>
      </c>
      <c r="V173">
        <f t="shared" si="12"/>
        <v>15923.512500000001</v>
      </c>
      <c r="W173">
        <f t="shared" si="13"/>
        <v>4631.7100000000009</v>
      </c>
      <c r="X173">
        <f t="shared" si="14"/>
        <v>0.29087242699630922</v>
      </c>
      <c r="Y173" t="str">
        <f>_xlfn.TEXTJOIN(", ",TRUE,IF(G173="Unknown","Missing Region",""),IF(M173="Unknown","Missing Ship Mode",""),IF(P173&lt;0,"Negative Discount",""),IF(P173&gt;0.7,"High Discount",""),IF(C173&lt;B173,"Ship Before Order",""))</f>
        <v>Ship Before Order</v>
      </c>
      <c r="Z173" s="2">
        <f>IFERROR(
  IF(ISNUMBER(B173),B173,
    IF(ISNUMBER(SEARCH("-",B173)*1),
      IF(LEN(LEFT(B173,FIND("-",B173)-1))=4,
        DATE(VALUE(LEFT(B173,4)),VALUE(MID(B173,6,2)),VALUE(RIGHT(B173,2))),
        DATE(VALUE(RIGHT(B173,4)),VALUE(MID(B173,4,2)),VALUE(LEFT(B173,2)))
      ),
      IF(ISNUMBER(SEARCH("/",B173)*1),
        DATE(VALUE(RIGHT(B173,4)),VALUE(LEFT(B173,2)),VALUE(MID(B173,4,2))),
        DATEVALUE(B173)
      )
    )
  ),
"INVALID_DATE")</f>
        <v>45711</v>
      </c>
      <c r="AA173" s="2">
        <f>IFERROR(
  IF(ISNUMBER(C173),C173,
    IF(ISNUMBER(SEARCH("-",C173)*1),
      IF(LEN(LEFT(C173,FIND("-",C173)-1))=4,
        DATE(VALUE(LEFT(C173,4)),VALUE(MID(C173,6,2)),VALUE(RIGHT(C173,2))),
        DATE(VALUE(RIGHT(C173,4)),VALUE(MID(C173,4,2)),VALUE(LEFT(C173,2)))
      ),
      IF(ISNUMBER(SEARCH("/",C173)*1),
        DATE(VALUE(RIGHT(C173,4)),VALUE(LEFT(C173,2)),VALUE(MID(C173,4,2))),
        DATEVALUE(C173)
      )
    )
  ),
"INVALID_DATE")</f>
        <v>45713</v>
      </c>
      <c r="AB173">
        <f t="shared" si="15"/>
        <v>2</v>
      </c>
      <c r="AC173" t="str">
        <f t="shared" si="16"/>
        <v>February</v>
      </c>
      <c r="AD173">
        <f t="shared" si="17"/>
        <v>2025</v>
      </c>
    </row>
    <row r="174" spans="1:30">
      <c r="A174" t="s">
        <v>950</v>
      </c>
      <c r="B174" t="s">
        <v>951</v>
      </c>
      <c r="C174" t="s">
        <v>952</v>
      </c>
      <c r="D174" t="s">
        <v>953</v>
      </c>
      <c r="E174" t="s">
        <v>32</v>
      </c>
      <c r="F174" t="s">
        <v>115</v>
      </c>
      <c r="G174" t="s">
        <v>34</v>
      </c>
      <c r="H174" t="s">
        <v>514</v>
      </c>
      <c r="I174" t="s">
        <v>515</v>
      </c>
      <c r="J174" t="s">
        <v>52</v>
      </c>
      <c r="K174" t="s">
        <v>72</v>
      </c>
      <c r="L174" t="s">
        <v>954</v>
      </c>
      <c r="M174" t="s">
        <v>55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131</v>
      </c>
      <c r="U174" t="s">
        <v>132</v>
      </c>
      <c r="V174">
        <f t="shared" si="12"/>
        <v>23997.222000000002</v>
      </c>
      <c r="W174">
        <f t="shared" si="13"/>
        <v>7862.590000000002</v>
      </c>
      <c r="X174">
        <f t="shared" si="14"/>
        <v>0.32764586897982351</v>
      </c>
      <c r="Y174" t="str">
        <f>_xlfn.TEXTJOIN(", ",TRUE,IF(G174="Unknown","Missing Region",""),IF(M174="Unknown","Missing Ship Mode",""),IF(P174&lt;0,"Negative Discount",""),IF(P174&gt;0.7,"High Discount",""),IF(C174&lt;B174,"Ship Before Order",""))</f>
        <v/>
      </c>
      <c r="Z174" s="2">
        <f>IFERROR(
  IF(ISNUMBER(B174),B174,
    IF(ISNUMBER(SEARCH("-",B174)*1),
      IF(LEN(LEFT(B174,FIND("-",B174)-1))=4,
        DATE(VALUE(LEFT(B174,4)),VALUE(MID(B174,6,2)),VALUE(RIGHT(B174,2))),
        DATE(VALUE(RIGHT(B174,4)),VALUE(MID(B174,4,2)),VALUE(LEFT(B174,2)))
      ),
      IF(ISNUMBER(SEARCH("/",B174)*1),
        DATE(VALUE(RIGHT(B174,4)),VALUE(LEFT(B174,2)),VALUE(MID(B174,4,2))),
        DATEVALUE(B174)
      )
    )
  ),
"INVALID_DATE")</f>
        <v>45871</v>
      </c>
      <c r="AA174" s="2">
        <f>IFERROR(
  IF(ISNUMBER(C174),C174,
    IF(ISNUMBER(SEARCH("-",C174)*1),
      IF(LEN(LEFT(C174,FIND("-",C174)-1))=4,
        DATE(VALUE(LEFT(C174,4)),VALUE(MID(C174,6,2)),VALUE(RIGHT(C174,2))),
        DATE(VALUE(RIGHT(C174,4)),VALUE(MID(C174,4,2)),VALUE(LEFT(C174,2)))
      ),
      IF(ISNUMBER(SEARCH("/",C174)*1),
        DATE(VALUE(RIGHT(C174,4)),VALUE(LEFT(C174,2)),VALUE(MID(C174,4,2))),
        DATEVALUE(C174)
      )
    )
  ),
"INVALID_DATE")</f>
        <v>45879</v>
      </c>
      <c r="AB174">
        <f t="shared" si="15"/>
        <v>8</v>
      </c>
      <c r="AC174" t="str">
        <f t="shared" si="16"/>
        <v>August</v>
      </c>
      <c r="AD174">
        <f t="shared" si="17"/>
        <v>2025</v>
      </c>
    </row>
    <row r="175" spans="1:30">
      <c r="A175" t="s">
        <v>955</v>
      </c>
      <c r="B175" t="s">
        <v>956</v>
      </c>
      <c r="C175" t="s">
        <v>957</v>
      </c>
      <c r="D175" t="s">
        <v>958</v>
      </c>
      <c r="E175" t="s">
        <v>959</v>
      </c>
      <c r="F175" t="s">
        <v>122</v>
      </c>
      <c r="G175" t="s">
        <v>34</v>
      </c>
      <c r="H175" t="s">
        <v>161</v>
      </c>
      <c r="I175" t="s">
        <v>162</v>
      </c>
      <c r="J175" t="s">
        <v>93</v>
      </c>
      <c r="K175" t="s">
        <v>101</v>
      </c>
      <c r="L175" t="s">
        <v>960</v>
      </c>
      <c r="M175" t="s">
        <v>40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41</v>
      </c>
      <c r="U175" t="s">
        <v>42</v>
      </c>
      <c r="V175">
        <f t="shared" si="12"/>
        <v>1734.1875</v>
      </c>
      <c r="W175">
        <f t="shared" si="13"/>
        <v>348.12000000000012</v>
      </c>
      <c r="X175">
        <f t="shared" si="14"/>
        <v>0.20073925002450713</v>
      </c>
      <c r="Y175" t="str">
        <f>_xlfn.TEXTJOIN(", ",TRUE,IF(G175="Unknown","Missing Region",""),IF(M175="Unknown","Missing Ship Mode",""),IF(P175&lt;0,"Negative Discount",""),IF(P175&gt;0.7,"High Discount",""),IF(C175&lt;B175,"Ship Before Order",""))</f>
        <v/>
      </c>
      <c r="Z175" s="2">
        <f>IFERROR(
  IF(ISNUMBER(B175),B175,
    IF(ISNUMBER(SEARCH("-",B175)*1),
      IF(LEN(LEFT(B175,FIND("-",B175)-1))=4,
        DATE(VALUE(LEFT(B175,4)),VALUE(MID(B175,6,2)),VALUE(RIGHT(B175,2))),
        DATE(VALUE(RIGHT(B175,4)),VALUE(MID(B175,4,2)),VALUE(LEFT(B175,2)))
      ),
      IF(ISNUMBER(SEARCH("/",B175)*1),
        DATE(VALUE(RIGHT(B175,4)),VALUE(LEFT(B175,2)),VALUE(MID(B175,4,2))),
        DATEVALUE(B175)
      )
    )
  ),
"INVALID_DATE")</f>
        <v>45414</v>
      </c>
      <c r="AA175" s="2">
        <f>IFERROR(
  IF(ISNUMBER(C175),C175,
    IF(ISNUMBER(SEARCH("-",C175)*1),
      IF(LEN(LEFT(C175,FIND("-",C175)-1))=4,
        DATE(VALUE(LEFT(C175,4)),VALUE(MID(C175,6,2)),VALUE(RIGHT(C175,2))),
        DATE(VALUE(RIGHT(C175,4)),VALUE(MID(C175,4,2)),VALUE(LEFT(C175,2)))
      ),
      IF(ISNUMBER(SEARCH("/",C175)*1),
        DATE(VALUE(RIGHT(C175,4)),VALUE(LEFT(C175,2)),VALUE(MID(C175,4,2))),
        DATEVALUE(C175)
      )
    )
  ),
"INVALID_DATE")</f>
        <v>45420</v>
      </c>
      <c r="AB175">
        <f t="shared" si="15"/>
        <v>6</v>
      </c>
      <c r="AC175" t="str">
        <f t="shared" si="16"/>
        <v>May</v>
      </c>
      <c r="AD175">
        <f t="shared" si="17"/>
        <v>2024</v>
      </c>
    </row>
    <row r="176" spans="1:30">
      <c r="A176" t="s">
        <v>961</v>
      </c>
      <c r="B176" t="s">
        <v>962</v>
      </c>
      <c r="C176" t="s">
        <v>963</v>
      </c>
      <c r="D176" t="s">
        <v>964</v>
      </c>
      <c r="E176" t="s">
        <v>32</v>
      </c>
      <c r="F176" t="s">
        <v>48</v>
      </c>
      <c r="G176" t="s">
        <v>69</v>
      </c>
      <c r="H176" t="s">
        <v>236</v>
      </c>
      <c r="I176" t="s">
        <v>237</v>
      </c>
      <c r="J176" t="s">
        <v>52</v>
      </c>
      <c r="K176" t="s">
        <v>211</v>
      </c>
      <c r="L176" t="s">
        <v>965</v>
      </c>
      <c r="M176" t="s">
        <v>63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144</v>
      </c>
      <c r="U176" t="s">
        <v>132</v>
      </c>
      <c r="V176">
        <f t="shared" si="12"/>
        <v>8264.7029999999995</v>
      </c>
      <c r="W176">
        <f t="shared" si="13"/>
        <v>3495.9500000000007</v>
      </c>
      <c r="X176">
        <f t="shared" si="14"/>
        <v>0.42299780996285402</v>
      </c>
      <c r="Y176" t="str">
        <f>_xlfn.TEXTJOIN(", ",TRUE,IF(G176="Unknown","Missing Region",""),IF(M176="Unknown","Missing Ship Mode",""),IF(P176&lt;0,"Negative Discount",""),IF(P176&gt;0.7,"High Discount",""),IF(C176&lt;B176,"Ship Before Order",""))</f>
        <v>Ship Before Order</v>
      </c>
      <c r="Z176" s="2">
        <f>IFERROR(
  IF(ISNUMBER(B176),B176,
    IF(ISNUMBER(SEARCH("-",B176)*1),
      IF(LEN(LEFT(B176,FIND("-",B176)-1))=4,
        DATE(VALUE(LEFT(B176,4)),VALUE(MID(B176,6,2)),VALUE(RIGHT(B176,2))),
        DATE(VALUE(RIGHT(B176,4)),VALUE(MID(B176,4,2)),VALUE(LEFT(B176,2)))
      ),
      IF(ISNUMBER(SEARCH("/",B176)*1),
        DATE(VALUE(RIGHT(B176,4)),VALUE(LEFT(B176,2)),VALUE(MID(B176,4,2))),
        DATEVALUE(B176)
      )
    )
  ),
"INVALID_DATE")</f>
        <v>45928</v>
      </c>
      <c r="AA176" s="2">
        <f>IFERROR(
  IF(ISNUMBER(C176),C176,
    IF(ISNUMBER(SEARCH("-",C176)*1),
      IF(LEN(LEFT(C176,FIND("-",C176)-1))=4,
        DATE(VALUE(LEFT(C176,4)),VALUE(MID(C176,6,2)),VALUE(RIGHT(C176,2))),
        DATE(VALUE(RIGHT(C176,4)),VALUE(MID(C176,4,2)),VALUE(LEFT(C176,2)))
      ),
      IF(ISNUMBER(SEARCH("/",C176)*1),
        DATE(VALUE(RIGHT(C176,4)),VALUE(LEFT(C176,2)),VALUE(MID(C176,4,2))),
        DATEVALUE(C176)
      )
    )
  ),
"INVALID_DATE")</f>
        <v>45934</v>
      </c>
      <c r="AB176">
        <f t="shared" si="15"/>
        <v>6</v>
      </c>
      <c r="AC176" t="str">
        <f t="shared" si="16"/>
        <v>September</v>
      </c>
      <c r="AD176">
        <f t="shared" si="17"/>
        <v>2025</v>
      </c>
    </row>
    <row r="177" spans="1:30">
      <c r="A177" t="s">
        <v>966</v>
      </c>
      <c r="B177" t="s">
        <v>750</v>
      </c>
      <c r="C177" t="s">
        <v>967</v>
      </c>
      <c r="D177" t="s">
        <v>968</v>
      </c>
      <c r="E177" t="s">
        <v>68</v>
      </c>
      <c r="F177" t="s">
        <v>48</v>
      </c>
      <c r="G177" t="s">
        <v>49</v>
      </c>
      <c r="H177" t="s">
        <v>193</v>
      </c>
      <c r="I177" t="s">
        <v>194</v>
      </c>
      <c r="J177" t="s">
        <v>93</v>
      </c>
      <c r="K177" t="s">
        <v>390</v>
      </c>
      <c r="L177" t="s">
        <v>969</v>
      </c>
      <c r="M177" t="s">
        <v>55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41</v>
      </c>
      <c r="U177" t="s">
        <v>132</v>
      </c>
      <c r="V177">
        <f t="shared" si="12"/>
        <v>15906.849000000002</v>
      </c>
      <c r="W177">
        <f t="shared" si="13"/>
        <v>4892.3900000000012</v>
      </c>
      <c r="X177">
        <f t="shared" si="14"/>
        <v>0.30756497986716413</v>
      </c>
      <c r="Y177" t="str">
        <f>_xlfn.TEXTJOIN(", ",TRUE,IF(G177="Unknown","Missing Region",""),IF(M177="Unknown","Missing Ship Mode",""),IF(P177&lt;0,"Negative Discount",""),IF(P177&gt;0.7,"High Discount",""),IF(C177&lt;B177,"Ship Before Order",""))</f>
        <v/>
      </c>
      <c r="Z177" s="2">
        <f>IFERROR(
  IF(ISNUMBER(B177),B177,
    IF(ISNUMBER(SEARCH("-",B177)*1),
      IF(LEN(LEFT(B177,FIND("-",B177)-1))=4,
        DATE(VALUE(LEFT(B177,4)),VALUE(MID(B177,6,2)),VALUE(RIGHT(B177,2))),
        DATE(VALUE(RIGHT(B177,4)),VALUE(MID(B177,4,2)),VALUE(LEFT(B177,2)))
      ),
      IF(ISNUMBER(SEARCH("/",B177)*1),
        DATE(VALUE(RIGHT(B177,4)),VALUE(LEFT(B177,2)),VALUE(MID(B177,4,2))),
        DATEVALUE(B177)
      )
    )
  ),
"INVALID_DATE")</f>
        <v>45318</v>
      </c>
      <c r="AA177" s="2">
        <f>IFERROR(
  IF(ISNUMBER(C177),C177,
    IF(ISNUMBER(SEARCH("-",C177)*1),
      IF(LEN(LEFT(C177,FIND("-",C177)-1))=4,
        DATE(VALUE(LEFT(C177,4)),VALUE(MID(C177,6,2)),VALUE(RIGHT(C177,2))),
        DATE(VALUE(RIGHT(C177,4)),VALUE(MID(C177,4,2)),VALUE(LEFT(C177,2)))
      ),
      IF(ISNUMBER(SEARCH("/",C177)*1),
        DATE(VALUE(RIGHT(C177,4)),VALUE(LEFT(C177,2)),VALUE(MID(C177,4,2))),
        DATEVALUE(C177)
      )
    )
  ),
"INVALID_DATE")</f>
        <v>45325</v>
      </c>
      <c r="AB177">
        <f t="shared" si="15"/>
        <v>7</v>
      </c>
      <c r="AC177" t="str">
        <f t="shared" si="16"/>
        <v>January</v>
      </c>
      <c r="AD177">
        <f t="shared" si="17"/>
        <v>2024</v>
      </c>
    </row>
    <row r="178" spans="1:30">
      <c r="A178" t="s">
        <v>970</v>
      </c>
      <c r="B178" t="s">
        <v>971</v>
      </c>
      <c r="C178" t="s">
        <v>972</v>
      </c>
      <c r="D178" t="s">
        <v>973</v>
      </c>
      <c r="E178" t="s">
        <v>90</v>
      </c>
      <c r="F178" t="s">
        <v>115</v>
      </c>
      <c r="G178" t="s">
        <v>49</v>
      </c>
      <c r="H178" t="s">
        <v>319</v>
      </c>
      <c r="I178" t="s">
        <v>320</v>
      </c>
      <c r="J178" t="s">
        <v>52</v>
      </c>
      <c r="K178" t="s">
        <v>211</v>
      </c>
      <c r="L178" t="s">
        <v>974</v>
      </c>
      <c r="M178" t="s">
        <v>74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41</v>
      </c>
      <c r="U178" t="s">
        <v>42</v>
      </c>
      <c r="V178">
        <f t="shared" si="12"/>
        <v>24229.011999999999</v>
      </c>
      <c r="W178">
        <f t="shared" si="13"/>
        <v>10318.369999999999</v>
      </c>
      <c r="X178">
        <f t="shared" si="14"/>
        <v>0.42586841146212751</v>
      </c>
      <c r="Y178" t="str">
        <f>_xlfn.TEXTJOIN(", ",TRUE,IF(G178="Unknown","Missing Region",""),IF(M178="Unknown","Missing Ship Mode",""),IF(P178&lt;0,"Negative Discount",""),IF(P178&gt;0.7,"High Discount",""),IF(C178&lt;B178,"Ship Before Order",""))</f>
        <v>Ship Before Order</v>
      </c>
      <c r="Z178" s="2">
        <f>IFERROR(
  IF(ISNUMBER(B178),B178,
    IF(ISNUMBER(SEARCH("-",B178)*1),
      IF(LEN(LEFT(B178,FIND("-",B178)-1))=4,
        DATE(VALUE(LEFT(B178,4)),VALUE(MID(B178,6,2)),VALUE(RIGHT(B178,2))),
        DATE(VALUE(RIGHT(B178,4)),VALUE(MID(B178,4,2)),VALUE(LEFT(B178,2)))
      ),
      IF(ISNUMBER(SEARCH("/",B178)*1),
        DATE(VALUE(RIGHT(B178,4)),VALUE(LEFT(B178,2)),VALUE(MID(B178,4,2))),
        DATEVALUE(B178)
      )
    )
  ),
"INVALID_DATE")</f>
        <v>45734</v>
      </c>
      <c r="AA178" s="2">
        <f>IFERROR(
  IF(ISNUMBER(C178),C178,
    IF(ISNUMBER(SEARCH("-",C178)*1),
      IF(LEN(LEFT(C178,FIND("-",C178)-1))=4,
        DATE(VALUE(LEFT(C178,4)),VALUE(MID(C178,6,2)),VALUE(RIGHT(C178,2))),
        DATE(VALUE(RIGHT(C178,4)),VALUE(MID(C178,4,2)),VALUE(LEFT(C178,2)))
      ),
      IF(ISNUMBER(SEARCH("/",C178)*1),
        DATE(VALUE(RIGHT(C178,4)),VALUE(LEFT(C178,2)),VALUE(MID(C178,4,2))),
        DATEVALUE(C178)
      )
    )
  ),
"INVALID_DATE")</f>
        <v>45742</v>
      </c>
      <c r="AB178">
        <f t="shared" si="15"/>
        <v>8</v>
      </c>
      <c r="AC178" t="str">
        <f t="shared" si="16"/>
        <v>March</v>
      </c>
      <c r="AD178">
        <f t="shared" si="17"/>
        <v>2025</v>
      </c>
    </row>
    <row r="179" spans="1:30">
      <c r="A179" t="s">
        <v>975</v>
      </c>
      <c r="B179" t="s">
        <v>976</v>
      </c>
      <c r="C179" t="s">
        <v>977</v>
      </c>
      <c r="D179" t="s">
        <v>978</v>
      </c>
      <c r="E179" t="s">
        <v>175</v>
      </c>
      <c r="F179" t="s">
        <v>122</v>
      </c>
      <c r="G179" t="s">
        <v>279</v>
      </c>
      <c r="H179" t="s">
        <v>193</v>
      </c>
      <c r="I179" t="s">
        <v>194</v>
      </c>
      <c r="J179" t="s">
        <v>37</v>
      </c>
      <c r="K179" t="s">
        <v>61</v>
      </c>
      <c r="L179" t="s">
        <v>979</v>
      </c>
      <c r="M179" t="s">
        <v>55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41</v>
      </c>
      <c r="U179" t="s">
        <v>42</v>
      </c>
      <c r="V179">
        <f t="shared" si="12"/>
        <v>31039.599999999999</v>
      </c>
      <c r="W179">
        <f t="shared" si="13"/>
        <v>10172.879999999997</v>
      </c>
      <c r="X179">
        <f t="shared" si="14"/>
        <v>0.3277387595200969</v>
      </c>
      <c r="Y179" t="str">
        <f>_xlfn.TEXTJOIN(", ",TRUE,IF(G179="Unknown","Missing Region",""),IF(M179="Unknown","Missing Ship Mode",""),IF(P179&lt;0,"Negative Discount",""),IF(P179&gt;0.7,"High Discount",""),IF(C179&lt;B179,"Ship Before Order",""))</f>
        <v>Missing Region</v>
      </c>
      <c r="Z179" s="2">
        <f>IFERROR(
  IF(ISNUMBER(B179),B179,
    IF(ISNUMBER(SEARCH("-",B179)*1),
      IF(LEN(LEFT(B179,FIND("-",B179)-1))=4,
        DATE(VALUE(LEFT(B179,4)),VALUE(MID(B179,6,2)),VALUE(RIGHT(B179,2))),
        DATE(VALUE(RIGHT(B179,4)),VALUE(MID(B179,4,2)),VALUE(LEFT(B179,2)))
      ),
      IF(ISNUMBER(SEARCH("/",B179)*1),
        DATE(VALUE(RIGHT(B179,4)),VALUE(LEFT(B179,2)),VALUE(MID(B179,4,2))),
        DATEVALUE(B179)
      )
    )
  ),
"INVALID_DATE")</f>
        <v>45444</v>
      </c>
      <c r="AA179" s="2">
        <f>IFERROR(
  IF(ISNUMBER(C179),C179,
    IF(ISNUMBER(SEARCH("-",C179)*1),
      IF(LEN(LEFT(C179,FIND("-",C179)-1))=4,
        DATE(VALUE(LEFT(C179,4)),VALUE(MID(C179,6,2)),VALUE(RIGHT(C179,2))),
        DATE(VALUE(RIGHT(C179,4)),VALUE(MID(C179,4,2)),VALUE(LEFT(C179,2)))
      ),
      IF(ISNUMBER(SEARCH("/",C179)*1),
        DATE(VALUE(RIGHT(C179,4)),VALUE(LEFT(C179,2)),VALUE(MID(C179,4,2))),
        DATEVALUE(C179)
      )
    )
  ),
"INVALID_DATE")</f>
        <v>45446</v>
      </c>
      <c r="AB179">
        <f t="shared" si="15"/>
        <v>2</v>
      </c>
      <c r="AC179" t="str">
        <f t="shared" si="16"/>
        <v>June</v>
      </c>
      <c r="AD179">
        <f t="shared" si="17"/>
        <v>2024</v>
      </c>
    </row>
    <row r="180" spans="1:30">
      <c r="A180" t="s">
        <v>980</v>
      </c>
      <c r="B180" t="s">
        <v>981</v>
      </c>
      <c r="C180" t="s">
        <v>982</v>
      </c>
      <c r="D180" t="s">
        <v>983</v>
      </c>
      <c r="E180" t="s">
        <v>60</v>
      </c>
      <c r="F180" t="s">
        <v>115</v>
      </c>
      <c r="G180" t="s">
        <v>69</v>
      </c>
      <c r="H180" t="s">
        <v>70</v>
      </c>
      <c r="I180" t="s">
        <v>71</v>
      </c>
      <c r="J180" t="s">
        <v>37</v>
      </c>
      <c r="K180" t="s">
        <v>61</v>
      </c>
      <c r="L180" t="s">
        <v>984</v>
      </c>
      <c r="M180" t="s">
        <v>74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41</v>
      </c>
      <c r="U180" t="s">
        <v>42</v>
      </c>
      <c r="V180">
        <f t="shared" si="12"/>
        <v>13126.96</v>
      </c>
      <c r="W180">
        <f t="shared" si="13"/>
        <v>2394.5199999999986</v>
      </c>
      <c r="X180">
        <f t="shared" si="14"/>
        <v>0.18241237879905173</v>
      </c>
      <c r="Y180" t="str">
        <f>_xlfn.TEXTJOIN(", ",TRUE,IF(G180="Unknown","Missing Region",""),IF(M180="Unknown","Missing Ship Mode",""),IF(P180&lt;0,"Negative Discount",""),IF(P180&gt;0.7,"High Discount",""),IF(C180&lt;B180,"Ship Before Order",""))</f>
        <v>Ship Before Order</v>
      </c>
      <c r="Z180" s="2">
        <f>IFERROR(
  IF(ISNUMBER(B180),B180,
    IF(ISNUMBER(SEARCH("-",B180)*1),
      IF(LEN(LEFT(B180,FIND("-",B180)-1))=4,
        DATE(VALUE(LEFT(B180,4)),VALUE(MID(B180,6,2)),VALUE(RIGHT(B180,2))),
        DATE(VALUE(RIGHT(B180,4)),VALUE(MID(B180,4,2)),VALUE(LEFT(B180,2)))
      ),
      IF(ISNUMBER(SEARCH("/",B180)*1),
        DATE(VALUE(RIGHT(B180,4)),VALUE(LEFT(B180,2)),VALUE(MID(B180,4,2))),
        DATEVALUE(B180)
      )
    )
  ),
"INVALID_DATE")</f>
        <v>45565</v>
      </c>
      <c r="AA180" s="2">
        <f>IFERROR(
  IF(ISNUMBER(C180),C180,
    IF(ISNUMBER(SEARCH("-",C180)*1),
      IF(LEN(LEFT(C180,FIND("-",C180)-1))=4,
        DATE(VALUE(LEFT(C180,4)),VALUE(MID(C180,6,2)),VALUE(RIGHT(C180,2))),
        DATE(VALUE(RIGHT(C180,4)),VALUE(MID(C180,4,2)),VALUE(LEFT(C180,2)))
      ),
      IF(ISNUMBER(SEARCH("/",C180)*1),
        DATE(VALUE(RIGHT(C180,4)),VALUE(LEFT(C180,2)),VALUE(MID(C180,4,2))),
        DATEVALUE(C180)
      )
    )
  ),
"INVALID_DATE")</f>
        <v>45565</v>
      </c>
      <c r="AB180">
        <f t="shared" si="15"/>
        <v>0</v>
      </c>
      <c r="AC180" t="str">
        <f t="shared" si="16"/>
        <v>September</v>
      </c>
      <c r="AD180">
        <f t="shared" si="17"/>
        <v>2024</v>
      </c>
    </row>
    <row r="181" spans="1:30">
      <c r="A181" t="s">
        <v>985</v>
      </c>
      <c r="B181" t="s">
        <v>986</v>
      </c>
      <c r="C181" t="s">
        <v>987</v>
      </c>
      <c r="D181" t="s">
        <v>988</v>
      </c>
      <c r="E181" t="s">
        <v>79</v>
      </c>
      <c r="F181" t="s">
        <v>48</v>
      </c>
      <c r="G181" t="s">
        <v>69</v>
      </c>
      <c r="H181" t="s">
        <v>347</v>
      </c>
      <c r="I181" t="s">
        <v>348</v>
      </c>
      <c r="J181" t="s">
        <v>52</v>
      </c>
      <c r="K181" t="s">
        <v>72</v>
      </c>
      <c r="L181" t="s">
        <v>989</v>
      </c>
      <c r="M181" t="s">
        <v>74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131</v>
      </c>
      <c r="U181" t="s">
        <v>132</v>
      </c>
      <c r="V181">
        <f t="shared" si="12"/>
        <v>9558.9000000000015</v>
      </c>
      <c r="W181">
        <f t="shared" si="13"/>
        <v>4042.1399999999994</v>
      </c>
      <c r="X181">
        <f t="shared" si="14"/>
        <v>0.4228666478360481</v>
      </c>
      <c r="Y181" t="str">
        <f>_xlfn.TEXTJOIN(", ",TRUE,IF(G181="Unknown","Missing Region",""),IF(M181="Unknown","Missing Ship Mode",""),IF(P181&lt;0,"Negative Discount",""),IF(P181&gt;0.7,"High Discount",""),IF(C181&lt;B181,"Ship Before Order",""))</f>
        <v>Ship Before Order</v>
      </c>
      <c r="Z181" s="2">
        <f>IFERROR(
  IF(ISNUMBER(B181),B181,
    IF(ISNUMBER(SEARCH("-",B181)*1),
      IF(LEN(LEFT(B181,FIND("-",B181)-1))=4,
        DATE(VALUE(LEFT(B181,4)),VALUE(MID(B181,6,2)),VALUE(RIGHT(B181,2))),
        DATE(VALUE(RIGHT(B181,4)),VALUE(MID(B181,4,2)),VALUE(LEFT(B181,2)))
      ),
      IF(ISNUMBER(SEARCH("/",B181)*1),
        DATE(VALUE(RIGHT(B181,4)),VALUE(LEFT(B181,2)),VALUE(MID(B181,4,2))),
        DATEVALUE(B181)
      )
    )
  ),
"INVALID_DATE")</f>
        <v>45366</v>
      </c>
      <c r="AA181" s="2">
        <f>IFERROR(
  IF(ISNUMBER(C181),C181,
    IF(ISNUMBER(SEARCH("-",C181)*1),
      IF(LEN(LEFT(C181,FIND("-",C181)-1))=4,
        DATE(VALUE(LEFT(C181,4)),VALUE(MID(C181,6,2)),VALUE(RIGHT(C181,2))),
        DATE(VALUE(RIGHT(C181,4)),VALUE(MID(C181,4,2)),VALUE(LEFT(C181,2)))
      ),
      IF(ISNUMBER(SEARCH("/",C181)*1),
        DATE(VALUE(RIGHT(C181,4)),VALUE(LEFT(C181,2)),VALUE(MID(C181,4,2))),
        DATEVALUE(C181)
      )
    )
  ),
"INVALID_DATE")</f>
        <v>45370</v>
      </c>
      <c r="AB181">
        <f t="shared" si="15"/>
        <v>4</v>
      </c>
      <c r="AC181" t="str">
        <f t="shared" si="16"/>
        <v>March</v>
      </c>
      <c r="AD181">
        <f t="shared" si="17"/>
        <v>2024</v>
      </c>
    </row>
    <row r="182" spans="1:30">
      <c r="A182" t="s">
        <v>990</v>
      </c>
      <c r="B182" t="s">
        <v>991</v>
      </c>
      <c r="C182" t="s">
        <v>992</v>
      </c>
      <c r="D182" t="s">
        <v>993</v>
      </c>
      <c r="E182" t="s">
        <v>47</v>
      </c>
      <c r="F182" t="s">
        <v>122</v>
      </c>
      <c r="G182" t="s">
        <v>34</v>
      </c>
      <c r="H182" t="s">
        <v>181</v>
      </c>
      <c r="I182" t="s">
        <v>182</v>
      </c>
      <c r="J182" t="s">
        <v>926</v>
      </c>
      <c r="K182" t="s">
        <v>205</v>
      </c>
      <c r="L182" t="s">
        <v>994</v>
      </c>
      <c r="M182" t="s">
        <v>63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41</v>
      </c>
      <c r="U182" t="s">
        <v>42</v>
      </c>
      <c r="V182">
        <f t="shared" si="12"/>
        <v>5320.9170000000004</v>
      </c>
      <c r="W182">
        <f t="shared" si="13"/>
        <v>2279.42</v>
      </c>
      <c r="X182">
        <f t="shared" si="14"/>
        <v>0.42838832382369968</v>
      </c>
      <c r="Y182" t="str">
        <f>_xlfn.TEXTJOIN(", ",TRUE,IF(G182="Unknown","Missing Region",""),IF(M182="Unknown","Missing Ship Mode",""),IF(P182&lt;0,"Negative Discount",""),IF(P182&gt;0.7,"High Discount",""),IF(C182&lt;B182,"Ship Before Order",""))</f>
        <v/>
      </c>
      <c r="Z182" s="2">
        <f>IFERROR(
  IF(ISNUMBER(B182),B182,
    IF(ISNUMBER(SEARCH("-",B182)*1),
      IF(LEN(LEFT(B182,FIND("-",B182)-1))=4,
        DATE(VALUE(LEFT(B182,4)),VALUE(MID(B182,6,2)),VALUE(RIGHT(B182,2))),
        DATE(VALUE(RIGHT(B182,4)),VALUE(MID(B182,4,2)),VALUE(LEFT(B182,2)))
      ),
      IF(ISNUMBER(SEARCH("/",B182)*1),
        DATE(VALUE(RIGHT(B182,4)),VALUE(LEFT(B182,2)),VALUE(MID(B182,4,2))),
        DATEVALUE(B182)
      )
    )
  ),
"INVALID_DATE")</f>
        <v>45530</v>
      </c>
      <c r="AA182" s="2">
        <f>IFERROR(
  IF(ISNUMBER(C182),C182,
    IF(ISNUMBER(SEARCH("-",C182)*1),
      IF(LEN(LEFT(C182,FIND("-",C182)-1))=4,
        DATE(VALUE(LEFT(C182,4)),VALUE(MID(C182,6,2)),VALUE(RIGHT(C182,2))),
        DATE(VALUE(RIGHT(C182,4)),VALUE(MID(C182,4,2)),VALUE(LEFT(C182,2)))
      ),
      IF(ISNUMBER(SEARCH("/",C182)*1),
        DATE(VALUE(RIGHT(C182,4)),VALUE(LEFT(C182,2)),VALUE(MID(C182,4,2))),
        DATEVALUE(C182)
      )
    )
  ),
"INVALID_DATE")</f>
        <v>45530</v>
      </c>
      <c r="AB182">
        <f t="shared" si="15"/>
        <v>0</v>
      </c>
      <c r="AC182" t="str">
        <f t="shared" si="16"/>
        <v>August</v>
      </c>
      <c r="AD182">
        <f t="shared" si="17"/>
        <v>2024</v>
      </c>
    </row>
    <row r="183" spans="1:30">
      <c r="A183" t="s">
        <v>995</v>
      </c>
      <c r="B183" t="s">
        <v>996</v>
      </c>
      <c r="C183" t="s">
        <v>997</v>
      </c>
      <c r="D183" t="s">
        <v>998</v>
      </c>
      <c r="E183" t="s">
        <v>149</v>
      </c>
      <c r="F183" t="s">
        <v>122</v>
      </c>
      <c r="G183" t="s">
        <v>69</v>
      </c>
      <c r="H183" t="s">
        <v>347</v>
      </c>
      <c r="I183" t="s">
        <v>348</v>
      </c>
      <c r="J183" t="s">
        <v>37</v>
      </c>
      <c r="K183" t="s">
        <v>61</v>
      </c>
      <c r="L183" t="s">
        <v>999</v>
      </c>
      <c r="M183" t="s">
        <v>40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41</v>
      </c>
      <c r="U183" t="s">
        <v>42</v>
      </c>
      <c r="V183">
        <f t="shared" si="12"/>
        <v>10205.799999999999</v>
      </c>
      <c r="W183">
        <f t="shared" si="13"/>
        <v>4219.4899999999989</v>
      </c>
      <c r="X183">
        <f t="shared" si="14"/>
        <v>0.41344039663720628</v>
      </c>
      <c r="Y183" t="str">
        <f>_xlfn.TEXTJOIN(", ",TRUE,IF(G183="Unknown","Missing Region",""),IF(M183="Unknown","Missing Ship Mode",""),IF(P183&lt;0,"Negative Discount",""),IF(P183&gt;0.7,"High Discount",""),IF(C183&lt;B183,"Ship Before Order",""))</f>
        <v/>
      </c>
      <c r="Z183" s="2">
        <f>IFERROR(
  IF(ISNUMBER(B183),B183,
    IF(ISNUMBER(SEARCH("-",B183)*1),
      IF(LEN(LEFT(B183,FIND("-",B183)-1))=4,
        DATE(VALUE(LEFT(B183,4)),VALUE(MID(B183,6,2)),VALUE(RIGHT(B183,2))),
        DATE(VALUE(RIGHT(B183,4)),VALUE(MID(B183,4,2)),VALUE(LEFT(B183,2)))
      ),
      IF(ISNUMBER(SEARCH("/",B183)*1),
        DATE(VALUE(RIGHT(B183,4)),VALUE(LEFT(B183,2)),VALUE(MID(B183,4,2))),
        DATEVALUE(B183)
      )
    )
  ),
"INVALID_DATE")</f>
        <v>45909</v>
      </c>
      <c r="AA183" s="2">
        <f>IFERROR(
  IF(ISNUMBER(C183),C183,
    IF(ISNUMBER(SEARCH("-",C183)*1),
      IF(LEN(LEFT(C183,FIND("-",C183)-1))=4,
        DATE(VALUE(LEFT(C183,4)),VALUE(MID(C183,6,2)),VALUE(RIGHT(C183,2))),
        DATE(VALUE(RIGHT(C183,4)),VALUE(MID(C183,4,2)),VALUE(LEFT(C183,2)))
      ),
      IF(ISNUMBER(SEARCH("/",C183)*1),
        DATE(VALUE(RIGHT(C183,4)),VALUE(LEFT(C183,2)),VALUE(MID(C183,4,2))),
        DATEVALUE(C183)
      )
    )
  ),
"INVALID_DATE")</f>
        <v>45910</v>
      </c>
      <c r="AB183">
        <f t="shared" si="15"/>
        <v>1</v>
      </c>
      <c r="AC183" t="str">
        <f t="shared" si="16"/>
        <v>September</v>
      </c>
      <c r="AD183">
        <f t="shared" si="17"/>
        <v>2025</v>
      </c>
    </row>
    <row r="184" spans="1:30">
      <c r="A184" t="s">
        <v>1000</v>
      </c>
      <c r="B184" t="s">
        <v>307</v>
      </c>
      <c r="C184" t="s">
        <v>307</v>
      </c>
      <c r="D184" t="s">
        <v>1001</v>
      </c>
      <c r="E184" t="s">
        <v>79</v>
      </c>
      <c r="F184" t="s">
        <v>122</v>
      </c>
      <c r="G184" t="s">
        <v>49</v>
      </c>
      <c r="H184" t="s">
        <v>193</v>
      </c>
      <c r="I184" t="s">
        <v>194</v>
      </c>
      <c r="J184" t="s">
        <v>93</v>
      </c>
      <c r="K184" t="s">
        <v>390</v>
      </c>
      <c r="L184" t="s">
        <v>1002</v>
      </c>
      <c r="M184" t="s">
        <v>74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41</v>
      </c>
      <c r="U184" t="s">
        <v>42</v>
      </c>
      <c r="V184">
        <f t="shared" si="12"/>
        <v>5430.3899999999994</v>
      </c>
      <c r="W184">
        <f t="shared" si="13"/>
        <v>1722.7300000000005</v>
      </c>
      <c r="X184">
        <f t="shared" si="14"/>
        <v>0.31723872502711592</v>
      </c>
      <c r="Y184" t="str">
        <f>_xlfn.TEXTJOIN(", ",TRUE,IF(G184="Unknown","Missing Region",""),IF(M184="Unknown","Missing Ship Mode",""),IF(P184&lt;0,"Negative Discount",""),IF(P184&gt;0.7,"High Discount",""),IF(C184&lt;B184,"Ship Before Order",""))</f>
        <v/>
      </c>
      <c r="Z184" s="2">
        <f>IFERROR(
  IF(ISNUMBER(B184),B184,
    IF(ISNUMBER(SEARCH("-",B184)*1),
      IF(LEN(LEFT(B184,FIND("-",B184)-1))=4,
        DATE(VALUE(LEFT(B184,4)),VALUE(MID(B184,6,2)),VALUE(RIGHT(B184,2))),
        DATE(VALUE(RIGHT(B184,4)),VALUE(MID(B184,4,2)),VALUE(LEFT(B184,2)))
      ),
      IF(ISNUMBER(SEARCH("/",B184)*1),
        DATE(VALUE(RIGHT(B184,4)),VALUE(LEFT(B184,2)),VALUE(MID(B184,4,2))),
        DATEVALUE(B184)
      )
    )
  ),
"INVALID_DATE")</f>
        <v>45581</v>
      </c>
      <c r="AA184" s="2">
        <f>IFERROR(
  IF(ISNUMBER(C184),C184,
    IF(ISNUMBER(SEARCH("-",C184)*1),
      IF(LEN(LEFT(C184,FIND("-",C184)-1))=4,
        DATE(VALUE(LEFT(C184,4)),VALUE(MID(C184,6,2)),VALUE(RIGHT(C184,2))),
        DATE(VALUE(RIGHT(C184,4)),VALUE(MID(C184,4,2)),VALUE(LEFT(C184,2)))
      ),
      IF(ISNUMBER(SEARCH("/",C184)*1),
        DATE(VALUE(RIGHT(C184,4)),VALUE(LEFT(C184,2)),VALUE(MID(C184,4,2))),
        DATEVALUE(C184)
      )
    )
  ),
"INVALID_DATE")</f>
        <v>45581</v>
      </c>
      <c r="AB184">
        <f t="shared" si="15"/>
        <v>0</v>
      </c>
      <c r="AC184" t="str">
        <f t="shared" si="16"/>
        <v>October</v>
      </c>
      <c r="AD184">
        <f t="shared" si="17"/>
        <v>2024</v>
      </c>
    </row>
    <row r="185" spans="1:30">
      <c r="A185" t="s">
        <v>1003</v>
      </c>
      <c r="B185" t="s">
        <v>1004</v>
      </c>
      <c r="C185" t="s">
        <v>1005</v>
      </c>
      <c r="D185" t="s">
        <v>1006</v>
      </c>
      <c r="E185" t="s">
        <v>90</v>
      </c>
      <c r="F185" t="s">
        <v>122</v>
      </c>
      <c r="G185" t="s">
        <v>69</v>
      </c>
      <c r="H185" t="s">
        <v>70</v>
      </c>
      <c r="I185" t="s">
        <v>71</v>
      </c>
      <c r="J185" t="s">
        <v>93</v>
      </c>
      <c r="K185" t="s">
        <v>101</v>
      </c>
      <c r="L185" t="s">
        <v>1007</v>
      </c>
      <c r="M185" t="s">
        <v>74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41</v>
      </c>
      <c r="U185" t="s">
        <v>132</v>
      </c>
      <c r="V185">
        <f t="shared" si="12"/>
        <v>12907.216</v>
      </c>
      <c r="W185">
        <f t="shared" si="13"/>
        <v>4579.33</v>
      </c>
      <c r="X185">
        <f t="shared" si="14"/>
        <v>0.35478825029712052</v>
      </c>
      <c r="Y185" t="str">
        <f>_xlfn.TEXTJOIN(", ",TRUE,IF(G185="Unknown","Missing Region",""),IF(M185="Unknown","Missing Ship Mode",""),IF(P185&lt;0,"Negative Discount",""),IF(P185&gt;0.7,"High Discount",""),IF(C185&lt;B185,"Ship Before Order",""))</f>
        <v/>
      </c>
      <c r="Z185" s="2">
        <f>IFERROR(
  IF(ISNUMBER(B185),B185,
    IF(ISNUMBER(SEARCH("-",B185)*1),
      IF(LEN(LEFT(B185,FIND("-",B185)-1))=4,
        DATE(VALUE(LEFT(B185,4)),VALUE(MID(B185,6,2)),VALUE(RIGHT(B185,2))),
        DATE(VALUE(RIGHT(B185,4)),VALUE(MID(B185,4,2)),VALUE(LEFT(B185,2)))
      ),
      IF(ISNUMBER(SEARCH("/",B185)*1),
        DATE(VALUE(RIGHT(B185,4)),VALUE(LEFT(B185,2)),VALUE(MID(B185,4,2))),
        DATEVALUE(B185)
      )
    )
  ),
"INVALID_DATE")</f>
        <v>45832</v>
      </c>
      <c r="AA185" s="2">
        <f>IFERROR(
  IF(ISNUMBER(C185),C185,
    IF(ISNUMBER(SEARCH("-",C185)*1),
      IF(LEN(LEFT(C185,FIND("-",C185)-1))=4,
        DATE(VALUE(LEFT(C185,4)),VALUE(MID(C185,6,2)),VALUE(RIGHT(C185,2))),
        DATE(VALUE(RIGHT(C185,4)),VALUE(MID(C185,4,2)),VALUE(LEFT(C185,2)))
      ),
      IF(ISNUMBER(SEARCH("/",C185)*1),
        DATE(VALUE(RIGHT(C185,4)),VALUE(LEFT(C185,2)),VALUE(MID(C185,4,2))),
        DATEVALUE(C185)
      )
    )
  ),
"INVALID_DATE")</f>
        <v>45835</v>
      </c>
      <c r="AB185">
        <f t="shared" si="15"/>
        <v>3</v>
      </c>
      <c r="AC185" t="str">
        <f t="shared" si="16"/>
        <v>June</v>
      </c>
      <c r="AD185">
        <f t="shared" si="17"/>
        <v>2025</v>
      </c>
    </row>
    <row r="186" spans="1:30">
      <c r="A186" t="s">
        <v>1008</v>
      </c>
      <c r="B186" t="s">
        <v>1009</v>
      </c>
      <c r="C186" t="s">
        <v>356</v>
      </c>
      <c r="D186" t="s">
        <v>1010</v>
      </c>
      <c r="E186" t="s">
        <v>90</v>
      </c>
      <c r="F186" t="s">
        <v>115</v>
      </c>
      <c r="G186" t="s">
        <v>80</v>
      </c>
      <c r="H186" t="s">
        <v>91</v>
      </c>
      <c r="I186" t="s">
        <v>92</v>
      </c>
      <c r="J186" t="s">
        <v>52</v>
      </c>
      <c r="K186" t="s">
        <v>211</v>
      </c>
      <c r="L186" t="s">
        <v>1011</v>
      </c>
      <c r="M186" t="s">
        <v>74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131</v>
      </c>
      <c r="U186" t="s">
        <v>132</v>
      </c>
      <c r="V186">
        <f t="shared" si="12"/>
        <v>1777.96</v>
      </c>
      <c r="W186">
        <f t="shared" si="13"/>
        <v>756.80000000000007</v>
      </c>
      <c r="X186">
        <f t="shared" si="14"/>
        <v>0.42565637022205222</v>
      </c>
      <c r="Y186" t="str">
        <f>_xlfn.TEXTJOIN(", ",TRUE,IF(G186="Unknown","Missing Region",""),IF(M186="Unknown","Missing Ship Mode",""),IF(P186&lt;0,"Negative Discount",""),IF(P186&gt;0.7,"High Discount",""),IF(C186&lt;B186,"Ship Before Order",""))</f>
        <v/>
      </c>
      <c r="Z186" s="2">
        <f>IFERROR(
  IF(ISNUMBER(B186),B186,
    IF(ISNUMBER(SEARCH("-",B186)*1),
      IF(LEN(LEFT(B186,FIND("-",B186)-1))=4,
        DATE(VALUE(LEFT(B186,4)),VALUE(MID(B186,6,2)),VALUE(RIGHT(B186,2))),
        DATE(VALUE(RIGHT(B186,4)),VALUE(MID(B186,4,2)),VALUE(LEFT(B186,2)))
      ),
      IF(ISNUMBER(SEARCH("/",B186)*1),
        DATE(VALUE(RIGHT(B186,4)),VALUE(LEFT(B186,2)),VALUE(MID(B186,4,2))),
        DATEVALUE(B186)
      )
    )
  ),
"INVALID_DATE")</f>
        <v>45384</v>
      </c>
      <c r="AA186" s="2">
        <f>IFERROR(
  IF(ISNUMBER(C186),C186,
    IF(ISNUMBER(SEARCH("-",C186)*1),
      IF(LEN(LEFT(C186,FIND("-",C186)-1))=4,
        DATE(VALUE(LEFT(C186,4)),VALUE(MID(C186,6,2)),VALUE(RIGHT(C186,2))),
        DATE(VALUE(RIGHT(C186,4)),VALUE(MID(C186,4,2)),VALUE(LEFT(C186,2)))
      ),
      IF(ISNUMBER(SEARCH("/",C186)*1),
        DATE(VALUE(RIGHT(C186,4)),VALUE(LEFT(C186,2)),VALUE(MID(C186,4,2))),
        DATEVALUE(C186)
      )
    )
  ),
"INVALID_DATE")</f>
        <v>45388</v>
      </c>
      <c r="AB186">
        <f t="shared" si="15"/>
        <v>4</v>
      </c>
      <c r="AC186" t="str">
        <f t="shared" si="16"/>
        <v>April</v>
      </c>
      <c r="AD186">
        <f t="shared" si="17"/>
        <v>2024</v>
      </c>
    </row>
    <row r="187" spans="1:30">
      <c r="A187" t="s">
        <v>1012</v>
      </c>
      <c r="B187" t="s">
        <v>111</v>
      </c>
      <c r="C187" t="s">
        <v>1013</v>
      </c>
      <c r="D187" t="s">
        <v>1014</v>
      </c>
      <c r="E187" t="s">
        <v>68</v>
      </c>
      <c r="F187" t="s">
        <v>33</v>
      </c>
      <c r="G187" t="s">
        <v>279</v>
      </c>
      <c r="H187" t="s">
        <v>161</v>
      </c>
      <c r="I187" t="s">
        <v>162</v>
      </c>
      <c r="J187" t="s">
        <v>37</v>
      </c>
      <c r="K187" t="s">
        <v>116</v>
      </c>
      <c r="L187" t="s">
        <v>1015</v>
      </c>
      <c r="M187" t="s">
        <v>40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41</v>
      </c>
      <c r="U187" t="s">
        <v>42</v>
      </c>
      <c r="V187">
        <f t="shared" si="12"/>
        <v>1605.0720000000001</v>
      </c>
      <c r="W187">
        <f t="shared" si="13"/>
        <v>267.78999999999996</v>
      </c>
      <c r="X187">
        <f t="shared" si="14"/>
        <v>0.16684007551072541</v>
      </c>
      <c r="Y187" t="str">
        <f>_xlfn.TEXTJOIN(", ",TRUE,IF(G187="Unknown","Missing Region",""),IF(M187="Unknown","Missing Ship Mode",""),IF(P187&lt;0,"Negative Discount",""),IF(P187&gt;0.7,"High Discount",""),IF(C187&lt;B187,"Ship Before Order",""))</f>
        <v>Missing Region</v>
      </c>
      <c r="Z187" s="2">
        <f>IFERROR(
  IF(ISNUMBER(B187),B187,
    IF(ISNUMBER(SEARCH("-",B187)*1),
      IF(LEN(LEFT(B187,FIND("-",B187)-1))=4,
        DATE(VALUE(LEFT(B187,4)),VALUE(MID(B187,6,2)),VALUE(RIGHT(B187,2))),
        DATE(VALUE(RIGHT(B187,4)),VALUE(MID(B187,4,2)),VALUE(LEFT(B187,2)))
      ),
      IF(ISNUMBER(SEARCH("/",B187)*1),
        DATE(VALUE(RIGHT(B187,4)),VALUE(LEFT(B187,2)),VALUE(MID(B187,4,2))),
        DATEVALUE(B187)
      )
    )
  ),
"INVALID_DATE")</f>
        <v>45601</v>
      </c>
      <c r="AA187" s="2">
        <f>IFERROR(
  IF(ISNUMBER(C187),C187,
    IF(ISNUMBER(SEARCH("-",C187)*1),
      IF(LEN(LEFT(C187,FIND("-",C187)-1))=4,
        DATE(VALUE(LEFT(C187,4)),VALUE(MID(C187,6,2)),VALUE(RIGHT(C187,2))),
        DATE(VALUE(RIGHT(C187,4)),VALUE(MID(C187,4,2)),VALUE(LEFT(C187,2)))
      ),
      IF(ISNUMBER(SEARCH("/",C187)*1),
        DATE(VALUE(RIGHT(C187,4)),VALUE(LEFT(C187,2)),VALUE(MID(C187,4,2))),
        DATEVALUE(C187)
      )
    )
  ),
"INVALID_DATE")</f>
        <v>45609</v>
      </c>
      <c r="AB187">
        <f t="shared" si="15"/>
        <v>8</v>
      </c>
      <c r="AC187" t="str">
        <f t="shared" si="16"/>
        <v>November</v>
      </c>
      <c r="AD187">
        <f t="shared" si="17"/>
        <v>2024</v>
      </c>
    </row>
    <row r="188" spans="1:30">
      <c r="A188" t="s">
        <v>1016</v>
      </c>
      <c r="B188" t="s">
        <v>340</v>
      </c>
      <c r="C188" t="s">
        <v>1017</v>
      </c>
      <c r="D188" t="s">
        <v>373</v>
      </c>
      <c r="E188" t="s">
        <v>90</v>
      </c>
      <c r="F188" t="s">
        <v>33</v>
      </c>
      <c r="G188" t="s">
        <v>69</v>
      </c>
      <c r="H188" t="s">
        <v>347</v>
      </c>
      <c r="I188" t="s">
        <v>348</v>
      </c>
      <c r="J188" t="s">
        <v>52</v>
      </c>
      <c r="K188" t="s">
        <v>53</v>
      </c>
      <c r="L188" t="s">
        <v>1018</v>
      </c>
      <c r="M188" t="s">
        <v>63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41</v>
      </c>
      <c r="U188" t="s">
        <v>42</v>
      </c>
      <c r="V188">
        <f t="shared" si="12"/>
        <v>23996.059499999996</v>
      </c>
      <c r="W188">
        <f t="shared" si="13"/>
        <v>3828.7800000000025</v>
      </c>
      <c r="X188">
        <f t="shared" si="14"/>
        <v>0.15955869421896762</v>
      </c>
      <c r="Y188" t="str">
        <f>_xlfn.TEXTJOIN(", ",TRUE,IF(G188="Unknown","Missing Region",""),IF(M188="Unknown","Missing Ship Mode",""),IF(P188&lt;0,"Negative Discount",""),IF(P188&gt;0.7,"High Discount",""),IF(C188&lt;B188,"Ship Before Order",""))</f>
        <v/>
      </c>
      <c r="Z188" s="2">
        <f>IFERROR(
  IF(ISNUMBER(B188),B188,
    IF(ISNUMBER(SEARCH("-",B188)*1),
      IF(LEN(LEFT(B188,FIND("-",B188)-1))=4,
        DATE(VALUE(LEFT(B188,4)),VALUE(MID(B188,6,2)),VALUE(RIGHT(B188,2))),
        DATE(VALUE(RIGHT(B188,4)),VALUE(MID(B188,4,2)),VALUE(LEFT(B188,2)))
      ),
      IF(ISNUMBER(SEARCH("/",B188)*1),
        DATE(VALUE(RIGHT(B188,4)),VALUE(LEFT(B188,2)),VALUE(MID(B188,4,2))),
        DATEVALUE(B188)
      )
    )
  ),
"INVALID_DATE")</f>
        <v>45492</v>
      </c>
      <c r="AA188" s="2">
        <f>IFERROR(
  IF(ISNUMBER(C188),C188,
    IF(ISNUMBER(SEARCH("-",C188)*1),
      IF(LEN(LEFT(C188,FIND("-",C188)-1))=4,
        DATE(VALUE(LEFT(C188,4)),VALUE(MID(C188,6,2)),VALUE(RIGHT(C188,2))),
        DATE(VALUE(RIGHT(C188,4)),VALUE(MID(C188,4,2)),VALUE(LEFT(C188,2)))
      ),
      IF(ISNUMBER(SEARCH("/",C188)*1),
        DATE(VALUE(RIGHT(C188,4)),VALUE(LEFT(C188,2)),VALUE(MID(C188,4,2))),
        DATEVALUE(C188)
      )
    )
  ),
"INVALID_DATE")</f>
        <v>45493</v>
      </c>
      <c r="AB188">
        <f t="shared" si="15"/>
        <v>1</v>
      </c>
      <c r="AC188" t="str">
        <f t="shared" si="16"/>
        <v>July</v>
      </c>
      <c r="AD188">
        <f t="shared" si="17"/>
        <v>2024</v>
      </c>
    </row>
    <row r="189" spans="1:30">
      <c r="A189" t="s">
        <v>1019</v>
      </c>
      <c r="B189" t="s">
        <v>1020</v>
      </c>
      <c r="C189" t="s">
        <v>1021</v>
      </c>
      <c r="D189" t="s">
        <v>1022</v>
      </c>
      <c r="E189" t="s">
        <v>47</v>
      </c>
      <c r="F189" t="s">
        <v>33</v>
      </c>
      <c r="G189" t="s">
        <v>80</v>
      </c>
      <c r="H189" t="s">
        <v>91</v>
      </c>
      <c r="I189" t="s">
        <v>92</v>
      </c>
      <c r="J189" t="s">
        <v>52</v>
      </c>
      <c r="K189" t="s">
        <v>83</v>
      </c>
      <c r="L189" t="s">
        <v>1023</v>
      </c>
      <c r="M189" t="s">
        <v>55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41</v>
      </c>
      <c r="U189" t="s">
        <v>132</v>
      </c>
      <c r="V189">
        <f t="shared" si="12"/>
        <v>8717.2199999999993</v>
      </c>
      <c r="W189">
        <f t="shared" si="13"/>
        <v>2501.2599999999993</v>
      </c>
      <c r="X189">
        <f t="shared" si="14"/>
        <v>0.28693321953558593</v>
      </c>
      <c r="Y189" t="str">
        <f>_xlfn.TEXTJOIN(", ",TRUE,IF(G189="Unknown","Missing Region",""),IF(M189="Unknown","Missing Ship Mode",""),IF(P189&lt;0,"Negative Discount",""),IF(P189&gt;0.7,"High Discount",""),IF(C189&lt;B189,"Ship Before Order",""))</f>
        <v>Ship Before Order</v>
      </c>
      <c r="Z189" s="2">
        <f>IFERROR(
  IF(ISNUMBER(B189),B189,
    IF(ISNUMBER(SEARCH("-",B189)*1),
      IF(LEN(LEFT(B189,FIND("-",B189)-1))=4,
        DATE(VALUE(LEFT(B189,4)),VALUE(MID(B189,6,2)),VALUE(RIGHT(B189,2))),
        DATE(VALUE(RIGHT(B189,4)),VALUE(MID(B189,4,2)),VALUE(LEFT(B189,2)))
      ),
      IF(ISNUMBER(SEARCH("/",B189)*1),
        DATE(VALUE(RIGHT(B189,4)),VALUE(LEFT(B189,2)),VALUE(MID(B189,4,2))),
        DATEVALUE(B189)
      )
    )
  ),
"INVALID_DATE")</f>
        <v>45778</v>
      </c>
      <c r="AA189" s="2">
        <f>IFERROR(
  IF(ISNUMBER(C189),C189,
    IF(ISNUMBER(SEARCH("-",C189)*1),
      IF(LEN(LEFT(C189,FIND("-",C189)-1))=4,
        DATE(VALUE(LEFT(C189,4)),VALUE(MID(C189,6,2)),VALUE(RIGHT(C189,2))),
        DATE(VALUE(RIGHT(C189,4)),VALUE(MID(C189,4,2)),VALUE(LEFT(C189,2)))
      ),
      IF(ISNUMBER(SEARCH("/",C189)*1),
        DATE(VALUE(RIGHT(C189,4)),VALUE(LEFT(C189,2)),VALUE(MID(C189,4,2))),
        DATEVALUE(C189)
      )
    )
  ),
"INVALID_DATE")</f>
        <v>45779</v>
      </c>
      <c r="AB189">
        <f t="shared" si="15"/>
        <v>1</v>
      </c>
      <c r="AC189" t="str">
        <f t="shared" si="16"/>
        <v>May</v>
      </c>
      <c r="AD189">
        <f t="shared" si="17"/>
        <v>2025</v>
      </c>
    </row>
    <row r="190" spans="1:30">
      <c r="A190" t="s">
        <v>1024</v>
      </c>
      <c r="B190" t="s">
        <v>1025</v>
      </c>
      <c r="C190" t="s">
        <v>1026</v>
      </c>
      <c r="D190" t="s">
        <v>1027</v>
      </c>
      <c r="E190" t="s">
        <v>149</v>
      </c>
      <c r="F190" t="s">
        <v>115</v>
      </c>
      <c r="G190" t="s">
        <v>49</v>
      </c>
      <c r="H190" t="s">
        <v>128</v>
      </c>
      <c r="I190" t="s">
        <v>129</v>
      </c>
      <c r="J190" t="s">
        <v>52</v>
      </c>
      <c r="K190" t="s">
        <v>211</v>
      </c>
      <c r="L190" t="s">
        <v>1028</v>
      </c>
      <c r="M190" t="s">
        <v>55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41</v>
      </c>
      <c r="U190" t="s">
        <v>42</v>
      </c>
      <c r="V190">
        <f t="shared" si="12"/>
        <v>6407.2260000000006</v>
      </c>
      <c r="W190">
        <f t="shared" si="13"/>
        <v>1630.8599999999997</v>
      </c>
      <c r="X190">
        <f t="shared" si="14"/>
        <v>0.22644969827356023</v>
      </c>
      <c r="Y190" t="str">
        <f>_xlfn.TEXTJOIN(", ",TRUE,IF(G190="Unknown","Missing Region",""),IF(M190="Unknown","Missing Ship Mode",""),IF(P190&lt;0,"Negative Discount",""),IF(P190&gt;0.7,"High Discount",""),IF(C190&lt;B190,"Ship Before Order",""))</f>
        <v/>
      </c>
      <c r="Z190" s="2">
        <f>IFERROR(
  IF(ISNUMBER(B190),B190,
    IF(ISNUMBER(SEARCH("-",B190)*1),
      IF(LEN(LEFT(B190,FIND("-",B190)-1))=4,
        DATE(VALUE(LEFT(B190,4)),VALUE(MID(B190,6,2)),VALUE(RIGHT(B190,2))),
        DATE(VALUE(RIGHT(B190,4)),VALUE(MID(B190,4,2)),VALUE(LEFT(B190,2)))
      ),
      IF(ISNUMBER(SEARCH("/",B190)*1),
        DATE(VALUE(RIGHT(B190,4)),VALUE(LEFT(B190,2)),VALUE(MID(B190,4,2))),
        DATEVALUE(B190)
      )
    )
  ),
"INVALID_DATE")</f>
        <v>45798</v>
      </c>
      <c r="AA190" s="2">
        <f>IFERROR(
  IF(ISNUMBER(C190),C190,
    IF(ISNUMBER(SEARCH("-",C190)*1),
      IF(LEN(LEFT(C190,FIND("-",C190)-1))=4,
        DATE(VALUE(LEFT(C190,4)),VALUE(MID(C190,6,2)),VALUE(RIGHT(C190,2))),
        DATE(VALUE(RIGHT(C190,4)),VALUE(MID(C190,4,2)),VALUE(LEFT(C190,2)))
      ),
      IF(ISNUMBER(SEARCH("/",C190)*1),
        DATE(VALUE(RIGHT(C190,4)),VALUE(LEFT(C190,2)),VALUE(MID(C190,4,2))),
        DATEVALUE(C190)
      )
    )
  ),
"INVALID_DATE")</f>
        <v>45805</v>
      </c>
      <c r="AB190">
        <f t="shared" si="15"/>
        <v>7</v>
      </c>
      <c r="AC190" t="str">
        <f t="shared" si="16"/>
        <v>May</v>
      </c>
      <c r="AD190">
        <f t="shared" si="17"/>
        <v>2025</v>
      </c>
    </row>
    <row r="191" spans="1:30">
      <c r="A191" t="s">
        <v>1029</v>
      </c>
      <c r="B191" t="s">
        <v>1030</v>
      </c>
      <c r="C191" t="s">
        <v>1031</v>
      </c>
      <c r="D191" t="s">
        <v>1032</v>
      </c>
      <c r="E191" t="s">
        <v>68</v>
      </c>
      <c r="F191" t="s">
        <v>33</v>
      </c>
      <c r="G191" t="s">
        <v>80</v>
      </c>
      <c r="H191" t="s">
        <v>35</v>
      </c>
      <c r="I191" t="s">
        <v>142</v>
      </c>
      <c r="J191" t="s">
        <v>52</v>
      </c>
      <c r="K191" t="s">
        <v>211</v>
      </c>
      <c r="L191" t="s">
        <v>1033</v>
      </c>
      <c r="M191" t="s">
        <v>63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41</v>
      </c>
      <c r="U191" t="s">
        <v>1034</v>
      </c>
      <c r="V191">
        <f t="shared" si="12"/>
        <v>29864.159999999996</v>
      </c>
      <c r="W191">
        <f t="shared" si="13"/>
        <v>8512.1500000000015</v>
      </c>
      <c r="X191">
        <f t="shared" si="14"/>
        <v>0.33532811703501419</v>
      </c>
      <c r="Y191" t="str">
        <f>_xlfn.TEXTJOIN(", ",TRUE,IF(G191="Unknown","Missing Region",""),IF(M191="Unknown","Missing Ship Mode",""),IF(P191&lt;0,"Negative Discount",""),IF(P191&gt;0.7,"High Discount",""),IF(C191&lt;B191,"Ship Before Order",""))</f>
        <v>Ship Before Order</v>
      </c>
      <c r="Z191" s="2">
        <f>IFERROR(
  IF(ISNUMBER(B191),B191,
    IF(ISNUMBER(SEARCH("-",B191)*1),
      IF(LEN(LEFT(B191,FIND("-",B191)-1))=4,
        DATE(VALUE(LEFT(B191,4)),VALUE(MID(B191,6,2)),VALUE(RIGHT(B191,2))),
        DATE(VALUE(RIGHT(B191,4)),VALUE(MID(B191,4,2)),VALUE(LEFT(B191,2)))
      ),
      IF(ISNUMBER(SEARCH("/",B191)*1),
        DATE(VALUE(RIGHT(B191,4)),VALUE(LEFT(B191,2)),VALUE(MID(B191,4,2))),
        DATEVALUE(B191)
      )
    )
  ),
"INVALID_DATE")</f>
        <v>45783</v>
      </c>
      <c r="AA191" s="2">
        <f>IFERROR(
  IF(ISNUMBER(C191),C191,
    IF(ISNUMBER(SEARCH("-",C191)*1),
      IF(LEN(LEFT(C191,FIND("-",C191)-1))=4,
        DATE(VALUE(LEFT(C191,4)),VALUE(MID(C191,6,2)),VALUE(RIGHT(C191,2))),
        DATE(VALUE(RIGHT(C191,4)),VALUE(MID(C191,4,2)),VALUE(LEFT(C191,2)))
      ),
      IF(ISNUMBER(SEARCH("/",C191)*1),
        DATE(VALUE(RIGHT(C191,4)),VALUE(LEFT(C191,2)),VALUE(MID(C191,4,2))),
        DATEVALUE(C191)
      )
    )
  ),
"INVALID_DATE")</f>
        <v>45784</v>
      </c>
      <c r="AB191">
        <f t="shared" si="15"/>
        <v>1</v>
      </c>
      <c r="AC191" t="str">
        <f t="shared" si="16"/>
        <v>May</v>
      </c>
      <c r="AD191">
        <f t="shared" si="17"/>
        <v>2025</v>
      </c>
    </row>
    <row r="192" spans="1:30">
      <c r="A192" t="s">
        <v>1035</v>
      </c>
      <c r="B192" t="s">
        <v>1036</v>
      </c>
      <c r="C192" t="s">
        <v>1037</v>
      </c>
      <c r="D192" t="s">
        <v>1038</v>
      </c>
      <c r="E192" t="s">
        <v>114</v>
      </c>
      <c r="F192" t="s">
        <v>33</v>
      </c>
      <c r="G192" t="s">
        <v>69</v>
      </c>
      <c r="H192" t="s">
        <v>347</v>
      </c>
      <c r="I192" t="s">
        <v>348</v>
      </c>
      <c r="J192" t="s">
        <v>37</v>
      </c>
      <c r="K192" t="s">
        <v>163</v>
      </c>
      <c r="L192" t="s">
        <v>1039</v>
      </c>
      <c r="M192" t="s">
        <v>63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41</v>
      </c>
      <c r="U192" t="s">
        <v>42</v>
      </c>
      <c r="V192">
        <f t="shared" si="12"/>
        <v>1458.2429999999999</v>
      </c>
      <c r="W192">
        <f t="shared" si="13"/>
        <v>514.91999999999996</v>
      </c>
      <c r="X192">
        <f t="shared" si="14"/>
        <v>0.35311059907834097</v>
      </c>
      <c r="Y192" t="str">
        <f>_xlfn.TEXTJOIN(", ",TRUE,IF(G192="Unknown","Missing Region",""),IF(M192="Unknown","Missing Ship Mode",""),IF(P192&lt;0,"Negative Discount",""),IF(P192&gt;0.7,"High Discount",""),IF(C192&lt;B192,"Ship Before Order",""))</f>
        <v>Ship Before Order</v>
      </c>
      <c r="Z192" s="2">
        <f>IFERROR(
  IF(ISNUMBER(B192),B192,
    IF(ISNUMBER(SEARCH("-",B192)*1),
      IF(LEN(LEFT(B192,FIND("-",B192)-1))=4,
        DATE(VALUE(LEFT(B192,4)),VALUE(MID(B192,6,2)),VALUE(RIGHT(B192,2))),
        DATE(VALUE(RIGHT(B192,4)),VALUE(MID(B192,4,2)),VALUE(LEFT(B192,2)))
      ),
      IF(ISNUMBER(SEARCH("/",B192)*1),
        DATE(VALUE(RIGHT(B192,4)),VALUE(LEFT(B192,2)),VALUE(MID(B192,4,2))),
        DATEVALUE(B192)
      )
    )
  ),
"INVALID_DATE")</f>
        <v>45767</v>
      </c>
      <c r="AA192" s="2">
        <f>IFERROR(
  IF(ISNUMBER(C192),C192,
    IF(ISNUMBER(SEARCH("-",C192)*1),
      IF(LEN(LEFT(C192,FIND("-",C192)-1))=4,
        DATE(VALUE(LEFT(C192,4)),VALUE(MID(C192,6,2)),VALUE(RIGHT(C192,2))),
        DATE(VALUE(RIGHT(C192,4)),VALUE(MID(C192,4,2)),VALUE(LEFT(C192,2)))
      ),
      IF(ISNUMBER(SEARCH("/",C192)*1),
        DATE(VALUE(RIGHT(C192,4)),VALUE(LEFT(C192,2)),VALUE(MID(C192,4,2))),
        DATEVALUE(C192)
      )
    )
  ),
"INVALID_DATE")</f>
        <v>45768</v>
      </c>
      <c r="AB192">
        <f t="shared" si="15"/>
        <v>1</v>
      </c>
      <c r="AC192" t="str">
        <f t="shared" si="16"/>
        <v>April</v>
      </c>
      <c r="AD192">
        <f t="shared" si="17"/>
        <v>2025</v>
      </c>
    </row>
    <row r="193" spans="1:30">
      <c r="A193" t="s">
        <v>1040</v>
      </c>
      <c r="B193" t="s">
        <v>1041</v>
      </c>
      <c r="C193" t="s">
        <v>653</v>
      </c>
      <c r="D193" t="s">
        <v>1042</v>
      </c>
      <c r="E193" t="s">
        <v>175</v>
      </c>
      <c r="F193" t="s">
        <v>48</v>
      </c>
      <c r="G193" t="s">
        <v>69</v>
      </c>
      <c r="H193" t="s">
        <v>347</v>
      </c>
      <c r="I193" t="s">
        <v>348</v>
      </c>
      <c r="J193" t="s">
        <v>52</v>
      </c>
      <c r="K193" t="s">
        <v>211</v>
      </c>
      <c r="L193" t="s">
        <v>1043</v>
      </c>
      <c r="M193" t="s">
        <v>40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41</v>
      </c>
      <c r="U193" t="s">
        <v>42</v>
      </c>
      <c r="V193">
        <f t="shared" si="12"/>
        <v>9047.64</v>
      </c>
      <c r="W193">
        <f t="shared" si="13"/>
        <v>6452.7200000000012</v>
      </c>
      <c r="X193">
        <f t="shared" si="14"/>
        <v>0.24961780088509269</v>
      </c>
      <c r="Y193" t="str">
        <f>_xlfn.TEXTJOIN(", ",TRUE,IF(G193="Unknown","Missing Region",""),IF(M193="Unknown","Missing Ship Mode",""),IF(P193&lt;0,"Negative Discount",""),IF(P193&gt;0.7,"High Discount",""),IF(C193&lt;B193,"Ship Before Order",""))</f>
        <v/>
      </c>
      <c r="Z193" s="2">
        <f>IFERROR(
  IF(ISNUMBER(B193),B193,
    IF(ISNUMBER(SEARCH("-",B193)*1),
      IF(LEN(LEFT(B193,FIND("-",B193)-1))=4,
        DATE(VALUE(LEFT(B193,4)),VALUE(MID(B193,6,2)),VALUE(RIGHT(B193,2))),
        DATE(VALUE(RIGHT(B193,4)),VALUE(MID(B193,4,2)),VALUE(LEFT(B193,2)))
      ),
      IF(ISNUMBER(SEARCH("/",B193)*1),
        DATE(VALUE(RIGHT(B193,4)),VALUE(LEFT(B193,2)),VALUE(MID(B193,4,2))),
        DATEVALUE(B193)
      )
    )
  ),
"INVALID_DATE")</f>
        <v>45584</v>
      </c>
      <c r="AA193" s="2">
        <f>IFERROR(
  IF(ISNUMBER(C193),C193,
    IF(ISNUMBER(SEARCH("-",C193)*1),
      IF(LEN(LEFT(C193,FIND("-",C193)-1))=4,
        DATE(VALUE(LEFT(C193,4)),VALUE(MID(C193,6,2)),VALUE(RIGHT(C193,2))),
        DATE(VALUE(RIGHT(C193,4)),VALUE(MID(C193,4,2)),VALUE(LEFT(C193,2)))
      ),
      IF(ISNUMBER(SEARCH("/",C193)*1),
        DATE(VALUE(RIGHT(C193,4)),VALUE(LEFT(C193,2)),VALUE(MID(C193,4,2))),
        DATEVALUE(C193)
      )
    )
  ),
"INVALID_DATE")</f>
        <v>45589</v>
      </c>
      <c r="AB193">
        <f t="shared" si="15"/>
        <v>5</v>
      </c>
      <c r="AC193" t="str">
        <f t="shared" si="16"/>
        <v>October</v>
      </c>
      <c r="AD193">
        <f t="shared" si="17"/>
        <v>2024</v>
      </c>
    </row>
    <row r="194" spans="1:30">
      <c r="A194" t="s">
        <v>1044</v>
      </c>
      <c r="B194" t="s">
        <v>1045</v>
      </c>
      <c r="C194" t="s">
        <v>1046</v>
      </c>
      <c r="D194" t="s">
        <v>1047</v>
      </c>
      <c r="E194" t="s">
        <v>60</v>
      </c>
      <c r="F194" t="s">
        <v>122</v>
      </c>
      <c r="G194" t="s">
        <v>80</v>
      </c>
      <c r="H194" t="s">
        <v>242</v>
      </c>
      <c r="I194" t="s">
        <v>243</v>
      </c>
      <c r="J194" t="s">
        <v>52</v>
      </c>
      <c r="K194" t="s">
        <v>83</v>
      </c>
      <c r="L194" t="s">
        <v>1048</v>
      </c>
      <c r="M194" t="s">
        <v>63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41</v>
      </c>
      <c r="U194" t="s">
        <v>42</v>
      </c>
      <c r="V194">
        <f t="shared" ref="V194:V257" si="18">O194*(1-P194)*N194</f>
        <v>8764.1200000000008</v>
      </c>
      <c r="W194">
        <f t="shared" ref="W194:W257" si="19">Q194-R194</f>
        <v>1544.0700000000006</v>
      </c>
      <c r="X194">
        <f t="shared" ref="X194:X257" si="20">IF(Q194=0,"",S194/Q194)</f>
        <v>0.17618083732308545</v>
      </c>
      <c r="Y194" t="str">
        <f>_xlfn.TEXTJOIN(", ",TRUE,IF(G194="Unknown","Missing Region",""),IF(M194="Unknown","Missing Ship Mode",""),IF(P194&lt;0,"Negative Discount",""),IF(P194&gt;0.7,"High Discount",""),IF(C194&lt;B194,"Ship Before Order",""))</f>
        <v>Ship Before Order</v>
      </c>
      <c r="Z194" s="2">
        <f>IFERROR(
  IF(ISNUMBER(B194),B194,
    IF(ISNUMBER(SEARCH("-",B194)*1),
      IF(LEN(LEFT(B194,FIND("-",B194)-1))=4,
        DATE(VALUE(LEFT(B194,4)),VALUE(MID(B194,6,2)),VALUE(RIGHT(B194,2))),
        DATE(VALUE(RIGHT(B194,4)),VALUE(MID(B194,4,2)),VALUE(LEFT(B194,2)))
      ),
      IF(ISNUMBER(SEARCH("/",B194)*1),
        DATE(VALUE(RIGHT(B194,4)),VALUE(LEFT(B194,2)),VALUE(MID(B194,4,2))),
        DATEVALUE(B194)
      )
    )
  ),
"INVALID_DATE")</f>
        <v>45635</v>
      </c>
      <c r="AA194" s="2">
        <f>IFERROR(
  IF(ISNUMBER(C194),C194,
    IF(ISNUMBER(SEARCH("-",C194)*1),
      IF(LEN(LEFT(C194,FIND("-",C194)-1))=4,
        DATE(VALUE(LEFT(C194,4)),VALUE(MID(C194,6,2)),VALUE(RIGHT(C194,2))),
        DATE(VALUE(RIGHT(C194,4)),VALUE(MID(C194,4,2)),VALUE(LEFT(C194,2)))
      ),
      IF(ISNUMBER(SEARCH("/",C194)*1),
        DATE(VALUE(RIGHT(C194,4)),VALUE(LEFT(C194,2)),VALUE(MID(C194,4,2))),
        DATEVALUE(C194)
      )
    )
  ),
"INVALID_DATE")</f>
        <v>45642</v>
      </c>
      <c r="AB194">
        <f t="shared" si="15"/>
        <v>7</v>
      </c>
      <c r="AC194" t="str">
        <f t="shared" si="16"/>
        <v>December</v>
      </c>
      <c r="AD194">
        <f t="shared" si="17"/>
        <v>2024</v>
      </c>
    </row>
    <row r="195" spans="1:30">
      <c r="A195" t="s">
        <v>1049</v>
      </c>
      <c r="B195" t="s">
        <v>1050</v>
      </c>
      <c r="C195" t="s">
        <v>1051</v>
      </c>
      <c r="D195" t="s">
        <v>1052</v>
      </c>
      <c r="E195" t="s">
        <v>149</v>
      </c>
      <c r="F195" t="s">
        <v>48</v>
      </c>
      <c r="G195" t="s">
        <v>34</v>
      </c>
      <c r="H195" t="s">
        <v>161</v>
      </c>
      <c r="I195" t="s">
        <v>162</v>
      </c>
      <c r="J195" t="s">
        <v>93</v>
      </c>
      <c r="K195" t="s">
        <v>101</v>
      </c>
      <c r="L195" t="s">
        <v>1053</v>
      </c>
      <c r="M195" t="s">
        <v>55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131</v>
      </c>
      <c r="U195" t="s">
        <v>132</v>
      </c>
      <c r="V195">
        <f t="shared" si="18"/>
        <v>9391.8240000000005</v>
      </c>
      <c r="W195">
        <f t="shared" si="19"/>
        <v>3378.5999999999995</v>
      </c>
      <c r="X195">
        <f t="shared" si="20"/>
        <v>0.3597385810205051</v>
      </c>
      <c r="Y195" t="str">
        <f>_xlfn.TEXTJOIN(", ",TRUE,IF(G195="Unknown","Missing Region",""),IF(M195="Unknown","Missing Ship Mode",""),IF(P195&lt;0,"Negative Discount",""),IF(P195&gt;0.7,"High Discount",""),IF(C195&lt;B195,"Ship Before Order",""))</f>
        <v/>
      </c>
      <c r="Z195" s="2">
        <f>IFERROR(
  IF(ISNUMBER(B195),B195,
    IF(ISNUMBER(SEARCH("-",B195)*1),
      IF(LEN(LEFT(B195,FIND("-",B195)-1))=4,
        DATE(VALUE(LEFT(B195,4)),VALUE(MID(B195,6,2)),VALUE(RIGHT(B195,2))),
        DATE(VALUE(RIGHT(B195,4)),VALUE(MID(B195,4,2)),VALUE(LEFT(B195,2)))
      ),
      IF(ISNUMBER(SEARCH("/",B195)*1),
        DATE(VALUE(RIGHT(B195,4)),VALUE(LEFT(B195,2)),VALUE(MID(B195,4,2))),
        DATEVALUE(B195)
      )
    )
  ),
"INVALID_DATE")</f>
        <v>45466</v>
      </c>
      <c r="AA195" s="2">
        <f>IFERROR(
  IF(ISNUMBER(C195),C195,
    IF(ISNUMBER(SEARCH("-",C195)*1),
      IF(LEN(LEFT(C195,FIND("-",C195)-1))=4,
        DATE(VALUE(LEFT(C195,4)),VALUE(MID(C195,6,2)),VALUE(RIGHT(C195,2))),
        DATE(VALUE(RIGHT(C195,4)),VALUE(MID(C195,4,2)),VALUE(LEFT(C195,2)))
      ),
      IF(ISNUMBER(SEARCH("/",C195)*1),
        DATE(VALUE(RIGHT(C195,4)),VALUE(LEFT(C195,2)),VALUE(MID(C195,4,2))),
        DATEVALUE(C195)
      )
    )
  ),
"INVALID_DATE")</f>
        <v>45471</v>
      </c>
      <c r="AB195">
        <f t="shared" ref="AB195:AB258" si="21">AA195-Z195</f>
        <v>5</v>
      </c>
      <c r="AC195" t="str">
        <f t="shared" ref="AC195:AC258" si="22">TEXT(Z195,"mmmm")</f>
        <v>June</v>
      </c>
      <c r="AD195">
        <f t="shared" ref="AD195:AD258" si="23">YEAR(Z195)</f>
        <v>2024</v>
      </c>
    </row>
    <row r="196" spans="1:30">
      <c r="A196" t="s">
        <v>1054</v>
      </c>
      <c r="B196" t="s">
        <v>1055</v>
      </c>
      <c r="C196" t="s">
        <v>1056</v>
      </c>
      <c r="D196" t="s">
        <v>1057</v>
      </c>
      <c r="E196" t="s">
        <v>149</v>
      </c>
      <c r="F196" t="s">
        <v>33</v>
      </c>
      <c r="G196" t="s">
        <v>1058</v>
      </c>
      <c r="H196" t="s">
        <v>81</v>
      </c>
      <c r="I196" t="s">
        <v>82</v>
      </c>
      <c r="J196" t="s">
        <v>52</v>
      </c>
      <c r="K196" t="s">
        <v>72</v>
      </c>
      <c r="L196" t="s">
        <v>1059</v>
      </c>
      <c r="M196" t="s">
        <v>63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144</v>
      </c>
      <c r="U196" t="s">
        <v>132</v>
      </c>
      <c r="V196">
        <f t="shared" si="18"/>
        <v>7339.2344999999987</v>
      </c>
      <c r="W196">
        <f t="shared" si="19"/>
        <v>1905.1099999999997</v>
      </c>
      <c r="X196">
        <f t="shared" si="20"/>
        <v>0.25957900215690199</v>
      </c>
      <c r="Y196" t="str">
        <f>_xlfn.TEXTJOIN(", ",TRUE,IF(G196="Unknown","Missing Region",""),IF(M196="Unknown","Missing Ship Mode",""),IF(P196&lt;0,"Negative Discount",""),IF(P196&gt;0.7,"High Discount",""),IF(C196&lt;B196,"Ship Before Order",""))</f>
        <v>Ship Before Order</v>
      </c>
      <c r="Z196" s="2">
        <f>IFERROR(
  IF(ISNUMBER(B196),B196,
    IF(ISNUMBER(SEARCH("-",B196)*1),
      IF(LEN(LEFT(B196,FIND("-",B196)-1))=4,
        DATE(VALUE(LEFT(B196,4)),VALUE(MID(B196,6,2)),VALUE(RIGHT(B196,2))),
        DATE(VALUE(RIGHT(B196,4)),VALUE(MID(B196,4,2)),VALUE(LEFT(B196,2)))
      ),
      IF(ISNUMBER(SEARCH("/",B196)*1),
        DATE(VALUE(RIGHT(B196,4)),VALUE(LEFT(B196,2)),VALUE(MID(B196,4,2))),
        DATEVALUE(B196)
      )
    )
  ),
"INVALID_DATE")</f>
        <v>45685</v>
      </c>
      <c r="AA196" s="2">
        <f>IFERROR(
  IF(ISNUMBER(C196),C196,
    IF(ISNUMBER(SEARCH("-",C196)*1),
      IF(LEN(LEFT(C196,FIND("-",C196)-1))=4,
        DATE(VALUE(LEFT(C196,4)),VALUE(MID(C196,6,2)),VALUE(RIGHT(C196,2))),
        DATE(VALUE(RIGHT(C196,4)),VALUE(MID(C196,4,2)),VALUE(LEFT(C196,2)))
      ),
      IF(ISNUMBER(SEARCH("/",C196)*1),
        DATE(VALUE(RIGHT(C196,4)),VALUE(LEFT(C196,2)),VALUE(MID(C196,4,2))),
        DATEVALUE(C196)
      )
    )
  ),
"INVALID_DATE")</f>
        <v>45688</v>
      </c>
      <c r="AB196">
        <f t="shared" si="21"/>
        <v>3</v>
      </c>
      <c r="AC196" t="str">
        <f t="shared" si="22"/>
        <v>January</v>
      </c>
      <c r="AD196">
        <f t="shared" si="23"/>
        <v>2025</v>
      </c>
    </row>
    <row r="197" spans="1:30">
      <c r="A197" t="s">
        <v>1060</v>
      </c>
      <c r="B197" t="s">
        <v>1061</v>
      </c>
      <c r="C197" t="s">
        <v>1062</v>
      </c>
      <c r="D197" t="s">
        <v>1063</v>
      </c>
      <c r="E197" t="s">
        <v>100</v>
      </c>
      <c r="F197" t="s">
        <v>122</v>
      </c>
      <c r="G197" t="s">
        <v>69</v>
      </c>
      <c r="H197" t="s">
        <v>107</v>
      </c>
      <c r="I197" t="s">
        <v>108</v>
      </c>
      <c r="J197" t="s">
        <v>52</v>
      </c>
      <c r="K197" t="s">
        <v>72</v>
      </c>
      <c r="L197" t="s">
        <v>1064</v>
      </c>
      <c r="M197" t="s">
        <v>55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41</v>
      </c>
      <c r="U197" t="s">
        <v>42</v>
      </c>
      <c r="V197">
        <f t="shared" si="18"/>
        <v>9614.15</v>
      </c>
      <c r="W197">
        <f t="shared" si="19"/>
        <v>2037.3099999999995</v>
      </c>
      <c r="X197">
        <f t="shared" si="20"/>
        <v>0.21190744891644087</v>
      </c>
      <c r="Y197" t="str">
        <f>_xlfn.TEXTJOIN(", ",TRUE,IF(G197="Unknown","Missing Region",""),IF(M197="Unknown","Missing Ship Mode",""),IF(P197&lt;0,"Negative Discount",""),IF(P197&gt;0.7,"High Discount",""),IF(C197&lt;B197,"Ship Before Order",""))</f>
        <v>Ship Before Order</v>
      </c>
      <c r="Z197" s="2">
        <f>IFERROR(
  IF(ISNUMBER(B197),B197,
    IF(ISNUMBER(SEARCH("-",B197)*1),
      IF(LEN(LEFT(B197,FIND("-",B197)-1))=4,
        DATE(VALUE(LEFT(B197,4)),VALUE(MID(B197,6,2)),VALUE(RIGHT(B197,2))),
        DATE(VALUE(RIGHT(B197,4)),VALUE(MID(B197,4,2)),VALUE(LEFT(B197,2)))
      ),
      IF(ISNUMBER(SEARCH("/",B197)*1),
        DATE(VALUE(RIGHT(B197,4)),VALUE(LEFT(B197,2)),VALUE(MID(B197,4,2))),
        DATEVALUE(B197)
      )
    )
  ),
"INVALID_DATE")</f>
        <v>45860</v>
      </c>
      <c r="AA197" s="2">
        <f>IFERROR(
  IF(ISNUMBER(C197),C197,
    IF(ISNUMBER(SEARCH("-",C197)*1),
      IF(LEN(LEFT(C197,FIND("-",C197)-1))=4,
        DATE(VALUE(LEFT(C197,4)),VALUE(MID(C197,6,2)),VALUE(RIGHT(C197,2))),
        DATE(VALUE(RIGHT(C197,4)),VALUE(MID(C197,4,2)),VALUE(LEFT(C197,2)))
      ),
      IF(ISNUMBER(SEARCH("/",C197)*1),
        DATE(VALUE(RIGHT(C197,4)),VALUE(LEFT(C197,2)),VALUE(MID(C197,4,2))),
        DATEVALUE(C197)
      )
    )
  ),
"INVALID_DATE")</f>
        <v>45862</v>
      </c>
      <c r="AB197">
        <f t="shared" si="21"/>
        <v>2</v>
      </c>
      <c r="AC197" t="str">
        <f t="shared" si="22"/>
        <v>July</v>
      </c>
      <c r="AD197">
        <f t="shared" si="23"/>
        <v>2025</v>
      </c>
    </row>
    <row r="198" spans="1:30">
      <c r="A198" t="s">
        <v>1065</v>
      </c>
      <c r="B198" t="s">
        <v>1066</v>
      </c>
      <c r="C198" t="s">
        <v>1067</v>
      </c>
      <c r="D198" t="s">
        <v>1068</v>
      </c>
      <c r="E198" t="s">
        <v>374</v>
      </c>
      <c r="F198" t="s">
        <v>122</v>
      </c>
      <c r="G198" t="s">
        <v>34</v>
      </c>
      <c r="H198" t="s">
        <v>181</v>
      </c>
      <c r="I198" t="s">
        <v>182</v>
      </c>
      <c r="J198" t="s">
        <v>37</v>
      </c>
      <c r="K198" t="s">
        <v>163</v>
      </c>
      <c r="L198" t="s">
        <v>1069</v>
      </c>
      <c r="M198" t="s">
        <v>63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41</v>
      </c>
      <c r="U198" t="s">
        <v>42</v>
      </c>
      <c r="V198">
        <f t="shared" si="18"/>
        <v>3272.4809999999998</v>
      </c>
      <c r="W198">
        <f t="shared" si="19"/>
        <v>755.04</v>
      </c>
      <c r="X198">
        <f t="shared" si="20"/>
        <v>0.23072409915415831</v>
      </c>
      <c r="Y198" t="str">
        <f>_xlfn.TEXTJOIN(", ",TRUE,IF(G198="Unknown","Missing Region",""),IF(M198="Unknown","Missing Ship Mode",""),IF(P198&lt;0,"Negative Discount",""),IF(P198&gt;0.7,"High Discount",""),IF(C198&lt;B198,"Ship Before Order",""))</f>
        <v/>
      </c>
      <c r="Z198" s="2">
        <f>IFERROR(
  IF(ISNUMBER(B198),B198,
    IF(ISNUMBER(SEARCH("-",B198)*1),
      IF(LEN(LEFT(B198,FIND("-",B198)-1))=4,
        DATE(VALUE(LEFT(B198,4)),VALUE(MID(B198,6,2)),VALUE(RIGHT(B198,2))),
        DATE(VALUE(RIGHT(B198,4)),VALUE(MID(B198,4,2)),VALUE(LEFT(B198,2)))
      ),
      IF(ISNUMBER(SEARCH("/",B198)*1),
        DATE(VALUE(RIGHT(B198,4)),VALUE(LEFT(B198,2)),VALUE(MID(B198,4,2))),
        DATEVALUE(B198)
      )
    )
  ),
"INVALID_DATE")</f>
        <v>45313</v>
      </c>
      <c r="AA198" s="2">
        <f>IFERROR(
  IF(ISNUMBER(C198),C198,
    IF(ISNUMBER(SEARCH("-",C198)*1),
      IF(LEN(LEFT(C198,FIND("-",C198)-1))=4,
        DATE(VALUE(LEFT(C198,4)),VALUE(MID(C198,6,2)),VALUE(RIGHT(C198,2))),
        DATE(VALUE(RIGHT(C198,4)),VALUE(MID(C198,4,2)),VALUE(LEFT(C198,2)))
      ),
      IF(ISNUMBER(SEARCH("/",C198)*1),
        DATE(VALUE(RIGHT(C198,4)),VALUE(LEFT(C198,2)),VALUE(MID(C198,4,2))),
        DATEVALUE(C198)
      )
    )
  ),
"INVALID_DATE")</f>
        <v>45316</v>
      </c>
      <c r="AB198">
        <f t="shared" si="21"/>
        <v>3</v>
      </c>
      <c r="AC198" t="str">
        <f t="shared" si="22"/>
        <v>January</v>
      </c>
      <c r="AD198">
        <f t="shared" si="23"/>
        <v>2024</v>
      </c>
    </row>
    <row r="199" spans="1:30">
      <c r="A199" t="s">
        <v>1070</v>
      </c>
      <c r="B199" t="s">
        <v>377</v>
      </c>
      <c r="C199" t="s">
        <v>1071</v>
      </c>
      <c r="D199" t="s">
        <v>572</v>
      </c>
      <c r="E199" t="s">
        <v>155</v>
      </c>
      <c r="F199" t="s">
        <v>709</v>
      </c>
      <c r="G199" t="s">
        <v>49</v>
      </c>
      <c r="H199" t="s">
        <v>193</v>
      </c>
      <c r="I199" t="s">
        <v>194</v>
      </c>
      <c r="J199" t="s">
        <v>37</v>
      </c>
      <c r="K199" t="s">
        <v>163</v>
      </c>
      <c r="L199" t="s">
        <v>1072</v>
      </c>
      <c r="M199" t="s">
        <v>40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41</v>
      </c>
      <c r="U199" t="s">
        <v>42</v>
      </c>
      <c r="V199">
        <f t="shared" si="18"/>
        <v>17409.87</v>
      </c>
      <c r="W199">
        <f t="shared" si="19"/>
        <v>3333.619999999999</v>
      </c>
      <c r="X199">
        <f t="shared" si="20"/>
        <v>0.19147874165631334</v>
      </c>
      <c r="Y199" t="str">
        <f>_xlfn.TEXTJOIN(", ",TRUE,IF(G199="Unknown","Missing Region",""),IF(M199="Unknown","Missing Ship Mode",""),IF(P199&lt;0,"Negative Discount",""),IF(P199&gt;0.7,"High Discount",""),IF(C199&lt;B199,"Ship Before Order",""))</f>
        <v>Ship Before Order</v>
      </c>
      <c r="Z199" s="2">
        <f>IFERROR(
  IF(ISNUMBER(B199),B199,
    IF(ISNUMBER(SEARCH("-",B199)*1),
      IF(LEN(LEFT(B199,FIND("-",B199)-1))=4,
        DATE(VALUE(LEFT(B199,4)),VALUE(MID(B199,6,2)),VALUE(RIGHT(B199,2))),
        DATE(VALUE(RIGHT(B199,4)),VALUE(MID(B199,4,2)),VALUE(LEFT(B199,2)))
      ),
      IF(ISNUMBER(SEARCH("/",B199)*1),
        DATE(VALUE(RIGHT(B199,4)),VALUE(LEFT(B199,2)),VALUE(MID(B199,4,2))),
        DATEVALUE(B199)
      )
    )
  ),
"INVALID_DATE")</f>
        <v>45747</v>
      </c>
      <c r="AA199" s="2">
        <f>IFERROR(
  IF(ISNUMBER(C199),C199,
    IF(ISNUMBER(SEARCH("-",C199)*1),
      IF(LEN(LEFT(C199,FIND("-",C199)-1))=4,
        DATE(VALUE(LEFT(C199,4)),VALUE(MID(C199,6,2)),VALUE(RIGHT(C199,2))),
        DATE(VALUE(RIGHT(C199,4)),VALUE(MID(C199,4,2)),VALUE(LEFT(C199,2)))
      ),
      IF(ISNUMBER(SEARCH("/",C199)*1),
        DATE(VALUE(RIGHT(C199,4)),VALUE(LEFT(C199,2)),VALUE(MID(C199,4,2))),
        DATEVALUE(C199)
      )
    )
  ),
"INVALID_DATE")</f>
        <v>45754</v>
      </c>
      <c r="AB199">
        <f t="shared" si="21"/>
        <v>7</v>
      </c>
      <c r="AC199" t="str">
        <f t="shared" si="22"/>
        <v>March</v>
      </c>
      <c r="AD199">
        <f t="shared" si="23"/>
        <v>2025</v>
      </c>
    </row>
    <row r="200" spans="1:30">
      <c r="A200" t="s">
        <v>1073</v>
      </c>
      <c r="B200" t="s">
        <v>1074</v>
      </c>
      <c r="C200" t="s">
        <v>1075</v>
      </c>
      <c r="D200" t="s">
        <v>1076</v>
      </c>
      <c r="E200" t="s">
        <v>175</v>
      </c>
      <c r="F200" t="s">
        <v>33</v>
      </c>
      <c r="G200" t="s">
        <v>80</v>
      </c>
      <c r="H200" t="s">
        <v>242</v>
      </c>
      <c r="I200" t="s">
        <v>243</v>
      </c>
      <c r="J200" t="s">
        <v>37</v>
      </c>
      <c r="K200" t="s">
        <v>61</v>
      </c>
      <c r="L200" t="s">
        <v>1077</v>
      </c>
      <c r="M200" t="s">
        <v>40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207</v>
      </c>
      <c r="U200" t="s">
        <v>85</v>
      </c>
      <c r="V200">
        <f t="shared" si="18"/>
        <v>1125.3509999999999</v>
      </c>
      <c r="W200">
        <f t="shared" si="19"/>
        <v>448.37999999999988</v>
      </c>
      <c r="X200">
        <f t="shared" si="20"/>
        <v>0.39843604212022932</v>
      </c>
      <c r="Y200" t="str">
        <f>_xlfn.TEXTJOIN(", ",TRUE,IF(G200="Unknown","Missing Region",""),IF(M200="Unknown","Missing Ship Mode",""),IF(P200&lt;0,"Negative Discount",""),IF(P200&gt;0.7,"High Discount",""),IF(C200&lt;B200,"Ship Before Order",""))</f>
        <v/>
      </c>
      <c r="Z200" s="2">
        <f>IFERROR(
  IF(ISNUMBER(B200),B200,
    IF(ISNUMBER(SEARCH("-",B200)*1),
      IF(LEN(LEFT(B200,FIND("-",B200)-1))=4,
        DATE(VALUE(LEFT(B200,4)),VALUE(MID(B200,6,2)),VALUE(RIGHT(B200,2))),
        DATE(VALUE(RIGHT(B200,4)),VALUE(MID(B200,4,2)),VALUE(LEFT(B200,2)))
      ),
      IF(ISNUMBER(SEARCH("/",B200)*1),
        DATE(VALUE(RIGHT(B200,4)),VALUE(LEFT(B200,2)),VALUE(MID(B200,4,2))),
        DATEVALUE(B200)
      )
    )
  ),
"INVALID_DATE")</f>
        <v>45448</v>
      </c>
      <c r="AA200" s="2">
        <f>IFERROR(
  IF(ISNUMBER(C200),C200,
    IF(ISNUMBER(SEARCH("-",C200)*1),
      IF(LEN(LEFT(C200,FIND("-",C200)-1))=4,
        DATE(VALUE(LEFT(C200,4)),VALUE(MID(C200,6,2)),VALUE(RIGHT(C200,2))),
        DATE(VALUE(RIGHT(C200,4)),VALUE(MID(C200,4,2)),VALUE(LEFT(C200,2)))
      ),
      IF(ISNUMBER(SEARCH("/",C200)*1),
        DATE(VALUE(RIGHT(C200,4)),VALUE(LEFT(C200,2)),VALUE(MID(C200,4,2))),
        DATEVALUE(C200)
      )
    )
  ),
"INVALID_DATE")</f>
        <v>45449</v>
      </c>
      <c r="AB200">
        <f t="shared" si="21"/>
        <v>1</v>
      </c>
      <c r="AC200" t="str">
        <f t="shared" si="22"/>
        <v>June</v>
      </c>
      <c r="AD200">
        <f t="shared" si="23"/>
        <v>2024</v>
      </c>
    </row>
    <row r="201" spans="1:30">
      <c r="A201" t="s">
        <v>1078</v>
      </c>
      <c r="B201" t="s">
        <v>311</v>
      </c>
      <c r="C201" t="s">
        <v>1079</v>
      </c>
      <c r="D201" t="s">
        <v>1080</v>
      </c>
      <c r="E201" t="s">
        <v>155</v>
      </c>
      <c r="F201" t="s">
        <v>122</v>
      </c>
      <c r="G201" t="s">
        <v>49</v>
      </c>
      <c r="H201" t="s">
        <v>193</v>
      </c>
      <c r="I201" t="s">
        <v>194</v>
      </c>
      <c r="J201" t="s">
        <v>93</v>
      </c>
      <c r="K201" t="s">
        <v>390</v>
      </c>
      <c r="L201" t="s">
        <v>1081</v>
      </c>
      <c r="M201" t="s">
        <v>279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41</v>
      </c>
      <c r="U201" t="s">
        <v>42</v>
      </c>
      <c r="V201">
        <f t="shared" si="18"/>
        <v>9835.11</v>
      </c>
      <c r="W201">
        <f t="shared" si="19"/>
        <v>4397.47</v>
      </c>
      <c r="X201">
        <f t="shared" si="20"/>
        <v>0.44711955433136996</v>
      </c>
      <c r="Y201" t="str">
        <f>_xlfn.TEXTJOIN(", ",TRUE,IF(G201="Unknown","Missing Region",""),IF(M201="Unknown","Missing Ship Mode",""),IF(P201&lt;0,"Negative Discount",""),IF(P201&gt;0.7,"High Discount",""),IF(C201&lt;B201,"Ship Before Order",""))</f>
        <v>Missing Ship Mode</v>
      </c>
      <c r="Z201" s="2">
        <f>IFERROR(
  IF(ISNUMBER(B201),B201,
    IF(ISNUMBER(SEARCH("-",B201)*1),
      IF(LEN(LEFT(B201,FIND("-",B201)-1))=4,
        DATE(VALUE(LEFT(B201,4)),VALUE(MID(B201,6,2)),VALUE(RIGHT(B201,2))),
        DATE(VALUE(RIGHT(B201,4)),VALUE(MID(B201,4,2)),VALUE(LEFT(B201,2)))
      ),
      IF(ISNUMBER(SEARCH("/",B201)*1),
        DATE(VALUE(RIGHT(B201,4)),VALUE(LEFT(B201,2)),VALUE(MID(B201,4,2))),
        DATEVALUE(B201)
      )
    )
  ),
"INVALID_DATE")</f>
        <v>45363</v>
      </c>
      <c r="AA201" s="2">
        <f>IFERROR(
  IF(ISNUMBER(C201),C201,
    IF(ISNUMBER(SEARCH("-",C201)*1),
      IF(LEN(LEFT(C201,FIND("-",C201)-1))=4,
        DATE(VALUE(LEFT(C201,4)),VALUE(MID(C201,6,2)),VALUE(RIGHT(C201,2))),
        DATE(VALUE(RIGHT(C201,4)),VALUE(MID(C201,4,2)),VALUE(LEFT(C201,2)))
      ),
      IF(ISNUMBER(SEARCH("/",C201)*1),
        DATE(VALUE(RIGHT(C201,4)),VALUE(LEFT(C201,2)),VALUE(MID(C201,4,2))),
        DATEVALUE(C201)
      )
    )
  ),
"INVALID_DATE")</f>
        <v>45363</v>
      </c>
      <c r="AB201">
        <f t="shared" si="21"/>
        <v>0</v>
      </c>
      <c r="AC201" t="str">
        <f t="shared" si="22"/>
        <v>March</v>
      </c>
      <c r="AD201">
        <f t="shared" si="23"/>
        <v>2024</v>
      </c>
    </row>
    <row r="202" spans="1:30">
      <c r="A202" t="s">
        <v>1082</v>
      </c>
      <c r="B202" t="s">
        <v>1005</v>
      </c>
      <c r="C202" t="s">
        <v>1083</v>
      </c>
      <c r="D202" t="s">
        <v>1084</v>
      </c>
      <c r="E202" t="s">
        <v>149</v>
      </c>
      <c r="F202" t="s">
        <v>48</v>
      </c>
      <c r="G202" t="s">
        <v>34</v>
      </c>
      <c r="H202" t="s">
        <v>35</v>
      </c>
      <c r="I202" t="s">
        <v>36</v>
      </c>
      <c r="J202" t="s">
        <v>93</v>
      </c>
      <c r="K202" t="s">
        <v>101</v>
      </c>
      <c r="L202" t="s">
        <v>1085</v>
      </c>
      <c r="M202" t="s">
        <v>63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144</v>
      </c>
      <c r="U202" t="s">
        <v>85</v>
      </c>
      <c r="V202">
        <f t="shared" si="18"/>
        <v>12907.98</v>
      </c>
      <c r="W202">
        <f t="shared" si="19"/>
        <v>3710.8999999999996</v>
      </c>
      <c r="X202">
        <f t="shared" si="20"/>
        <v>0.28748882474252363</v>
      </c>
      <c r="Y202" t="str">
        <f>_xlfn.TEXTJOIN(", ",TRUE,IF(G202="Unknown","Missing Region",""),IF(M202="Unknown","Missing Ship Mode",""),IF(P202&lt;0,"Negative Discount",""),IF(P202&gt;0.7,"High Discount",""),IF(C202&lt;B202,"Ship Before Order",""))</f>
        <v>Ship Before Order</v>
      </c>
      <c r="Z202" s="2">
        <f>IFERROR(
  IF(ISNUMBER(B202),B202,
    IF(ISNUMBER(SEARCH("-",B202)*1),
      IF(LEN(LEFT(B202,FIND("-",B202)-1))=4,
        DATE(VALUE(LEFT(B202,4)),VALUE(MID(B202,6,2)),VALUE(RIGHT(B202,2))),
        DATE(VALUE(RIGHT(B202,4)),VALUE(MID(B202,4,2)),VALUE(LEFT(B202,2)))
      ),
      IF(ISNUMBER(SEARCH("/",B202)*1),
        DATE(VALUE(RIGHT(B202,4)),VALUE(LEFT(B202,2)),VALUE(MID(B202,4,2))),
        DATEVALUE(B202)
      )
    )
  ),
"INVALID_DATE")</f>
        <v>45835</v>
      </c>
      <c r="AA202" s="2">
        <f>IFERROR(
  IF(ISNUMBER(C202),C202,
    IF(ISNUMBER(SEARCH("-",C202)*1),
      IF(LEN(LEFT(C202,FIND("-",C202)-1))=4,
        DATE(VALUE(LEFT(C202,4)),VALUE(MID(C202,6,2)),VALUE(RIGHT(C202,2))),
        DATE(VALUE(RIGHT(C202,4)),VALUE(MID(C202,4,2)),VALUE(LEFT(C202,2)))
      ),
      IF(ISNUMBER(SEARCH("/",C202)*1),
        DATE(VALUE(RIGHT(C202,4)),VALUE(LEFT(C202,2)),VALUE(MID(C202,4,2))),
        DATEVALUE(C202)
      )
    )
  ),
"INVALID_DATE")</f>
        <v>45843</v>
      </c>
      <c r="AB202">
        <f t="shared" si="21"/>
        <v>8</v>
      </c>
      <c r="AC202" t="str">
        <f t="shared" si="22"/>
        <v>June</v>
      </c>
      <c r="AD202">
        <f t="shared" si="23"/>
        <v>2025</v>
      </c>
    </row>
    <row r="203" spans="1:30">
      <c r="A203" t="s">
        <v>1086</v>
      </c>
      <c r="B203" t="s">
        <v>1087</v>
      </c>
      <c r="C203" t="s">
        <v>1088</v>
      </c>
      <c r="D203" t="s">
        <v>1089</v>
      </c>
      <c r="E203" t="s">
        <v>90</v>
      </c>
      <c r="F203" t="s">
        <v>33</v>
      </c>
      <c r="G203" t="s">
        <v>80</v>
      </c>
      <c r="H203" t="s">
        <v>91</v>
      </c>
      <c r="I203" t="s">
        <v>92</v>
      </c>
      <c r="J203" t="s">
        <v>37</v>
      </c>
      <c r="K203" t="s">
        <v>116</v>
      </c>
      <c r="L203" t="s">
        <v>1090</v>
      </c>
      <c r="M203" t="s">
        <v>40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131</v>
      </c>
      <c r="U203" t="s">
        <v>85</v>
      </c>
      <c r="V203">
        <f t="shared" si="18"/>
        <v>5808.1895999999997</v>
      </c>
      <c r="W203">
        <f t="shared" si="19"/>
        <v>1801.85</v>
      </c>
      <c r="X203">
        <f t="shared" si="20"/>
        <v>0.37880173481250695</v>
      </c>
      <c r="Y203" t="str">
        <f>_xlfn.TEXTJOIN(", ",TRUE,IF(G203="Unknown","Missing Region",""),IF(M203="Unknown","Missing Ship Mode",""),IF(P203&lt;0,"Negative Discount",""),IF(P203&gt;0.7,"High Discount",""),IF(C203&lt;B203,"Ship Before Order",""))</f>
        <v>Negative Discount, Ship Before Order</v>
      </c>
      <c r="Z203" s="2">
        <f>IFERROR(
  IF(ISNUMBER(B203),B203,
    IF(ISNUMBER(SEARCH("-",B203)*1),
      IF(LEN(LEFT(B203,FIND("-",B203)-1))=4,
        DATE(VALUE(LEFT(B203,4)),VALUE(MID(B203,6,2)),VALUE(RIGHT(B203,2))),
        DATE(VALUE(RIGHT(B203,4)),VALUE(MID(B203,4,2)),VALUE(LEFT(B203,2)))
      ),
      IF(ISNUMBER(SEARCH("/",B203)*1),
        DATE(VALUE(RIGHT(B203,4)),VALUE(LEFT(B203,2)),VALUE(MID(B203,4,2))),
        DATEVALUE(B203)
      )
    )
  ),
"INVALID_DATE")</f>
        <v>45864</v>
      </c>
      <c r="AA203" s="2">
        <f>IFERROR(
  IF(ISNUMBER(C203),C203,
    IF(ISNUMBER(SEARCH("-",C203)*1),
      IF(LEN(LEFT(C203,FIND("-",C203)-1))=4,
        DATE(VALUE(LEFT(C203,4)),VALUE(MID(C203,6,2)),VALUE(RIGHT(C203,2))),
        DATE(VALUE(RIGHT(C203,4)),VALUE(MID(C203,4,2)),VALUE(LEFT(C203,2)))
      ),
      IF(ISNUMBER(SEARCH("/",C203)*1),
        DATE(VALUE(RIGHT(C203,4)),VALUE(LEFT(C203,2)),VALUE(MID(C203,4,2))),
        DATEVALUE(C203)
      )
    )
  ),
"INVALID_DATE")</f>
        <v>45872</v>
      </c>
      <c r="AB203">
        <f t="shared" si="21"/>
        <v>8</v>
      </c>
      <c r="AC203" t="str">
        <f t="shared" si="22"/>
        <v>July</v>
      </c>
      <c r="AD203">
        <f t="shared" si="23"/>
        <v>2025</v>
      </c>
    </row>
    <row r="204" spans="1:30">
      <c r="A204" t="s">
        <v>1091</v>
      </c>
      <c r="B204" t="s">
        <v>1092</v>
      </c>
      <c r="C204" t="s">
        <v>1093</v>
      </c>
      <c r="D204" t="s">
        <v>1094</v>
      </c>
      <c r="E204" t="s">
        <v>175</v>
      </c>
      <c r="F204" t="s">
        <v>115</v>
      </c>
      <c r="G204" t="s">
        <v>80</v>
      </c>
      <c r="H204" t="s">
        <v>256</v>
      </c>
      <c r="I204" t="s">
        <v>257</v>
      </c>
      <c r="J204" t="s">
        <v>93</v>
      </c>
      <c r="K204" t="s">
        <v>94</v>
      </c>
      <c r="L204" t="s">
        <v>1095</v>
      </c>
      <c r="M204" t="s">
        <v>74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41</v>
      </c>
      <c r="U204" t="s">
        <v>42</v>
      </c>
      <c r="V204">
        <f t="shared" si="18"/>
        <v>13231.144</v>
      </c>
      <c r="W204">
        <f t="shared" si="19"/>
        <v>1941.08</v>
      </c>
      <c r="X204">
        <f t="shared" si="20"/>
        <v>0.14670542372010273</v>
      </c>
      <c r="Y204" t="str">
        <f>_xlfn.TEXTJOIN(", ",TRUE,IF(G204="Unknown","Missing Region",""),IF(M204="Unknown","Missing Ship Mode",""),IF(P204&lt;0,"Negative Discount",""),IF(P204&gt;0.7,"High Discount",""),IF(C204&lt;B204,"Ship Before Order",""))</f>
        <v/>
      </c>
      <c r="Z204" s="2">
        <f>IFERROR(
  IF(ISNUMBER(B204),B204,
    IF(ISNUMBER(SEARCH("-",B204)*1),
      IF(LEN(LEFT(B204,FIND("-",B204)-1))=4,
        DATE(VALUE(LEFT(B204,4)),VALUE(MID(B204,6,2)),VALUE(RIGHT(B204,2))),
        DATE(VALUE(RIGHT(B204,4)),VALUE(MID(B204,4,2)),VALUE(LEFT(B204,2)))
      ),
      IF(ISNUMBER(SEARCH("/",B204)*1),
        DATE(VALUE(RIGHT(B204,4)),VALUE(LEFT(B204,2)),VALUE(MID(B204,4,2))),
        DATEVALUE(B204)
      )
    )
  ),
"INVALID_DATE")</f>
        <v>45744</v>
      </c>
      <c r="AA204" s="2">
        <f>IFERROR(
  IF(ISNUMBER(C204),C204,
    IF(ISNUMBER(SEARCH("-",C204)*1),
      IF(LEN(LEFT(C204,FIND("-",C204)-1))=4,
        DATE(VALUE(LEFT(C204,4)),VALUE(MID(C204,6,2)),VALUE(RIGHT(C204,2))),
        DATE(VALUE(RIGHT(C204,4)),VALUE(MID(C204,4,2)),VALUE(LEFT(C204,2)))
      ),
      IF(ISNUMBER(SEARCH("/",C204)*1),
        DATE(VALUE(RIGHT(C204,4)),VALUE(LEFT(C204,2)),VALUE(MID(C204,4,2))),
        DATEVALUE(C204)
      )
    )
  ),
"INVALID_DATE")</f>
        <v>45744</v>
      </c>
      <c r="AB204">
        <f t="shared" si="21"/>
        <v>0</v>
      </c>
      <c r="AC204" t="str">
        <f t="shared" si="22"/>
        <v>March</v>
      </c>
      <c r="AD204">
        <f t="shared" si="23"/>
        <v>2025</v>
      </c>
    </row>
    <row r="205" spans="1:30">
      <c r="A205" t="s">
        <v>1096</v>
      </c>
      <c r="B205" t="s">
        <v>1097</v>
      </c>
      <c r="C205" t="s">
        <v>1098</v>
      </c>
      <c r="D205" t="s">
        <v>1099</v>
      </c>
      <c r="E205" t="s">
        <v>175</v>
      </c>
      <c r="F205" t="s">
        <v>115</v>
      </c>
      <c r="G205" t="s">
        <v>80</v>
      </c>
      <c r="H205" t="s">
        <v>35</v>
      </c>
      <c r="I205" t="s">
        <v>142</v>
      </c>
      <c r="J205" t="s">
        <v>93</v>
      </c>
      <c r="K205" t="s">
        <v>94</v>
      </c>
      <c r="L205" t="s">
        <v>1100</v>
      </c>
      <c r="M205" t="s">
        <v>40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41</v>
      </c>
      <c r="U205" t="s">
        <v>42</v>
      </c>
      <c r="V205">
        <f t="shared" si="18"/>
        <v>484.78899999999999</v>
      </c>
      <c r="W205">
        <f t="shared" si="19"/>
        <v>151.25</v>
      </c>
      <c r="X205">
        <f t="shared" si="20"/>
        <v>0.31199075888529054</v>
      </c>
      <c r="Y205" t="str">
        <f>_xlfn.TEXTJOIN(", ",TRUE,IF(G205="Unknown","Missing Region",""),IF(M205="Unknown","Missing Ship Mode",""),IF(P205&lt;0,"Negative Discount",""),IF(P205&gt;0.7,"High Discount",""),IF(C205&lt;B205,"Ship Before Order",""))</f>
        <v>Ship Before Order</v>
      </c>
      <c r="Z205" s="2">
        <f>IFERROR(
  IF(ISNUMBER(B205),B205,
    IF(ISNUMBER(SEARCH("-",B205)*1),
      IF(LEN(LEFT(B205,FIND("-",B205)-1))=4,
        DATE(VALUE(LEFT(B205,4)),VALUE(MID(B205,6,2)),VALUE(RIGHT(B205,2))),
        DATE(VALUE(RIGHT(B205,4)),VALUE(MID(B205,4,2)),VALUE(LEFT(B205,2)))
      ),
      IF(ISNUMBER(SEARCH("/",B205)*1),
        DATE(VALUE(RIGHT(B205,4)),VALUE(LEFT(B205,2)),VALUE(MID(B205,4,2))),
        DATEVALUE(B205)
      )
    )
  ),
"INVALID_DATE")</f>
        <v>45379</v>
      </c>
      <c r="AA205" s="2">
        <f>IFERROR(
  IF(ISNUMBER(C205),C205,
    IF(ISNUMBER(SEARCH("-",C205)*1),
      IF(LEN(LEFT(C205,FIND("-",C205)-1))=4,
        DATE(VALUE(LEFT(C205,4)),VALUE(MID(C205,6,2)),VALUE(RIGHT(C205,2))),
        DATE(VALUE(RIGHT(C205,4)),VALUE(MID(C205,4,2)),VALUE(LEFT(C205,2)))
      ),
      IF(ISNUMBER(SEARCH("/",C205)*1),
        DATE(VALUE(RIGHT(C205,4)),VALUE(LEFT(C205,2)),VALUE(MID(C205,4,2))),
        DATEVALUE(C205)
      )
    )
  ),
"INVALID_DATE")</f>
        <v>45381</v>
      </c>
      <c r="AB205">
        <f t="shared" si="21"/>
        <v>2</v>
      </c>
      <c r="AC205" t="str">
        <f t="shared" si="22"/>
        <v>March</v>
      </c>
      <c r="AD205">
        <f t="shared" si="23"/>
        <v>2024</v>
      </c>
    </row>
    <row r="206" spans="1:30">
      <c r="A206" t="s">
        <v>1101</v>
      </c>
      <c r="B206" t="s">
        <v>1102</v>
      </c>
      <c r="C206" t="s">
        <v>1103</v>
      </c>
      <c r="D206" t="s">
        <v>1104</v>
      </c>
      <c r="E206" t="s">
        <v>47</v>
      </c>
      <c r="F206" t="s">
        <v>122</v>
      </c>
      <c r="G206" t="s">
        <v>49</v>
      </c>
      <c r="H206" t="s">
        <v>128</v>
      </c>
      <c r="I206" t="s">
        <v>129</v>
      </c>
      <c r="J206" t="s">
        <v>52</v>
      </c>
      <c r="K206" t="s">
        <v>53</v>
      </c>
      <c r="L206" t="s">
        <v>1105</v>
      </c>
      <c r="M206" t="s">
        <v>40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41</v>
      </c>
      <c r="U206" t="s">
        <v>42</v>
      </c>
      <c r="V206">
        <f t="shared" si="18"/>
        <v>1624.146</v>
      </c>
      <c r="W206">
        <f t="shared" si="19"/>
        <v>406.16000000000008</v>
      </c>
      <c r="X206">
        <f t="shared" si="20"/>
        <v>0.25007542406797401</v>
      </c>
      <c r="Y206" t="str">
        <f>_xlfn.TEXTJOIN(", ",TRUE,IF(G206="Unknown","Missing Region",""),IF(M206="Unknown","Missing Ship Mode",""),IF(P206&lt;0,"Negative Discount",""),IF(P206&gt;0.7,"High Discount",""),IF(C206&lt;B206,"Ship Before Order",""))</f>
        <v/>
      </c>
      <c r="Z206" s="2">
        <f>IFERROR(
  IF(ISNUMBER(B206),B206,
    IF(ISNUMBER(SEARCH("-",B206)*1),
      IF(LEN(LEFT(B206,FIND("-",B206)-1))=4,
        DATE(VALUE(LEFT(B206,4)),VALUE(MID(B206,6,2)),VALUE(RIGHT(B206,2))),
        DATE(VALUE(RIGHT(B206,4)),VALUE(MID(B206,4,2)),VALUE(LEFT(B206,2)))
      ),
      IF(ISNUMBER(SEARCH("/",B206)*1),
        DATE(VALUE(RIGHT(B206,4)),VALUE(LEFT(B206,2)),VALUE(MID(B206,4,2))),
        DATEVALUE(B206)
      )
    )
  ),
"INVALID_DATE")</f>
        <v>45858</v>
      </c>
      <c r="AA206" s="2">
        <f>IFERROR(
  IF(ISNUMBER(C206),C206,
    IF(ISNUMBER(SEARCH("-",C206)*1),
      IF(LEN(LEFT(C206,FIND("-",C206)-1))=4,
        DATE(VALUE(LEFT(C206,4)),VALUE(MID(C206,6,2)),VALUE(RIGHT(C206,2))),
        DATE(VALUE(RIGHT(C206,4)),VALUE(MID(C206,4,2)),VALUE(LEFT(C206,2)))
      ),
      IF(ISNUMBER(SEARCH("/",C206)*1),
        DATE(VALUE(RIGHT(C206,4)),VALUE(LEFT(C206,2)),VALUE(MID(C206,4,2))),
        DATEVALUE(C206)
      )
    )
  ),
"INVALID_DATE")</f>
        <v>45861</v>
      </c>
      <c r="AB206">
        <f t="shared" si="21"/>
        <v>3</v>
      </c>
      <c r="AC206" t="str">
        <f t="shared" si="22"/>
        <v>July</v>
      </c>
      <c r="AD206">
        <f t="shared" si="23"/>
        <v>2025</v>
      </c>
    </row>
    <row r="207" spans="1:30">
      <c r="A207" t="s">
        <v>1106</v>
      </c>
      <c r="B207" t="s">
        <v>1107</v>
      </c>
      <c r="C207" t="s">
        <v>1108</v>
      </c>
      <c r="D207" t="s">
        <v>1109</v>
      </c>
      <c r="E207" t="s">
        <v>79</v>
      </c>
      <c r="F207" t="s">
        <v>33</v>
      </c>
      <c r="G207" t="s">
        <v>80</v>
      </c>
      <c r="H207" t="s">
        <v>81</v>
      </c>
      <c r="I207" t="s">
        <v>82</v>
      </c>
      <c r="J207" t="s">
        <v>926</v>
      </c>
      <c r="K207" t="s">
        <v>116</v>
      </c>
      <c r="L207" t="s">
        <v>1110</v>
      </c>
      <c r="M207" t="s">
        <v>55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41</v>
      </c>
      <c r="U207" t="s">
        <v>42</v>
      </c>
      <c r="V207">
        <f t="shared" si="18"/>
        <v>4193.232</v>
      </c>
      <c r="W207">
        <f t="shared" si="19"/>
        <v>863.23999999999978</v>
      </c>
      <c r="X207">
        <f t="shared" si="20"/>
        <v>0.20586516837855307</v>
      </c>
      <c r="Y207" t="str">
        <f>_xlfn.TEXTJOIN(", ",TRUE,IF(G207="Unknown","Missing Region",""),IF(M207="Unknown","Missing Ship Mode",""),IF(P207&lt;0,"Negative Discount",""),IF(P207&gt;0.7,"High Discount",""),IF(C207&lt;B207,"Ship Before Order",""))</f>
        <v>Ship Before Order</v>
      </c>
      <c r="Z207" s="2">
        <f>IFERROR(
  IF(ISNUMBER(B207),B207,
    IF(ISNUMBER(SEARCH("-",B207)*1),
      IF(LEN(LEFT(B207,FIND("-",B207)-1))=4,
        DATE(VALUE(LEFT(B207,4)),VALUE(MID(B207,6,2)),VALUE(RIGHT(B207,2))),
        DATE(VALUE(RIGHT(B207,4)),VALUE(MID(B207,4,2)),VALUE(LEFT(B207,2)))
      ),
      IF(ISNUMBER(SEARCH("/",B207)*1),
        DATE(VALUE(RIGHT(B207,4)),VALUE(LEFT(B207,2)),VALUE(MID(B207,4,2))),
        DATEVALUE(B207)
      )
    )
  ),
"INVALID_DATE")</f>
        <v>45768</v>
      </c>
      <c r="AA207" s="2">
        <f>IFERROR(
  IF(ISNUMBER(C207),C207,
    IF(ISNUMBER(SEARCH("-",C207)*1),
      IF(LEN(LEFT(C207,FIND("-",C207)-1))=4,
        DATE(VALUE(LEFT(C207,4)),VALUE(MID(C207,6,2)),VALUE(RIGHT(C207,2))),
        DATE(VALUE(RIGHT(C207,4)),VALUE(MID(C207,4,2)),VALUE(LEFT(C207,2)))
      ),
      IF(ISNUMBER(SEARCH("/",C207)*1),
        DATE(VALUE(RIGHT(C207,4)),VALUE(LEFT(C207,2)),VALUE(MID(C207,4,2))),
        DATEVALUE(C207)
      )
    )
  ),
"INVALID_DATE")</f>
        <v>45773</v>
      </c>
      <c r="AB207">
        <f t="shared" si="21"/>
        <v>5</v>
      </c>
      <c r="AC207" t="str">
        <f t="shared" si="22"/>
        <v>April</v>
      </c>
      <c r="AD207">
        <f t="shared" si="23"/>
        <v>2025</v>
      </c>
    </row>
    <row r="208" spans="1:30">
      <c r="A208" t="s">
        <v>1111</v>
      </c>
      <c r="B208" t="s">
        <v>1112</v>
      </c>
      <c r="C208" t="s">
        <v>125</v>
      </c>
      <c r="D208" t="s">
        <v>1113</v>
      </c>
      <c r="E208" t="s">
        <v>217</v>
      </c>
      <c r="F208" t="s">
        <v>48</v>
      </c>
      <c r="G208" t="s">
        <v>34</v>
      </c>
      <c r="H208" t="s">
        <v>181</v>
      </c>
      <c r="I208" t="s">
        <v>182</v>
      </c>
      <c r="J208" t="s">
        <v>52</v>
      </c>
      <c r="K208" t="s">
        <v>72</v>
      </c>
      <c r="L208" t="s">
        <v>1114</v>
      </c>
      <c r="M208" t="s">
        <v>63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41</v>
      </c>
      <c r="U208" t="s">
        <v>42</v>
      </c>
      <c r="V208">
        <f t="shared" si="18"/>
        <v>430.26</v>
      </c>
      <c r="W208">
        <f t="shared" si="19"/>
        <v>143.88</v>
      </c>
      <c r="X208">
        <f t="shared" si="20"/>
        <v>0.33440245432994004</v>
      </c>
      <c r="Y208" t="str">
        <f>_xlfn.TEXTJOIN(", ",TRUE,IF(G208="Unknown","Missing Region",""),IF(M208="Unknown","Missing Ship Mode",""),IF(P208&lt;0,"Negative Discount",""),IF(P208&gt;0.7,"High Discount",""),IF(C208&lt;B208,"Ship Before Order",""))</f>
        <v/>
      </c>
      <c r="Z208" s="2">
        <f>IFERROR(
  IF(ISNUMBER(B208),B208,
    IF(ISNUMBER(SEARCH("-",B208)*1),
      IF(LEN(LEFT(B208,FIND("-",B208)-1))=4,
        DATE(VALUE(LEFT(B208,4)),VALUE(MID(B208,6,2)),VALUE(RIGHT(B208,2))),
        DATE(VALUE(RIGHT(B208,4)),VALUE(MID(B208,4,2)),VALUE(LEFT(B208,2)))
      ),
      IF(ISNUMBER(SEARCH("/",B208)*1),
        DATE(VALUE(RIGHT(B208,4)),VALUE(LEFT(B208,2)),VALUE(MID(B208,4,2))),
        DATEVALUE(B208)
      )
    )
  ),
"INVALID_DATE")</f>
        <v>45795</v>
      </c>
      <c r="AA208" s="2">
        <f>IFERROR(
  IF(ISNUMBER(C208),C208,
    IF(ISNUMBER(SEARCH("-",C208)*1),
      IF(LEN(LEFT(C208,FIND("-",C208)-1))=4,
        DATE(VALUE(LEFT(C208,4)),VALUE(MID(C208,6,2)),VALUE(RIGHT(C208,2))),
        DATE(VALUE(RIGHT(C208,4)),VALUE(MID(C208,4,2)),VALUE(LEFT(C208,2)))
      ),
      IF(ISNUMBER(SEARCH("/",C208)*1),
        DATE(VALUE(RIGHT(C208,4)),VALUE(LEFT(C208,2)),VALUE(MID(C208,4,2))),
        DATEVALUE(C208)
      )
    )
  ),
"INVALID_DATE")</f>
        <v>45797</v>
      </c>
      <c r="AB208">
        <f t="shared" si="21"/>
        <v>2</v>
      </c>
      <c r="AC208" t="str">
        <f t="shared" si="22"/>
        <v>May</v>
      </c>
      <c r="AD208">
        <f t="shared" si="23"/>
        <v>2025</v>
      </c>
    </row>
    <row r="209" spans="1:30">
      <c r="A209" t="s">
        <v>1115</v>
      </c>
      <c r="B209" t="s">
        <v>1116</v>
      </c>
      <c r="C209" t="s">
        <v>1117</v>
      </c>
      <c r="D209" t="s">
        <v>1118</v>
      </c>
      <c r="E209" t="s">
        <v>169</v>
      </c>
      <c r="F209" t="s">
        <v>122</v>
      </c>
      <c r="G209" t="s">
        <v>80</v>
      </c>
      <c r="H209" t="s">
        <v>256</v>
      </c>
      <c r="I209" t="s">
        <v>257</v>
      </c>
      <c r="J209" t="s">
        <v>52</v>
      </c>
      <c r="K209" t="s">
        <v>211</v>
      </c>
      <c r="L209" t="s">
        <v>1119</v>
      </c>
      <c r="M209" t="s">
        <v>40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41</v>
      </c>
      <c r="U209" t="s">
        <v>42</v>
      </c>
      <c r="V209">
        <f t="shared" si="18"/>
        <v>1752.7200000000003</v>
      </c>
      <c r="W209">
        <f t="shared" si="19"/>
        <v>756.31000000000006</v>
      </c>
      <c r="X209">
        <f t="shared" si="20"/>
        <v>0.43150645853302294</v>
      </c>
      <c r="Y209" t="str">
        <f>_xlfn.TEXTJOIN(", ",TRUE,IF(G209="Unknown","Missing Region",""),IF(M209="Unknown","Missing Ship Mode",""),IF(P209&lt;0,"Negative Discount",""),IF(P209&gt;0.7,"High Discount",""),IF(C209&lt;B209,"Ship Before Order",""))</f>
        <v/>
      </c>
      <c r="Z209" s="2">
        <f>IFERROR(
  IF(ISNUMBER(B209),B209,
    IF(ISNUMBER(SEARCH("-",B209)*1),
      IF(LEN(LEFT(B209,FIND("-",B209)-1))=4,
        DATE(VALUE(LEFT(B209,4)),VALUE(MID(B209,6,2)),VALUE(RIGHT(B209,2))),
        DATE(VALUE(RIGHT(B209,4)),VALUE(MID(B209,4,2)),VALUE(LEFT(B209,2)))
      ),
      IF(ISNUMBER(SEARCH("/",B209)*1),
        DATE(VALUE(RIGHT(B209,4)),VALUE(LEFT(B209,2)),VALUE(MID(B209,4,2))),
        DATEVALUE(B209)
      )
    )
  ),
"INVALID_DATE")</f>
        <v>45483</v>
      </c>
      <c r="AA209" s="2">
        <f>IFERROR(
  IF(ISNUMBER(C209),C209,
    IF(ISNUMBER(SEARCH("-",C209)*1),
      IF(LEN(LEFT(C209,FIND("-",C209)-1))=4,
        DATE(VALUE(LEFT(C209,4)),VALUE(MID(C209,6,2)),VALUE(RIGHT(C209,2))),
        DATE(VALUE(RIGHT(C209,4)),VALUE(MID(C209,4,2)),VALUE(LEFT(C209,2)))
      ),
      IF(ISNUMBER(SEARCH("/",C209)*1),
        DATE(VALUE(RIGHT(C209,4)),VALUE(LEFT(C209,2)),VALUE(MID(C209,4,2))),
        DATEVALUE(C209)
      )
    )
  ),
"INVALID_DATE")</f>
        <v>45489</v>
      </c>
      <c r="AB209">
        <f t="shared" si="21"/>
        <v>6</v>
      </c>
      <c r="AC209" t="str">
        <f t="shared" si="22"/>
        <v>July</v>
      </c>
      <c r="AD209">
        <f t="shared" si="23"/>
        <v>2024</v>
      </c>
    </row>
    <row r="210" spans="1:30">
      <c r="A210" t="s">
        <v>1120</v>
      </c>
      <c r="B210" t="s">
        <v>1121</v>
      </c>
      <c r="C210" t="s">
        <v>1122</v>
      </c>
      <c r="D210" t="s">
        <v>1123</v>
      </c>
      <c r="E210" t="s">
        <v>217</v>
      </c>
      <c r="F210" t="s">
        <v>33</v>
      </c>
      <c r="G210" t="s">
        <v>34</v>
      </c>
      <c r="H210" t="s">
        <v>161</v>
      </c>
      <c r="I210" t="s">
        <v>162</v>
      </c>
      <c r="J210" t="s">
        <v>52</v>
      </c>
      <c r="K210" t="s">
        <v>83</v>
      </c>
      <c r="L210" t="s">
        <v>1124</v>
      </c>
      <c r="M210" t="s">
        <v>55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41</v>
      </c>
      <c r="U210" t="s">
        <v>42</v>
      </c>
      <c r="V210">
        <f t="shared" si="18"/>
        <v>999.83</v>
      </c>
      <c r="W210">
        <f t="shared" si="19"/>
        <v>364.92000000000007</v>
      </c>
      <c r="X210">
        <f t="shared" si="20"/>
        <v>0.36498204694798114</v>
      </c>
      <c r="Y210" t="str">
        <f>_xlfn.TEXTJOIN(", ",TRUE,IF(G210="Unknown","Missing Region",""),IF(M210="Unknown","Missing Ship Mode",""),IF(P210&lt;0,"Negative Discount",""),IF(P210&gt;0.7,"High Discount",""),IF(C210&lt;B210,"Ship Before Order",""))</f>
        <v>Ship Before Order</v>
      </c>
      <c r="Z210" s="2">
        <f>IFERROR(
  IF(ISNUMBER(B210),B210,
    IF(ISNUMBER(SEARCH("-",B210)*1),
      IF(LEN(LEFT(B210,FIND("-",B210)-1))=4,
        DATE(VALUE(LEFT(B210,4)),VALUE(MID(B210,6,2)),VALUE(RIGHT(B210,2))),
        DATE(VALUE(RIGHT(B210,4)),VALUE(MID(B210,4,2)),VALUE(LEFT(B210,2)))
      ),
      IF(ISNUMBER(SEARCH("/",B210)*1),
        DATE(VALUE(RIGHT(B210,4)),VALUE(LEFT(B210,2)),VALUE(MID(B210,4,2))),
        DATEVALUE(B210)
      )
    )
  ),
"INVALID_DATE")</f>
        <v>45837</v>
      </c>
      <c r="AA210" s="2">
        <f>IFERROR(
  IF(ISNUMBER(C210),C210,
    IF(ISNUMBER(SEARCH("-",C210)*1),
      IF(LEN(LEFT(C210,FIND("-",C210)-1))=4,
        DATE(VALUE(LEFT(C210,4)),VALUE(MID(C210,6,2)),VALUE(RIGHT(C210,2))),
        DATE(VALUE(RIGHT(C210,4)),VALUE(MID(C210,4,2)),VALUE(LEFT(C210,2)))
      ),
      IF(ISNUMBER(SEARCH("/",C210)*1),
        DATE(VALUE(RIGHT(C210,4)),VALUE(LEFT(C210,2)),VALUE(MID(C210,4,2))),
        DATEVALUE(C210)
      )
    )
  ),
"INVALID_DATE")</f>
        <v>45843</v>
      </c>
      <c r="AB210">
        <f t="shared" si="21"/>
        <v>6</v>
      </c>
      <c r="AC210" t="str">
        <f t="shared" si="22"/>
        <v>June</v>
      </c>
      <c r="AD210">
        <f t="shared" si="23"/>
        <v>2025</v>
      </c>
    </row>
    <row r="211" spans="1:30">
      <c r="A211" t="s">
        <v>1125</v>
      </c>
      <c r="B211" t="s">
        <v>1126</v>
      </c>
      <c r="C211" t="s">
        <v>1127</v>
      </c>
      <c r="D211" t="s">
        <v>1128</v>
      </c>
      <c r="E211" t="s">
        <v>187</v>
      </c>
      <c r="F211" t="s">
        <v>48</v>
      </c>
      <c r="G211" t="s">
        <v>69</v>
      </c>
      <c r="H211" t="s">
        <v>107</v>
      </c>
      <c r="I211" t="s">
        <v>108</v>
      </c>
      <c r="J211" t="s">
        <v>37</v>
      </c>
      <c r="K211" t="s">
        <v>38</v>
      </c>
      <c r="L211" t="s">
        <v>1129</v>
      </c>
      <c r="M211" t="s">
        <v>63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41</v>
      </c>
      <c r="U211" t="s">
        <v>42</v>
      </c>
      <c r="V211">
        <f t="shared" si="18"/>
        <v>7006.3380000000006</v>
      </c>
      <c r="W211">
        <f t="shared" si="19"/>
        <v>2365.46</v>
      </c>
      <c r="X211">
        <f t="shared" si="20"/>
        <v>0.33761707253715922</v>
      </c>
      <c r="Y211" t="str">
        <f>_xlfn.TEXTJOIN(", ",TRUE,IF(G211="Unknown","Missing Region",""),IF(M211="Unknown","Missing Ship Mode",""),IF(P211&lt;0,"Negative Discount",""),IF(P211&gt;0.7,"High Discount",""),IF(C211&lt;B211,"Ship Before Order",""))</f>
        <v/>
      </c>
      <c r="Z211" s="2">
        <f>IFERROR(
  IF(ISNUMBER(B211),B211,
    IF(ISNUMBER(SEARCH("-",B211)*1),
      IF(LEN(LEFT(B211,FIND("-",B211)-1))=4,
        DATE(VALUE(LEFT(B211,4)),VALUE(MID(B211,6,2)),VALUE(RIGHT(B211,2))),
        DATE(VALUE(RIGHT(B211,4)),VALUE(MID(B211,4,2)),VALUE(LEFT(B211,2)))
      ),
      IF(ISNUMBER(SEARCH("/",B211)*1),
        DATE(VALUE(RIGHT(B211,4)),VALUE(LEFT(B211,2)),VALUE(MID(B211,4,2))),
        DATEVALUE(B211)
      )
    )
  ),
"INVALID_DATE")</f>
        <v>45882</v>
      </c>
      <c r="AA211" s="2">
        <f>IFERROR(
  IF(ISNUMBER(C211),C211,
    IF(ISNUMBER(SEARCH("-",C211)*1),
      IF(LEN(LEFT(C211,FIND("-",C211)-1))=4,
        DATE(VALUE(LEFT(C211,4)),VALUE(MID(C211,6,2)),VALUE(RIGHT(C211,2))),
        DATE(VALUE(RIGHT(C211,4)),VALUE(MID(C211,4,2)),VALUE(LEFT(C211,2)))
      ),
      IF(ISNUMBER(SEARCH("/",C211)*1),
        DATE(VALUE(RIGHT(C211,4)),VALUE(LEFT(C211,2)),VALUE(MID(C211,4,2))),
        DATEVALUE(C211)
      )
    )
  ),
"INVALID_DATE")</f>
        <v>45883</v>
      </c>
      <c r="AB211">
        <f t="shared" si="21"/>
        <v>1</v>
      </c>
      <c r="AC211" t="str">
        <f t="shared" si="22"/>
        <v>August</v>
      </c>
      <c r="AD211">
        <f t="shared" si="23"/>
        <v>2025</v>
      </c>
    </row>
    <row r="212" spans="1:30">
      <c r="A212" t="s">
        <v>1130</v>
      </c>
      <c r="B212" t="s">
        <v>1131</v>
      </c>
      <c r="C212" t="s">
        <v>1132</v>
      </c>
      <c r="D212" t="s">
        <v>1133</v>
      </c>
      <c r="E212" t="s">
        <v>374</v>
      </c>
      <c r="F212" t="s">
        <v>122</v>
      </c>
      <c r="G212" t="s">
        <v>69</v>
      </c>
      <c r="H212" t="s">
        <v>236</v>
      </c>
      <c r="I212" t="s">
        <v>237</v>
      </c>
      <c r="J212" t="s">
        <v>93</v>
      </c>
      <c r="K212" t="s">
        <v>390</v>
      </c>
      <c r="L212" t="s">
        <v>1134</v>
      </c>
      <c r="M212" t="s">
        <v>40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207</v>
      </c>
      <c r="U212" t="s">
        <v>132</v>
      </c>
      <c r="V212">
        <f t="shared" si="18"/>
        <v>4131.3599999999997</v>
      </c>
      <c r="W212">
        <f t="shared" si="19"/>
        <v>1194.2899999999995</v>
      </c>
      <c r="X212">
        <f t="shared" si="20"/>
        <v>0.28907914100925602</v>
      </c>
      <c r="Y212" t="str">
        <f>_xlfn.TEXTJOIN(", ",TRUE,IF(G212="Unknown","Missing Region",""),IF(M212="Unknown","Missing Ship Mode",""),IF(P212&lt;0,"Negative Discount",""),IF(P212&gt;0.7,"High Discount",""),IF(C212&lt;B212,"Ship Before Order",""))</f>
        <v/>
      </c>
      <c r="Z212" s="2">
        <f>IFERROR(
  IF(ISNUMBER(B212),B212,
    IF(ISNUMBER(SEARCH("-",B212)*1),
      IF(LEN(LEFT(B212,FIND("-",B212)-1))=4,
        DATE(VALUE(LEFT(B212,4)),VALUE(MID(B212,6,2)),VALUE(RIGHT(B212,2))),
        DATE(VALUE(RIGHT(B212,4)),VALUE(MID(B212,4,2)),VALUE(LEFT(B212,2)))
      ),
      IF(ISNUMBER(SEARCH("/",B212)*1),
        DATE(VALUE(RIGHT(B212,4)),VALUE(LEFT(B212,2)),VALUE(MID(B212,4,2))),
        DATEVALUE(B212)
      )
    )
  ),
"INVALID_DATE")</f>
        <v>45366</v>
      </c>
      <c r="AA212" s="2">
        <f>IFERROR(
  IF(ISNUMBER(C212),C212,
    IF(ISNUMBER(SEARCH("-",C212)*1),
      IF(LEN(LEFT(C212,FIND("-",C212)-1))=4,
        DATE(VALUE(LEFT(C212,4)),VALUE(MID(C212,6,2)),VALUE(RIGHT(C212,2))),
        DATE(VALUE(RIGHT(C212,4)),VALUE(MID(C212,4,2)),VALUE(LEFT(C212,2)))
      ),
      IF(ISNUMBER(SEARCH("/",C212)*1),
        DATE(VALUE(RIGHT(C212,4)),VALUE(LEFT(C212,2)),VALUE(MID(C212,4,2))),
        DATEVALUE(C212)
      )
    )
  ),
"INVALID_DATE")</f>
        <v>45369</v>
      </c>
      <c r="AB212">
        <f t="shared" si="21"/>
        <v>3</v>
      </c>
      <c r="AC212" t="str">
        <f t="shared" si="22"/>
        <v>March</v>
      </c>
      <c r="AD212">
        <f t="shared" si="23"/>
        <v>2024</v>
      </c>
    </row>
    <row r="213" spans="1:30">
      <c r="A213" t="s">
        <v>1135</v>
      </c>
      <c r="B213" t="s">
        <v>1136</v>
      </c>
      <c r="C213" t="s">
        <v>1137</v>
      </c>
      <c r="D213" t="s">
        <v>1138</v>
      </c>
      <c r="E213" t="s">
        <v>187</v>
      </c>
      <c r="F213" t="s">
        <v>115</v>
      </c>
      <c r="G213" t="s">
        <v>1139</v>
      </c>
      <c r="H213" t="s">
        <v>128</v>
      </c>
      <c r="I213" t="s">
        <v>129</v>
      </c>
      <c r="J213" t="s">
        <v>93</v>
      </c>
      <c r="K213" t="s">
        <v>101</v>
      </c>
      <c r="L213" t="s">
        <v>1140</v>
      </c>
      <c r="M213" t="s">
        <v>40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41</v>
      </c>
      <c r="U213" t="s">
        <v>42</v>
      </c>
      <c r="V213">
        <f t="shared" si="18"/>
        <v>27020.48</v>
      </c>
      <c r="W213">
        <f t="shared" si="19"/>
        <v>4135.239999999998</v>
      </c>
      <c r="X213">
        <f t="shared" si="20"/>
        <v>0.1530409526403676</v>
      </c>
      <c r="Y213" t="str">
        <f>_xlfn.TEXTJOIN(", ",TRUE,IF(G213="Unknown","Missing Region",""),IF(M213="Unknown","Missing Ship Mode",""),IF(P213&lt;0,"Negative Discount",""),IF(P213&gt;0.7,"High Discount",""),IF(C213&lt;B213,"Ship Before Order",""))</f>
        <v/>
      </c>
      <c r="Z213" s="2">
        <f>IFERROR(
  IF(ISNUMBER(B213),B213,
    IF(ISNUMBER(SEARCH("-",B213)*1),
      IF(LEN(LEFT(B213,FIND("-",B213)-1))=4,
        DATE(VALUE(LEFT(B213,4)),VALUE(MID(B213,6,2)),VALUE(RIGHT(B213,2))),
        DATE(VALUE(RIGHT(B213,4)),VALUE(MID(B213,4,2)),VALUE(LEFT(B213,2)))
      ),
      IF(ISNUMBER(SEARCH("/",B213)*1),
        DATE(VALUE(RIGHT(B213,4)),VALUE(LEFT(B213,2)),VALUE(MID(B213,4,2))),
        DATEVALUE(B213)
      )
    )
  ),
"INVALID_DATE")</f>
        <v>45428</v>
      </c>
      <c r="AA213" s="2">
        <f>IFERROR(
  IF(ISNUMBER(C213),C213,
    IF(ISNUMBER(SEARCH("-",C213)*1),
      IF(LEN(LEFT(C213,FIND("-",C213)-1))=4,
        DATE(VALUE(LEFT(C213,4)),VALUE(MID(C213,6,2)),VALUE(RIGHT(C213,2))),
        DATE(VALUE(RIGHT(C213,4)),VALUE(MID(C213,4,2)),VALUE(LEFT(C213,2)))
      ),
      IF(ISNUMBER(SEARCH("/",C213)*1),
        DATE(VALUE(RIGHT(C213,4)),VALUE(LEFT(C213,2)),VALUE(MID(C213,4,2))),
        DATEVALUE(C213)
      )
    )
  ),
"INVALID_DATE")</f>
        <v>45429</v>
      </c>
      <c r="AB213">
        <f t="shared" si="21"/>
        <v>1</v>
      </c>
      <c r="AC213" t="str">
        <f t="shared" si="22"/>
        <v>May</v>
      </c>
      <c r="AD213">
        <f t="shared" si="23"/>
        <v>2024</v>
      </c>
    </row>
    <row r="214" spans="1:30">
      <c r="A214" t="s">
        <v>1141</v>
      </c>
      <c r="B214" t="s">
        <v>1142</v>
      </c>
      <c r="C214" t="s">
        <v>1143</v>
      </c>
      <c r="D214" t="s">
        <v>1144</v>
      </c>
      <c r="E214" t="s">
        <v>79</v>
      </c>
      <c r="F214" t="s">
        <v>48</v>
      </c>
      <c r="G214" t="s">
        <v>49</v>
      </c>
      <c r="H214" t="s">
        <v>50</v>
      </c>
      <c r="I214" t="s">
        <v>51</v>
      </c>
      <c r="J214" t="s">
        <v>93</v>
      </c>
      <c r="K214" t="s">
        <v>230</v>
      </c>
      <c r="L214" t="s">
        <v>1145</v>
      </c>
      <c r="M214" t="s">
        <v>55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41</v>
      </c>
      <c r="U214" t="s">
        <v>42</v>
      </c>
      <c r="V214">
        <f t="shared" si="18"/>
        <v>364.65</v>
      </c>
      <c r="W214">
        <f t="shared" si="19"/>
        <v>83.909999999999968</v>
      </c>
      <c r="X214">
        <f t="shared" si="20"/>
        <v>0.23011106540518306</v>
      </c>
      <c r="Y214" t="str">
        <f>_xlfn.TEXTJOIN(", ",TRUE,IF(G214="Unknown","Missing Region",""),IF(M214="Unknown","Missing Ship Mode",""),IF(P214&lt;0,"Negative Discount",""),IF(P214&gt;0.7,"High Discount",""),IF(C214&lt;B214,"Ship Before Order",""))</f>
        <v/>
      </c>
      <c r="Z214" s="2">
        <f>IFERROR(
  IF(ISNUMBER(B214),B214,
    IF(ISNUMBER(SEARCH("-",B214)*1),
      IF(LEN(LEFT(B214,FIND("-",B214)-1))=4,
        DATE(VALUE(LEFT(B214,4)),VALUE(MID(B214,6,2)),VALUE(RIGHT(B214,2))),
        DATE(VALUE(RIGHT(B214,4)),VALUE(MID(B214,4,2)),VALUE(LEFT(B214,2)))
      ),
      IF(ISNUMBER(SEARCH("/",B214)*1),
        DATE(VALUE(RIGHT(B214,4)),VALUE(LEFT(B214,2)),VALUE(MID(B214,4,2))),
        DATEVALUE(B214)
      )
    )
  ),
"INVALID_DATE")</f>
        <v>45556</v>
      </c>
      <c r="AA214" s="2">
        <f>IFERROR(
  IF(ISNUMBER(C214),C214,
    IF(ISNUMBER(SEARCH("-",C214)*1),
      IF(LEN(LEFT(C214,FIND("-",C214)-1))=4,
        DATE(VALUE(LEFT(C214,4)),VALUE(MID(C214,6,2)),VALUE(RIGHT(C214,2))),
        DATE(VALUE(RIGHT(C214,4)),VALUE(MID(C214,4,2)),VALUE(LEFT(C214,2)))
      ),
      IF(ISNUMBER(SEARCH("/",C214)*1),
        DATE(VALUE(RIGHT(C214,4)),VALUE(LEFT(C214,2)),VALUE(MID(C214,4,2))),
        DATEVALUE(C214)
      )
    )
  ),
"INVALID_DATE")</f>
        <v>45556</v>
      </c>
      <c r="AB214">
        <f t="shared" si="21"/>
        <v>0</v>
      </c>
      <c r="AC214" t="str">
        <f t="shared" si="22"/>
        <v>September</v>
      </c>
      <c r="AD214">
        <f t="shared" si="23"/>
        <v>2024</v>
      </c>
    </row>
    <row r="215" spans="1:30">
      <c r="A215" t="s">
        <v>1146</v>
      </c>
      <c r="B215" t="s">
        <v>1147</v>
      </c>
      <c r="C215" t="s">
        <v>1148</v>
      </c>
      <c r="D215" t="s">
        <v>1149</v>
      </c>
      <c r="E215" t="s">
        <v>60</v>
      </c>
      <c r="F215" t="s">
        <v>48</v>
      </c>
      <c r="G215" t="s">
        <v>49</v>
      </c>
      <c r="H215" t="s">
        <v>193</v>
      </c>
      <c r="I215" t="s">
        <v>194</v>
      </c>
      <c r="J215" t="s">
        <v>93</v>
      </c>
      <c r="K215" t="s">
        <v>94</v>
      </c>
      <c r="L215" t="s">
        <v>1150</v>
      </c>
      <c r="M215" t="s">
        <v>40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41</v>
      </c>
      <c r="U215" t="s">
        <v>42</v>
      </c>
      <c r="V215">
        <f t="shared" si="18"/>
        <v>13864.735999999999</v>
      </c>
      <c r="W215">
        <f t="shared" si="19"/>
        <v>2570.6800000000003</v>
      </c>
      <c r="X215">
        <f t="shared" si="20"/>
        <v>0.18541133840230686</v>
      </c>
      <c r="Y215" t="str">
        <f>_xlfn.TEXTJOIN(", ",TRUE,IF(G215="Unknown","Missing Region",""),IF(M215="Unknown","Missing Ship Mode",""),IF(P215&lt;0,"Negative Discount",""),IF(P215&gt;0.7,"High Discount",""),IF(C215&lt;B215,"Ship Before Order",""))</f>
        <v/>
      </c>
      <c r="Z215" s="2">
        <f>IFERROR(
  IF(ISNUMBER(B215),B215,
    IF(ISNUMBER(SEARCH("-",B215)*1),
      IF(LEN(LEFT(B215,FIND("-",B215)-1))=4,
        DATE(VALUE(LEFT(B215,4)),VALUE(MID(B215,6,2)),VALUE(RIGHT(B215,2))),
        DATE(VALUE(RIGHT(B215,4)),VALUE(MID(B215,4,2)),VALUE(LEFT(B215,2)))
      ),
      IF(ISNUMBER(SEARCH("/",B215)*1),
        DATE(VALUE(RIGHT(B215,4)),VALUE(LEFT(B215,2)),VALUE(MID(B215,4,2))),
        DATEVALUE(B215)
      )
    )
  ),
"INVALID_DATE")</f>
        <v>45427</v>
      </c>
      <c r="AA215" s="2">
        <f>IFERROR(
  IF(ISNUMBER(C215),C215,
    IF(ISNUMBER(SEARCH("-",C215)*1),
      IF(LEN(LEFT(C215,FIND("-",C215)-1))=4,
        DATE(VALUE(LEFT(C215,4)),VALUE(MID(C215,6,2)),VALUE(RIGHT(C215,2))),
        DATE(VALUE(RIGHT(C215,4)),VALUE(MID(C215,4,2)),VALUE(LEFT(C215,2)))
      ),
      IF(ISNUMBER(SEARCH("/",C215)*1),
        DATE(VALUE(RIGHT(C215,4)),VALUE(LEFT(C215,2)),VALUE(MID(C215,4,2))),
        DATEVALUE(C215)
      )
    )
  ),
"INVALID_DATE")</f>
        <v>45433</v>
      </c>
      <c r="AB215">
        <f t="shared" si="21"/>
        <v>6</v>
      </c>
      <c r="AC215" t="str">
        <f t="shared" si="22"/>
        <v>May</v>
      </c>
      <c r="AD215">
        <f t="shared" si="23"/>
        <v>2024</v>
      </c>
    </row>
    <row r="216" spans="1:30">
      <c r="A216" t="s">
        <v>1151</v>
      </c>
      <c r="B216" t="s">
        <v>1152</v>
      </c>
      <c r="C216" t="s">
        <v>1153</v>
      </c>
      <c r="D216" t="s">
        <v>1154</v>
      </c>
      <c r="E216" t="s">
        <v>155</v>
      </c>
      <c r="F216" t="s">
        <v>33</v>
      </c>
      <c r="G216" t="s">
        <v>34</v>
      </c>
      <c r="H216" t="s">
        <v>331</v>
      </c>
      <c r="I216" t="s">
        <v>332</v>
      </c>
      <c r="J216" t="s">
        <v>93</v>
      </c>
      <c r="K216" t="s">
        <v>94</v>
      </c>
      <c r="L216" t="s">
        <v>1155</v>
      </c>
      <c r="M216" t="s">
        <v>63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41</v>
      </c>
      <c r="U216" t="s">
        <v>42</v>
      </c>
      <c r="V216">
        <f t="shared" si="18"/>
        <v>707.31299999999999</v>
      </c>
      <c r="W216">
        <f t="shared" si="19"/>
        <v>138.30999999999995</v>
      </c>
      <c r="X216">
        <f t="shared" si="20"/>
        <v>0.19554367957472679</v>
      </c>
      <c r="Y216" t="str">
        <f>_xlfn.TEXTJOIN(", ",TRUE,IF(G216="Unknown","Missing Region",""),IF(M216="Unknown","Missing Ship Mode",""),IF(P216&lt;0,"Negative Discount",""),IF(P216&gt;0.7,"High Discount",""),IF(C216&lt;B216,"Ship Before Order",""))</f>
        <v/>
      </c>
      <c r="Z216" s="2">
        <f>IFERROR(
  IF(ISNUMBER(B216),B216,
    IF(ISNUMBER(SEARCH("-",B216)*1),
      IF(LEN(LEFT(B216,FIND("-",B216)-1))=4,
        DATE(VALUE(LEFT(B216,4)),VALUE(MID(B216,6,2)),VALUE(RIGHT(B216,2))),
        DATE(VALUE(RIGHT(B216,4)),VALUE(MID(B216,4,2)),VALUE(LEFT(B216,2)))
      ),
      IF(ISNUMBER(SEARCH("/",B216)*1),
        DATE(VALUE(RIGHT(B216,4)),VALUE(LEFT(B216,2)),VALUE(MID(B216,4,2))),
        DATEVALUE(B216)
      )
    )
  ),
"INVALID_DATE")</f>
        <v>45368</v>
      </c>
      <c r="AA216" s="2">
        <f>IFERROR(
  IF(ISNUMBER(C216),C216,
    IF(ISNUMBER(SEARCH("-",C216)*1),
      IF(LEN(LEFT(C216,FIND("-",C216)-1))=4,
        DATE(VALUE(LEFT(C216,4)),VALUE(MID(C216,6,2)),VALUE(RIGHT(C216,2))),
        DATE(VALUE(RIGHT(C216,4)),VALUE(MID(C216,4,2)),VALUE(LEFT(C216,2)))
      ),
      IF(ISNUMBER(SEARCH("/",C216)*1),
        DATE(VALUE(RIGHT(C216,4)),VALUE(LEFT(C216,2)),VALUE(MID(C216,4,2))),
        DATEVALUE(C216)
      )
    )
  ),
"INVALID_DATE")</f>
        <v>45374</v>
      </c>
      <c r="AB216">
        <f t="shared" si="21"/>
        <v>6</v>
      </c>
      <c r="AC216" t="str">
        <f t="shared" si="22"/>
        <v>March</v>
      </c>
      <c r="AD216">
        <f t="shared" si="23"/>
        <v>2024</v>
      </c>
    </row>
    <row r="217" spans="1:30">
      <c r="A217" t="s">
        <v>1156</v>
      </c>
      <c r="B217" t="s">
        <v>1157</v>
      </c>
      <c r="C217" t="s">
        <v>214</v>
      </c>
      <c r="D217" t="s">
        <v>1158</v>
      </c>
      <c r="E217" t="s">
        <v>47</v>
      </c>
      <c r="F217" t="s">
        <v>33</v>
      </c>
      <c r="G217" t="s">
        <v>80</v>
      </c>
      <c r="H217" t="s">
        <v>91</v>
      </c>
      <c r="I217" t="s">
        <v>92</v>
      </c>
      <c r="J217" t="s">
        <v>37</v>
      </c>
      <c r="K217" t="s">
        <v>38</v>
      </c>
      <c r="L217" t="s">
        <v>1159</v>
      </c>
      <c r="M217" t="s">
        <v>63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41</v>
      </c>
      <c r="U217" t="s">
        <v>42</v>
      </c>
      <c r="V217">
        <f t="shared" si="18"/>
        <v>19214.400000000001</v>
      </c>
      <c r="W217">
        <f t="shared" si="19"/>
        <v>8298.3900000000012</v>
      </c>
      <c r="X217">
        <f t="shared" si="20"/>
        <v>0.43188389957531848</v>
      </c>
      <c r="Y217" t="str">
        <f>_xlfn.TEXTJOIN(", ",TRUE,IF(G217="Unknown","Missing Region",""),IF(M217="Unknown","Missing Ship Mode",""),IF(P217&lt;0,"Negative Discount",""),IF(P217&gt;0.7,"High Discount",""),IF(C217&lt;B217,"Ship Before Order",""))</f>
        <v/>
      </c>
      <c r="Z217" s="2">
        <f>IFERROR(
  IF(ISNUMBER(B217),B217,
    IF(ISNUMBER(SEARCH("-",B217)*1),
      IF(LEN(LEFT(B217,FIND("-",B217)-1))=4,
        DATE(VALUE(LEFT(B217,4)),VALUE(MID(B217,6,2)),VALUE(RIGHT(B217,2))),
        DATE(VALUE(RIGHT(B217,4)),VALUE(MID(B217,4,2)),VALUE(LEFT(B217,2)))
      ),
      IF(ISNUMBER(SEARCH("/",B217)*1),
        DATE(VALUE(RIGHT(B217,4)),VALUE(LEFT(B217,2)),VALUE(MID(B217,4,2))),
        DATEVALUE(B217)
      )
    )
  ),
"INVALID_DATE")</f>
        <v>45352</v>
      </c>
      <c r="AA217" s="2">
        <f>IFERROR(
  IF(ISNUMBER(C217),C217,
    IF(ISNUMBER(SEARCH("-",C217)*1),
      IF(LEN(LEFT(C217,FIND("-",C217)-1))=4,
        DATE(VALUE(LEFT(C217,4)),VALUE(MID(C217,6,2)),VALUE(RIGHT(C217,2))),
        DATE(VALUE(RIGHT(C217,4)),VALUE(MID(C217,4,2)),VALUE(LEFT(C217,2)))
      ),
      IF(ISNUMBER(SEARCH("/",C217)*1),
        DATE(VALUE(RIGHT(C217,4)),VALUE(LEFT(C217,2)),VALUE(MID(C217,4,2))),
        DATEVALUE(C217)
      )
    )
  ),
"INVALID_DATE")</f>
        <v>45355</v>
      </c>
      <c r="AB217">
        <f t="shared" si="21"/>
        <v>3</v>
      </c>
      <c r="AC217" t="str">
        <f t="shared" si="22"/>
        <v>March</v>
      </c>
      <c r="AD217">
        <f t="shared" si="23"/>
        <v>2024</v>
      </c>
    </row>
    <row r="218" spans="1:30">
      <c r="A218" t="s">
        <v>1160</v>
      </c>
      <c r="B218" t="s">
        <v>97</v>
      </c>
      <c r="C218" t="s">
        <v>1161</v>
      </c>
      <c r="D218" t="s">
        <v>1162</v>
      </c>
      <c r="E218" t="s">
        <v>60</v>
      </c>
      <c r="F218" t="s">
        <v>33</v>
      </c>
      <c r="G218" t="s">
        <v>80</v>
      </c>
      <c r="H218" t="s">
        <v>242</v>
      </c>
      <c r="I218" t="s">
        <v>243</v>
      </c>
      <c r="J218" t="s">
        <v>52</v>
      </c>
      <c r="K218" t="s">
        <v>53</v>
      </c>
      <c r="L218" t="s">
        <v>1163</v>
      </c>
      <c r="M218" t="s">
        <v>74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207</v>
      </c>
      <c r="U218" t="s">
        <v>132</v>
      </c>
      <c r="V218">
        <f t="shared" si="18"/>
        <v>11039.22</v>
      </c>
      <c r="W218">
        <f t="shared" si="19"/>
        <v>3396.3099999999995</v>
      </c>
      <c r="X218">
        <f t="shared" si="20"/>
        <v>0.30765851210502193</v>
      </c>
      <c r="Y218" t="str">
        <f>_xlfn.TEXTJOIN(", ",TRUE,IF(G218="Unknown","Missing Region",""),IF(M218="Unknown","Missing Ship Mode",""),IF(P218&lt;0,"Negative Discount",""),IF(P218&gt;0.7,"High Discount",""),IF(C218&lt;B218,"Ship Before Order",""))</f>
        <v/>
      </c>
      <c r="Z218" s="2">
        <f>IFERROR(
  IF(ISNUMBER(B218),B218,
    IF(ISNUMBER(SEARCH("-",B218)*1),
      IF(LEN(LEFT(B218,FIND("-",B218)-1))=4,
        DATE(VALUE(LEFT(B218,4)),VALUE(MID(B218,6,2)),VALUE(RIGHT(B218,2))),
        DATE(VALUE(RIGHT(B218,4)),VALUE(MID(B218,4,2)),VALUE(LEFT(B218,2)))
      ),
      IF(ISNUMBER(SEARCH("/",B218)*1),
        DATE(VALUE(RIGHT(B218,4)),VALUE(LEFT(B218,2)),VALUE(MID(B218,4,2))),
        DATEVALUE(B218)
      )
    )
  ),
"INVALID_DATE")</f>
        <v>45757</v>
      </c>
      <c r="AA218" s="2">
        <f>IFERROR(
  IF(ISNUMBER(C218),C218,
    IF(ISNUMBER(SEARCH("-",C218)*1),
      IF(LEN(LEFT(C218,FIND("-",C218)-1))=4,
        DATE(VALUE(LEFT(C218,4)),VALUE(MID(C218,6,2)),VALUE(RIGHT(C218,2))),
        DATE(VALUE(RIGHT(C218,4)),VALUE(MID(C218,4,2)),VALUE(LEFT(C218,2)))
      ),
      IF(ISNUMBER(SEARCH("/",C218)*1),
        DATE(VALUE(RIGHT(C218,4)),VALUE(LEFT(C218,2)),VALUE(MID(C218,4,2))),
        DATEVALUE(C218)
      )
    )
  ),
"INVALID_DATE")</f>
        <v>45762</v>
      </c>
      <c r="AB218">
        <f t="shared" si="21"/>
        <v>5</v>
      </c>
      <c r="AC218" t="str">
        <f t="shared" si="22"/>
        <v>April</v>
      </c>
      <c r="AD218">
        <f t="shared" si="23"/>
        <v>2025</v>
      </c>
    </row>
    <row r="219" spans="1:30">
      <c r="A219" t="s">
        <v>1164</v>
      </c>
      <c r="B219" t="s">
        <v>1165</v>
      </c>
      <c r="C219" t="s">
        <v>1166</v>
      </c>
      <c r="D219" t="s">
        <v>1167</v>
      </c>
      <c r="E219" t="s">
        <v>114</v>
      </c>
      <c r="F219" t="s">
        <v>33</v>
      </c>
      <c r="G219" t="s">
        <v>49</v>
      </c>
      <c r="H219" t="s">
        <v>50</v>
      </c>
      <c r="I219" t="s">
        <v>51</v>
      </c>
      <c r="J219" t="s">
        <v>52</v>
      </c>
      <c r="K219" t="s">
        <v>211</v>
      </c>
      <c r="L219" t="s">
        <v>1168</v>
      </c>
      <c r="M219" t="s">
        <v>40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131</v>
      </c>
      <c r="U219" t="s">
        <v>85</v>
      </c>
      <c r="V219">
        <f t="shared" si="18"/>
        <v>4595.76</v>
      </c>
      <c r="W219">
        <f t="shared" si="19"/>
        <v>1198.96</v>
      </c>
      <c r="X219">
        <f t="shared" si="20"/>
        <v>0.26088394520166414</v>
      </c>
      <c r="Y219" t="str">
        <f>_xlfn.TEXTJOIN(", ",TRUE,IF(G219="Unknown","Missing Region",""),IF(M219="Unknown","Missing Ship Mode",""),IF(P219&lt;0,"Negative Discount",""),IF(P219&gt;0.7,"High Discount",""),IF(C219&lt;B219,"Ship Before Order",""))</f>
        <v/>
      </c>
      <c r="Z219" s="2">
        <f>IFERROR(
  IF(ISNUMBER(B219),B219,
    IF(ISNUMBER(SEARCH("-",B219)*1),
      IF(LEN(LEFT(B219,FIND("-",B219)-1))=4,
        DATE(VALUE(LEFT(B219,4)),VALUE(MID(B219,6,2)),VALUE(RIGHT(B219,2))),
        DATE(VALUE(RIGHT(B219,4)),VALUE(MID(B219,4,2)),VALUE(LEFT(B219,2)))
      ),
      IF(ISNUMBER(SEARCH("/",B219)*1),
        DATE(VALUE(RIGHT(B219,4)),VALUE(LEFT(B219,2)),VALUE(MID(B219,4,2))),
        DATEVALUE(B219)
      )
    )
  ),
"INVALID_DATE")</f>
        <v>45748</v>
      </c>
      <c r="AA219" s="2">
        <f>IFERROR(
  IF(ISNUMBER(C219),C219,
    IF(ISNUMBER(SEARCH("-",C219)*1),
      IF(LEN(LEFT(C219,FIND("-",C219)-1))=4,
        DATE(VALUE(LEFT(C219,4)),VALUE(MID(C219,6,2)),VALUE(RIGHT(C219,2))),
        DATE(VALUE(RIGHT(C219,4)),VALUE(MID(C219,4,2)),VALUE(LEFT(C219,2)))
      ),
      IF(ISNUMBER(SEARCH("/",C219)*1),
        DATE(VALUE(RIGHT(C219,4)),VALUE(LEFT(C219,2)),VALUE(MID(C219,4,2))),
        DATEVALUE(C219)
      )
    )
  ),
"INVALID_DATE")</f>
        <v>45755</v>
      </c>
      <c r="AB219">
        <f t="shared" si="21"/>
        <v>7</v>
      </c>
      <c r="AC219" t="str">
        <f t="shared" si="22"/>
        <v>April</v>
      </c>
      <c r="AD219">
        <f t="shared" si="23"/>
        <v>2025</v>
      </c>
    </row>
    <row r="220" spans="1:30">
      <c r="A220" t="s">
        <v>1169</v>
      </c>
      <c r="B220" t="s">
        <v>1170</v>
      </c>
      <c r="C220" t="s">
        <v>1171</v>
      </c>
      <c r="D220" t="s">
        <v>1172</v>
      </c>
      <c r="E220" t="s">
        <v>149</v>
      </c>
      <c r="F220" t="s">
        <v>115</v>
      </c>
      <c r="G220" t="s">
        <v>80</v>
      </c>
      <c r="H220" t="s">
        <v>242</v>
      </c>
      <c r="I220" t="s">
        <v>243</v>
      </c>
      <c r="J220" t="s">
        <v>52</v>
      </c>
      <c r="K220" t="s">
        <v>211</v>
      </c>
      <c r="L220" t="s">
        <v>1173</v>
      </c>
      <c r="M220" t="s">
        <v>74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41</v>
      </c>
      <c r="U220" t="s">
        <v>42</v>
      </c>
      <c r="V220">
        <f t="shared" si="18"/>
        <v>1291.3999999999999</v>
      </c>
      <c r="W220">
        <f t="shared" si="19"/>
        <v>534.47000000000014</v>
      </c>
      <c r="X220">
        <f t="shared" si="20"/>
        <v>0.41386866966083319</v>
      </c>
      <c r="Y220" t="str">
        <f>_xlfn.TEXTJOIN(", ",TRUE,IF(G220="Unknown","Missing Region",""),IF(M220="Unknown","Missing Ship Mode",""),IF(P220&lt;0,"Negative Discount",""),IF(P220&gt;0.7,"High Discount",""),IF(C220&lt;B220,"Ship Before Order",""))</f>
        <v/>
      </c>
      <c r="Z220" s="2">
        <f>IFERROR(
  IF(ISNUMBER(B220),B220,
    IF(ISNUMBER(SEARCH("-",B220)*1),
      IF(LEN(LEFT(B220,FIND("-",B220)-1))=4,
        DATE(VALUE(LEFT(B220,4)),VALUE(MID(B220,6,2)),VALUE(RIGHT(B220,2))),
        DATE(VALUE(RIGHT(B220,4)),VALUE(MID(B220,4,2)),VALUE(LEFT(B220,2)))
      ),
      IF(ISNUMBER(SEARCH("/",B220)*1),
        DATE(VALUE(RIGHT(B220,4)),VALUE(LEFT(B220,2)),VALUE(MID(B220,4,2))),
        DATEVALUE(B220)
      )
    )
  ),
"INVALID_DATE")</f>
        <v>45714</v>
      </c>
      <c r="AA220" s="2">
        <f>IFERROR(
  IF(ISNUMBER(C220),C220,
    IF(ISNUMBER(SEARCH("-",C220)*1),
      IF(LEN(LEFT(C220,FIND("-",C220)-1))=4,
        DATE(VALUE(LEFT(C220,4)),VALUE(MID(C220,6,2)),VALUE(RIGHT(C220,2))),
        DATE(VALUE(RIGHT(C220,4)),VALUE(MID(C220,4,2)),VALUE(LEFT(C220,2)))
      ),
      IF(ISNUMBER(SEARCH("/",C220)*1),
        DATE(VALUE(RIGHT(C220,4)),VALUE(LEFT(C220,2)),VALUE(MID(C220,4,2))),
        DATEVALUE(C220)
      )
    )
  ),
"INVALID_DATE")</f>
        <v>45715</v>
      </c>
      <c r="AB220">
        <f t="shared" si="21"/>
        <v>1</v>
      </c>
      <c r="AC220" t="str">
        <f t="shared" si="22"/>
        <v>February</v>
      </c>
      <c r="AD220">
        <f t="shared" si="23"/>
        <v>2025</v>
      </c>
    </row>
    <row r="221" spans="1:30">
      <c r="A221" t="s">
        <v>1174</v>
      </c>
      <c r="B221" t="s">
        <v>692</v>
      </c>
      <c r="C221" t="s">
        <v>1175</v>
      </c>
      <c r="D221" t="s">
        <v>1176</v>
      </c>
      <c r="E221" t="s">
        <v>155</v>
      </c>
      <c r="F221" t="s">
        <v>33</v>
      </c>
      <c r="G221" t="s">
        <v>49</v>
      </c>
      <c r="H221" t="s">
        <v>193</v>
      </c>
      <c r="I221" t="s">
        <v>194</v>
      </c>
      <c r="J221" t="s">
        <v>93</v>
      </c>
      <c r="K221" t="s">
        <v>390</v>
      </c>
      <c r="L221" t="s">
        <v>1177</v>
      </c>
      <c r="M221" t="s">
        <v>63</v>
      </c>
      <c r="N221">
        <v>2</v>
      </c>
      <c r="O221">
        <v>121.49</v>
      </c>
      <c r="P221" t="s">
        <v>1178</v>
      </c>
      <c r="Q221">
        <v>242.98</v>
      </c>
      <c r="R221">
        <v>161.41999999999999</v>
      </c>
      <c r="S221">
        <v>81.56</v>
      </c>
      <c r="T221" t="s">
        <v>41</v>
      </c>
      <c r="U221" t="s">
        <v>42</v>
      </c>
      <c r="V221">
        <f t="shared" si="18"/>
        <v>36.447000000000003</v>
      </c>
      <c r="W221">
        <f t="shared" si="19"/>
        <v>81.56</v>
      </c>
      <c r="X221">
        <f t="shared" si="20"/>
        <v>0.33566548687134745</v>
      </c>
      <c r="Y221" t="str">
        <f>_xlfn.TEXTJOIN(", ",TRUE,IF(G221="Unknown","Missing Region",""),IF(M221="Unknown","Missing Ship Mode",""),IF(P221&lt;0,"Negative Discount",""),IF(P221&gt;0.7,"High Discount",""),IF(C221&lt;B221,"Ship Before Order",""))</f>
        <v>High Discount, Ship Before Order</v>
      </c>
      <c r="Z221" s="2">
        <f>IFERROR(
  IF(ISNUMBER(B221),B221,
    IF(ISNUMBER(SEARCH("-",B221)*1),
      IF(LEN(LEFT(B221,FIND("-",B221)-1))=4,
        DATE(VALUE(LEFT(B221,4)),VALUE(MID(B221,6,2)),VALUE(RIGHT(B221,2))),
        DATE(VALUE(RIGHT(B221,4)),VALUE(MID(B221,4,2)),VALUE(LEFT(B221,2)))
      ),
      IF(ISNUMBER(SEARCH("/",B221)*1),
        DATE(VALUE(RIGHT(B221,4)),VALUE(LEFT(B221,2)),VALUE(MID(B221,4,2))),
        DATEVALUE(B221)
      )
    )
  ),
"INVALID_DATE")</f>
        <v>45461</v>
      </c>
      <c r="AA221" s="2">
        <f>IFERROR(
  IF(ISNUMBER(C221),C221,
    IF(ISNUMBER(SEARCH("-",C221)*1),
      IF(LEN(LEFT(C221,FIND("-",C221)-1))=4,
        DATE(VALUE(LEFT(C221,4)),VALUE(MID(C221,6,2)),VALUE(RIGHT(C221,2))),
        DATE(VALUE(RIGHT(C221,4)),VALUE(MID(C221,4,2)),VALUE(LEFT(C221,2)))
      ),
      IF(ISNUMBER(SEARCH("/",C221)*1),
        DATE(VALUE(RIGHT(C221,4)),VALUE(LEFT(C221,2)),VALUE(MID(C221,4,2))),
        DATEVALUE(C221)
      )
    )
  ),
"INVALID_DATE")</f>
        <v>45462</v>
      </c>
      <c r="AB221">
        <f t="shared" si="21"/>
        <v>1</v>
      </c>
      <c r="AC221" t="str">
        <f t="shared" si="22"/>
        <v>June</v>
      </c>
      <c r="AD221">
        <f t="shared" si="23"/>
        <v>2024</v>
      </c>
    </row>
    <row r="222" spans="1:30">
      <c r="A222" t="s">
        <v>1179</v>
      </c>
      <c r="B222" t="s">
        <v>1180</v>
      </c>
      <c r="C222" t="s">
        <v>1180</v>
      </c>
      <c r="D222" t="s">
        <v>1181</v>
      </c>
      <c r="E222" t="s">
        <v>175</v>
      </c>
      <c r="F222" t="s">
        <v>33</v>
      </c>
      <c r="G222" t="s">
        <v>69</v>
      </c>
      <c r="H222" t="s">
        <v>249</v>
      </c>
      <c r="I222" t="s">
        <v>250</v>
      </c>
      <c r="J222" t="s">
        <v>37</v>
      </c>
      <c r="K222" t="s">
        <v>163</v>
      </c>
      <c r="L222" t="s">
        <v>1182</v>
      </c>
      <c r="M222" t="s">
        <v>63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131</v>
      </c>
      <c r="U222" t="s">
        <v>85</v>
      </c>
      <c r="V222">
        <f t="shared" si="18"/>
        <v>9554.5779999999995</v>
      </c>
      <c r="W222">
        <f t="shared" si="19"/>
        <v>3486.1099999999997</v>
      </c>
      <c r="X222">
        <f t="shared" si="20"/>
        <v>0.36486271505393225</v>
      </c>
      <c r="Y222" t="str">
        <f>_xlfn.TEXTJOIN(", ",TRUE,IF(G222="Unknown","Missing Region",""),IF(M222="Unknown","Missing Ship Mode",""),IF(P222&lt;0,"Negative Discount",""),IF(P222&gt;0.7,"High Discount",""),IF(C222&lt;B222,"Ship Before Order",""))</f>
        <v/>
      </c>
      <c r="Z222" s="2">
        <f>IFERROR(
  IF(ISNUMBER(B222),B222,
    IF(ISNUMBER(SEARCH("-",B222)*1),
      IF(LEN(LEFT(B222,FIND("-",B222)-1))=4,
        DATE(VALUE(LEFT(B222,4)),VALUE(MID(B222,6,2)),VALUE(RIGHT(B222,2))),
        DATE(VALUE(RIGHT(B222,4)),VALUE(MID(B222,4,2)),VALUE(LEFT(B222,2)))
      ),
      IF(ISNUMBER(SEARCH("/",B222)*1),
        DATE(VALUE(RIGHT(B222,4)),VALUE(LEFT(B222,2)),VALUE(MID(B222,4,2))),
        DATEVALUE(B222)
      )
    )
  ),
"INVALID_DATE")</f>
        <v>45538</v>
      </c>
      <c r="AA222" s="2">
        <f>IFERROR(
  IF(ISNUMBER(C222),C222,
    IF(ISNUMBER(SEARCH("-",C222)*1),
      IF(LEN(LEFT(C222,FIND("-",C222)-1))=4,
        DATE(VALUE(LEFT(C222,4)),VALUE(MID(C222,6,2)),VALUE(RIGHT(C222,2))),
        DATE(VALUE(RIGHT(C222,4)),VALUE(MID(C222,4,2)),VALUE(LEFT(C222,2)))
      ),
      IF(ISNUMBER(SEARCH("/",C222)*1),
        DATE(VALUE(RIGHT(C222,4)),VALUE(LEFT(C222,2)),VALUE(MID(C222,4,2))),
        DATEVALUE(C222)
      )
    )
  ),
"INVALID_DATE")</f>
        <v>45538</v>
      </c>
      <c r="AB222">
        <f t="shared" si="21"/>
        <v>0</v>
      </c>
      <c r="AC222" t="str">
        <f t="shared" si="22"/>
        <v>September</v>
      </c>
      <c r="AD222">
        <f t="shared" si="23"/>
        <v>2024</v>
      </c>
    </row>
    <row r="223" spans="1:30">
      <c r="A223" t="s">
        <v>1183</v>
      </c>
      <c r="B223" t="s">
        <v>1184</v>
      </c>
      <c r="C223" t="s">
        <v>1185</v>
      </c>
      <c r="D223" t="s">
        <v>1186</v>
      </c>
      <c r="E223" t="s">
        <v>47</v>
      </c>
      <c r="F223" t="s">
        <v>115</v>
      </c>
      <c r="G223" t="s">
        <v>69</v>
      </c>
      <c r="H223" t="s">
        <v>236</v>
      </c>
      <c r="I223" t="s">
        <v>237</v>
      </c>
      <c r="J223" t="s">
        <v>52</v>
      </c>
      <c r="K223" t="s">
        <v>83</v>
      </c>
      <c r="L223" t="s">
        <v>1187</v>
      </c>
      <c r="M223" t="s">
        <v>55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41</v>
      </c>
      <c r="U223" t="s">
        <v>42</v>
      </c>
      <c r="V223">
        <f t="shared" si="18"/>
        <v>4900.8959999999997</v>
      </c>
      <c r="W223">
        <f t="shared" si="19"/>
        <v>1348.2099999999996</v>
      </c>
      <c r="X223">
        <f t="shared" si="20"/>
        <v>0.27509437042175927</v>
      </c>
      <c r="Y223" t="str">
        <f>_xlfn.TEXTJOIN(", ",TRUE,IF(G223="Unknown","Missing Region",""),IF(M223="Unknown","Missing Ship Mode",""),IF(P223&lt;0,"Negative Discount",""),IF(P223&gt;0.7,"High Discount",""),IF(C223&lt;B223,"Ship Before Order",""))</f>
        <v/>
      </c>
      <c r="Z223" s="2">
        <f>IFERROR(
  IF(ISNUMBER(B223),B223,
    IF(ISNUMBER(SEARCH("-",B223)*1),
      IF(LEN(LEFT(B223,FIND("-",B223)-1))=4,
        DATE(VALUE(LEFT(B223,4)),VALUE(MID(B223,6,2)),VALUE(RIGHT(B223,2))),
        DATE(VALUE(RIGHT(B223,4)),VALUE(MID(B223,4,2)),VALUE(LEFT(B223,2)))
      ),
      IF(ISNUMBER(SEARCH("/",B223)*1),
        DATE(VALUE(RIGHT(B223,4)),VALUE(LEFT(B223,2)),VALUE(MID(B223,4,2))),
        DATEVALUE(B223)
      )
    )
  ),
"INVALID_DATE")</f>
        <v>45669</v>
      </c>
      <c r="AA223" s="2">
        <f>IFERROR(
  IF(ISNUMBER(C223),C223,
    IF(ISNUMBER(SEARCH("-",C223)*1),
      IF(LEN(LEFT(C223,FIND("-",C223)-1))=4,
        DATE(VALUE(LEFT(C223,4)),VALUE(MID(C223,6,2)),VALUE(RIGHT(C223,2))),
        DATE(VALUE(RIGHT(C223,4)),VALUE(MID(C223,4,2)),VALUE(LEFT(C223,2)))
      ),
      IF(ISNUMBER(SEARCH("/",C223)*1),
        DATE(VALUE(RIGHT(C223,4)),VALUE(LEFT(C223,2)),VALUE(MID(C223,4,2))),
        DATEVALUE(C223)
      )
    )
  ),
"INVALID_DATE")</f>
        <v>45672</v>
      </c>
      <c r="AB223">
        <f t="shared" si="21"/>
        <v>3</v>
      </c>
      <c r="AC223" t="str">
        <f t="shared" si="22"/>
        <v>January</v>
      </c>
      <c r="AD223">
        <f t="shared" si="23"/>
        <v>2025</v>
      </c>
    </row>
    <row r="224" spans="1:30">
      <c r="A224" t="s">
        <v>1188</v>
      </c>
      <c r="B224" t="s">
        <v>1189</v>
      </c>
      <c r="C224" t="s">
        <v>1021</v>
      </c>
      <c r="D224" t="s">
        <v>1190</v>
      </c>
      <c r="E224" t="s">
        <v>90</v>
      </c>
      <c r="F224" t="s">
        <v>48</v>
      </c>
      <c r="G224" t="s">
        <v>80</v>
      </c>
      <c r="H224" t="s">
        <v>256</v>
      </c>
      <c r="I224" t="s">
        <v>257</v>
      </c>
      <c r="J224" t="s">
        <v>37</v>
      </c>
      <c r="K224" t="s">
        <v>163</v>
      </c>
      <c r="L224" t="s">
        <v>1191</v>
      </c>
      <c r="M224" t="s">
        <v>63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41</v>
      </c>
      <c r="U224" t="s">
        <v>42</v>
      </c>
      <c r="V224">
        <f t="shared" si="18"/>
        <v>25848.54</v>
      </c>
      <c r="W224">
        <f t="shared" si="19"/>
        <v>8119.4500000000007</v>
      </c>
      <c r="X224">
        <f t="shared" si="20"/>
        <v>0.31411638723115504</v>
      </c>
      <c r="Y224" t="str">
        <f>_xlfn.TEXTJOIN(", ",TRUE,IF(G224="Unknown","Missing Region",""),IF(M224="Unknown","Missing Ship Mode",""),IF(P224&lt;0,"Negative Discount",""),IF(P224&gt;0.7,"High Discount",""),IF(C224&lt;B224,"Ship Before Order",""))</f>
        <v>Ship Before Order</v>
      </c>
      <c r="Z224" s="2">
        <f>IFERROR(
  IF(ISNUMBER(B224),B224,
    IF(ISNUMBER(SEARCH("-",B224)*1),
      IF(LEN(LEFT(B224,FIND("-",B224)-1))=4,
        DATE(VALUE(LEFT(B224,4)),VALUE(MID(B224,6,2)),VALUE(RIGHT(B224,2))),
        DATE(VALUE(RIGHT(B224,4)),VALUE(MID(B224,4,2)),VALUE(LEFT(B224,2)))
      ),
      IF(ISNUMBER(SEARCH("/",B224)*1),
        DATE(VALUE(RIGHT(B224,4)),VALUE(LEFT(B224,2)),VALUE(MID(B224,4,2))),
        DATEVALUE(B224)
      )
    )
  ),
"INVALID_DATE")</f>
        <v>45776</v>
      </c>
      <c r="AA224" s="2">
        <f>IFERROR(
  IF(ISNUMBER(C224),C224,
    IF(ISNUMBER(SEARCH("-",C224)*1),
      IF(LEN(LEFT(C224,FIND("-",C224)-1))=4,
        DATE(VALUE(LEFT(C224,4)),VALUE(MID(C224,6,2)),VALUE(RIGHT(C224,2))),
        DATE(VALUE(RIGHT(C224,4)),VALUE(MID(C224,4,2)),VALUE(LEFT(C224,2)))
      ),
      IF(ISNUMBER(SEARCH("/",C224)*1),
        DATE(VALUE(RIGHT(C224,4)),VALUE(LEFT(C224,2)),VALUE(MID(C224,4,2))),
        DATEVALUE(C224)
      )
    )
  ),
"INVALID_DATE")</f>
        <v>45779</v>
      </c>
      <c r="AB224">
        <f t="shared" si="21"/>
        <v>3</v>
      </c>
      <c r="AC224" t="str">
        <f t="shared" si="22"/>
        <v>April</v>
      </c>
      <c r="AD224">
        <f t="shared" si="23"/>
        <v>2025</v>
      </c>
    </row>
    <row r="225" spans="1:30">
      <c r="A225" t="s">
        <v>1192</v>
      </c>
      <c r="B225" t="s">
        <v>1193</v>
      </c>
      <c r="C225" t="s">
        <v>1194</v>
      </c>
      <c r="D225" t="s">
        <v>1195</v>
      </c>
      <c r="E225" t="s">
        <v>47</v>
      </c>
      <c r="F225" t="s">
        <v>115</v>
      </c>
      <c r="G225" t="s">
        <v>80</v>
      </c>
      <c r="H225" t="s">
        <v>81</v>
      </c>
      <c r="I225" t="s">
        <v>82</v>
      </c>
      <c r="J225" t="s">
        <v>52</v>
      </c>
      <c r="K225" t="s">
        <v>72</v>
      </c>
      <c r="L225" t="s">
        <v>1196</v>
      </c>
      <c r="M225" t="s">
        <v>63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144</v>
      </c>
      <c r="U225" t="s">
        <v>132</v>
      </c>
      <c r="V225">
        <f t="shared" si="18"/>
        <v>1176.72</v>
      </c>
      <c r="W225">
        <f t="shared" si="19"/>
        <v>522.39</v>
      </c>
      <c r="X225">
        <f t="shared" si="20"/>
        <v>0.44393738527432181</v>
      </c>
      <c r="Y225" t="str">
        <f>_xlfn.TEXTJOIN(", ",TRUE,IF(G225="Unknown","Missing Region",""),IF(M225="Unknown","Missing Ship Mode",""),IF(P225&lt;0,"Negative Discount",""),IF(P225&gt;0.7,"High Discount",""),IF(C225&lt;B225,"Ship Before Order",""))</f>
        <v>Ship Before Order</v>
      </c>
      <c r="Z225" s="2">
        <f>IFERROR(
  IF(ISNUMBER(B225),B225,
    IF(ISNUMBER(SEARCH("-",B225)*1),
      IF(LEN(LEFT(B225,FIND("-",B225)-1))=4,
        DATE(VALUE(LEFT(B225,4)),VALUE(MID(B225,6,2)),VALUE(RIGHT(B225,2))),
        DATE(VALUE(RIGHT(B225,4)),VALUE(MID(B225,4,2)),VALUE(LEFT(B225,2)))
      ),
      IF(ISNUMBER(SEARCH("/",B225)*1),
        DATE(VALUE(RIGHT(B225,4)),VALUE(LEFT(B225,2)),VALUE(MID(B225,4,2))),
        DATEVALUE(B225)
      )
    )
  ),
"INVALID_DATE")</f>
        <v>45707</v>
      </c>
      <c r="AA225" s="2">
        <f>IFERROR(
  IF(ISNUMBER(C225),C225,
    IF(ISNUMBER(SEARCH("-",C225)*1),
      IF(LEN(LEFT(C225,FIND("-",C225)-1))=4,
        DATE(VALUE(LEFT(C225,4)),VALUE(MID(C225,6,2)),VALUE(RIGHT(C225,2))),
        DATE(VALUE(RIGHT(C225,4)),VALUE(MID(C225,4,2)),VALUE(LEFT(C225,2)))
      ),
      IF(ISNUMBER(SEARCH("/",C225)*1),
        DATE(VALUE(RIGHT(C225,4)),VALUE(LEFT(C225,2)),VALUE(MID(C225,4,2))),
        DATEVALUE(C225)
      )
    )
  ),
"INVALID_DATE")</f>
        <v>45714</v>
      </c>
      <c r="AB225">
        <f t="shared" si="21"/>
        <v>7</v>
      </c>
      <c r="AC225" t="str">
        <f t="shared" si="22"/>
        <v>February</v>
      </c>
      <c r="AD225">
        <f t="shared" si="23"/>
        <v>2025</v>
      </c>
    </row>
    <row r="226" spans="1:30">
      <c r="A226" t="s">
        <v>1197</v>
      </c>
      <c r="B226" t="s">
        <v>1198</v>
      </c>
      <c r="C226" t="s">
        <v>1199</v>
      </c>
      <c r="D226" t="s">
        <v>1200</v>
      </c>
      <c r="E226" t="s">
        <v>60</v>
      </c>
      <c r="F226" t="s">
        <v>48</v>
      </c>
      <c r="G226" t="s">
        <v>34</v>
      </c>
      <c r="H226" t="s">
        <v>161</v>
      </c>
      <c r="I226" t="s">
        <v>162</v>
      </c>
      <c r="J226" t="s">
        <v>52</v>
      </c>
      <c r="K226" t="s">
        <v>72</v>
      </c>
      <c r="L226" t="s">
        <v>1201</v>
      </c>
      <c r="M226" t="s">
        <v>74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41</v>
      </c>
      <c r="U226" t="s">
        <v>85</v>
      </c>
      <c r="V226">
        <f t="shared" si="18"/>
        <v>11833.92</v>
      </c>
      <c r="W226">
        <f t="shared" si="19"/>
        <v>5151</v>
      </c>
      <c r="X226">
        <f t="shared" si="20"/>
        <v>0.43527419485681834</v>
      </c>
      <c r="Y226" t="str">
        <f>_xlfn.TEXTJOIN(", ",TRUE,IF(G226="Unknown","Missing Region",""),IF(M226="Unknown","Missing Ship Mode",""),IF(P226&lt;0,"Negative Discount",""),IF(P226&gt;0.7,"High Discount",""),IF(C226&lt;B226,"Ship Before Order",""))</f>
        <v>Ship Before Order</v>
      </c>
      <c r="Z226" s="2">
        <f>IFERROR(
  IF(ISNUMBER(B226),B226,
    IF(ISNUMBER(SEARCH("-",B226)*1),
      IF(LEN(LEFT(B226,FIND("-",B226)-1))=4,
        DATE(VALUE(LEFT(B226,4)),VALUE(MID(B226,6,2)),VALUE(RIGHT(B226,2))),
        DATE(VALUE(RIGHT(B226,4)),VALUE(MID(B226,4,2)),VALUE(LEFT(B226,2)))
      ),
      IF(ISNUMBER(SEARCH("/",B226)*1),
        DATE(VALUE(RIGHT(B226,4)),VALUE(LEFT(B226,2)),VALUE(MID(B226,4,2))),
        DATEVALUE(B226)
      )
    )
  ),
"INVALID_DATE")</f>
        <v>45932</v>
      </c>
      <c r="AA226" s="2">
        <f>IFERROR(
  IF(ISNUMBER(C226),C226,
    IF(ISNUMBER(SEARCH("-",C226)*1),
      IF(LEN(LEFT(C226,FIND("-",C226)-1))=4,
        DATE(VALUE(LEFT(C226,4)),VALUE(MID(C226,6,2)),VALUE(RIGHT(C226,2))),
        DATE(VALUE(RIGHT(C226,4)),VALUE(MID(C226,4,2)),VALUE(LEFT(C226,2)))
      ),
      IF(ISNUMBER(SEARCH("/",C226)*1),
        DATE(VALUE(RIGHT(C226,4)),VALUE(LEFT(C226,2)),VALUE(MID(C226,4,2))),
        DATEVALUE(C226)
      )
    )
  ),
"INVALID_DATE")</f>
        <v>45938</v>
      </c>
      <c r="AB226">
        <f t="shared" si="21"/>
        <v>6</v>
      </c>
      <c r="AC226" t="str">
        <f t="shared" si="22"/>
        <v>October</v>
      </c>
      <c r="AD226">
        <f t="shared" si="23"/>
        <v>2025</v>
      </c>
    </row>
    <row r="227" spans="1:30">
      <c r="A227" t="s">
        <v>1202</v>
      </c>
      <c r="B227" t="s">
        <v>1203</v>
      </c>
      <c r="C227" t="s">
        <v>1204</v>
      </c>
      <c r="D227" t="s">
        <v>1205</v>
      </c>
      <c r="E227" t="s">
        <v>47</v>
      </c>
      <c r="F227" t="s">
        <v>115</v>
      </c>
      <c r="G227" t="s">
        <v>80</v>
      </c>
      <c r="H227" t="s">
        <v>256</v>
      </c>
      <c r="I227" t="s">
        <v>257</v>
      </c>
      <c r="J227" t="s">
        <v>93</v>
      </c>
      <c r="K227" t="s">
        <v>230</v>
      </c>
      <c r="L227" t="s">
        <v>1206</v>
      </c>
      <c r="M227" t="s">
        <v>74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41</v>
      </c>
      <c r="U227" t="s">
        <v>42</v>
      </c>
      <c r="V227">
        <f t="shared" si="18"/>
        <v>5265.5969999999998</v>
      </c>
      <c r="W227">
        <f t="shared" si="19"/>
        <v>972.49000000000069</v>
      </c>
      <c r="X227">
        <f t="shared" si="20"/>
        <v>0.14956890003038589</v>
      </c>
      <c r="Y227" t="str">
        <f>_xlfn.TEXTJOIN(", ",TRUE,IF(G227="Unknown","Missing Region",""),IF(M227="Unknown","Missing Ship Mode",""),IF(P227&lt;0,"Negative Discount",""),IF(P227&gt;0.7,"High Discount",""),IF(C227&lt;B227,"Ship Before Order",""))</f>
        <v/>
      </c>
      <c r="Z227" s="2">
        <f>IFERROR(
  IF(ISNUMBER(B227),B227,
    IF(ISNUMBER(SEARCH("-",B227)*1),
      IF(LEN(LEFT(B227,FIND("-",B227)-1))=4,
        DATE(VALUE(LEFT(B227,4)),VALUE(MID(B227,6,2)),VALUE(RIGHT(B227,2))),
        DATE(VALUE(RIGHT(B227,4)),VALUE(MID(B227,4,2)),VALUE(LEFT(B227,2)))
      ),
      IF(ISNUMBER(SEARCH("/",B227)*1),
        DATE(VALUE(RIGHT(B227,4)),VALUE(LEFT(B227,2)),VALUE(MID(B227,4,2))),
        DATEVALUE(B227)
      )
    )
  ),
"INVALID_DATE")</f>
        <v>45537</v>
      </c>
      <c r="AA227" s="2">
        <f>IFERROR(
  IF(ISNUMBER(C227),C227,
    IF(ISNUMBER(SEARCH("-",C227)*1),
      IF(LEN(LEFT(C227,FIND("-",C227)-1))=4,
        DATE(VALUE(LEFT(C227,4)),VALUE(MID(C227,6,2)),VALUE(RIGHT(C227,2))),
        DATE(VALUE(RIGHT(C227,4)),VALUE(MID(C227,4,2)),VALUE(LEFT(C227,2)))
      ),
      IF(ISNUMBER(SEARCH("/",C227)*1),
        DATE(VALUE(RIGHT(C227,4)),VALUE(LEFT(C227,2)),VALUE(MID(C227,4,2))),
        DATEVALUE(C227)
      )
    )
  ),
"INVALID_DATE")</f>
        <v>45545</v>
      </c>
      <c r="AB227">
        <f t="shared" si="21"/>
        <v>8</v>
      </c>
      <c r="AC227" t="str">
        <f t="shared" si="22"/>
        <v>September</v>
      </c>
      <c r="AD227">
        <f t="shared" si="23"/>
        <v>2024</v>
      </c>
    </row>
    <row r="228" spans="1:30">
      <c r="A228" t="s">
        <v>1207</v>
      </c>
      <c r="B228" t="s">
        <v>1208</v>
      </c>
      <c r="C228" t="s">
        <v>1161</v>
      </c>
      <c r="D228" t="s">
        <v>1209</v>
      </c>
      <c r="E228" t="s">
        <v>217</v>
      </c>
      <c r="F228" t="s">
        <v>122</v>
      </c>
      <c r="G228" t="s">
        <v>279</v>
      </c>
      <c r="H228" t="s">
        <v>249</v>
      </c>
      <c r="I228" t="s">
        <v>250</v>
      </c>
      <c r="J228" t="s">
        <v>93</v>
      </c>
      <c r="K228" t="s">
        <v>101</v>
      </c>
      <c r="L228" t="s">
        <v>1210</v>
      </c>
      <c r="M228" t="s">
        <v>55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41</v>
      </c>
      <c r="U228" t="s">
        <v>42</v>
      </c>
      <c r="V228">
        <f t="shared" si="18"/>
        <v>1987.443</v>
      </c>
      <c r="W228">
        <f t="shared" si="19"/>
        <v>877.21</v>
      </c>
      <c r="X228">
        <f t="shared" si="20"/>
        <v>0.44137684659662685</v>
      </c>
      <c r="Y228" t="str">
        <f>_xlfn.TEXTJOIN(", ",TRUE,IF(G228="Unknown","Missing Region",""),IF(M228="Unknown","Missing Ship Mode",""),IF(P228&lt;0,"Negative Discount",""),IF(P228&gt;0.7,"High Discount",""),IF(C228&lt;B228,"Ship Before Order",""))</f>
        <v>Missing Region</v>
      </c>
      <c r="Z228" s="2">
        <f>IFERROR(
  IF(ISNUMBER(B228),B228,
    IF(ISNUMBER(SEARCH("-",B228)*1),
      IF(LEN(LEFT(B228,FIND("-",B228)-1))=4,
        DATE(VALUE(LEFT(B228,4)),VALUE(MID(B228,6,2)),VALUE(RIGHT(B228,2))),
        DATE(VALUE(RIGHT(B228,4)),VALUE(MID(B228,4,2)),VALUE(LEFT(B228,2)))
      ),
      IF(ISNUMBER(SEARCH("/",B228)*1),
        DATE(VALUE(RIGHT(B228,4)),VALUE(LEFT(B228,2)),VALUE(MID(B228,4,2))),
        DATEVALUE(B228)
      )
    )
  ),
"INVALID_DATE")</f>
        <v>45757</v>
      </c>
      <c r="AA228" s="2">
        <f>IFERROR(
  IF(ISNUMBER(C228),C228,
    IF(ISNUMBER(SEARCH("-",C228)*1),
      IF(LEN(LEFT(C228,FIND("-",C228)-1))=4,
        DATE(VALUE(LEFT(C228,4)),VALUE(MID(C228,6,2)),VALUE(RIGHT(C228,2))),
        DATE(VALUE(RIGHT(C228,4)),VALUE(MID(C228,4,2)),VALUE(LEFT(C228,2)))
      ),
      IF(ISNUMBER(SEARCH("/",C228)*1),
        DATE(VALUE(RIGHT(C228,4)),VALUE(LEFT(C228,2)),VALUE(MID(C228,4,2))),
        DATEVALUE(C228)
      )
    )
  ),
"INVALID_DATE")</f>
        <v>45762</v>
      </c>
      <c r="AB228">
        <f t="shared" si="21"/>
        <v>5</v>
      </c>
      <c r="AC228" t="str">
        <f t="shared" si="22"/>
        <v>April</v>
      </c>
      <c r="AD228">
        <f t="shared" si="23"/>
        <v>2025</v>
      </c>
    </row>
    <row r="229" spans="1:30">
      <c r="A229" t="s">
        <v>1211</v>
      </c>
      <c r="B229" t="s">
        <v>1212</v>
      </c>
      <c r="C229" t="s">
        <v>1213</v>
      </c>
      <c r="D229" t="s">
        <v>1214</v>
      </c>
      <c r="E229" t="s">
        <v>79</v>
      </c>
      <c r="F229" t="s">
        <v>1215</v>
      </c>
      <c r="G229" t="s">
        <v>80</v>
      </c>
      <c r="H229" t="s">
        <v>256</v>
      </c>
      <c r="I229" t="s">
        <v>257</v>
      </c>
      <c r="J229" t="s">
        <v>37</v>
      </c>
      <c r="K229" t="s">
        <v>205</v>
      </c>
      <c r="L229" t="s">
        <v>1216</v>
      </c>
      <c r="M229" t="s">
        <v>63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41</v>
      </c>
      <c r="U229" t="s">
        <v>42</v>
      </c>
      <c r="V229">
        <f t="shared" si="18"/>
        <v>1473.2624999999998</v>
      </c>
      <c r="W229">
        <f t="shared" si="19"/>
        <v>573.4</v>
      </c>
      <c r="X229">
        <f t="shared" si="20"/>
        <v>0.38920489255121293</v>
      </c>
      <c r="Y229" t="str">
        <f>_xlfn.TEXTJOIN(", ",TRUE,IF(G229="Unknown","Missing Region",""),IF(M229="Unknown","Missing Ship Mode",""),IF(P229&lt;0,"Negative Discount",""),IF(P229&gt;0.7,"High Discount",""),IF(C229&lt;B229,"Ship Before Order",""))</f>
        <v>Ship Before Order</v>
      </c>
      <c r="Z229" s="2">
        <f>IFERROR(
  IF(ISNUMBER(B229),B229,
    IF(ISNUMBER(SEARCH("-",B229)*1),
      IF(LEN(LEFT(B229,FIND("-",B229)-1))=4,
        DATE(VALUE(LEFT(B229,4)),VALUE(MID(B229,6,2)),VALUE(RIGHT(B229,2))),
        DATE(VALUE(RIGHT(B229,4)),VALUE(MID(B229,4,2)),VALUE(LEFT(B229,2)))
      ),
      IF(ISNUMBER(SEARCH("/",B229)*1),
        DATE(VALUE(RIGHT(B229,4)),VALUE(LEFT(B229,2)),VALUE(MID(B229,4,2))),
        DATEVALUE(B229)
      )
    )
  ),
"INVALID_DATE")</f>
        <v>45478</v>
      </c>
      <c r="AA229" s="2">
        <f>IFERROR(
  IF(ISNUMBER(C229),C229,
    IF(ISNUMBER(SEARCH("-",C229)*1),
      IF(LEN(LEFT(C229,FIND("-",C229)-1))=4,
        DATE(VALUE(LEFT(C229,4)),VALUE(MID(C229,6,2)),VALUE(RIGHT(C229,2))),
        DATE(VALUE(RIGHT(C229,4)),VALUE(MID(C229,4,2)),VALUE(LEFT(C229,2)))
      ),
      IF(ISNUMBER(SEARCH("/",C229)*1),
        DATE(VALUE(RIGHT(C229,4)),VALUE(LEFT(C229,2)),VALUE(MID(C229,4,2))),
        DATEVALUE(C229)
      )
    )
  ),
"INVALID_DATE")</f>
        <v>45485</v>
      </c>
      <c r="AB229">
        <f t="shared" si="21"/>
        <v>7</v>
      </c>
      <c r="AC229" t="str">
        <f t="shared" si="22"/>
        <v>July</v>
      </c>
      <c r="AD229">
        <f t="shared" si="23"/>
        <v>2024</v>
      </c>
    </row>
    <row r="230" spans="1:30">
      <c r="A230" t="s">
        <v>1217</v>
      </c>
      <c r="B230" t="s">
        <v>1218</v>
      </c>
      <c r="C230" t="s">
        <v>1219</v>
      </c>
      <c r="D230" t="s">
        <v>1220</v>
      </c>
      <c r="E230" t="s">
        <v>32</v>
      </c>
      <c r="F230" t="s">
        <v>48</v>
      </c>
      <c r="G230" t="s">
        <v>69</v>
      </c>
      <c r="H230" t="s">
        <v>70</v>
      </c>
      <c r="I230" t="s">
        <v>71</v>
      </c>
      <c r="J230" t="s">
        <v>37</v>
      </c>
      <c r="K230" t="s">
        <v>116</v>
      </c>
      <c r="L230" t="s">
        <v>1221</v>
      </c>
      <c r="M230" t="s">
        <v>40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41</v>
      </c>
      <c r="U230" t="s">
        <v>42</v>
      </c>
      <c r="V230">
        <f t="shared" si="18"/>
        <v>2715.2145</v>
      </c>
      <c r="W230">
        <f t="shared" si="19"/>
        <v>1163.6600000000001</v>
      </c>
      <c r="X230">
        <f t="shared" si="20"/>
        <v>0.4285709024348025</v>
      </c>
      <c r="Y230" t="str">
        <f>_xlfn.TEXTJOIN(", ",TRUE,IF(G230="Unknown","Missing Region",""),IF(M230="Unknown","Missing Ship Mode",""),IF(P230&lt;0,"Negative Discount",""),IF(P230&gt;0.7,"High Discount",""),IF(C230&lt;B230,"Ship Before Order",""))</f>
        <v/>
      </c>
      <c r="Z230" s="2">
        <f>IFERROR(
  IF(ISNUMBER(B230),B230,
    IF(ISNUMBER(SEARCH("-",B230)*1),
      IF(LEN(LEFT(B230,FIND("-",B230)-1))=4,
        DATE(VALUE(LEFT(B230,4)),VALUE(MID(B230,6,2)),VALUE(RIGHT(B230,2))),
        DATE(VALUE(RIGHT(B230,4)),VALUE(MID(B230,4,2)),VALUE(LEFT(B230,2)))
      ),
      IF(ISNUMBER(SEARCH("/",B230)*1),
        DATE(VALUE(RIGHT(B230,4)),VALUE(LEFT(B230,2)),VALUE(MID(B230,4,2))),
        DATEVALUE(B230)
      )
    )
  ),
"INVALID_DATE")</f>
        <v>45406</v>
      </c>
      <c r="AA230" s="2">
        <f>IFERROR(
  IF(ISNUMBER(C230),C230,
    IF(ISNUMBER(SEARCH("-",C230)*1),
      IF(LEN(LEFT(C230,FIND("-",C230)-1))=4,
        DATE(VALUE(LEFT(C230,4)),VALUE(MID(C230,6,2)),VALUE(RIGHT(C230,2))),
        DATE(VALUE(RIGHT(C230,4)),VALUE(MID(C230,4,2)),VALUE(LEFT(C230,2)))
      ),
      IF(ISNUMBER(SEARCH("/",C230)*1),
        DATE(VALUE(RIGHT(C230,4)),VALUE(LEFT(C230,2)),VALUE(MID(C230,4,2))),
        DATEVALUE(C230)
      )
    )
  ),
"INVALID_DATE")</f>
        <v>45410</v>
      </c>
      <c r="AB230">
        <f t="shared" si="21"/>
        <v>4</v>
      </c>
      <c r="AC230" t="str">
        <f t="shared" si="22"/>
        <v>April</v>
      </c>
      <c r="AD230">
        <f t="shared" si="23"/>
        <v>2024</v>
      </c>
    </row>
    <row r="231" spans="1:30">
      <c r="A231" t="s">
        <v>1222</v>
      </c>
      <c r="B231" t="s">
        <v>1223</v>
      </c>
      <c r="C231" t="s">
        <v>1224</v>
      </c>
      <c r="D231" t="s">
        <v>1225</v>
      </c>
      <c r="E231" t="s">
        <v>187</v>
      </c>
      <c r="F231" t="s">
        <v>33</v>
      </c>
      <c r="G231" t="s">
        <v>69</v>
      </c>
      <c r="H231" t="s">
        <v>70</v>
      </c>
      <c r="I231" t="s">
        <v>71</v>
      </c>
      <c r="J231" t="s">
        <v>52</v>
      </c>
      <c r="K231" t="s">
        <v>211</v>
      </c>
      <c r="L231" t="s">
        <v>1226</v>
      </c>
      <c r="M231" t="s">
        <v>63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131</v>
      </c>
      <c r="U231" t="s">
        <v>132</v>
      </c>
      <c r="V231">
        <f t="shared" si="18"/>
        <v>8658.69</v>
      </c>
      <c r="W231">
        <f t="shared" si="19"/>
        <v>3122.7500000000009</v>
      </c>
      <c r="X231">
        <f t="shared" si="20"/>
        <v>0.36064924370776641</v>
      </c>
      <c r="Y231" t="str">
        <f>_xlfn.TEXTJOIN(", ",TRUE,IF(G231="Unknown","Missing Region",""),IF(M231="Unknown","Missing Ship Mode",""),IF(P231&lt;0,"Negative Discount",""),IF(P231&gt;0.7,"High Discount",""),IF(C231&lt;B231,"Ship Before Order",""))</f>
        <v>Ship Before Order</v>
      </c>
      <c r="Z231" s="2">
        <f>IFERROR(
  IF(ISNUMBER(B231),B231,
    IF(ISNUMBER(SEARCH("-",B231)*1),
      IF(LEN(LEFT(B231,FIND("-",B231)-1))=4,
        DATE(VALUE(LEFT(B231,4)),VALUE(MID(B231,6,2)),VALUE(RIGHT(B231,2))),
        DATE(VALUE(RIGHT(B231,4)),VALUE(MID(B231,4,2)),VALUE(LEFT(B231,2)))
      ),
      IF(ISNUMBER(SEARCH("/",B231)*1),
        DATE(VALUE(RIGHT(B231,4)),VALUE(LEFT(B231,2)),VALUE(MID(B231,4,2))),
        DATEVALUE(B231)
      )
    )
  ),
"INVALID_DATE")</f>
        <v>45836</v>
      </c>
      <c r="AA231" s="2">
        <f>IFERROR(
  IF(ISNUMBER(C231),C231,
    IF(ISNUMBER(SEARCH("-",C231)*1),
      IF(LEN(LEFT(C231,FIND("-",C231)-1))=4,
        DATE(VALUE(LEFT(C231,4)),VALUE(MID(C231,6,2)),VALUE(RIGHT(C231,2))),
        DATE(VALUE(RIGHT(C231,4)),VALUE(MID(C231,4,2)),VALUE(LEFT(C231,2)))
      ),
      IF(ISNUMBER(SEARCH("/",C231)*1),
        DATE(VALUE(RIGHT(C231,4)),VALUE(LEFT(C231,2)),VALUE(MID(C231,4,2))),
        DATEVALUE(C231)
      )
    )
  ),
"INVALID_DATE")</f>
        <v>45842</v>
      </c>
      <c r="AB231">
        <f t="shared" si="21"/>
        <v>6</v>
      </c>
      <c r="AC231" t="str">
        <f t="shared" si="22"/>
        <v>June</v>
      </c>
      <c r="AD231">
        <f t="shared" si="23"/>
        <v>2025</v>
      </c>
    </row>
    <row r="232" spans="1:30">
      <c r="A232" t="s">
        <v>1227</v>
      </c>
      <c r="B232" t="s">
        <v>88</v>
      </c>
      <c r="C232" t="s">
        <v>1228</v>
      </c>
      <c r="D232" t="s">
        <v>1229</v>
      </c>
      <c r="E232" t="s">
        <v>100</v>
      </c>
      <c r="F232" t="s">
        <v>48</v>
      </c>
      <c r="G232" t="s">
        <v>34</v>
      </c>
      <c r="H232" t="s">
        <v>35</v>
      </c>
      <c r="I232" t="s">
        <v>36</v>
      </c>
      <c r="J232" t="s">
        <v>37</v>
      </c>
      <c r="K232" t="s">
        <v>38</v>
      </c>
      <c r="L232" t="s">
        <v>1230</v>
      </c>
      <c r="M232" t="s">
        <v>74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41</v>
      </c>
      <c r="U232" t="s">
        <v>42</v>
      </c>
      <c r="V232">
        <f t="shared" si="18"/>
        <v>11090.376</v>
      </c>
      <c r="W232">
        <f t="shared" si="19"/>
        <v>2249.4299999999985</v>
      </c>
      <c r="X232">
        <f t="shared" si="20"/>
        <v>0.20282713486823717</v>
      </c>
      <c r="Y232" t="str">
        <f>_xlfn.TEXTJOIN(", ",TRUE,IF(G232="Unknown","Missing Region",""),IF(M232="Unknown","Missing Ship Mode",""),IF(P232&lt;0,"Negative Discount",""),IF(P232&gt;0.7,"High Discount",""),IF(C232&lt;B232,"Ship Before Order",""))</f>
        <v>Ship Before Order</v>
      </c>
      <c r="Z232" s="2">
        <f>IFERROR(
  IF(ISNUMBER(B232),B232,
    IF(ISNUMBER(SEARCH("-",B232)*1),
      IF(LEN(LEFT(B232,FIND("-",B232)-1))=4,
        DATE(VALUE(LEFT(B232,4)),VALUE(MID(B232,6,2)),VALUE(RIGHT(B232,2))),
        DATE(VALUE(RIGHT(B232,4)),VALUE(MID(B232,4,2)),VALUE(LEFT(B232,2)))
      ),
      IF(ISNUMBER(SEARCH("/",B232)*1),
        DATE(VALUE(RIGHT(B232,4)),VALUE(LEFT(B232,2)),VALUE(MID(B232,4,2))),
        DATEVALUE(B232)
      )
    )
  ),
"INVALID_DATE")</f>
        <v>45440</v>
      </c>
      <c r="AA232" s="2">
        <f>IFERROR(
  IF(ISNUMBER(C232),C232,
    IF(ISNUMBER(SEARCH("-",C232)*1),
      IF(LEN(LEFT(C232,FIND("-",C232)-1))=4,
        DATE(VALUE(LEFT(C232,4)),VALUE(MID(C232,6,2)),VALUE(RIGHT(C232,2))),
        DATE(VALUE(RIGHT(C232,4)),VALUE(MID(C232,4,2)),VALUE(LEFT(C232,2)))
      ),
      IF(ISNUMBER(SEARCH("/",C232)*1),
        DATE(VALUE(RIGHT(C232,4)),VALUE(LEFT(C232,2)),VALUE(MID(C232,4,2))),
        DATEVALUE(C232)
      )
    )
  ),
"INVALID_DATE")</f>
        <v>45446</v>
      </c>
      <c r="AB232">
        <f t="shared" si="21"/>
        <v>6</v>
      </c>
      <c r="AC232" t="str">
        <f t="shared" si="22"/>
        <v>May</v>
      </c>
      <c r="AD232">
        <f t="shared" si="23"/>
        <v>2024</v>
      </c>
    </row>
    <row r="233" spans="1:30">
      <c r="A233" t="s">
        <v>1231</v>
      </c>
      <c r="B233" t="s">
        <v>1232</v>
      </c>
      <c r="C233" t="s">
        <v>1233</v>
      </c>
      <c r="D233" t="s">
        <v>1234</v>
      </c>
      <c r="E233" t="s">
        <v>79</v>
      </c>
      <c r="F233" t="s">
        <v>115</v>
      </c>
      <c r="G233" t="s">
        <v>34</v>
      </c>
      <c r="H233" t="s">
        <v>35</v>
      </c>
      <c r="I233" t="s">
        <v>36</v>
      </c>
      <c r="J233" t="s">
        <v>1235</v>
      </c>
      <c r="K233" t="s">
        <v>116</v>
      </c>
      <c r="L233" t="s">
        <v>1236</v>
      </c>
      <c r="M233" t="s">
        <v>63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131</v>
      </c>
      <c r="U233" t="s">
        <v>85</v>
      </c>
      <c r="V233">
        <f t="shared" si="18"/>
        <v>11462.745000000001</v>
      </c>
      <c r="W233">
        <f t="shared" si="19"/>
        <v>4299.2</v>
      </c>
      <c r="X233">
        <f t="shared" si="20"/>
        <v>0.37505866834631163</v>
      </c>
      <c r="Y233" t="str">
        <f>_xlfn.TEXTJOIN(", ",TRUE,IF(G233="Unknown","Missing Region",""),IF(M233="Unknown","Missing Ship Mode",""),IF(P233&lt;0,"Negative Discount",""),IF(P233&gt;0.7,"High Discount",""),IF(C233&lt;B233,"Ship Before Order",""))</f>
        <v>Ship Before Order</v>
      </c>
      <c r="Z233" s="2">
        <f>IFERROR(
  IF(ISNUMBER(B233),B233,
    IF(ISNUMBER(SEARCH("-",B233)*1),
      IF(LEN(LEFT(B233,FIND("-",B233)-1))=4,
        DATE(VALUE(LEFT(B233,4)),VALUE(MID(B233,6,2)),VALUE(RIGHT(B233,2))),
        DATE(VALUE(RIGHT(B233,4)),VALUE(MID(B233,4,2)),VALUE(LEFT(B233,2)))
      ),
      IF(ISNUMBER(SEARCH("/",B233)*1),
        DATE(VALUE(RIGHT(B233,4)),VALUE(LEFT(B233,2)),VALUE(MID(B233,4,2))),
        DATEVALUE(B233)
      )
    )
  ),
"INVALID_DATE")</f>
        <v>45414</v>
      </c>
      <c r="AA233" s="2">
        <f>IFERROR(
  IF(ISNUMBER(C233),C233,
    IF(ISNUMBER(SEARCH("-",C233)*1),
      IF(LEN(LEFT(C233,FIND("-",C233)-1))=4,
        DATE(VALUE(LEFT(C233,4)),VALUE(MID(C233,6,2)),VALUE(RIGHT(C233,2))),
        DATE(VALUE(RIGHT(C233,4)),VALUE(MID(C233,4,2)),VALUE(LEFT(C233,2)))
      ),
      IF(ISNUMBER(SEARCH("/",C233)*1),
        DATE(VALUE(RIGHT(C233,4)),VALUE(LEFT(C233,2)),VALUE(MID(C233,4,2))),
        DATEVALUE(C233)
      )
    )
  ),
"INVALID_DATE")</f>
        <v>45414</v>
      </c>
      <c r="AB233">
        <f t="shared" si="21"/>
        <v>0</v>
      </c>
      <c r="AC233" t="str">
        <f t="shared" si="22"/>
        <v>May</v>
      </c>
      <c r="AD233">
        <f t="shared" si="23"/>
        <v>2024</v>
      </c>
    </row>
    <row r="234" spans="1:30">
      <c r="A234" t="s">
        <v>1237</v>
      </c>
      <c r="B234" t="s">
        <v>1238</v>
      </c>
      <c r="C234" t="s">
        <v>1239</v>
      </c>
      <c r="D234" t="s">
        <v>1240</v>
      </c>
      <c r="E234" t="s">
        <v>155</v>
      </c>
      <c r="F234" t="s">
        <v>33</v>
      </c>
      <c r="G234" t="s">
        <v>69</v>
      </c>
      <c r="H234" t="s">
        <v>107</v>
      </c>
      <c r="I234" t="s">
        <v>108</v>
      </c>
      <c r="J234" t="s">
        <v>93</v>
      </c>
      <c r="K234" t="s">
        <v>230</v>
      </c>
      <c r="L234" t="s">
        <v>1241</v>
      </c>
      <c r="M234" t="s">
        <v>74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41</v>
      </c>
      <c r="U234" t="s">
        <v>42</v>
      </c>
      <c r="V234">
        <f t="shared" si="18"/>
        <v>670.11</v>
      </c>
      <c r="W234">
        <f t="shared" si="19"/>
        <v>110.53999999999996</v>
      </c>
      <c r="X234">
        <f t="shared" si="20"/>
        <v>0.16495799197146738</v>
      </c>
      <c r="Y234" t="str">
        <f>_xlfn.TEXTJOIN(", ",TRUE,IF(G234="Unknown","Missing Region",""),IF(M234="Unknown","Missing Ship Mode",""),IF(P234&lt;0,"Negative Discount",""),IF(P234&gt;0.7,"High Discount",""),IF(C234&lt;B234,"Ship Before Order",""))</f>
        <v/>
      </c>
      <c r="Z234" s="2">
        <f>IFERROR(
  IF(ISNUMBER(B234),B234,
    IF(ISNUMBER(SEARCH("-",B234)*1),
      IF(LEN(LEFT(B234,FIND("-",B234)-1))=4,
        DATE(VALUE(LEFT(B234,4)),VALUE(MID(B234,6,2)),VALUE(RIGHT(B234,2))),
        DATE(VALUE(RIGHT(B234,4)),VALUE(MID(B234,4,2)),VALUE(LEFT(B234,2)))
      ),
      IF(ISNUMBER(SEARCH("/",B234)*1),
        DATE(VALUE(RIGHT(B234,4)),VALUE(LEFT(B234,2)),VALUE(MID(B234,4,2))),
        DATEVALUE(B234)
      )
    )
  ),
"INVALID_DATE")</f>
        <v>45812</v>
      </c>
      <c r="AA234" s="2">
        <f>IFERROR(
  IF(ISNUMBER(C234),C234,
    IF(ISNUMBER(SEARCH("-",C234)*1),
      IF(LEN(LEFT(C234,FIND("-",C234)-1))=4,
        DATE(VALUE(LEFT(C234,4)),VALUE(MID(C234,6,2)),VALUE(RIGHT(C234,2))),
        DATE(VALUE(RIGHT(C234,4)),VALUE(MID(C234,4,2)),VALUE(LEFT(C234,2)))
      ),
      IF(ISNUMBER(SEARCH("/",C234)*1),
        DATE(VALUE(RIGHT(C234,4)),VALUE(LEFT(C234,2)),VALUE(MID(C234,4,2))),
        DATEVALUE(C234)
      )
    )
  ),
"INVALID_DATE")</f>
        <v>45818</v>
      </c>
      <c r="AB234">
        <f t="shared" si="21"/>
        <v>6</v>
      </c>
      <c r="AC234" t="str">
        <f t="shared" si="22"/>
        <v>June</v>
      </c>
      <c r="AD234">
        <f t="shared" si="23"/>
        <v>2025</v>
      </c>
    </row>
    <row r="235" spans="1:30">
      <c r="A235" t="s">
        <v>1242</v>
      </c>
      <c r="B235" t="s">
        <v>1243</v>
      </c>
      <c r="C235" t="s">
        <v>1244</v>
      </c>
      <c r="D235" t="s">
        <v>1245</v>
      </c>
      <c r="E235" t="s">
        <v>90</v>
      </c>
      <c r="F235" t="s">
        <v>115</v>
      </c>
      <c r="G235" t="s">
        <v>69</v>
      </c>
      <c r="H235" t="s">
        <v>236</v>
      </c>
      <c r="I235" t="s">
        <v>237</v>
      </c>
      <c r="J235" t="s">
        <v>52</v>
      </c>
      <c r="K235" t="s">
        <v>211</v>
      </c>
      <c r="L235" t="s">
        <v>1246</v>
      </c>
      <c r="M235" t="s">
        <v>279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41</v>
      </c>
      <c r="U235" t="s">
        <v>42</v>
      </c>
      <c r="V235">
        <f t="shared" si="18"/>
        <v>31236.720000000001</v>
      </c>
      <c r="W235">
        <f t="shared" si="19"/>
        <v>4859.0200000000004</v>
      </c>
      <c r="X235">
        <f t="shared" si="20"/>
        <v>0.15555474454424154</v>
      </c>
      <c r="Y235" t="str">
        <f>_xlfn.TEXTJOIN(", ",TRUE,IF(G235="Unknown","Missing Region",""),IF(M235="Unknown","Missing Ship Mode",""),IF(P235&lt;0,"Negative Discount",""),IF(P235&gt;0.7,"High Discount",""),IF(C235&lt;B235,"Ship Before Order",""))</f>
        <v>Missing Ship Mode, Ship Before Order</v>
      </c>
      <c r="Z235" s="2">
        <f>IFERROR(
  IF(ISNUMBER(B235),B235,
    IF(ISNUMBER(SEARCH("-",B235)*1),
      IF(LEN(LEFT(B235,FIND("-",B235)-1))=4,
        DATE(VALUE(LEFT(B235,4)),VALUE(MID(B235,6,2)),VALUE(RIGHT(B235,2))),
        DATE(VALUE(RIGHT(B235,4)),VALUE(MID(B235,4,2)),VALUE(LEFT(B235,2)))
      ),
      IF(ISNUMBER(SEARCH("/",B235)*1),
        DATE(VALUE(RIGHT(B235,4)),VALUE(LEFT(B235,2)),VALUE(MID(B235,4,2))),
        DATEVALUE(B235)
      )
    )
  ),
"INVALID_DATE")</f>
        <v>45579</v>
      </c>
      <c r="AA235" s="2">
        <f>IFERROR(
  IF(ISNUMBER(C235),C235,
    IF(ISNUMBER(SEARCH("-",C235)*1),
      IF(LEN(LEFT(C235,FIND("-",C235)-1))=4,
        DATE(VALUE(LEFT(C235,4)),VALUE(MID(C235,6,2)),VALUE(RIGHT(C235,2))),
        DATE(VALUE(RIGHT(C235,4)),VALUE(MID(C235,4,2)),VALUE(LEFT(C235,2)))
      ),
      IF(ISNUMBER(SEARCH("/",C235)*1),
        DATE(VALUE(RIGHT(C235,4)),VALUE(LEFT(C235,2)),VALUE(MID(C235,4,2))),
        DATEVALUE(C235)
      )
    )
  ),
"INVALID_DATE")</f>
        <v>45579</v>
      </c>
      <c r="AB235">
        <f t="shared" si="21"/>
        <v>0</v>
      </c>
      <c r="AC235" t="str">
        <f t="shared" si="22"/>
        <v>October</v>
      </c>
      <c r="AD235">
        <f t="shared" si="23"/>
        <v>2024</v>
      </c>
    </row>
    <row r="236" spans="1:30">
      <c r="A236" t="s">
        <v>1247</v>
      </c>
      <c r="B236" t="s">
        <v>1248</v>
      </c>
      <c r="C236" t="s">
        <v>1249</v>
      </c>
      <c r="D236" t="s">
        <v>1250</v>
      </c>
      <c r="E236" t="s">
        <v>374</v>
      </c>
      <c r="F236" t="s">
        <v>122</v>
      </c>
      <c r="G236" t="s">
        <v>34</v>
      </c>
      <c r="H236" t="s">
        <v>514</v>
      </c>
      <c r="I236" t="s">
        <v>515</v>
      </c>
      <c r="J236" t="s">
        <v>52</v>
      </c>
      <c r="K236" t="s">
        <v>72</v>
      </c>
      <c r="L236" t="s">
        <v>1251</v>
      </c>
      <c r="M236" t="s">
        <v>63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41</v>
      </c>
      <c r="U236" t="s">
        <v>42</v>
      </c>
      <c r="V236">
        <f t="shared" si="18"/>
        <v>10964.241</v>
      </c>
      <c r="W236">
        <f t="shared" si="19"/>
        <v>1701.7700000000004</v>
      </c>
      <c r="X236">
        <f t="shared" si="20"/>
        <v>0.15521094029317126</v>
      </c>
      <c r="Y236" t="str">
        <f>_xlfn.TEXTJOIN(", ",TRUE,IF(G236="Unknown","Missing Region",""),IF(M236="Unknown","Missing Ship Mode",""),IF(P236&lt;0,"Negative Discount",""),IF(P236&gt;0.7,"High Discount",""),IF(C236&lt;B236,"Ship Before Order",""))</f>
        <v>Ship Before Order</v>
      </c>
      <c r="Z236" s="2">
        <f>IFERROR(
  IF(ISNUMBER(B236),B236,
    IF(ISNUMBER(SEARCH("-",B236)*1),
      IF(LEN(LEFT(B236,FIND("-",B236)-1))=4,
        DATE(VALUE(LEFT(B236,4)),VALUE(MID(B236,6,2)),VALUE(RIGHT(B236,2))),
        DATE(VALUE(RIGHT(B236,4)),VALUE(MID(B236,4,2)),VALUE(LEFT(B236,2)))
      ),
      IF(ISNUMBER(SEARCH("/",B236)*1),
        DATE(VALUE(RIGHT(B236,4)),VALUE(LEFT(B236,2)),VALUE(MID(B236,4,2))),
        DATEVALUE(B236)
      )
    )
  ),
"INVALID_DATE")</f>
        <v>45537</v>
      </c>
      <c r="AA236" s="2">
        <f>IFERROR(
  IF(ISNUMBER(C236),C236,
    IF(ISNUMBER(SEARCH("-",C236)*1),
      IF(LEN(LEFT(C236,FIND("-",C236)-1))=4,
        DATE(VALUE(LEFT(C236,4)),VALUE(MID(C236,6,2)),VALUE(RIGHT(C236,2))),
        DATE(VALUE(RIGHT(C236,4)),VALUE(MID(C236,4,2)),VALUE(LEFT(C236,2)))
      ),
      IF(ISNUMBER(SEARCH("/",C236)*1),
        DATE(VALUE(RIGHT(C236,4)),VALUE(LEFT(C236,2)),VALUE(MID(C236,4,2))),
        DATEVALUE(C236)
      )
    )
  ),
"INVALID_DATE")</f>
        <v>45538</v>
      </c>
      <c r="AB236">
        <f t="shared" si="21"/>
        <v>1</v>
      </c>
      <c r="AC236" t="str">
        <f t="shared" si="22"/>
        <v>September</v>
      </c>
      <c r="AD236">
        <f t="shared" si="23"/>
        <v>2024</v>
      </c>
    </row>
    <row r="237" spans="1:30">
      <c r="A237" t="s">
        <v>1252</v>
      </c>
      <c r="B237" t="s">
        <v>1253</v>
      </c>
      <c r="C237" t="s">
        <v>1254</v>
      </c>
      <c r="D237" t="s">
        <v>1255</v>
      </c>
      <c r="E237" t="s">
        <v>155</v>
      </c>
      <c r="F237" t="s">
        <v>48</v>
      </c>
      <c r="G237" t="s">
        <v>80</v>
      </c>
      <c r="H237" t="s">
        <v>35</v>
      </c>
      <c r="I237" t="s">
        <v>142</v>
      </c>
      <c r="J237" t="s">
        <v>37</v>
      </c>
      <c r="K237" t="s">
        <v>163</v>
      </c>
      <c r="L237" t="s">
        <v>1256</v>
      </c>
      <c r="M237" t="s">
        <v>74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41</v>
      </c>
      <c r="U237" t="s">
        <v>42</v>
      </c>
      <c r="V237">
        <f t="shared" si="18"/>
        <v>15226.352999999999</v>
      </c>
      <c r="W237">
        <f t="shared" si="19"/>
        <v>4081.0699999999997</v>
      </c>
      <c r="X237">
        <f t="shared" si="20"/>
        <v>0.26802680878871166</v>
      </c>
      <c r="Y237" t="str">
        <f>_xlfn.TEXTJOIN(", ",TRUE,IF(G237="Unknown","Missing Region",""),IF(M237="Unknown","Missing Ship Mode",""),IF(P237&lt;0,"Negative Discount",""),IF(P237&gt;0.7,"High Discount",""),IF(C237&lt;B237,"Ship Before Order",""))</f>
        <v/>
      </c>
      <c r="Z237" s="2">
        <f>IFERROR(
  IF(ISNUMBER(B237),B237,
    IF(ISNUMBER(SEARCH("-",B237)*1),
      IF(LEN(LEFT(B237,FIND("-",B237)-1))=4,
        DATE(VALUE(LEFT(B237,4)),VALUE(MID(B237,6,2)),VALUE(RIGHT(B237,2))),
        DATE(VALUE(RIGHT(B237,4)),VALUE(MID(B237,4,2)),VALUE(LEFT(B237,2)))
      ),
      IF(ISNUMBER(SEARCH("/",B237)*1),
        DATE(VALUE(RIGHT(B237,4)),VALUE(LEFT(B237,2)),VALUE(MID(B237,4,2))),
        DATEVALUE(B237)
      )
    )
  ),
"INVALID_DATE")</f>
        <v>45598</v>
      </c>
      <c r="AA237" s="2">
        <f>IFERROR(
  IF(ISNUMBER(C237),C237,
    IF(ISNUMBER(SEARCH("-",C237)*1),
      IF(LEN(LEFT(C237,FIND("-",C237)-1))=4,
        DATE(VALUE(LEFT(C237,4)),VALUE(MID(C237,6,2)),VALUE(RIGHT(C237,2))),
        DATE(VALUE(RIGHT(C237,4)),VALUE(MID(C237,4,2)),VALUE(LEFT(C237,2)))
      ),
      IF(ISNUMBER(SEARCH("/",C237)*1),
        DATE(VALUE(RIGHT(C237,4)),VALUE(LEFT(C237,2)),VALUE(MID(C237,4,2))),
        DATEVALUE(C237)
      )
    )
  ),
"INVALID_DATE")</f>
        <v>45599</v>
      </c>
      <c r="AB237">
        <f t="shared" si="21"/>
        <v>1</v>
      </c>
      <c r="AC237" t="str">
        <f t="shared" si="22"/>
        <v>November</v>
      </c>
      <c r="AD237">
        <f t="shared" si="23"/>
        <v>2024</v>
      </c>
    </row>
    <row r="238" spans="1:30">
      <c r="A238" t="s">
        <v>1257</v>
      </c>
      <c r="B238" t="s">
        <v>1244</v>
      </c>
      <c r="C238" t="s">
        <v>1258</v>
      </c>
      <c r="D238" t="s">
        <v>1259</v>
      </c>
      <c r="E238" t="s">
        <v>149</v>
      </c>
      <c r="F238" t="s">
        <v>115</v>
      </c>
      <c r="G238" t="s">
        <v>34</v>
      </c>
      <c r="H238" t="s">
        <v>181</v>
      </c>
      <c r="I238" t="s">
        <v>182</v>
      </c>
      <c r="J238" t="s">
        <v>52</v>
      </c>
      <c r="K238" t="s">
        <v>211</v>
      </c>
      <c r="L238" t="s">
        <v>1260</v>
      </c>
      <c r="M238" t="s">
        <v>63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41</v>
      </c>
      <c r="U238" t="s">
        <v>42</v>
      </c>
      <c r="V238">
        <f t="shared" si="18"/>
        <v>24376.68</v>
      </c>
      <c r="W238">
        <f t="shared" si="19"/>
        <v>5843.2900000000009</v>
      </c>
      <c r="X238">
        <f t="shared" si="20"/>
        <v>0.23970819652224995</v>
      </c>
      <c r="Y238" t="str">
        <f>_xlfn.TEXTJOIN(", ",TRUE,IF(G238="Unknown","Missing Region",""),IF(M238="Unknown","Missing Ship Mode",""),IF(P238&lt;0,"Negative Discount",""),IF(P238&gt;0.7,"High Discount",""),IF(C238&lt;B238,"Ship Before Order",""))</f>
        <v/>
      </c>
      <c r="Z238" s="2">
        <f>IFERROR(
  IF(ISNUMBER(B238),B238,
    IF(ISNUMBER(SEARCH("-",B238)*1),
      IF(LEN(LEFT(B238,FIND("-",B238)-1))=4,
        DATE(VALUE(LEFT(B238,4)),VALUE(MID(B238,6,2)),VALUE(RIGHT(B238,2))),
        DATE(VALUE(RIGHT(B238,4)),VALUE(MID(B238,4,2)),VALUE(LEFT(B238,2)))
      ),
      IF(ISNUMBER(SEARCH("/",B238)*1),
        DATE(VALUE(RIGHT(B238,4)),VALUE(LEFT(B238,2)),VALUE(MID(B238,4,2))),
        DATEVALUE(B238)
      )
    )
  ),
"INVALID_DATE")</f>
        <v>45579</v>
      </c>
      <c r="AA238" s="2">
        <f>IFERROR(
  IF(ISNUMBER(C238),C238,
    IF(ISNUMBER(SEARCH("-",C238)*1),
      IF(LEN(LEFT(C238,FIND("-",C238)-1))=4,
        DATE(VALUE(LEFT(C238,4)),VALUE(MID(C238,6,2)),VALUE(RIGHT(C238,2))),
        DATE(VALUE(RIGHT(C238,4)),VALUE(MID(C238,4,2)),VALUE(LEFT(C238,2)))
      ),
      IF(ISNUMBER(SEARCH("/",C238)*1),
        DATE(VALUE(RIGHT(C238,4)),VALUE(LEFT(C238,2)),VALUE(MID(C238,4,2))),
        DATEVALUE(C238)
      )
    )
  ),
"INVALID_DATE")</f>
        <v>45586</v>
      </c>
      <c r="AB238">
        <f t="shared" si="21"/>
        <v>7</v>
      </c>
      <c r="AC238" t="str">
        <f t="shared" si="22"/>
        <v>October</v>
      </c>
      <c r="AD238">
        <f t="shared" si="23"/>
        <v>2024</v>
      </c>
    </row>
    <row r="239" spans="1:30">
      <c r="A239" t="s">
        <v>1261</v>
      </c>
      <c r="B239" t="s">
        <v>1262</v>
      </c>
      <c r="C239" t="s">
        <v>1262</v>
      </c>
      <c r="D239" t="s">
        <v>1263</v>
      </c>
      <c r="E239" t="s">
        <v>47</v>
      </c>
      <c r="F239" t="s">
        <v>33</v>
      </c>
      <c r="G239" t="s">
        <v>34</v>
      </c>
      <c r="H239" t="s">
        <v>331</v>
      </c>
      <c r="I239" t="s">
        <v>332</v>
      </c>
      <c r="J239" t="s">
        <v>93</v>
      </c>
      <c r="K239" t="s">
        <v>101</v>
      </c>
      <c r="L239" t="s">
        <v>1264</v>
      </c>
      <c r="M239" t="s">
        <v>74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41</v>
      </c>
      <c r="U239" t="s">
        <v>42</v>
      </c>
      <c r="V239">
        <f t="shared" si="18"/>
        <v>20972.7</v>
      </c>
      <c r="W239">
        <f t="shared" si="19"/>
        <v>7467.8200000000015</v>
      </c>
      <c r="X239">
        <f t="shared" si="20"/>
        <v>0.35607337157352176</v>
      </c>
      <c r="Y239" t="str">
        <f>_xlfn.TEXTJOIN(", ",TRUE,IF(G239="Unknown","Missing Region",""),IF(M239="Unknown","Missing Ship Mode",""),IF(P239&lt;0,"Negative Discount",""),IF(P239&gt;0.7,"High Discount",""),IF(C239&lt;B239,"Ship Before Order",""))</f>
        <v/>
      </c>
      <c r="Z239" s="2">
        <f>IFERROR(
  IF(ISNUMBER(B239),B239,
    IF(ISNUMBER(SEARCH("-",B239)*1),
      IF(LEN(LEFT(B239,FIND("-",B239)-1))=4,
        DATE(VALUE(LEFT(B239,4)),VALUE(MID(B239,6,2)),VALUE(RIGHT(B239,2))),
        DATE(VALUE(RIGHT(B239,4)),VALUE(MID(B239,4,2)),VALUE(LEFT(B239,2)))
      ),
      IF(ISNUMBER(SEARCH("/",B239)*1),
        DATE(VALUE(RIGHT(B239,4)),VALUE(LEFT(B239,2)),VALUE(MID(B239,4,2))),
        DATEVALUE(B239)
      )
    )
  ),
"INVALID_DATE")</f>
        <v>45531</v>
      </c>
      <c r="AA239" s="2">
        <f>IFERROR(
  IF(ISNUMBER(C239),C239,
    IF(ISNUMBER(SEARCH("-",C239)*1),
      IF(LEN(LEFT(C239,FIND("-",C239)-1))=4,
        DATE(VALUE(LEFT(C239,4)),VALUE(MID(C239,6,2)),VALUE(RIGHT(C239,2))),
        DATE(VALUE(RIGHT(C239,4)),VALUE(MID(C239,4,2)),VALUE(LEFT(C239,2)))
      ),
      IF(ISNUMBER(SEARCH("/",C239)*1),
        DATE(VALUE(RIGHT(C239,4)),VALUE(LEFT(C239,2)),VALUE(MID(C239,4,2))),
        DATEVALUE(C239)
      )
    )
  ),
"INVALID_DATE")</f>
        <v>45531</v>
      </c>
      <c r="AB239">
        <f t="shared" si="21"/>
        <v>0</v>
      </c>
      <c r="AC239" t="str">
        <f t="shared" si="22"/>
        <v>August</v>
      </c>
      <c r="AD239">
        <f t="shared" si="23"/>
        <v>2024</v>
      </c>
    </row>
    <row r="240" spans="1:30">
      <c r="A240" t="s">
        <v>1265</v>
      </c>
      <c r="B240" t="s">
        <v>1266</v>
      </c>
      <c r="C240" t="s">
        <v>1267</v>
      </c>
      <c r="D240" t="s">
        <v>1268</v>
      </c>
      <c r="E240" t="s">
        <v>68</v>
      </c>
      <c r="F240" t="s">
        <v>33</v>
      </c>
      <c r="G240" t="s">
        <v>69</v>
      </c>
      <c r="H240" t="s">
        <v>107</v>
      </c>
      <c r="I240" t="s">
        <v>108</v>
      </c>
      <c r="J240" t="s">
        <v>37</v>
      </c>
      <c r="K240" t="s">
        <v>163</v>
      </c>
      <c r="L240" t="s">
        <v>1269</v>
      </c>
      <c r="M240" t="s">
        <v>63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41</v>
      </c>
      <c r="U240" t="s">
        <v>42</v>
      </c>
      <c r="V240">
        <f t="shared" si="18"/>
        <v>12615.907499999999</v>
      </c>
      <c r="W240">
        <f t="shared" si="19"/>
        <v>7794.8300000000017</v>
      </c>
      <c r="X240">
        <f t="shared" si="20"/>
        <v>0.29266925437736868</v>
      </c>
      <c r="Y240" t="str">
        <f>_xlfn.TEXTJOIN(", ",TRUE,IF(G240="Unknown","Missing Region",""),IF(M240="Unknown","Missing Ship Mode",""),IF(P240&lt;0,"Negative Discount",""),IF(P240&gt;0.7,"High Discount",""),IF(C240&lt;B240,"Ship Before Order",""))</f>
        <v/>
      </c>
      <c r="Z240" s="2">
        <f>IFERROR(
  IF(ISNUMBER(B240),B240,
    IF(ISNUMBER(SEARCH("-",B240)*1),
      IF(LEN(LEFT(B240,FIND("-",B240)-1))=4,
        DATE(VALUE(LEFT(B240,4)),VALUE(MID(B240,6,2)),VALUE(RIGHT(B240,2))),
        DATE(VALUE(RIGHT(B240,4)),VALUE(MID(B240,4,2)),VALUE(LEFT(B240,2)))
      ),
      IF(ISNUMBER(SEARCH("/",B240)*1),
        DATE(VALUE(RIGHT(B240,4)),VALUE(LEFT(B240,2)),VALUE(MID(B240,4,2))),
        DATEVALUE(B240)
      )
    )
  ),
"INVALID_DATE")</f>
        <v>45303</v>
      </c>
      <c r="AA240" s="2">
        <f>IFERROR(
  IF(ISNUMBER(C240),C240,
    IF(ISNUMBER(SEARCH("-",C240)*1),
      IF(LEN(LEFT(C240,FIND("-",C240)-1))=4,
        DATE(VALUE(LEFT(C240,4)),VALUE(MID(C240,6,2)),VALUE(RIGHT(C240,2))),
        DATE(VALUE(RIGHT(C240,4)),VALUE(MID(C240,4,2)),VALUE(LEFT(C240,2)))
      ),
      IF(ISNUMBER(SEARCH("/",C240)*1),
        DATE(VALUE(RIGHT(C240,4)),VALUE(LEFT(C240,2)),VALUE(MID(C240,4,2))),
        DATEVALUE(C240)
      )
    )
  ),
"INVALID_DATE")</f>
        <v>45308</v>
      </c>
      <c r="AB240">
        <f t="shared" si="21"/>
        <v>5</v>
      </c>
      <c r="AC240" t="str">
        <f t="shared" si="22"/>
        <v>January</v>
      </c>
      <c r="AD240">
        <f t="shared" si="23"/>
        <v>2024</v>
      </c>
    </row>
    <row r="241" spans="1:30">
      <c r="A241" t="s">
        <v>1270</v>
      </c>
      <c r="B241" t="s">
        <v>1271</v>
      </c>
      <c r="C241" t="s">
        <v>1142</v>
      </c>
      <c r="D241" t="s">
        <v>1272</v>
      </c>
      <c r="E241" t="s">
        <v>374</v>
      </c>
      <c r="F241" t="s">
        <v>115</v>
      </c>
      <c r="G241" t="s">
        <v>69</v>
      </c>
      <c r="H241" t="s">
        <v>236</v>
      </c>
      <c r="I241" t="s">
        <v>237</v>
      </c>
      <c r="J241" t="s">
        <v>93</v>
      </c>
      <c r="K241" t="s">
        <v>390</v>
      </c>
      <c r="L241" t="s">
        <v>1273</v>
      </c>
      <c r="M241" t="s">
        <v>63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41</v>
      </c>
      <c r="U241" t="s">
        <v>42</v>
      </c>
      <c r="V241">
        <f t="shared" si="18"/>
        <v>3136.096</v>
      </c>
      <c r="W241">
        <f t="shared" si="19"/>
        <v>856.61000000000013</v>
      </c>
      <c r="X241">
        <f t="shared" si="20"/>
        <v>0.2731449889990753</v>
      </c>
      <c r="Y241" t="str">
        <f>_xlfn.TEXTJOIN(", ",TRUE,IF(G241="Unknown","Missing Region",""),IF(M241="Unknown","Missing Ship Mode",""),IF(P241&lt;0,"Negative Discount",""),IF(P241&gt;0.7,"High Discount",""),IF(C241&lt;B241,"Ship Before Order",""))</f>
        <v>Ship Before Order</v>
      </c>
      <c r="Z241" s="2">
        <f>IFERROR(
  IF(ISNUMBER(B241),B241,
    IF(ISNUMBER(SEARCH("-",B241)*1),
      IF(LEN(LEFT(B241,FIND("-",B241)-1))=4,
        DATE(VALUE(LEFT(B241,4)),VALUE(MID(B241,6,2)),VALUE(RIGHT(B241,2))),
        DATE(VALUE(RIGHT(B241,4)),VALUE(MID(B241,4,2)),VALUE(LEFT(B241,2)))
      ),
      IF(ISNUMBER(SEARCH("/",B241)*1),
        DATE(VALUE(RIGHT(B241,4)),VALUE(LEFT(B241,2)),VALUE(MID(B241,4,2))),
        DATEVALUE(B241)
      )
    )
  ),
"INVALID_DATE")</f>
        <v>45556</v>
      </c>
      <c r="AA241" s="2">
        <f>IFERROR(
  IF(ISNUMBER(C241),C241,
    IF(ISNUMBER(SEARCH("-",C241)*1),
      IF(LEN(LEFT(C241,FIND("-",C241)-1))=4,
        DATE(VALUE(LEFT(C241,4)),VALUE(MID(C241,6,2)),VALUE(RIGHT(C241,2))),
        DATE(VALUE(RIGHT(C241,4)),VALUE(MID(C241,4,2)),VALUE(LEFT(C241,2)))
      ),
      IF(ISNUMBER(SEARCH("/",C241)*1),
        DATE(VALUE(RIGHT(C241,4)),VALUE(LEFT(C241,2)),VALUE(MID(C241,4,2))),
        DATEVALUE(C241)
      )
    )
  ),
"INVALID_DATE")</f>
        <v>45556</v>
      </c>
      <c r="AB241">
        <f t="shared" si="21"/>
        <v>0</v>
      </c>
      <c r="AC241" t="str">
        <f t="shared" si="22"/>
        <v>September</v>
      </c>
      <c r="AD241">
        <f t="shared" si="23"/>
        <v>2024</v>
      </c>
    </row>
    <row r="242" spans="1:30">
      <c r="A242" t="s">
        <v>1274</v>
      </c>
      <c r="B242" t="s">
        <v>1275</v>
      </c>
      <c r="C242" t="s">
        <v>832</v>
      </c>
      <c r="D242" t="s">
        <v>1276</v>
      </c>
      <c r="E242" t="s">
        <v>169</v>
      </c>
      <c r="F242" t="s">
        <v>115</v>
      </c>
      <c r="G242" t="s">
        <v>69</v>
      </c>
      <c r="H242" t="s">
        <v>70</v>
      </c>
      <c r="I242" t="s">
        <v>71</v>
      </c>
      <c r="J242" t="s">
        <v>37</v>
      </c>
      <c r="K242" t="s">
        <v>205</v>
      </c>
      <c r="L242" t="s">
        <v>1277</v>
      </c>
      <c r="M242" t="s">
        <v>63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41</v>
      </c>
      <c r="U242" t="s">
        <v>42</v>
      </c>
      <c r="V242">
        <f t="shared" si="18"/>
        <v>20835.899999999998</v>
      </c>
      <c r="W242">
        <f t="shared" si="19"/>
        <v>6907.7100000000009</v>
      </c>
      <c r="X242">
        <f t="shared" si="20"/>
        <v>0.33152923559817427</v>
      </c>
      <c r="Y242" t="str">
        <f>_xlfn.TEXTJOIN(", ",TRUE,IF(G242="Unknown","Missing Region",""),IF(M242="Unknown","Missing Ship Mode",""),IF(P242&lt;0,"Negative Discount",""),IF(P242&gt;0.7,"High Discount",""),IF(C242&lt;B242,"Ship Before Order",""))</f>
        <v/>
      </c>
      <c r="Z242" s="2">
        <f>IFERROR(
  IF(ISNUMBER(B242),B242,
    IF(ISNUMBER(SEARCH("-",B242)*1),
      IF(LEN(LEFT(B242,FIND("-",B242)-1))=4,
        DATE(VALUE(LEFT(B242,4)),VALUE(MID(B242,6,2)),VALUE(RIGHT(B242,2))),
        DATE(VALUE(RIGHT(B242,4)),VALUE(MID(B242,4,2)),VALUE(LEFT(B242,2)))
      ),
      IF(ISNUMBER(SEARCH("/",B242)*1),
        DATE(VALUE(RIGHT(B242,4)),VALUE(LEFT(B242,2)),VALUE(MID(B242,4,2))),
        DATEVALUE(B242)
      )
    )
  ),
"INVALID_DATE")</f>
        <v>45643</v>
      </c>
      <c r="AA242" s="2">
        <f>IFERROR(
  IF(ISNUMBER(C242),C242,
    IF(ISNUMBER(SEARCH("-",C242)*1),
      IF(LEN(LEFT(C242,FIND("-",C242)-1))=4,
        DATE(VALUE(LEFT(C242,4)),VALUE(MID(C242,6,2)),VALUE(RIGHT(C242,2))),
        DATE(VALUE(RIGHT(C242,4)),VALUE(MID(C242,4,2)),VALUE(LEFT(C242,2)))
      ),
      IF(ISNUMBER(SEARCH("/",C242)*1),
        DATE(VALUE(RIGHT(C242,4)),VALUE(LEFT(C242,2)),VALUE(MID(C242,4,2))),
        DATEVALUE(C242)
      )
    )
  ),
"INVALID_DATE")</f>
        <v>45649</v>
      </c>
      <c r="AB242">
        <f t="shared" si="21"/>
        <v>6</v>
      </c>
      <c r="AC242" t="str">
        <f t="shared" si="22"/>
        <v>December</v>
      </c>
      <c r="AD242">
        <f t="shared" si="23"/>
        <v>2024</v>
      </c>
    </row>
    <row r="243" spans="1:30">
      <c r="A243" t="s">
        <v>1278</v>
      </c>
      <c r="B243" t="s">
        <v>1279</v>
      </c>
      <c r="C243" t="s">
        <v>1280</v>
      </c>
      <c r="D243" t="s">
        <v>1281</v>
      </c>
      <c r="E243" t="s">
        <v>175</v>
      </c>
      <c r="F243" t="s">
        <v>115</v>
      </c>
      <c r="G243" t="s">
        <v>34</v>
      </c>
      <c r="H243" t="s">
        <v>331</v>
      </c>
      <c r="I243" t="s">
        <v>332</v>
      </c>
      <c r="J243" t="s">
        <v>37</v>
      </c>
      <c r="K243" t="s">
        <v>163</v>
      </c>
      <c r="L243" t="s">
        <v>1282</v>
      </c>
      <c r="M243" t="s">
        <v>74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144</v>
      </c>
      <c r="U243" t="s">
        <v>132</v>
      </c>
      <c r="V243">
        <f t="shared" si="18"/>
        <v>1212.9000000000001</v>
      </c>
      <c r="W243">
        <f t="shared" si="19"/>
        <v>522.38000000000011</v>
      </c>
      <c r="X243">
        <f t="shared" si="20"/>
        <v>0.43068678374144609</v>
      </c>
      <c r="Y243" t="str">
        <f>_xlfn.TEXTJOIN(", ",TRUE,IF(G243="Unknown","Missing Region",""),IF(M243="Unknown","Missing Ship Mode",""),IF(P243&lt;0,"Negative Discount",""),IF(P243&gt;0.7,"High Discount",""),IF(C243&lt;B243,"Ship Before Order",""))</f>
        <v>Ship Before Order</v>
      </c>
      <c r="Z243" s="2">
        <f>IFERROR(
  IF(ISNUMBER(B243),B243,
    IF(ISNUMBER(SEARCH("-",B243)*1),
      IF(LEN(LEFT(B243,FIND("-",B243)-1))=4,
        DATE(VALUE(LEFT(B243,4)),VALUE(MID(B243,6,2)),VALUE(RIGHT(B243,2))),
        DATE(VALUE(RIGHT(B243,4)),VALUE(MID(B243,4,2)),VALUE(LEFT(B243,2)))
      ),
      IF(ISNUMBER(SEARCH("/",B243)*1),
        DATE(VALUE(RIGHT(B243,4)),VALUE(LEFT(B243,2)),VALUE(MID(B243,4,2))),
        DATEVALUE(B243)
      )
    )
  ),
"INVALID_DATE")</f>
        <v>45844</v>
      </c>
      <c r="AA243" s="2">
        <f>IFERROR(
  IF(ISNUMBER(C243),C243,
    IF(ISNUMBER(SEARCH("-",C243)*1),
      IF(LEN(LEFT(C243,FIND("-",C243)-1))=4,
        DATE(VALUE(LEFT(C243,4)),VALUE(MID(C243,6,2)),VALUE(RIGHT(C243,2))),
        DATE(VALUE(RIGHT(C243,4)),VALUE(MID(C243,4,2)),VALUE(LEFT(C243,2)))
      ),
      IF(ISNUMBER(SEARCH("/",C243)*1),
        DATE(VALUE(RIGHT(C243,4)),VALUE(LEFT(C243,2)),VALUE(MID(C243,4,2))),
        DATEVALUE(C243)
      )
    )
  ),
"INVALID_DATE")</f>
        <v>45844</v>
      </c>
      <c r="AB243">
        <f t="shared" si="21"/>
        <v>0</v>
      </c>
      <c r="AC243" t="str">
        <f t="shared" si="22"/>
        <v>July</v>
      </c>
      <c r="AD243">
        <f t="shared" si="23"/>
        <v>2025</v>
      </c>
    </row>
    <row r="244" spans="1:30">
      <c r="A244" t="s">
        <v>1283</v>
      </c>
      <c r="B244" t="s">
        <v>1284</v>
      </c>
      <c r="C244" t="s">
        <v>1285</v>
      </c>
      <c r="D244" t="s">
        <v>1286</v>
      </c>
      <c r="E244" t="s">
        <v>68</v>
      </c>
      <c r="F244" t="s">
        <v>33</v>
      </c>
      <c r="G244" t="s">
        <v>34</v>
      </c>
      <c r="H244" t="s">
        <v>181</v>
      </c>
      <c r="I244" t="s">
        <v>182</v>
      </c>
      <c r="J244" t="s">
        <v>37</v>
      </c>
      <c r="K244" t="s">
        <v>61</v>
      </c>
      <c r="L244" t="s">
        <v>1287</v>
      </c>
      <c r="M244" t="s">
        <v>40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41</v>
      </c>
      <c r="U244" t="s">
        <v>42</v>
      </c>
      <c r="V244">
        <f t="shared" si="18"/>
        <v>5697.8339999999998</v>
      </c>
      <c r="W244">
        <f t="shared" si="19"/>
        <v>1446.33</v>
      </c>
      <c r="X244">
        <f t="shared" si="20"/>
        <v>0.2538387421176132</v>
      </c>
      <c r="Y244" t="str">
        <f>_xlfn.TEXTJOIN(", ",TRUE,IF(G244="Unknown","Missing Region",""),IF(M244="Unknown","Missing Ship Mode",""),IF(P244&lt;0,"Negative Discount",""),IF(P244&gt;0.7,"High Discount",""),IF(C244&lt;B244,"Ship Before Order",""))</f>
        <v/>
      </c>
      <c r="Z244" s="2">
        <f>IFERROR(
  IF(ISNUMBER(B244),B244,
    IF(ISNUMBER(SEARCH("-",B244)*1),
      IF(LEN(LEFT(B244,FIND("-",B244)-1))=4,
        DATE(VALUE(LEFT(B244,4)),VALUE(MID(B244,6,2)),VALUE(RIGHT(B244,2))),
        DATE(VALUE(RIGHT(B244,4)),VALUE(MID(B244,4,2)),VALUE(LEFT(B244,2)))
      ),
      IF(ISNUMBER(SEARCH("/",B244)*1),
        DATE(VALUE(RIGHT(B244,4)),VALUE(LEFT(B244,2)),VALUE(MID(B244,4,2))),
        DATEVALUE(B244)
      )
    )
  ),
"INVALID_DATE")</f>
        <v>45695</v>
      </c>
      <c r="AA244" s="2">
        <f>IFERROR(
  IF(ISNUMBER(C244),C244,
    IF(ISNUMBER(SEARCH("-",C244)*1),
      IF(LEN(LEFT(C244,FIND("-",C244)-1))=4,
        DATE(VALUE(LEFT(C244,4)),VALUE(MID(C244,6,2)),VALUE(RIGHT(C244,2))),
        DATE(VALUE(RIGHT(C244,4)),VALUE(MID(C244,4,2)),VALUE(LEFT(C244,2)))
      ),
      IF(ISNUMBER(SEARCH("/",C244)*1),
        DATE(VALUE(RIGHT(C244,4)),VALUE(LEFT(C244,2)),VALUE(MID(C244,4,2))),
        DATEVALUE(C244)
      )
    )
  ),
"INVALID_DATE")</f>
        <v>45695</v>
      </c>
      <c r="AB244">
        <f t="shared" si="21"/>
        <v>0</v>
      </c>
      <c r="AC244" t="str">
        <f t="shared" si="22"/>
        <v>February</v>
      </c>
      <c r="AD244">
        <f t="shared" si="23"/>
        <v>2025</v>
      </c>
    </row>
    <row r="245" spans="1:30">
      <c r="A245" t="s">
        <v>1288</v>
      </c>
      <c r="B245" t="s">
        <v>291</v>
      </c>
      <c r="C245" t="s">
        <v>1289</v>
      </c>
      <c r="D245" t="s">
        <v>1290</v>
      </c>
      <c r="E245" t="s">
        <v>175</v>
      </c>
      <c r="F245" t="s">
        <v>48</v>
      </c>
      <c r="G245" t="s">
        <v>279</v>
      </c>
      <c r="H245" t="s">
        <v>91</v>
      </c>
      <c r="I245" t="s">
        <v>92</v>
      </c>
      <c r="J245" t="s">
        <v>93</v>
      </c>
      <c r="K245" t="s">
        <v>94</v>
      </c>
      <c r="L245" t="s">
        <v>1291</v>
      </c>
      <c r="M245" t="s">
        <v>63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41</v>
      </c>
      <c r="U245" t="s">
        <v>1034</v>
      </c>
      <c r="V245">
        <f t="shared" si="18"/>
        <v>4049.5140000000001</v>
      </c>
      <c r="W245">
        <f t="shared" si="19"/>
        <v>1540.3100000000004</v>
      </c>
      <c r="X245">
        <f t="shared" si="20"/>
        <v>0.38036947680089689</v>
      </c>
      <c r="Y245" t="str">
        <f>_xlfn.TEXTJOIN(", ",TRUE,IF(G245="Unknown","Missing Region",""),IF(M245="Unknown","Missing Ship Mode",""),IF(P245&lt;0,"Negative Discount",""),IF(P245&gt;0.7,"High Discount",""),IF(C245&lt;B245,"Ship Before Order",""))</f>
        <v>Missing Region, Ship Before Order</v>
      </c>
      <c r="Z245" s="2">
        <f>IFERROR(
  IF(ISNUMBER(B245),B245,
    IF(ISNUMBER(SEARCH("-",B245)*1),
      IF(LEN(LEFT(B245,FIND("-",B245)-1))=4,
        DATE(VALUE(LEFT(B245,4)),VALUE(MID(B245,6,2)),VALUE(RIGHT(B245,2))),
        DATE(VALUE(RIGHT(B245,4)),VALUE(MID(B245,4,2)),VALUE(LEFT(B245,2)))
      ),
      IF(ISNUMBER(SEARCH("/",B245)*1),
        DATE(VALUE(RIGHT(B245,4)),VALUE(LEFT(B245,2)),VALUE(MID(B245,4,2))),
        DATEVALUE(B245)
      )
    )
  ),
"INVALID_DATE")</f>
        <v>45867</v>
      </c>
      <c r="AA245" s="2">
        <f>IFERROR(
  IF(ISNUMBER(C245),C245,
    IF(ISNUMBER(SEARCH("-",C245)*1),
      IF(LEN(LEFT(C245,FIND("-",C245)-1))=4,
        DATE(VALUE(LEFT(C245,4)),VALUE(MID(C245,6,2)),VALUE(RIGHT(C245,2))),
        DATE(VALUE(RIGHT(C245,4)),VALUE(MID(C245,4,2)),VALUE(LEFT(C245,2)))
      ),
      IF(ISNUMBER(SEARCH("/",C245)*1),
        DATE(VALUE(RIGHT(C245,4)),VALUE(LEFT(C245,2)),VALUE(MID(C245,4,2))),
        DATEVALUE(C245)
      )
    )
  ),
"INVALID_DATE")</f>
        <v>45871</v>
      </c>
      <c r="AB245">
        <f t="shared" si="21"/>
        <v>4</v>
      </c>
      <c r="AC245" t="str">
        <f t="shared" si="22"/>
        <v>July</v>
      </c>
      <c r="AD245">
        <f t="shared" si="23"/>
        <v>2025</v>
      </c>
    </row>
    <row r="246" spans="1:30">
      <c r="A246" t="s">
        <v>1292</v>
      </c>
      <c r="B246" t="s">
        <v>644</v>
      </c>
      <c r="C246" t="s">
        <v>1293</v>
      </c>
      <c r="D246" t="s">
        <v>1294</v>
      </c>
      <c r="E246" t="s">
        <v>100</v>
      </c>
      <c r="F246" t="s">
        <v>33</v>
      </c>
      <c r="G246" t="s">
        <v>69</v>
      </c>
      <c r="H246" t="s">
        <v>70</v>
      </c>
      <c r="I246" t="s">
        <v>71</v>
      </c>
      <c r="J246" t="s">
        <v>52</v>
      </c>
      <c r="K246" t="s">
        <v>211</v>
      </c>
      <c r="L246" t="s">
        <v>1295</v>
      </c>
      <c r="M246" t="s">
        <v>55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41</v>
      </c>
      <c r="U246" t="s">
        <v>42</v>
      </c>
      <c r="V246">
        <f t="shared" si="18"/>
        <v>6131.34</v>
      </c>
      <c r="W246">
        <f t="shared" si="19"/>
        <v>2070.46</v>
      </c>
      <c r="X246">
        <f t="shared" si="20"/>
        <v>0.33768474754295147</v>
      </c>
      <c r="Y246" t="str">
        <f>_xlfn.TEXTJOIN(", ",TRUE,IF(G246="Unknown","Missing Region",""),IF(M246="Unknown","Missing Ship Mode",""),IF(P246&lt;0,"Negative Discount",""),IF(P246&gt;0.7,"High Discount",""),IF(C246&lt;B246,"Ship Before Order",""))</f>
        <v/>
      </c>
      <c r="Z246" s="2">
        <f>IFERROR(
  IF(ISNUMBER(B246),B246,
    IF(ISNUMBER(SEARCH("-",B246)*1),
      IF(LEN(LEFT(B246,FIND("-",B246)-1))=4,
        DATE(VALUE(LEFT(B246,4)),VALUE(MID(B246,6,2)),VALUE(RIGHT(B246,2))),
        DATE(VALUE(RIGHT(B246,4)),VALUE(MID(B246,4,2)),VALUE(LEFT(B246,2)))
      ),
      IF(ISNUMBER(SEARCH("/",B246)*1),
        DATE(VALUE(RIGHT(B246,4)),VALUE(LEFT(B246,2)),VALUE(MID(B246,4,2))),
        DATEVALUE(B246)
      )
    )
  ),
"INVALID_DATE")</f>
        <v>45527</v>
      </c>
      <c r="AA246" s="2">
        <f>IFERROR(
  IF(ISNUMBER(C246),C246,
    IF(ISNUMBER(SEARCH("-",C246)*1),
      IF(LEN(LEFT(C246,FIND("-",C246)-1))=4,
        DATE(VALUE(LEFT(C246,4)),VALUE(MID(C246,6,2)),VALUE(RIGHT(C246,2))),
        DATE(VALUE(RIGHT(C246,4)),VALUE(MID(C246,4,2)),VALUE(LEFT(C246,2)))
      ),
      IF(ISNUMBER(SEARCH("/",C246)*1),
        DATE(VALUE(RIGHT(C246,4)),VALUE(LEFT(C246,2)),VALUE(MID(C246,4,2))),
        DATEVALUE(C246)
      )
    )
  ),
"INVALID_DATE")</f>
        <v>45528</v>
      </c>
      <c r="AB246">
        <f t="shared" si="21"/>
        <v>1</v>
      </c>
      <c r="AC246" t="str">
        <f t="shared" si="22"/>
        <v>August</v>
      </c>
      <c r="AD246">
        <f t="shared" si="23"/>
        <v>2024</v>
      </c>
    </row>
    <row r="247" spans="1:30">
      <c r="A247" t="s">
        <v>1296</v>
      </c>
      <c r="B247" t="s">
        <v>652</v>
      </c>
      <c r="C247" t="s">
        <v>880</v>
      </c>
      <c r="D247" t="s">
        <v>1297</v>
      </c>
      <c r="E247" t="s">
        <v>100</v>
      </c>
      <c r="F247" t="s">
        <v>122</v>
      </c>
      <c r="G247" t="s">
        <v>69</v>
      </c>
      <c r="H247" t="s">
        <v>249</v>
      </c>
      <c r="I247" t="s">
        <v>250</v>
      </c>
      <c r="J247" t="s">
        <v>1298</v>
      </c>
      <c r="K247" t="s">
        <v>83</v>
      </c>
      <c r="L247" t="s">
        <v>1299</v>
      </c>
      <c r="M247" t="s">
        <v>40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41</v>
      </c>
      <c r="U247" t="s">
        <v>42</v>
      </c>
      <c r="V247">
        <f t="shared" si="18"/>
        <v>9827.7899999999991</v>
      </c>
      <c r="W247">
        <f t="shared" si="19"/>
        <v>4349.5100000000011</v>
      </c>
      <c r="X247">
        <f t="shared" si="20"/>
        <v>0.44257254174132737</v>
      </c>
      <c r="Y247" t="str">
        <f>_xlfn.TEXTJOIN(", ",TRUE,IF(G247="Unknown","Missing Region",""),IF(M247="Unknown","Missing Ship Mode",""),IF(P247&lt;0,"Negative Discount",""),IF(P247&gt;0.7,"High Discount",""),IF(C247&lt;B247,"Ship Before Order",""))</f>
        <v/>
      </c>
      <c r="Z247" s="2">
        <f>IFERROR(
  IF(ISNUMBER(B247),B247,
    IF(ISNUMBER(SEARCH("-",B247)*1),
      IF(LEN(LEFT(B247,FIND("-",B247)-1))=4,
        DATE(VALUE(LEFT(B247,4)),VALUE(MID(B247,6,2)),VALUE(RIGHT(B247,2))),
        DATE(VALUE(RIGHT(B247,4)),VALUE(MID(B247,4,2)),VALUE(LEFT(B247,2)))
      ),
      IF(ISNUMBER(SEARCH("/",B247)*1),
        DATE(VALUE(RIGHT(B247,4)),VALUE(LEFT(B247,2)),VALUE(MID(B247,4,2))),
        DATEVALUE(B247)
      )
    )
  ),
"INVALID_DATE")</f>
        <v>45583</v>
      </c>
      <c r="AA247" s="2">
        <f>IFERROR(
  IF(ISNUMBER(C247),C247,
    IF(ISNUMBER(SEARCH("-",C247)*1),
      IF(LEN(LEFT(C247,FIND("-",C247)-1))=4,
        DATE(VALUE(LEFT(C247,4)),VALUE(MID(C247,6,2)),VALUE(RIGHT(C247,2))),
        DATE(VALUE(RIGHT(C247,4)),VALUE(MID(C247,4,2)),VALUE(LEFT(C247,2)))
      ),
      IF(ISNUMBER(SEARCH("/",C247)*1),
        DATE(VALUE(RIGHT(C247,4)),VALUE(LEFT(C247,2)),VALUE(MID(C247,4,2))),
        DATEVALUE(C247)
      )
    )
  ),
"INVALID_DATE")</f>
        <v>45589</v>
      </c>
      <c r="AB247">
        <f t="shared" si="21"/>
        <v>6</v>
      </c>
      <c r="AC247" t="str">
        <f t="shared" si="22"/>
        <v>October</v>
      </c>
      <c r="AD247">
        <f t="shared" si="23"/>
        <v>2024</v>
      </c>
    </row>
    <row r="248" spans="1:30">
      <c r="A248" t="s">
        <v>1300</v>
      </c>
      <c r="B248" t="s">
        <v>1301</v>
      </c>
      <c r="C248" t="s">
        <v>1302</v>
      </c>
      <c r="D248" t="s">
        <v>1303</v>
      </c>
      <c r="E248" t="s">
        <v>79</v>
      </c>
      <c r="F248" t="s">
        <v>115</v>
      </c>
      <c r="G248" t="s">
        <v>34</v>
      </c>
      <c r="H248" t="s">
        <v>161</v>
      </c>
      <c r="I248" t="s">
        <v>162</v>
      </c>
      <c r="J248" t="s">
        <v>93</v>
      </c>
      <c r="K248" t="s">
        <v>390</v>
      </c>
      <c r="L248" t="s">
        <v>1304</v>
      </c>
      <c r="M248" t="s">
        <v>55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131</v>
      </c>
      <c r="U248" t="s">
        <v>85</v>
      </c>
      <c r="V248">
        <f t="shared" si="18"/>
        <v>521.88749999999993</v>
      </c>
      <c r="W248">
        <f t="shared" si="19"/>
        <v>77.37</v>
      </c>
      <c r="X248">
        <f t="shared" si="20"/>
        <v>0.14824963114832629</v>
      </c>
      <c r="Y248" t="str">
        <f>_xlfn.TEXTJOIN(", ",TRUE,IF(G248="Unknown","Missing Region",""),IF(M248="Unknown","Missing Ship Mode",""),IF(P248&lt;0,"Negative Discount",""),IF(P248&gt;0.7,"High Discount",""),IF(C248&lt;B248,"Ship Before Order",""))</f>
        <v/>
      </c>
      <c r="Z248" s="2">
        <f>IFERROR(
  IF(ISNUMBER(B248),B248,
    IF(ISNUMBER(SEARCH("-",B248)*1),
      IF(LEN(LEFT(B248,FIND("-",B248)-1))=4,
        DATE(VALUE(LEFT(B248,4)),VALUE(MID(B248,6,2)),VALUE(RIGHT(B248,2))),
        DATE(VALUE(RIGHT(B248,4)),VALUE(MID(B248,4,2)),VALUE(LEFT(B248,2)))
      ),
      IF(ISNUMBER(SEARCH("/",B248)*1),
        DATE(VALUE(RIGHT(B248,4)),VALUE(LEFT(B248,2)),VALUE(MID(B248,4,2))),
        DATEVALUE(B248)
      )
    )
  ),
"INVALID_DATE")</f>
        <v>45416</v>
      </c>
      <c r="AA248" s="2">
        <f>IFERROR(
  IF(ISNUMBER(C248),C248,
    IF(ISNUMBER(SEARCH("-",C248)*1),
      IF(LEN(LEFT(C248,FIND("-",C248)-1))=4,
        DATE(VALUE(LEFT(C248,4)),VALUE(MID(C248,6,2)),VALUE(RIGHT(C248,2))),
        DATE(VALUE(RIGHT(C248,4)),VALUE(MID(C248,4,2)),VALUE(LEFT(C248,2)))
      ),
      IF(ISNUMBER(SEARCH("/",C248)*1),
        DATE(VALUE(RIGHT(C248,4)),VALUE(LEFT(C248,2)),VALUE(MID(C248,4,2))),
        DATEVALUE(C248)
      )
    )
  ),
"INVALID_DATE")</f>
        <v>45421</v>
      </c>
      <c r="AB248">
        <f t="shared" si="21"/>
        <v>5</v>
      </c>
      <c r="AC248" t="str">
        <f t="shared" si="22"/>
        <v>May</v>
      </c>
      <c r="AD248">
        <f t="shared" si="23"/>
        <v>2024</v>
      </c>
    </row>
    <row r="249" spans="1:30">
      <c r="A249" t="s">
        <v>1305</v>
      </c>
      <c r="B249" t="s">
        <v>1306</v>
      </c>
      <c r="C249" t="s">
        <v>1307</v>
      </c>
      <c r="D249" t="s">
        <v>1308</v>
      </c>
      <c r="E249" t="s">
        <v>155</v>
      </c>
      <c r="F249" t="s">
        <v>115</v>
      </c>
      <c r="G249" t="s">
        <v>34</v>
      </c>
      <c r="H249" t="s">
        <v>35</v>
      </c>
      <c r="I249" t="s">
        <v>36</v>
      </c>
      <c r="J249" t="s">
        <v>93</v>
      </c>
      <c r="K249" t="s">
        <v>94</v>
      </c>
      <c r="L249" t="s">
        <v>1309</v>
      </c>
      <c r="M249" t="s">
        <v>40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41</v>
      </c>
      <c r="U249" t="s">
        <v>42</v>
      </c>
      <c r="V249">
        <f t="shared" si="18"/>
        <v>14960.400000000001</v>
      </c>
      <c r="W249">
        <f t="shared" si="19"/>
        <v>2459.5599999999995</v>
      </c>
      <c r="X249">
        <f t="shared" si="20"/>
        <v>0.16440469506162936</v>
      </c>
      <c r="Y249" t="str">
        <f>_xlfn.TEXTJOIN(", ",TRUE,IF(G249="Unknown","Missing Region",""),IF(M249="Unknown","Missing Ship Mode",""),IF(P249&lt;0,"Negative Discount",""),IF(P249&gt;0.7,"High Discount",""),IF(C249&lt;B249,"Ship Before Order",""))</f>
        <v>Ship Before Order</v>
      </c>
      <c r="Z249" s="2">
        <f>IFERROR(
  IF(ISNUMBER(B249),B249,
    IF(ISNUMBER(SEARCH("-",B249)*1),
      IF(LEN(LEFT(B249,FIND("-",B249)-1))=4,
        DATE(VALUE(LEFT(B249,4)),VALUE(MID(B249,6,2)),VALUE(RIGHT(B249,2))),
        DATE(VALUE(RIGHT(B249,4)),VALUE(MID(B249,4,2)),VALUE(LEFT(B249,2)))
      ),
      IF(ISNUMBER(SEARCH("/",B249)*1),
        DATE(VALUE(RIGHT(B249,4)),VALUE(LEFT(B249,2)),VALUE(MID(B249,4,2))),
        DATEVALUE(B249)
      )
    )
  ),
"INVALID_DATE")</f>
        <v>45498</v>
      </c>
      <c r="AA249" s="2">
        <f>IFERROR(
  IF(ISNUMBER(C249),C249,
    IF(ISNUMBER(SEARCH("-",C249)*1),
      IF(LEN(LEFT(C249,FIND("-",C249)-1))=4,
        DATE(VALUE(LEFT(C249,4)),VALUE(MID(C249,6,2)),VALUE(RIGHT(C249,2))),
        DATE(VALUE(RIGHT(C249,4)),VALUE(MID(C249,4,2)),VALUE(LEFT(C249,2)))
      ),
      IF(ISNUMBER(SEARCH("/",C249)*1),
        DATE(VALUE(RIGHT(C249,4)),VALUE(LEFT(C249,2)),VALUE(MID(C249,4,2))),
        DATEVALUE(C249)
      )
    )
  ),
"INVALID_DATE")</f>
        <v>45505</v>
      </c>
      <c r="AB249">
        <f t="shared" si="21"/>
        <v>7</v>
      </c>
      <c r="AC249" t="str">
        <f t="shared" si="22"/>
        <v>July</v>
      </c>
      <c r="AD249">
        <f t="shared" si="23"/>
        <v>2024</v>
      </c>
    </row>
    <row r="250" spans="1:30">
      <c r="A250" t="s">
        <v>1310</v>
      </c>
      <c r="B250" t="s">
        <v>1311</v>
      </c>
      <c r="C250" t="s">
        <v>586</v>
      </c>
      <c r="D250" t="s">
        <v>1312</v>
      </c>
      <c r="E250" t="s">
        <v>187</v>
      </c>
      <c r="F250" t="s">
        <v>122</v>
      </c>
      <c r="G250" t="s">
        <v>49</v>
      </c>
      <c r="H250" t="s">
        <v>50</v>
      </c>
      <c r="I250" t="s">
        <v>51</v>
      </c>
      <c r="J250" t="s">
        <v>37</v>
      </c>
      <c r="K250" t="s">
        <v>116</v>
      </c>
      <c r="L250" t="s">
        <v>1313</v>
      </c>
      <c r="M250" t="s">
        <v>40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41</v>
      </c>
      <c r="U250" t="s">
        <v>42</v>
      </c>
      <c r="V250">
        <f t="shared" si="18"/>
        <v>6027.5114999999996</v>
      </c>
      <c r="W250">
        <f t="shared" si="19"/>
        <v>1143.6900000000005</v>
      </c>
      <c r="X250">
        <f t="shared" si="20"/>
        <v>0.1897450190874839</v>
      </c>
      <c r="Y250" t="str">
        <f>_xlfn.TEXTJOIN(", ",TRUE,IF(G250="Unknown","Missing Region",""),IF(M250="Unknown","Missing Ship Mode",""),IF(P250&lt;0,"Negative Discount",""),IF(P250&gt;0.7,"High Discount",""),IF(C250&lt;B250,"Ship Before Order",""))</f>
        <v/>
      </c>
      <c r="Z250" s="2">
        <f>IFERROR(
  IF(ISNUMBER(B250),B250,
    IF(ISNUMBER(SEARCH("-",B250)*1),
      IF(LEN(LEFT(B250,FIND("-",B250)-1))=4,
        DATE(VALUE(LEFT(B250,4)),VALUE(MID(B250,6,2)),VALUE(RIGHT(B250,2))),
        DATE(VALUE(RIGHT(B250,4)),VALUE(MID(B250,4,2)),VALUE(LEFT(B250,2)))
      ),
      IF(ISNUMBER(SEARCH("/",B250)*1),
        DATE(VALUE(RIGHT(B250,4)),VALUE(LEFT(B250,2)),VALUE(MID(B250,4,2))),
        DATEVALUE(B250)
      )
    )
  ),
"INVALID_DATE")</f>
        <v>45445</v>
      </c>
      <c r="AA250" s="2">
        <f>IFERROR(
  IF(ISNUMBER(C250),C250,
    IF(ISNUMBER(SEARCH("-",C250)*1),
      IF(LEN(LEFT(C250,FIND("-",C250)-1))=4,
        DATE(VALUE(LEFT(C250,4)),VALUE(MID(C250,6,2)),VALUE(RIGHT(C250,2))),
        DATE(VALUE(RIGHT(C250,4)),VALUE(MID(C250,4,2)),VALUE(LEFT(C250,2)))
      ),
      IF(ISNUMBER(SEARCH("/",C250)*1),
        DATE(VALUE(RIGHT(C250,4)),VALUE(LEFT(C250,2)),VALUE(MID(C250,4,2))),
        DATEVALUE(C250)
      )
    )
  ),
"INVALID_DATE")</f>
        <v>45450</v>
      </c>
      <c r="AB250">
        <f t="shared" si="21"/>
        <v>5</v>
      </c>
      <c r="AC250" t="str">
        <f t="shared" si="22"/>
        <v>June</v>
      </c>
      <c r="AD250">
        <f t="shared" si="23"/>
        <v>2024</v>
      </c>
    </row>
    <row r="251" spans="1:30">
      <c r="A251" t="s">
        <v>1314</v>
      </c>
      <c r="B251" t="s">
        <v>828</v>
      </c>
      <c r="C251" t="s">
        <v>1315</v>
      </c>
      <c r="D251" t="s">
        <v>1316</v>
      </c>
      <c r="E251" t="s">
        <v>47</v>
      </c>
      <c r="F251" t="s">
        <v>115</v>
      </c>
      <c r="G251" t="s">
        <v>34</v>
      </c>
      <c r="H251" t="s">
        <v>35</v>
      </c>
      <c r="I251" t="s">
        <v>36</v>
      </c>
      <c r="J251" t="s">
        <v>52</v>
      </c>
      <c r="K251" t="s">
        <v>72</v>
      </c>
      <c r="L251" t="s">
        <v>1317</v>
      </c>
      <c r="M251" t="s">
        <v>63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41</v>
      </c>
      <c r="U251" t="s">
        <v>42</v>
      </c>
      <c r="V251">
        <f t="shared" si="18"/>
        <v>8928.9279999999999</v>
      </c>
      <c r="W251">
        <f t="shared" si="19"/>
        <v>3294.55</v>
      </c>
      <c r="X251">
        <f t="shared" si="20"/>
        <v>0.36897478197275596</v>
      </c>
      <c r="Y251" t="str">
        <f>_xlfn.TEXTJOIN(", ",TRUE,IF(G251="Unknown","Missing Region",""),IF(M251="Unknown","Missing Ship Mode",""),IF(P251&lt;0,"Negative Discount",""),IF(P251&gt;0.7,"High Discount",""),IF(C251&lt;B251,"Ship Before Order",""))</f>
        <v/>
      </c>
      <c r="Z251" s="2">
        <f>IFERROR(
  IF(ISNUMBER(B251),B251,
    IF(ISNUMBER(SEARCH("-",B251)*1),
      IF(LEN(LEFT(B251,FIND("-",B251)-1))=4,
        DATE(VALUE(LEFT(B251,4)),VALUE(MID(B251,6,2)),VALUE(RIGHT(B251,2))),
        DATE(VALUE(RIGHT(B251,4)),VALUE(MID(B251,4,2)),VALUE(LEFT(B251,2)))
      ),
      IF(ISNUMBER(SEARCH("/",B251)*1),
        DATE(VALUE(RIGHT(B251,4)),VALUE(LEFT(B251,2)),VALUE(MID(B251,4,2))),
        DATEVALUE(B251)
      )
    )
  ),
"INVALID_DATE")</f>
        <v>45870</v>
      </c>
      <c r="AA251" s="2">
        <f>IFERROR(
  IF(ISNUMBER(C251),C251,
    IF(ISNUMBER(SEARCH("-",C251)*1),
      IF(LEN(LEFT(C251,FIND("-",C251)-1))=4,
        DATE(VALUE(LEFT(C251,4)),VALUE(MID(C251,6,2)),VALUE(RIGHT(C251,2))),
        DATE(VALUE(RIGHT(C251,4)),VALUE(MID(C251,4,2)),VALUE(LEFT(C251,2)))
      ),
      IF(ISNUMBER(SEARCH("/",C251)*1),
        DATE(VALUE(RIGHT(C251,4)),VALUE(LEFT(C251,2)),VALUE(MID(C251,4,2))),
        DATEVALUE(C251)
      )
    )
  ),
"INVALID_DATE")</f>
        <v>45871</v>
      </c>
      <c r="AB251">
        <f t="shared" si="21"/>
        <v>1</v>
      </c>
      <c r="AC251" t="str">
        <f t="shared" si="22"/>
        <v>August</v>
      </c>
      <c r="AD251">
        <f t="shared" si="23"/>
        <v>2025</v>
      </c>
    </row>
    <row r="252" spans="1:30">
      <c r="A252" t="s">
        <v>1318</v>
      </c>
      <c r="B252" t="s">
        <v>1319</v>
      </c>
      <c r="C252" t="s">
        <v>1320</v>
      </c>
      <c r="D252" t="s">
        <v>1321</v>
      </c>
      <c r="E252" t="s">
        <v>68</v>
      </c>
      <c r="F252" t="s">
        <v>48</v>
      </c>
      <c r="G252" t="s">
        <v>49</v>
      </c>
      <c r="H252" t="s">
        <v>128</v>
      </c>
      <c r="I252" t="s">
        <v>129</v>
      </c>
      <c r="J252" t="s">
        <v>52</v>
      </c>
      <c r="K252" t="s">
        <v>72</v>
      </c>
      <c r="L252" t="s">
        <v>1322</v>
      </c>
      <c r="M252" t="s">
        <v>74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144</v>
      </c>
      <c r="U252" t="s">
        <v>132</v>
      </c>
      <c r="V252">
        <f t="shared" si="18"/>
        <v>14338.904999999999</v>
      </c>
      <c r="W252">
        <f t="shared" si="19"/>
        <v>2441.25</v>
      </c>
      <c r="X252">
        <f t="shared" si="20"/>
        <v>0.17025364567714399</v>
      </c>
      <c r="Y252" t="str">
        <f>_xlfn.TEXTJOIN(", ",TRUE,IF(G252="Unknown","Missing Region",""),IF(M252="Unknown","Missing Ship Mode",""),IF(P252&lt;0,"Negative Discount",""),IF(P252&gt;0.7,"High Discount",""),IF(C252&lt;B252,"Ship Before Order",""))</f>
        <v/>
      </c>
      <c r="Z252" s="2">
        <f>IFERROR(
  IF(ISNUMBER(B252),B252,
    IF(ISNUMBER(SEARCH("-",B252)*1),
      IF(LEN(LEFT(B252,FIND("-",B252)-1))=4,
        DATE(VALUE(LEFT(B252,4)),VALUE(MID(B252,6,2)),VALUE(RIGHT(B252,2))),
        DATE(VALUE(RIGHT(B252,4)),VALUE(MID(B252,4,2)),VALUE(LEFT(B252,2)))
      ),
      IF(ISNUMBER(SEARCH("/",B252)*1),
        DATE(VALUE(RIGHT(B252,4)),VALUE(LEFT(B252,2)),VALUE(MID(B252,4,2))),
        DATEVALUE(B252)
      )
    )
  ),
"INVALID_DATE")</f>
        <v>45343</v>
      </c>
      <c r="AA252" s="2">
        <f>IFERROR(
  IF(ISNUMBER(C252),C252,
    IF(ISNUMBER(SEARCH("-",C252)*1),
      IF(LEN(LEFT(C252,FIND("-",C252)-1))=4,
        DATE(VALUE(LEFT(C252,4)),VALUE(MID(C252,6,2)),VALUE(RIGHT(C252,2))),
        DATE(VALUE(RIGHT(C252,4)),VALUE(MID(C252,4,2)),VALUE(LEFT(C252,2)))
      ),
      IF(ISNUMBER(SEARCH("/",C252)*1),
        DATE(VALUE(RIGHT(C252,4)),VALUE(LEFT(C252,2)),VALUE(MID(C252,4,2))),
        DATEVALUE(C252)
      )
    )
  ),
"INVALID_DATE")</f>
        <v>45349</v>
      </c>
      <c r="AB252">
        <f t="shared" si="21"/>
        <v>6</v>
      </c>
      <c r="AC252" t="str">
        <f t="shared" si="22"/>
        <v>February</v>
      </c>
      <c r="AD252">
        <f t="shared" si="23"/>
        <v>2024</v>
      </c>
    </row>
    <row r="253" spans="1:30">
      <c r="A253" t="s">
        <v>1323</v>
      </c>
      <c r="B253" t="s">
        <v>1324</v>
      </c>
      <c r="C253" t="s">
        <v>97</v>
      </c>
      <c r="D253" t="s">
        <v>1325</v>
      </c>
      <c r="E253" t="s">
        <v>79</v>
      </c>
      <c r="F253" t="s">
        <v>115</v>
      </c>
      <c r="G253" t="s">
        <v>80</v>
      </c>
      <c r="H253" t="s">
        <v>242</v>
      </c>
      <c r="I253" t="s">
        <v>243</v>
      </c>
      <c r="J253" t="s">
        <v>52</v>
      </c>
      <c r="K253" t="s">
        <v>53</v>
      </c>
      <c r="L253" t="s">
        <v>1326</v>
      </c>
      <c r="M253" t="s">
        <v>40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41</v>
      </c>
      <c r="U253" t="s">
        <v>42</v>
      </c>
      <c r="V253">
        <f t="shared" si="18"/>
        <v>6132.96</v>
      </c>
      <c r="W253">
        <f t="shared" si="19"/>
        <v>1251.8599999999997</v>
      </c>
      <c r="X253">
        <f t="shared" si="20"/>
        <v>0.20412003339333698</v>
      </c>
      <c r="Y253" t="str">
        <f>_xlfn.TEXTJOIN(", ",TRUE,IF(G253="Unknown","Missing Region",""),IF(M253="Unknown","Missing Ship Mode",""),IF(P253&lt;0,"Negative Discount",""),IF(P253&gt;0.7,"High Discount",""),IF(C253&lt;B253,"Ship Before Order",""))</f>
        <v>Ship Before Order</v>
      </c>
      <c r="Z253" s="2">
        <f>IFERROR(
  IF(ISNUMBER(B253),B253,
    IF(ISNUMBER(SEARCH("-",B253)*1),
      IF(LEN(LEFT(B253,FIND("-",B253)-1))=4,
        DATE(VALUE(LEFT(B253,4)),VALUE(MID(B253,6,2)),VALUE(RIGHT(B253,2))),
        DATE(VALUE(RIGHT(B253,4)),VALUE(MID(B253,4,2)),VALUE(LEFT(B253,2)))
      ),
      IF(ISNUMBER(SEARCH("/",B253)*1),
        DATE(VALUE(RIGHT(B253,4)),VALUE(LEFT(B253,2)),VALUE(MID(B253,4,2))),
        DATEVALUE(B253)
      )
    )
  ),
"INVALID_DATE")</f>
        <v>45753</v>
      </c>
      <c r="AA253" s="2">
        <f>IFERROR(
  IF(ISNUMBER(C253),C253,
    IF(ISNUMBER(SEARCH("-",C253)*1),
      IF(LEN(LEFT(C253,FIND("-",C253)-1))=4,
        DATE(VALUE(LEFT(C253,4)),VALUE(MID(C253,6,2)),VALUE(RIGHT(C253,2))),
        DATE(VALUE(RIGHT(C253,4)),VALUE(MID(C253,4,2)),VALUE(LEFT(C253,2)))
      ),
      IF(ISNUMBER(SEARCH("/",C253)*1),
        DATE(VALUE(RIGHT(C253,4)),VALUE(LEFT(C253,2)),VALUE(MID(C253,4,2))),
        DATEVALUE(C253)
      )
    )
  ),
"INVALID_DATE")</f>
        <v>45757</v>
      </c>
      <c r="AB253">
        <f t="shared" si="21"/>
        <v>4</v>
      </c>
      <c r="AC253" t="str">
        <f t="shared" si="22"/>
        <v>April</v>
      </c>
      <c r="AD253">
        <f t="shared" si="23"/>
        <v>2025</v>
      </c>
    </row>
    <row r="254" spans="1:30">
      <c r="A254" t="s">
        <v>1327</v>
      </c>
      <c r="B254" t="s">
        <v>1328</v>
      </c>
      <c r="C254" t="s">
        <v>1223</v>
      </c>
      <c r="D254" t="s">
        <v>1329</v>
      </c>
      <c r="E254" t="s">
        <v>68</v>
      </c>
      <c r="F254" t="s">
        <v>115</v>
      </c>
      <c r="G254" t="s">
        <v>34</v>
      </c>
      <c r="H254" t="s">
        <v>331</v>
      </c>
      <c r="I254" t="s">
        <v>332</v>
      </c>
      <c r="J254" t="s">
        <v>37</v>
      </c>
      <c r="K254" t="s">
        <v>163</v>
      </c>
      <c r="L254" t="s">
        <v>1330</v>
      </c>
      <c r="M254" t="s">
        <v>63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144</v>
      </c>
      <c r="U254" t="s">
        <v>132</v>
      </c>
      <c r="V254">
        <f t="shared" si="18"/>
        <v>2329.4720000000002</v>
      </c>
      <c r="W254">
        <f t="shared" si="19"/>
        <v>725.84999999999991</v>
      </c>
      <c r="X254">
        <f t="shared" si="20"/>
        <v>0.31159448286520114</v>
      </c>
      <c r="Y254" t="str">
        <f>_xlfn.TEXTJOIN(", ",TRUE,IF(G254="Unknown","Missing Region",""),IF(M254="Unknown","Missing Ship Mode",""),IF(P254&lt;0,"Negative Discount",""),IF(P254&gt;0.7,"High Discount",""),IF(C254&lt;B254,"Ship Before Order",""))</f>
        <v>Ship Before Order</v>
      </c>
      <c r="Z254" s="2">
        <f>IFERROR(
  IF(ISNUMBER(B254),B254,
    IF(ISNUMBER(SEARCH("-",B254)*1),
      IF(LEN(LEFT(B254,FIND("-",B254)-1))=4,
        DATE(VALUE(LEFT(B254,4)),VALUE(MID(B254,6,2)),VALUE(RIGHT(B254,2))),
        DATE(VALUE(RIGHT(B254,4)),VALUE(MID(B254,4,2)),VALUE(LEFT(B254,2)))
      ),
      IF(ISNUMBER(SEARCH("/",B254)*1),
        DATE(VALUE(RIGHT(B254,4)),VALUE(LEFT(B254,2)),VALUE(MID(B254,4,2))),
        DATEVALUE(B254)
      )
    )
  ),
"INVALID_DATE")</f>
        <v>45833</v>
      </c>
      <c r="AA254" s="2">
        <f>IFERROR(
  IF(ISNUMBER(C254),C254,
    IF(ISNUMBER(SEARCH("-",C254)*1),
      IF(LEN(LEFT(C254,FIND("-",C254)-1))=4,
        DATE(VALUE(LEFT(C254,4)),VALUE(MID(C254,6,2)),VALUE(RIGHT(C254,2))),
        DATE(VALUE(RIGHT(C254,4)),VALUE(MID(C254,4,2)),VALUE(LEFT(C254,2)))
      ),
      IF(ISNUMBER(SEARCH("/",C254)*1),
        DATE(VALUE(RIGHT(C254,4)),VALUE(LEFT(C254,2)),VALUE(MID(C254,4,2))),
        DATEVALUE(C254)
      )
    )
  ),
"INVALID_DATE")</f>
        <v>45836</v>
      </c>
      <c r="AB254">
        <f t="shared" si="21"/>
        <v>3</v>
      </c>
      <c r="AC254" t="str">
        <f t="shared" si="22"/>
        <v>June</v>
      </c>
      <c r="AD254">
        <f t="shared" si="23"/>
        <v>2025</v>
      </c>
    </row>
    <row r="255" spans="1:30">
      <c r="A255" t="s">
        <v>1331</v>
      </c>
      <c r="B255" t="s">
        <v>1332</v>
      </c>
      <c r="C255" t="s">
        <v>1333</v>
      </c>
      <c r="D255" t="s">
        <v>1334</v>
      </c>
      <c r="E255" t="s">
        <v>149</v>
      </c>
      <c r="F255" t="s">
        <v>48</v>
      </c>
      <c r="G255" t="s">
        <v>34</v>
      </c>
      <c r="H255" t="s">
        <v>35</v>
      </c>
      <c r="I255" t="s">
        <v>36</v>
      </c>
      <c r="J255" t="s">
        <v>93</v>
      </c>
      <c r="K255" t="s">
        <v>230</v>
      </c>
      <c r="L255" t="s">
        <v>1335</v>
      </c>
      <c r="M255" t="s">
        <v>55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131</v>
      </c>
      <c r="U255" t="s">
        <v>85</v>
      </c>
      <c r="V255">
        <f t="shared" si="18"/>
        <v>4746.9030000000002</v>
      </c>
      <c r="W255">
        <f t="shared" si="19"/>
        <v>1921.5199999999995</v>
      </c>
      <c r="X255">
        <f t="shared" si="20"/>
        <v>0.31028460679601427</v>
      </c>
      <c r="Y255" t="str">
        <f>_xlfn.TEXTJOIN(", ",TRUE,IF(G255="Unknown","Missing Region",""),IF(M255="Unknown","Missing Ship Mode",""),IF(P255&lt;0,"Negative Discount",""),IF(P255&gt;0.7,"High Discount",""),IF(C255&lt;B255,"Ship Before Order",""))</f>
        <v>Ship Before Order</v>
      </c>
      <c r="Z255" s="2">
        <f>IFERROR(
  IF(ISNUMBER(B255),B255,
    IF(ISNUMBER(SEARCH("-",B255)*1),
      IF(LEN(LEFT(B255,FIND("-",B255)-1))=4,
        DATE(VALUE(LEFT(B255,4)),VALUE(MID(B255,6,2)),VALUE(RIGHT(B255,2))),
        DATE(VALUE(RIGHT(B255,4)),VALUE(MID(B255,4,2)),VALUE(LEFT(B255,2)))
      ),
      IF(ISNUMBER(SEARCH("/",B255)*1),
        DATE(VALUE(RIGHT(B255,4)),VALUE(LEFT(B255,2)),VALUE(MID(B255,4,2))),
        DATEVALUE(B255)
      )
    )
  ),
"INVALID_DATE")</f>
        <v>45547</v>
      </c>
      <c r="AA255" s="2">
        <f>IFERROR(
  IF(ISNUMBER(C255),C255,
    IF(ISNUMBER(SEARCH("-",C255)*1),
      IF(LEN(LEFT(C255,FIND("-",C255)-1))=4,
        DATE(VALUE(LEFT(C255,4)),VALUE(MID(C255,6,2)),VALUE(RIGHT(C255,2))),
        DATE(VALUE(RIGHT(C255,4)),VALUE(MID(C255,4,2)),VALUE(LEFT(C255,2)))
      ),
      IF(ISNUMBER(SEARCH("/",C255)*1),
        DATE(VALUE(RIGHT(C255,4)),VALUE(LEFT(C255,2)),VALUE(MID(C255,4,2))),
        DATEVALUE(C255)
      )
    )
  ),
"INVALID_DATE")</f>
        <v>45548</v>
      </c>
      <c r="AB255">
        <f t="shared" si="21"/>
        <v>1</v>
      </c>
      <c r="AC255" t="str">
        <f t="shared" si="22"/>
        <v>September</v>
      </c>
      <c r="AD255">
        <f t="shared" si="23"/>
        <v>2024</v>
      </c>
    </row>
    <row r="256" spans="1:30">
      <c r="A256" t="s">
        <v>1336</v>
      </c>
      <c r="B256" t="s">
        <v>1337</v>
      </c>
      <c r="C256" t="s">
        <v>1338</v>
      </c>
      <c r="D256" t="s">
        <v>1339</v>
      </c>
      <c r="E256" t="s">
        <v>79</v>
      </c>
      <c r="F256" t="s">
        <v>33</v>
      </c>
      <c r="G256" t="s">
        <v>80</v>
      </c>
      <c r="H256" t="s">
        <v>91</v>
      </c>
      <c r="I256" t="s">
        <v>92</v>
      </c>
      <c r="J256" t="s">
        <v>93</v>
      </c>
      <c r="K256" t="s">
        <v>94</v>
      </c>
      <c r="L256" t="s">
        <v>1340</v>
      </c>
      <c r="M256" t="s">
        <v>55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41</v>
      </c>
      <c r="U256" t="s">
        <v>132</v>
      </c>
      <c r="V256">
        <f t="shared" si="18"/>
        <v>5603.08</v>
      </c>
      <c r="W256">
        <f t="shared" si="19"/>
        <v>2470.56</v>
      </c>
      <c r="X256">
        <f t="shared" si="20"/>
        <v>0.44092891766671188</v>
      </c>
      <c r="Y256" t="str">
        <f>_xlfn.TEXTJOIN(", ",TRUE,IF(G256="Unknown","Missing Region",""),IF(M256="Unknown","Missing Ship Mode",""),IF(P256&lt;0,"Negative Discount",""),IF(P256&gt;0.7,"High Discount",""),IF(C256&lt;B256,"Ship Before Order",""))</f>
        <v/>
      </c>
      <c r="Z256" s="2">
        <f>IFERROR(
  IF(ISNUMBER(B256),B256,
    IF(ISNUMBER(SEARCH("-",B256)*1),
      IF(LEN(LEFT(B256,FIND("-",B256)-1))=4,
        DATE(VALUE(LEFT(B256,4)),VALUE(MID(B256,6,2)),VALUE(RIGHT(B256,2))),
        DATE(VALUE(RIGHT(B256,4)),VALUE(MID(B256,4,2)),VALUE(LEFT(B256,2)))
      ),
      IF(ISNUMBER(SEARCH("/",B256)*1),
        DATE(VALUE(RIGHT(B256,4)),VALUE(LEFT(B256,2)),VALUE(MID(B256,4,2))),
        DATEVALUE(B256)
      )
    )
  ),
"INVALID_DATE")</f>
        <v>45658</v>
      </c>
      <c r="AA256" s="2">
        <f>IFERROR(
  IF(ISNUMBER(C256),C256,
    IF(ISNUMBER(SEARCH("-",C256)*1),
      IF(LEN(LEFT(C256,FIND("-",C256)-1))=4,
        DATE(VALUE(LEFT(C256,4)),VALUE(MID(C256,6,2)),VALUE(RIGHT(C256,2))),
        DATE(VALUE(RIGHT(C256,4)),VALUE(MID(C256,4,2)),VALUE(LEFT(C256,2)))
      ),
      IF(ISNUMBER(SEARCH("/",C256)*1),
        DATE(VALUE(RIGHT(C256,4)),VALUE(LEFT(C256,2)),VALUE(MID(C256,4,2))),
        DATEVALUE(C256)
      )
    )
  ),
"INVALID_DATE")</f>
        <v>45660</v>
      </c>
      <c r="AB256">
        <f t="shared" si="21"/>
        <v>2</v>
      </c>
      <c r="AC256" t="str">
        <f t="shared" si="22"/>
        <v>January</v>
      </c>
      <c r="AD256">
        <f t="shared" si="23"/>
        <v>2025</v>
      </c>
    </row>
    <row r="257" spans="1:30">
      <c r="A257" t="s">
        <v>1341</v>
      </c>
      <c r="B257" t="s">
        <v>1342</v>
      </c>
      <c r="C257" t="s">
        <v>1343</v>
      </c>
      <c r="D257" t="s">
        <v>1344</v>
      </c>
      <c r="E257" t="s">
        <v>60</v>
      </c>
      <c r="F257" t="s">
        <v>115</v>
      </c>
      <c r="G257" t="s">
        <v>80</v>
      </c>
      <c r="H257" t="s">
        <v>81</v>
      </c>
      <c r="I257" t="s">
        <v>82</v>
      </c>
      <c r="J257" t="s">
        <v>93</v>
      </c>
      <c r="K257" t="s">
        <v>230</v>
      </c>
      <c r="L257" t="s">
        <v>1345</v>
      </c>
      <c r="M257" t="s">
        <v>63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41</v>
      </c>
      <c r="U257" t="s">
        <v>42</v>
      </c>
      <c r="V257">
        <f t="shared" si="18"/>
        <v>12810</v>
      </c>
      <c r="W257">
        <f t="shared" si="19"/>
        <v>3475.8799999999992</v>
      </c>
      <c r="X257">
        <f t="shared" si="20"/>
        <v>0.27134113973458235</v>
      </c>
      <c r="Y257" t="str">
        <f>_xlfn.TEXTJOIN(", ",TRUE,IF(G257="Unknown","Missing Region",""),IF(M257="Unknown","Missing Ship Mode",""),IF(P257&lt;0,"Negative Discount",""),IF(P257&gt;0.7,"High Discount",""),IF(C257&lt;B257,"Ship Before Order",""))</f>
        <v>Ship Before Order</v>
      </c>
      <c r="Z257" s="2">
        <f>IFERROR(
  IF(ISNUMBER(B257),B257,
    IF(ISNUMBER(SEARCH("-",B257)*1),
      IF(LEN(LEFT(B257,FIND("-",B257)-1))=4,
        DATE(VALUE(LEFT(B257,4)),VALUE(MID(B257,6,2)),VALUE(RIGHT(B257,2))),
        DATE(VALUE(RIGHT(B257,4)),VALUE(MID(B257,4,2)),VALUE(LEFT(B257,2)))
      ),
      IF(ISNUMBER(SEARCH("/",B257)*1),
        DATE(VALUE(RIGHT(B257,4)),VALUE(LEFT(B257,2)),VALUE(MID(B257,4,2))),
        DATEVALUE(B257)
      )
    )
  ),
"INVALID_DATE")</f>
        <v>45692</v>
      </c>
      <c r="AA257" s="2">
        <f>IFERROR(
  IF(ISNUMBER(C257),C257,
    IF(ISNUMBER(SEARCH("-",C257)*1),
      IF(LEN(LEFT(C257,FIND("-",C257)-1))=4,
        DATE(VALUE(LEFT(C257,4)),VALUE(MID(C257,6,2)),VALUE(RIGHT(C257,2))),
        DATE(VALUE(RIGHT(C257,4)),VALUE(MID(C257,4,2)),VALUE(LEFT(C257,2)))
      ),
      IF(ISNUMBER(SEARCH("/",C257)*1),
        DATE(VALUE(RIGHT(C257,4)),VALUE(LEFT(C257,2)),VALUE(MID(C257,4,2))),
        DATEVALUE(C257)
      )
    )
  ),
"INVALID_DATE")</f>
        <v>45698</v>
      </c>
      <c r="AB257">
        <f t="shared" si="21"/>
        <v>6</v>
      </c>
      <c r="AC257" t="str">
        <f t="shared" si="22"/>
        <v>February</v>
      </c>
      <c r="AD257">
        <f t="shared" si="23"/>
        <v>2025</v>
      </c>
    </row>
    <row r="258" spans="1:30">
      <c r="A258" t="s">
        <v>1346</v>
      </c>
      <c r="B258" t="s">
        <v>1347</v>
      </c>
      <c r="C258" t="s">
        <v>491</v>
      </c>
      <c r="D258" t="s">
        <v>1348</v>
      </c>
      <c r="E258" t="s">
        <v>79</v>
      </c>
      <c r="F258" t="s">
        <v>33</v>
      </c>
      <c r="G258" t="s">
        <v>49</v>
      </c>
      <c r="H258" t="s">
        <v>128</v>
      </c>
      <c r="I258" t="s">
        <v>129</v>
      </c>
      <c r="J258" t="s">
        <v>52</v>
      </c>
      <c r="K258" t="s">
        <v>53</v>
      </c>
      <c r="L258" t="s">
        <v>1349</v>
      </c>
      <c r="M258" t="s">
        <v>63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41</v>
      </c>
      <c r="U258" t="s">
        <v>42</v>
      </c>
      <c r="V258">
        <f t="shared" ref="V258:V321" si="24">O258*(1-P258)*N258</f>
        <v>19328.215499999998</v>
      </c>
      <c r="W258">
        <f t="shared" ref="W258:W321" si="25">Q258-R258</f>
        <v>7288.7200000000012</v>
      </c>
      <c r="X258">
        <f t="shared" ref="X258:X321" si="26">IF(Q258=0,"",S258/Q258)</f>
        <v>0.37710249572904281</v>
      </c>
      <c r="Y258" t="str">
        <f>_xlfn.TEXTJOIN(", ",TRUE,IF(G258="Unknown","Missing Region",""),IF(M258="Unknown","Missing Ship Mode",""),IF(P258&lt;0,"Negative Discount",""),IF(P258&gt;0.7,"High Discount",""),IF(C258&lt;B258,"Ship Before Order",""))</f>
        <v>Ship Before Order</v>
      </c>
      <c r="Z258" s="2">
        <f>IFERROR(
  IF(ISNUMBER(B258),B258,
    IF(ISNUMBER(SEARCH("-",B258)*1),
      IF(LEN(LEFT(B258,FIND("-",B258)-1))=4,
        DATE(VALUE(LEFT(B258,4)),VALUE(MID(B258,6,2)),VALUE(RIGHT(B258,2))),
        DATE(VALUE(RIGHT(B258,4)),VALUE(MID(B258,4,2)),VALUE(LEFT(B258,2)))
      ),
      IF(ISNUMBER(SEARCH("/",B258)*1),
        DATE(VALUE(RIGHT(B258,4)),VALUE(LEFT(B258,2)),VALUE(MID(B258,4,2))),
        DATEVALUE(B258)
      )
    )
  ),
"INVALID_DATE")</f>
        <v>45601</v>
      </c>
      <c r="AA258" s="2">
        <f>IFERROR(
  IF(ISNUMBER(C258),C258,
    IF(ISNUMBER(SEARCH("-",C258)*1),
      IF(LEN(LEFT(C258,FIND("-",C258)-1))=4,
        DATE(VALUE(LEFT(C258,4)),VALUE(MID(C258,6,2)),VALUE(RIGHT(C258,2))),
        DATE(VALUE(RIGHT(C258,4)),VALUE(MID(C258,4,2)),VALUE(LEFT(C258,2)))
      ),
      IF(ISNUMBER(SEARCH("/",C258)*1),
        DATE(VALUE(RIGHT(C258,4)),VALUE(LEFT(C258,2)),VALUE(MID(C258,4,2))),
        DATEVALUE(C258)
      )
    )
  ),
"INVALID_DATE")</f>
        <v>45599</v>
      </c>
      <c r="AB258">
        <f t="shared" si="21"/>
        <v>-2</v>
      </c>
      <c r="AC258" t="str">
        <f t="shared" si="22"/>
        <v>November</v>
      </c>
      <c r="AD258">
        <f t="shared" si="23"/>
        <v>2024</v>
      </c>
    </row>
    <row r="259" spans="1:30">
      <c r="A259" t="s">
        <v>1350</v>
      </c>
      <c r="B259" t="s">
        <v>1351</v>
      </c>
      <c r="C259" t="s">
        <v>1352</v>
      </c>
      <c r="D259" t="s">
        <v>1353</v>
      </c>
      <c r="E259" t="s">
        <v>217</v>
      </c>
      <c r="F259" t="s">
        <v>115</v>
      </c>
      <c r="G259" t="s">
        <v>69</v>
      </c>
      <c r="H259" t="s">
        <v>236</v>
      </c>
      <c r="I259" t="s">
        <v>237</v>
      </c>
      <c r="J259" t="s">
        <v>93</v>
      </c>
      <c r="K259" t="s">
        <v>94</v>
      </c>
      <c r="L259" t="s">
        <v>1354</v>
      </c>
      <c r="M259" t="s">
        <v>40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41</v>
      </c>
      <c r="U259" t="s">
        <v>85</v>
      </c>
      <c r="V259">
        <f t="shared" si="24"/>
        <v>6474.54</v>
      </c>
      <c r="W259">
        <f t="shared" si="25"/>
        <v>1378.63</v>
      </c>
      <c r="X259">
        <f t="shared" si="26"/>
        <v>0.21293095725719513</v>
      </c>
      <c r="Y259" t="str">
        <f>_xlfn.TEXTJOIN(", ",TRUE,IF(G259="Unknown","Missing Region",""),IF(M259="Unknown","Missing Ship Mode",""),IF(P259&lt;0,"Negative Discount",""),IF(P259&gt;0.7,"High Discount",""),IF(C259&lt;B259,"Ship Before Order",""))</f>
        <v/>
      </c>
      <c r="Z259" s="2">
        <f>IFERROR(
  IF(ISNUMBER(B259),B259,
    IF(ISNUMBER(SEARCH("-",B259)*1),
      IF(LEN(LEFT(B259,FIND("-",B259)-1))=4,
        DATE(VALUE(LEFT(B259,4)),VALUE(MID(B259,6,2)),VALUE(RIGHT(B259,2))),
        DATE(VALUE(RIGHT(B259,4)),VALUE(MID(B259,4,2)),VALUE(LEFT(B259,2)))
      ),
      IF(ISNUMBER(SEARCH("/",B259)*1),
        DATE(VALUE(RIGHT(B259,4)),VALUE(LEFT(B259,2)),VALUE(MID(B259,4,2))),
        DATEVALUE(B259)
      )
    )
  ),
"INVALID_DATE")</f>
        <v>45878</v>
      </c>
      <c r="AA259" s="2">
        <f>IFERROR(
  IF(ISNUMBER(C259),C259,
    IF(ISNUMBER(SEARCH("-",C259)*1),
      IF(LEN(LEFT(C259,FIND("-",C259)-1))=4,
        DATE(VALUE(LEFT(C259,4)),VALUE(MID(C259,6,2)),VALUE(RIGHT(C259,2))),
        DATE(VALUE(RIGHT(C259,4)),VALUE(MID(C259,4,2)),VALUE(LEFT(C259,2)))
      ),
      IF(ISNUMBER(SEARCH("/",C259)*1),
        DATE(VALUE(RIGHT(C259,4)),VALUE(LEFT(C259,2)),VALUE(MID(C259,4,2))),
        DATEVALUE(C259)
      )
    )
  ),
"INVALID_DATE")</f>
        <v>45881</v>
      </c>
      <c r="AB259">
        <f t="shared" ref="AB259:AB322" si="27">AA259-Z259</f>
        <v>3</v>
      </c>
      <c r="AC259" t="str">
        <f t="shared" ref="AC259:AC322" si="28">TEXT(Z259,"mmmm")</f>
        <v>August</v>
      </c>
      <c r="AD259">
        <f t="shared" ref="AD259:AD322" si="29">YEAR(Z259)</f>
        <v>2025</v>
      </c>
    </row>
    <row r="260" spans="1:30">
      <c r="A260" t="s">
        <v>1355</v>
      </c>
      <c r="B260" t="s">
        <v>833</v>
      </c>
      <c r="C260" t="s">
        <v>1356</v>
      </c>
      <c r="D260" t="s">
        <v>1357</v>
      </c>
      <c r="E260" t="s">
        <v>175</v>
      </c>
      <c r="F260" t="s">
        <v>115</v>
      </c>
      <c r="G260" t="s">
        <v>69</v>
      </c>
      <c r="H260" t="s">
        <v>347</v>
      </c>
      <c r="I260" t="s">
        <v>348</v>
      </c>
      <c r="J260" t="s">
        <v>52</v>
      </c>
      <c r="K260" t="s">
        <v>53</v>
      </c>
      <c r="L260" t="s">
        <v>1358</v>
      </c>
      <c r="M260" t="s">
        <v>55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41</v>
      </c>
      <c r="U260" t="s">
        <v>42</v>
      </c>
      <c r="V260">
        <f t="shared" si="24"/>
        <v>5580.1050000000005</v>
      </c>
      <c r="W260">
        <f t="shared" si="25"/>
        <v>1273.0999999999995</v>
      </c>
      <c r="X260">
        <f t="shared" si="26"/>
        <v>0.22814962429056057</v>
      </c>
      <c r="Y260" t="str">
        <f>_xlfn.TEXTJOIN(", ",TRUE,IF(G260="Unknown","Missing Region",""),IF(M260="Unknown","Missing Ship Mode",""),IF(P260&lt;0,"Negative Discount",""),IF(P260&gt;0.7,"High Discount",""),IF(C260&lt;B260,"Ship Before Order",""))</f>
        <v/>
      </c>
      <c r="Z260" s="2">
        <f>IFERROR(
  IF(ISNUMBER(B260),B260,
    IF(ISNUMBER(SEARCH("-",B260)*1),
      IF(LEN(LEFT(B260,FIND("-",B260)-1))=4,
        DATE(VALUE(LEFT(B260,4)),VALUE(MID(B260,6,2)),VALUE(RIGHT(B260,2))),
        DATE(VALUE(RIGHT(B260,4)),VALUE(MID(B260,4,2)),VALUE(LEFT(B260,2)))
      ),
      IF(ISNUMBER(SEARCH("/",B260)*1),
        DATE(VALUE(RIGHT(B260,4)),VALUE(LEFT(B260,2)),VALUE(MID(B260,4,2))),
        DATEVALUE(B260)
      )
    )
  ),
"INVALID_DATE")</f>
        <v>45656</v>
      </c>
      <c r="AA260" s="2">
        <f>IFERROR(
  IF(ISNUMBER(C260),C260,
    IF(ISNUMBER(SEARCH("-",C260)*1),
      IF(LEN(LEFT(C260,FIND("-",C260)-1))=4,
        DATE(VALUE(LEFT(C260,4)),VALUE(MID(C260,6,2)),VALUE(RIGHT(C260,2))),
        DATE(VALUE(RIGHT(C260,4)),VALUE(MID(C260,4,2)),VALUE(LEFT(C260,2)))
      ),
      IF(ISNUMBER(SEARCH("/",C260)*1),
        DATE(VALUE(RIGHT(C260,4)),VALUE(LEFT(C260,2)),VALUE(MID(C260,4,2))),
        DATEVALUE(C260)
      )
    )
  ),
"INVALID_DATE")</f>
        <v>45661</v>
      </c>
      <c r="AB260">
        <f t="shared" si="27"/>
        <v>5</v>
      </c>
      <c r="AC260" t="str">
        <f t="shared" si="28"/>
        <v>December</v>
      </c>
      <c r="AD260">
        <f t="shared" si="29"/>
        <v>2024</v>
      </c>
    </row>
    <row r="261" spans="1:30">
      <c r="A261" t="s">
        <v>1359</v>
      </c>
      <c r="B261" t="s">
        <v>1360</v>
      </c>
      <c r="C261" t="s">
        <v>1361</v>
      </c>
      <c r="D261" t="s">
        <v>1362</v>
      </c>
      <c r="E261" t="s">
        <v>100</v>
      </c>
      <c r="F261" t="s">
        <v>33</v>
      </c>
      <c r="G261" t="s">
        <v>69</v>
      </c>
      <c r="H261" t="s">
        <v>347</v>
      </c>
      <c r="I261" t="s">
        <v>348</v>
      </c>
      <c r="J261" t="s">
        <v>93</v>
      </c>
      <c r="K261" t="s">
        <v>390</v>
      </c>
      <c r="L261" t="s">
        <v>1363</v>
      </c>
      <c r="M261" t="s">
        <v>74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41</v>
      </c>
      <c r="U261" t="s">
        <v>42</v>
      </c>
      <c r="V261">
        <f t="shared" si="24"/>
        <v>18265.088</v>
      </c>
      <c r="W261">
        <f t="shared" si="25"/>
        <v>7827.9500000000007</v>
      </c>
      <c r="X261">
        <f t="shared" si="26"/>
        <v>0.42857440067363478</v>
      </c>
      <c r="Y261" t="str">
        <f>_xlfn.TEXTJOIN(", ",TRUE,IF(G261="Unknown","Missing Region",""),IF(M261="Unknown","Missing Ship Mode",""),IF(P261&lt;0,"Negative Discount",""),IF(P261&gt;0.7,"High Discount",""),IF(C261&lt;B261,"Ship Before Order",""))</f>
        <v/>
      </c>
      <c r="Z261" s="2">
        <f>IFERROR(
  IF(ISNUMBER(B261),B261,
    IF(ISNUMBER(SEARCH("-",B261)*1),
      IF(LEN(LEFT(B261,FIND("-",B261)-1))=4,
        DATE(VALUE(LEFT(B261,4)),VALUE(MID(B261,6,2)),VALUE(RIGHT(B261,2))),
        DATE(VALUE(RIGHT(B261,4)),VALUE(MID(B261,4,2)),VALUE(LEFT(B261,2)))
      ),
      IF(ISNUMBER(SEARCH("/",B261)*1),
        DATE(VALUE(RIGHT(B261,4)),VALUE(LEFT(B261,2)),VALUE(MID(B261,4,2))),
        DATEVALUE(B261)
      )
    )
  ),
"INVALID_DATE")</f>
        <v>45464</v>
      </c>
      <c r="AA261" s="2">
        <f>IFERROR(
  IF(ISNUMBER(C261),C261,
    IF(ISNUMBER(SEARCH("-",C261)*1),
      IF(LEN(LEFT(C261,FIND("-",C261)-1))=4,
        DATE(VALUE(LEFT(C261,4)),VALUE(MID(C261,6,2)),VALUE(RIGHT(C261,2))),
        DATE(VALUE(RIGHT(C261,4)),VALUE(MID(C261,4,2)),VALUE(LEFT(C261,2)))
      ),
      IF(ISNUMBER(SEARCH("/",C261)*1),
        DATE(VALUE(RIGHT(C261,4)),VALUE(LEFT(C261,2)),VALUE(MID(C261,4,2))),
        DATEVALUE(C261)
      )
    )
  ),
"INVALID_DATE")</f>
        <v>45472</v>
      </c>
      <c r="AB261">
        <f t="shared" si="27"/>
        <v>8</v>
      </c>
      <c r="AC261" t="str">
        <f t="shared" si="28"/>
        <v>June</v>
      </c>
      <c r="AD261">
        <f t="shared" si="29"/>
        <v>2024</v>
      </c>
    </row>
    <row r="262" spans="1:30">
      <c r="A262" t="s">
        <v>1364</v>
      </c>
      <c r="B262" t="s">
        <v>1365</v>
      </c>
      <c r="C262" t="s">
        <v>1366</v>
      </c>
      <c r="D262" t="s">
        <v>1367</v>
      </c>
      <c r="E262" t="s">
        <v>114</v>
      </c>
      <c r="F262" t="s">
        <v>115</v>
      </c>
      <c r="G262" t="s">
        <v>49</v>
      </c>
      <c r="H262" t="s">
        <v>128</v>
      </c>
      <c r="I262" t="s">
        <v>129</v>
      </c>
      <c r="J262" t="s">
        <v>37</v>
      </c>
      <c r="K262" t="s">
        <v>205</v>
      </c>
      <c r="L262" t="s">
        <v>1368</v>
      </c>
      <c r="M262" t="s">
        <v>55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207</v>
      </c>
      <c r="U262" t="s">
        <v>132</v>
      </c>
      <c r="V262">
        <f t="shared" si="24"/>
        <v>15209.880000000001</v>
      </c>
      <c r="W262">
        <f t="shared" si="25"/>
        <v>4318.7299999999996</v>
      </c>
      <c r="X262">
        <f t="shared" si="26"/>
        <v>0.28394241111698448</v>
      </c>
      <c r="Y262" t="str">
        <f>_xlfn.TEXTJOIN(", ",TRUE,IF(G262="Unknown","Missing Region",""),IF(M262="Unknown","Missing Ship Mode",""),IF(P262&lt;0,"Negative Discount",""),IF(P262&gt;0.7,"High Discount",""),IF(C262&lt;B262,"Ship Before Order",""))</f>
        <v>Ship Before Order</v>
      </c>
      <c r="Z262" s="2">
        <f>IFERROR(
  IF(ISNUMBER(B262),B262,
    IF(ISNUMBER(SEARCH("-",B262)*1),
      IF(LEN(LEFT(B262,FIND("-",B262)-1))=4,
        DATE(VALUE(LEFT(B262,4)),VALUE(MID(B262,6,2)),VALUE(RIGHT(B262,2))),
        DATE(VALUE(RIGHT(B262,4)),VALUE(MID(B262,4,2)),VALUE(LEFT(B262,2)))
      ),
      IF(ISNUMBER(SEARCH("/",B262)*1),
        DATE(VALUE(RIGHT(B262,4)),VALUE(LEFT(B262,2)),VALUE(MID(B262,4,2))),
        DATEVALUE(B262)
      )
    )
  ),
"INVALID_DATE")</f>
        <v>45923</v>
      </c>
      <c r="AA262" s="2">
        <f>IFERROR(
  IF(ISNUMBER(C262),C262,
    IF(ISNUMBER(SEARCH("-",C262)*1),
      IF(LEN(LEFT(C262,FIND("-",C262)-1))=4,
        DATE(VALUE(LEFT(C262,4)),VALUE(MID(C262,6,2)),VALUE(RIGHT(C262,2))),
        DATE(VALUE(RIGHT(C262,4)),VALUE(MID(C262,4,2)),VALUE(LEFT(C262,2)))
      ),
      IF(ISNUMBER(SEARCH("/",C262)*1),
        DATE(VALUE(RIGHT(C262,4)),VALUE(LEFT(C262,2)),VALUE(MID(C262,4,2))),
        DATEVALUE(C262)
      )
    )
  ),
"INVALID_DATE")</f>
        <v>45927</v>
      </c>
      <c r="AB262">
        <f t="shared" si="27"/>
        <v>4</v>
      </c>
      <c r="AC262" t="str">
        <f t="shared" si="28"/>
        <v>September</v>
      </c>
      <c r="AD262">
        <f t="shared" si="29"/>
        <v>2025</v>
      </c>
    </row>
    <row r="263" spans="1:30">
      <c r="A263" t="s">
        <v>1369</v>
      </c>
      <c r="B263" t="s">
        <v>1370</v>
      </c>
      <c r="C263" t="s">
        <v>1371</v>
      </c>
      <c r="D263" t="s">
        <v>1372</v>
      </c>
      <c r="E263" t="s">
        <v>175</v>
      </c>
      <c r="F263" t="s">
        <v>115</v>
      </c>
      <c r="G263" t="s">
        <v>34</v>
      </c>
      <c r="H263" t="s">
        <v>35</v>
      </c>
      <c r="I263" t="s">
        <v>36</v>
      </c>
      <c r="J263" t="s">
        <v>37</v>
      </c>
      <c r="K263" t="s">
        <v>116</v>
      </c>
      <c r="L263" t="s">
        <v>1373</v>
      </c>
      <c r="M263" t="s">
        <v>74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207</v>
      </c>
      <c r="U263" t="s">
        <v>85</v>
      </c>
      <c r="V263">
        <f t="shared" si="24"/>
        <v>1648.1760000000002</v>
      </c>
      <c r="W263">
        <f t="shared" si="25"/>
        <v>660.2700000000001</v>
      </c>
      <c r="X263">
        <f t="shared" si="26"/>
        <v>0.40060551638777314</v>
      </c>
      <c r="Y263" t="str">
        <f>_xlfn.TEXTJOIN(", ",TRUE,IF(G263="Unknown","Missing Region",""),IF(M263="Unknown","Missing Ship Mode",""),IF(P263&lt;0,"Negative Discount",""),IF(P263&gt;0.7,"High Discount",""),IF(C263&lt;B263,"Ship Before Order",""))</f>
        <v/>
      </c>
      <c r="Z263" s="2">
        <f>IFERROR(
  IF(ISNUMBER(B263),B263,
    IF(ISNUMBER(SEARCH("-",B263)*1),
      IF(LEN(LEFT(B263,FIND("-",B263)-1))=4,
        DATE(VALUE(LEFT(B263,4)),VALUE(MID(B263,6,2)),VALUE(RIGHT(B263,2))),
        DATE(VALUE(RIGHT(B263,4)),VALUE(MID(B263,4,2)),VALUE(LEFT(B263,2)))
      ),
      IF(ISNUMBER(SEARCH("/",B263)*1),
        DATE(VALUE(RIGHT(B263,4)),VALUE(LEFT(B263,2)),VALUE(MID(B263,4,2))),
        DATEVALUE(B263)
      )
    )
  ),
"INVALID_DATE")</f>
        <v>45826</v>
      </c>
      <c r="AA263" s="2">
        <f>IFERROR(
  IF(ISNUMBER(C263),C263,
    IF(ISNUMBER(SEARCH("-",C263)*1),
      IF(LEN(LEFT(C263,FIND("-",C263)-1))=4,
        DATE(VALUE(LEFT(C263,4)),VALUE(MID(C263,6,2)),VALUE(RIGHT(C263,2))),
        DATE(VALUE(RIGHT(C263,4)),VALUE(MID(C263,4,2)),VALUE(LEFT(C263,2)))
      ),
      IF(ISNUMBER(SEARCH("/",C263)*1),
        DATE(VALUE(RIGHT(C263,4)),VALUE(LEFT(C263,2)),VALUE(MID(C263,4,2))),
        DATEVALUE(C263)
      )
    )
  ),
"INVALID_DATE")</f>
        <v>45832</v>
      </c>
      <c r="AB263">
        <f t="shared" si="27"/>
        <v>6</v>
      </c>
      <c r="AC263" t="str">
        <f t="shared" si="28"/>
        <v>June</v>
      </c>
      <c r="AD263">
        <f t="shared" si="29"/>
        <v>2025</v>
      </c>
    </row>
    <row r="264" spans="1:30">
      <c r="A264" t="s">
        <v>1374</v>
      </c>
      <c r="B264" t="s">
        <v>1375</v>
      </c>
      <c r="C264" t="s">
        <v>1376</v>
      </c>
      <c r="D264" t="s">
        <v>958</v>
      </c>
      <c r="E264" t="s">
        <v>68</v>
      </c>
      <c r="F264" t="s">
        <v>48</v>
      </c>
      <c r="G264" t="s">
        <v>34</v>
      </c>
      <c r="H264" t="s">
        <v>514</v>
      </c>
      <c r="I264" t="s">
        <v>515</v>
      </c>
      <c r="J264" t="s">
        <v>93</v>
      </c>
      <c r="K264" t="s">
        <v>230</v>
      </c>
      <c r="L264" t="s">
        <v>1377</v>
      </c>
      <c r="M264" t="s">
        <v>55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144</v>
      </c>
      <c r="U264" t="s">
        <v>132</v>
      </c>
      <c r="V264">
        <f t="shared" si="24"/>
        <v>13399.44</v>
      </c>
      <c r="W264">
        <f t="shared" si="25"/>
        <v>4818.09</v>
      </c>
      <c r="X264">
        <f t="shared" si="26"/>
        <v>0.3595739821962709</v>
      </c>
      <c r="Y264" t="str">
        <f>_xlfn.TEXTJOIN(", ",TRUE,IF(G264="Unknown","Missing Region",""),IF(M264="Unknown","Missing Ship Mode",""),IF(P264&lt;0,"Negative Discount",""),IF(P264&gt;0.7,"High Discount",""),IF(C264&lt;B264,"Ship Before Order",""))</f>
        <v>Ship Before Order</v>
      </c>
      <c r="Z264" s="2">
        <f>IFERROR(
  IF(ISNUMBER(B264),B264,
    IF(ISNUMBER(SEARCH("-",B264)*1),
      IF(LEN(LEFT(B264,FIND("-",B264)-1))=4,
        DATE(VALUE(LEFT(B264,4)),VALUE(MID(B264,6,2)),VALUE(RIGHT(B264,2))),
        DATE(VALUE(RIGHT(B264,4)),VALUE(MID(B264,4,2)),VALUE(LEFT(B264,2)))
      ),
      IF(ISNUMBER(SEARCH("/",B264)*1),
        DATE(VALUE(RIGHT(B264,4)),VALUE(LEFT(B264,2)),VALUE(MID(B264,4,2))),
        DATEVALUE(B264)
      )
    )
  ),
"INVALID_DATE")</f>
        <v>45803</v>
      </c>
      <c r="AA264" s="2">
        <f>IFERROR(
  IF(ISNUMBER(C264),C264,
    IF(ISNUMBER(SEARCH("-",C264)*1),
      IF(LEN(LEFT(C264,FIND("-",C264)-1))=4,
        DATE(VALUE(LEFT(C264,4)),VALUE(MID(C264,6,2)),VALUE(RIGHT(C264,2))),
        DATE(VALUE(RIGHT(C264,4)),VALUE(MID(C264,4,2)),VALUE(LEFT(C264,2)))
      ),
      IF(ISNUMBER(SEARCH("/",C264)*1),
        DATE(VALUE(RIGHT(C264,4)),VALUE(LEFT(C264,2)),VALUE(MID(C264,4,2))),
        DATEVALUE(C264)
      )
    )
  ),
"INVALID_DATE")</f>
        <v>45809</v>
      </c>
      <c r="AB264">
        <f t="shared" si="27"/>
        <v>6</v>
      </c>
      <c r="AC264" t="str">
        <f t="shared" si="28"/>
        <v>May</v>
      </c>
      <c r="AD264">
        <f t="shared" si="29"/>
        <v>2025</v>
      </c>
    </row>
    <row r="265" spans="1:30">
      <c r="A265" t="s">
        <v>1378</v>
      </c>
      <c r="B265" t="s">
        <v>1379</v>
      </c>
      <c r="C265" t="s">
        <v>952</v>
      </c>
      <c r="D265" t="s">
        <v>1380</v>
      </c>
      <c r="E265" t="s">
        <v>187</v>
      </c>
      <c r="F265" t="s">
        <v>48</v>
      </c>
      <c r="G265" t="s">
        <v>34</v>
      </c>
      <c r="H265" t="s">
        <v>514</v>
      </c>
      <c r="I265" t="s">
        <v>515</v>
      </c>
      <c r="J265" t="s">
        <v>37</v>
      </c>
      <c r="K265" t="s">
        <v>205</v>
      </c>
      <c r="L265" t="s">
        <v>1381</v>
      </c>
      <c r="M265" t="s">
        <v>40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144</v>
      </c>
      <c r="U265" t="s">
        <v>132</v>
      </c>
      <c r="V265">
        <f t="shared" si="24"/>
        <v>32743.845000000001</v>
      </c>
      <c r="W265">
        <f t="shared" si="25"/>
        <v>10291.790000000001</v>
      </c>
      <c r="X265">
        <f t="shared" si="26"/>
        <v>0.31431224926581613</v>
      </c>
      <c r="Y265" t="str">
        <f>_xlfn.TEXTJOIN(", ",TRUE,IF(G265="Unknown","Missing Region",""),IF(M265="Unknown","Missing Ship Mode",""),IF(P265&lt;0,"Negative Discount",""),IF(P265&gt;0.7,"High Discount",""),IF(C265&lt;B265,"Ship Before Order",""))</f>
        <v/>
      </c>
      <c r="Z265" s="2">
        <f>IFERROR(
  IF(ISNUMBER(B265),B265,
    IF(ISNUMBER(SEARCH("-",B265)*1),
      IF(LEN(LEFT(B265,FIND("-",B265)-1))=4,
        DATE(VALUE(LEFT(B265,4)),VALUE(MID(B265,6,2)),VALUE(RIGHT(B265,2))),
        DATE(VALUE(RIGHT(B265,4)),VALUE(MID(B265,4,2)),VALUE(LEFT(B265,2)))
      ),
      IF(ISNUMBER(SEARCH("/",B265)*1),
        DATE(VALUE(RIGHT(B265,4)),VALUE(LEFT(B265,2)),VALUE(MID(B265,4,2))),
        DATEVALUE(B265)
      )
    )
  ),
"INVALID_DATE")</f>
        <v>45875</v>
      </c>
      <c r="AA265" s="2">
        <f>IFERROR(
  IF(ISNUMBER(C265),C265,
    IF(ISNUMBER(SEARCH("-",C265)*1),
      IF(LEN(LEFT(C265,FIND("-",C265)-1))=4,
        DATE(VALUE(LEFT(C265,4)),VALUE(MID(C265,6,2)),VALUE(RIGHT(C265,2))),
        DATE(VALUE(RIGHT(C265,4)),VALUE(MID(C265,4,2)),VALUE(LEFT(C265,2)))
      ),
      IF(ISNUMBER(SEARCH("/",C265)*1),
        DATE(VALUE(RIGHT(C265,4)),VALUE(LEFT(C265,2)),VALUE(MID(C265,4,2))),
        DATEVALUE(C265)
      )
    )
  ),
"INVALID_DATE")</f>
        <v>45879</v>
      </c>
      <c r="AB265">
        <f t="shared" si="27"/>
        <v>4</v>
      </c>
      <c r="AC265" t="str">
        <f t="shared" si="28"/>
        <v>August</v>
      </c>
      <c r="AD265">
        <f t="shared" si="29"/>
        <v>2025</v>
      </c>
    </row>
    <row r="266" spans="1:30">
      <c r="A266" t="s">
        <v>1382</v>
      </c>
      <c r="B266" t="s">
        <v>1383</v>
      </c>
      <c r="C266" t="s">
        <v>1384</v>
      </c>
      <c r="D266" t="s">
        <v>1385</v>
      </c>
      <c r="E266" t="s">
        <v>217</v>
      </c>
      <c r="F266" t="s">
        <v>48</v>
      </c>
      <c r="G266" t="s">
        <v>49</v>
      </c>
      <c r="H266" t="s">
        <v>193</v>
      </c>
      <c r="I266" t="s">
        <v>194</v>
      </c>
      <c r="J266" t="s">
        <v>93</v>
      </c>
      <c r="K266" t="s">
        <v>101</v>
      </c>
      <c r="L266" t="s">
        <v>1386</v>
      </c>
      <c r="M266" t="s">
        <v>74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41</v>
      </c>
      <c r="U266" t="s">
        <v>42</v>
      </c>
      <c r="V266">
        <f t="shared" si="24"/>
        <v>6012.28</v>
      </c>
      <c r="W266">
        <f t="shared" si="25"/>
        <v>2084.64</v>
      </c>
      <c r="X266">
        <f t="shared" si="26"/>
        <v>0.34673035853286938</v>
      </c>
      <c r="Y266" t="str">
        <f>_xlfn.TEXTJOIN(", ",TRUE,IF(G266="Unknown","Missing Region",""),IF(M266="Unknown","Missing Ship Mode",""),IF(P266&lt;0,"Negative Discount",""),IF(P266&gt;0.7,"High Discount",""),IF(C266&lt;B266,"Ship Before Order",""))</f>
        <v>Ship Before Order</v>
      </c>
      <c r="Z266" s="2">
        <f>IFERROR(
  IF(ISNUMBER(B266),B266,
    IF(ISNUMBER(SEARCH("-",B266)*1),
      IF(LEN(LEFT(B266,FIND("-",B266)-1))=4,
        DATE(VALUE(LEFT(B266,4)),VALUE(MID(B266,6,2)),VALUE(RIGHT(B266,2))),
        DATE(VALUE(RIGHT(B266,4)),VALUE(MID(B266,4,2)),VALUE(LEFT(B266,2)))
      ),
      IF(ISNUMBER(SEARCH("/",B266)*1),
        DATE(VALUE(RIGHT(B266,4)),VALUE(LEFT(B266,2)),VALUE(MID(B266,4,2))),
        DATEVALUE(B266)
      )
    )
  ),
"INVALID_DATE")</f>
        <v>45428</v>
      </c>
      <c r="AA266" s="2">
        <f>IFERROR(
  IF(ISNUMBER(C266),C266,
    IF(ISNUMBER(SEARCH("-",C266)*1),
      IF(LEN(LEFT(C266,FIND("-",C266)-1))=4,
        DATE(VALUE(LEFT(C266,4)),VALUE(MID(C266,6,2)),VALUE(RIGHT(C266,2))),
        DATE(VALUE(RIGHT(C266,4)),VALUE(MID(C266,4,2)),VALUE(LEFT(C266,2)))
      ),
      IF(ISNUMBER(SEARCH("/",C266)*1),
        DATE(VALUE(RIGHT(C266,4)),VALUE(LEFT(C266,2)),VALUE(MID(C266,4,2))),
        DATEVALUE(C266)
      )
    )
  ),
"INVALID_DATE")</f>
        <v>45433</v>
      </c>
      <c r="AB266">
        <f t="shared" si="27"/>
        <v>5</v>
      </c>
      <c r="AC266" t="str">
        <f t="shared" si="28"/>
        <v>May</v>
      </c>
      <c r="AD266">
        <f t="shared" si="29"/>
        <v>2024</v>
      </c>
    </row>
    <row r="267" spans="1:30">
      <c r="A267" t="s">
        <v>1387</v>
      </c>
      <c r="B267" t="s">
        <v>1388</v>
      </c>
      <c r="C267" t="s">
        <v>919</v>
      </c>
      <c r="D267" t="s">
        <v>1389</v>
      </c>
      <c r="E267" t="s">
        <v>149</v>
      </c>
      <c r="F267" t="s">
        <v>115</v>
      </c>
      <c r="G267" t="s">
        <v>49</v>
      </c>
      <c r="H267" t="s">
        <v>193</v>
      </c>
      <c r="I267" t="s">
        <v>194</v>
      </c>
      <c r="J267" t="s">
        <v>52</v>
      </c>
      <c r="K267" t="s">
        <v>211</v>
      </c>
      <c r="L267" t="s">
        <v>1390</v>
      </c>
      <c r="M267" t="s">
        <v>55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131</v>
      </c>
      <c r="U267" t="s">
        <v>85</v>
      </c>
      <c r="V267">
        <f t="shared" si="24"/>
        <v>495.0145</v>
      </c>
      <c r="W267">
        <f t="shared" si="25"/>
        <v>209.88</v>
      </c>
      <c r="X267">
        <f t="shared" si="26"/>
        <v>0.42399143451647442</v>
      </c>
      <c r="Y267" t="str">
        <f>_xlfn.TEXTJOIN(", ",TRUE,IF(G267="Unknown","Missing Region",""),IF(M267="Unknown","Missing Ship Mode",""),IF(P267&lt;0,"Negative Discount",""),IF(P267&gt;0.7,"High Discount",""),IF(C267&lt;B267,"Ship Before Order",""))</f>
        <v>Ship Before Order</v>
      </c>
      <c r="Z267" s="2">
        <f>IFERROR(
  IF(ISNUMBER(B267),B267,
    IF(ISNUMBER(SEARCH("-",B267)*1),
      IF(LEN(LEFT(B267,FIND("-",B267)-1))=4,
        DATE(VALUE(LEFT(B267,4)),VALUE(MID(B267,6,2)),VALUE(RIGHT(B267,2))),
        DATE(VALUE(RIGHT(B267,4)),VALUE(MID(B267,4,2)),VALUE(LEFT(B267,2)))
      ),
      IF(ISNUMBER(SEARCH("/",B267)*1),
        DATE(VALUE(RIGHT(B267,4)),VALUE(LEFT(B267,2)),VALUE(MID(B267,4,2))),
        DATEVALUE(B267)
      )
    )
  ),
"INVALID_DATE")</f>
        <v>45610</v>
      </c>
      <c r="AA267" s="2">
        <f>IFERROR(
  IF(ISNUMBER(C267),C267,
    IF(ISNUMBER(SEARCH("-",C267)*1),
      IF(LEN(LEFT(C267,FIND("-",C267)-1))=4,
        DATE(VALUE(LEFT(C267,4)),VALUE(MID(C267,6,2)),VALUE(RIGHT(C267,2))),
        DATE(VALUE(RIGHT(C267,4)),VALUE(MID(C267,4,2)),VALUE(LEFT(C267,2)))
      ),
      IF(ISNUMBER(SEARCH("/",C267)*1),
        DATE(VALUE(RIGHT(C267,4)),VALUE(LEFT(C267,2)),VALUE(MID(C267,4,2))),
        DATEVALUE(C267)
      )
    )
  ),
"INVALID_DATE")</f>
        <v>45618</v>
      </c>
      <c r="AB267">
        <f t="shared" si="27"/>
        <v>8</v>
      </c>
      <c r="AC267" t="str">
        <f t="shared" si="28"/>
        <v>November</v>
      </c>
      <c r="AD267">
        <f t="shared" si="29"/>
        <v>2024</v>
      </c>
    </row>
    <row r="268" spans="1:30">
      <c r="A268" t="s">
        <v>1391</v>
      </c>
      <c r="B268" t="s">
        <v>1392</v>
      </c>
      <c r="C268" t="s">
        <v>1393</v>
      </c>
      <c r="D268" t="s">
        <v>1394</v>
      </c>
      <c r="E268" t="s">
        <v>100</v>
      </c>
      <c r="F268" t="s">
        <v>122</v>
      </c>
      <c r="G268" t="s">
        <v>80</v>
      </c>
      <c r="H268" t="s">
        <v>81</v>
      </c>
      <c r="I268" t="s">
        <v>82</v>
      </c>
      <c r="J268" t="s">
        <v>37</v>
      </c>
      <c r="K268" t="s">
        <v>163</v>
      </c>
      <c r="L268" t="s">
        <v>1395</v>
      </c>
      <c r="M268" t="s">
        <v>40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41</v>
      </c>
      <c r="U268" t="s">
        <v>42</v>
      </c>
      <c r="V268">
        <f t="shared" si="24"/>
        <v>13017.72</v>
      </c>
      <c r="W268">
        <f t="shared" si="25"/>
        <v>2847.1499999999996</v>
      </c>
      <c r="X268">
        <f t="shared" si="26"/>
        <v>0.21871341525244054</v>
      </c>
      <c r="Y268" t="str">
        <f>_xlfn.TEXTJOIN(", ",TRUE,IF(G268="Unknown","Missing Region",""),IF(M268="Unknown","Missing Ship Mode",""),IF(P268&lt;0,"Negative Discount",""),IF(P268&gt;0.7,"High Discount",""),IF(C268&lt;B268,"Ship Before Order",""))</f>
        <v/>
      </c>
      <c r="Z268" s="2">
        <f>IFERROR(
  IF(ISNUMBER(B268),B268,
    IF(ISNUMBER(SEARCH("-",B268)*1),
      IF(LEN(LEFT(B268,FIND("-",B268)-1))=4,
        DATE(VALUE(LEFT(B268,4)),VALUE(MID(B268,6,2)),VALUE(RIGHT(B268,2))),
        DATE(VALUE(RIGHT(B268,4)),VALUE(MID(B268,4,2)),VALUE(LEFT(B268,2)))
      ),
      IF(ISNUMBER(SEARCH("/",B268)*1),
        DATE(VALUE(RIGHT(B268,4)),VALUE(LEFT(B268,2)),VALUE(MID(B268,4,2))),
        DATEVALUE(B268)
      )
    )
  ),
"INVALID_DATE")</f>
        <v>45780</v>
      </c>
      <c r="AA268" s="2">
        <f>IFERROR(
  IF(ISNUMBER(C268),C268,
    IF(ISNUMBER(SEARCH("-",C268)*1),
      IF(LEN(LEFT(C268,FIND("-",C268)-1))=4,
        DATE(VALUE(LEFT(C268,4)),VALUE(MID(C268,6,2)),VALUE(RIGHT(C268,2))),
        DATE(VALUE(RIGHT(C268,4)),VALUE(MID(C268,4,2)),VALUE(LEFT(C268,2)))
      ),
      IF(ISNUMBER(SEARCH("/",C268)*1),
        DATE(VALUE(RIGHT(C268,4)),VALUE(LEFT(C268,2)),VALUE(MID(C268,4,2))),
        DATEVALUE(C268)
      )
    )
  ),
"INVALID_DATE")</f>
        <v>45787</v>
      </c>
      <c r="AB268">
        <f t="shared" si="27"/>
        <v>7</v>
      </c>
      <c r="AC268" t="str">
        <f t="shared" si="28"/>
        <v>May</v>
      </c>
      <c r="AD268">
        <f t="shared" si="29"/>
        <v>2025</v>
      </c>
    </row>
    <row r="269" spans="1:30">
      <c r="A269" t="s">
        <v>1396</v>
      </c>
      <c r="B269" t="s">
        <v>1026</v>
      </c>
      <c r="C269" t="s">
        <v>1397</v>
      </c>
      <c r="D269" t="s">
        <v>1398</v>
      </c>
      <c r="E269" t="s">
        <v>217</v>
      </c>
      <c r="F269" t="s">
        <v>115</v>
      </c>
      <c r="G269" t="s">
        <v>49</v>
      </c>
      <c r="H269" t="s">
        <v>319</v>
      </c>
      <c r="I269" t="s">
        <v>320</v>
      </c>
      <c r="J269" t="s">
        <v>52</v>
      </c>
      <c r="K269" t="s">
        <v>72</v>
      </c>
      <c r="L269" t="s">
        <v>1399</v>
      </c>
      <c r="M269" t="s">
        <v>63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41</v>
      </c>
      <c r="U269" t="s">
        <v>42</v>
      </c>
      <c r="V269">
        <f t="shared" si="24"/>
        <v>785.40000000000009</v>
      </c>
      <c r="W269">
        <f t="shared" si="25"/>
        <v>228.17999999999995</v>
      </c>
      <c r="X269">
        <f t="shared" si="26"/>
        <v>0.29052711993888464</v>
      </c>
      <c r="Y269" t="str">
        <f>_xlfn.TEXTJOIN(", ",TRUE,IF(G269="Unknown","Missing Region",""),IF(M269="Unknown","Missing Ship Mode",""),IF(P269&lt;0,"Negative Discount",""),IF(P269&gt;0.7,"High Discount",""),IF(C269&lt;B269,"Ship Before Order",""))</f>
        <v>Ship Before Order</v>
      </c>
      <c r="Z269" s="2">
        <f>IFERROR(
  IF(ISNUMBER(B269),B269,
    IF(ISNUMBER(SEARCH("-",B269)*1),
      IF(LEN(LEFT(B269,FIND("-",B269)-1))=4,
        DATE(VALUE(LEFT(B269,4)),VALUE(MID(B269,6,2)),VALUE(RIGHT(B269,2))),
        DATE(VALUE(RIGHT(B269,4)),VALUE(MID(B269,4,2)),VALUE(LEFT(B269,2)))
      ),
      IF(ISNUMBER(SEARCH("/",B269)*1),
        DATE(VALUE(RIGHT(B269,4)),VALUE(LEFT(B269,2)),VALUE(MID(B269,4,2))),
        DATEVALUE(B269)
      )
    )
  ),
"INVALID_DATE")</f>
        <v>45805</v>
      </c>
      <c r="AA269" s="2">
        <f>IFERROR(
  IF(ISNUMBER(C269),C269,
    IF(ISNUMBER(SEARCH("-",C269)*1),
      IF(LEN(LEFT(C269,FIND("-",C269)-1))=4,
        DATE(VALUE(LEFT(C269,4)),VALUE(MID(C269,6,2)),VALUE(RIGHT(C269,2))),
        DATE(VALUE(RIGHT(C269,4)),VALUE(MID(C269,4,2)),VALUE(LEFT(C269,2)))
      ),
      IF(ISNUMBER(SEARCH("/",C269)*1),
        DATE(VALUE(RIGHT(C269,4)),VALUE(LEFT(C269,2)),VALUE(MID(C269,4,2))),
        DATEVALUE(C269)
      )
    )
  ),
"INVALID_DATE")</f>
        <v>45812</v>
      </c>
      <c r="AB269">
        <f t="shared" si="27"/>
        <v>7</v>
      </c>
      <c r="AC269" t="str">
        <f t="shared" si="28"/>
        <v>May</v>
      </c>
      <c r="AD269">
        <f t="shared" si="29"/>
        <v>2025</v>
      </c>
    </row>
    <row r="270" spans="1:30">
      <c r="A270" t="s">
        <v>1400</v>
      </c>
      <c r="B270" t="s">
        <v>1401</v>
      </c>
      <c r="C270" t="s">
        <v>1401</v>
      </c>
      <c r="D270" t="s">
        <v>1402</v>
      </c>
      <c r="E270" t="s">
        <v>169</v>
      </c>
      <c r="F270" t="s">
        <v>122</v>
      </c>
      <c r="G270" t="s">
        <v>34</v>
      </c>
      <c r="H270" t="s">
        <v>161</v>
      </c>
      <c r="I270" t="s">
        <v>162</v>
      </c>
      <c r="J270" t="s">
        <v>93</v>
      </c>
      <c r="K270" t="s">
        <v>94</v>
      </c>
      <c r="L270" t="s">
        <v>1403</v>
      </c>
      <c r="M270" t="s">
        <v>63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41</v>
      </c>
      <c r="U270" t="s">
        <v>42</v>
      </c>
      <c r="V270">
        <f t="shared" si="24"/>
        <v>3319.05</v>
      </c>
      <c r="W270">
        <f t="shared" si="25"/>
        <v>1194.4500000000003</v>
      </c>
      <c r="X270">
        <f t="shared" si="26"/>
        <v>0.35987707325891444</v>
      </c>
      <c r="Y270" t="str">
        <f>_xlfn.TEXTJOIN(", ",TRUE,IF(G270="Unknown","Missing Region",""),IF(M270="Unknown","Missing Ship Mode",""),IF(P270&lt;0,"Negative Discount",""),IF(P270&gt;0.7,"High Discount",""),IF(C270&lt;B270,"Ship Before Order",""))</f>
        <v/>
      </c>
      <c r="Z270" s="2">
        <f>IFERROR(
  IF(ISNUMBER(B270),B270,
    IF(ISNUMBER(SEARCH("-",B270)*1),
      IF(LEN(LEFT(B270,FIND("-",B270)-1))=4,
        DATE(VALUE(LEFT(B270,4)),VALUE(MID(B270,6,2)),VALUE(RIGHT(B270,2))),
        DATE(VALUE(RIGHT(B270,4)),VALUE(MID(B270,4,2)),VALUE(LEFT(B270,2)))
      ),
      IF(ISNUMBER(SEARCH("/",B270)*1),
        DATE(VALUE(RIGHT(B270,4)),VALUE(LEFT(B270,2)),VALUE(MID(B270,4,2))),
        DATEVALUE(B270)
      )
    )
  ),
"INVALID_DATE")</f>
        <v>45886</v>
      </c>
      <c r="AA270" s="2">
        <f>IFERROR(
  IF(ISNUMBER(C270),C270,
    IF(ISNUMBER(SEARCH("-",C270)*1),
      IF(LEN(LEFT(C270,FIND("-",C270)-1))=4,
        DATE(VALUE(LEFT(C270,4)),VALUE(MID(C270,6,2)),VALUE(RIGHT(C270,2))),
        DATE(VALUE(RIGHT(C270,4)),VALUE(MID(C270,4,2)),VALUE(LEFT(C270,2)))
      ),
      IF(ISNUMBER(SEARCH("/",C270)*1),
        DATE(VALUE(RIGHT(C270,4)),VALUE(LEFT(C270,2)),VALUE(MID(C270,4,2))),
        DATEVALUE(C270)
      )
    )
  ),
"INVALID_DATE")</f>
        <v>45886</v>
      </c>
      <c r="AB270">
        <f t="shared" si="27"/>
        <v>0</v>
      </c>
      <c r="AC270" t="str">
        <f t="shared" si="28"/>
        <v>August</v>
      </c>
      <c r="AD270">
        <f t="shared" si="29"/>
        <v>2025</v>
      </c>
    </row>
    <row r="271" spans="1:30">
      <c r="A271" t="s">
        <v>1404</v>
      </c>
      <c r="B271" t="s">
        <v>1343</v>
      </c>
      <c r="C271" t="s">
        <v>1405</v>
      </c>
      <c r="D271" t="s">
        <v>1406</v>
      </c>
      <c r="E271" t="s">
        <v>155</v>
      </c>
      <c r="F271" t="s">
        <v>48</v>
      </c>
      <c r="G271" t="s">
        <v>80</v>
      </c>
      <c r="H271" t="s">
        <v>35</v>
      </c>
      <c r="I271" t="s">
        <v>142</v>
      </c>
      <c r="J271" t="s">
        <v>52</v>
      </c>
      <c r="K271" t="s">
        <v>53</v>
      </c>
      <c r="L271" t="s">
        <v>1407</v>
      </c>
      <c r="M271" t="s">
        <v>55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41</v>
      </c>
      <c r="U271" t="s">
        <v>42</v>
      </c>
      <c r="V271">
        <f t="shared" si="24"/>
        <v>1925.86</v>
      </c>
      <c r="W271">
        <f t="shared" si="25"/>
        <v>603.9699999999998</v>
      </c>
      <c r="X271">
        <f t="shared" si="26"/>
        <v>0.3136105428224274</v>
      </c>
      <c r="Y271" t="str">
        <f>_xlfn.TEXTJOIN(", ",TRUE,IF(G271="Unknown","Missing Region",""),IF(M271="Unknown","Missing Ship Mode",""),IF(P271&lt;0,"Negative Discount",""),IF(P271&gt;0.7,"High Discount",""),IF(C271&lt;B271,"Ship Before Order",""))</f>
        <v/>
      </c>
      <c r="Z271" s="2">
        <f>IFERROR(
  IF(ISNUMBER(B271),B271,
    IF(ISNUMBER(SEARCH("-",B271)*1),
      IF(LEN(LEFT(B271,FIND("-",B271)-1))=4,
        DATE(VALUE(LEFT(B271,4)),VALUE(MID(B271,6,2)),VALUE(RIGHT(B271,2))),
        DATE(VALUE(RIGHT(B271,4)),VALUE(MID(B271,4,2)),VALUE(LEFT(B271,2)))
      ),
      IF(ISNUMBER(SEARCH("/",B271)*1),
        DATE(VALUE(RIGHT(B271,4)),VALUE(LEFT(B271,2)),VALUE(MID(B271,4,2))),
        DATEVALUE(B271)
      )
    )
  ),
"INVALID_DATE")</f>
        <v>45698</v>
      </c>
      <c r="AA271" s="2">
        <f>IFERROR(
  IF(ISNUMBER(C271),C271,
    IF(ISNUMBER(SEARCH("-",C271)*1),
      IF(LEN(LEFT(C271,FIND("-",C271)-1))=4,
        DATE(VALUE(LEFT(C271,4)),VALUE(MID(C271,6,2)),VALUE(RIGHT(C271,2))),
        DATE(VALUE(RIGHT(C271,4)),VALUE(MID(C271,4,2)),VALUE(LEFT(C271,2)))
      ),
      IF(ISNUMBER(SEARCH("/",C271)*1),
        DATE(VALUE(RIGHT(C271,4)),VALUE(LEFT(C271,2)),VALUE(MID(C271,4,2))),
        DATEVALUE(C271)
      )
    )
  ),
"INVALID_DATE")</f>
        <v>45700</v>
      </c>
      <c r="AB271">
        <f t="shared" si="27"/>
        <v>2</v>
      </c>
      <c r="AC271" t="str">
        <f t="shared" si="28"/>
        <v>February</v>
      </c>
      <c r="AD271">
        <f t="shared" si="29"/>
        <v>2025</v>
      </c>
    </row>
    <row r="272" spans="1:30">
      <c r="A272" t="s">
        <v>1408</v>
      </c>
      <c r="B272" t="s">
        <v>1266</v>
      </c>
      <c r="C272" t="s">
        <v>571</v>
      </c>
      <c r="D272" t="s">
        <v>1409</v>
      </c>
      <c r="E272" t="s">
        <v>114</v>
      </c>
      <c r="F272" t="s">
        <v>115</v>
      </c>
      <c r="G272" t="s">
        <v>34</v>
      </c>
      <c r="H272" t="s">
        <v>181</v>
      </c>
      <c r="I272" t="s">
        <v>182</v>
      </c>
      <c r="J272" t="s">
        <v>93</v>
      </c>
      <c r="K272" t="s">
        <v>390</v>
      </c>
      <c r="L272" t="s">
        <v>1410</v>
      </c>
      <c r="M272" t="s">
        <v>55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41</v>
      </c>
      <c r="U272" t="s">
        <v>42</v>
      </c>
      <c r="V272">
        <f t="shared" si="24"/>
        <v>2482.3200000000002</v>
      </c>
      <c r="W272">
        <f t="shared" si="25"/>
        <v>962.11000000000013</v>
      </c>
      <c r="X272">
        <f t="shared" si="26"/>
        <v>0.38758500112797706</v>
      </c>
      <c r="Y272" t="str">
        <f>_xlfn.TEXTJOIN(", ",TRUE,IF(G272="Unknown","Missing Region",""),IF(M272="Unknown","Missing Ship Mode",""),IF(P272&lt;0,"Negative Discount",""),IF(P272&gt;0.7,"High Discount",""),IF(C272&lt;B272,"Ship Before Order",""))</f>
        <v/>
      </c>
      <c r="Z272" s="2">
        <f>IFERROR(
  IF(ISNUMBER(B272),B272,
    IF(ISNUMBER(SEARCH("-",B272)*1),
      IF(LEN(LEFT(B272,FIND("-",B272)-1))=4,
        DATE(VALUE(LEFT(B272,4)),VALUE(MID(B272,6,2)),VALUE(RIGHT(B272,2))),
        DATE(VALUE(RIGHT(B272,4)),VALUE(MID(B272,4,2)),VALUE(LEFT(B272,2)))
      ),
      IF(ISNUMBER(SEARCH("/",B272)*1),
        DATE(VALUE(RIGHT(B272,4)),VALUE(LEFT(B272,2)),VALUE(MID(B272,4,2))),
        DATEVALUE(B272)
      )
    )
  ),
"INVALID_DATE")</f>
        <v>45303</v>
      </c>
      <c r="AA272" s="2">
        <f>IFERROR(
  IF(ISNUMBER(C272),C272,
    IF(ISNUMBER(SEARCH("-",C272)*1),
      IF(LEN(LEFT(C272,FIND("-",C272)-1))=4,
        DATE(VALUE(LEFT(C272,4)),VALUE(MID(C272,6,2)),VALUE(RIGHT(C272,2))),
        DATE(VALUE(RIGHT(C272,4)),VALUE(MID(C272,4,2)),VALUE(LEFT(C272,2)))
      ),
      IF(ISNUMBER(SEARCH("/",C272)*1),
        DATE(VALUE(RIGHT(C272,4)),VALUE(LEFT(C272,2)),VALUE(MID(C272,4,2))),
        DATEVALUE(C272)
      )
    )
  ),
"INVALID_DATE")</f>
        <v>45304</v>
      </c>
      <c r="AB272">
        <f t="shared" si="27"/>
        <v>1</v>
      </c>
      <c r="AC272" t="str">
        <f t="shared" si="28"/>
        <v>January</v>
      </c>
      <c r="AD272">
        <f t="shared" si="29"/>
        <v>2024</v>
      </c>
    </row>
    <row r="273" spans="1:30">
      <c r="A273" t="s">
        <v>1411</v>
      </c>
      <c r="B273" t="s">
        <v>1412</v>
      </c>
      <c r="C273" t="s">
        <v>1413</v>
      </c>
      <c r="D273" t="s">
        <v>1414</v>
      </c>
      <c r="E273" t="s">
        <v>114</v>
      </c>
      <c r="F273" t="s">
        <v>33</v>
      </c>
      <c r="G273" t="s">
        <v>69</v>
      </c>
      <c r="H273" t="s">
        <v>70</v>
      </c>
      <c r="I273" t="s">
        <v>71</v>
      </c>
      <c r="J273" t="s">
        <v>37</v>
      </c>
      <c r="K273" t="s">
        <v>205</v>
      </c>
      <c r="L273" t="s">
        <v>1415</v>
      </c>
      <c r="M273" t="s">
        <v>74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207</v>
      </c>
      <c r="U273" t="s">
        <v>85</v>
      </c>
      <c r="V273">
        <f t="shared" si="24"/>
        <v>11674.25</v>
      </c>
      <c r="W273">
        <f t="shared" si="25"/>
        <v>2053.0599999999995</v>
      </c>
      <c r="X273">
        <f t="shared" si="26"/>
        <v>0.17586226095894811</v>
      </c>
      <c r="Y273" t="str">
        <f>_xlfn.TEXTJOIN(", ",TRUE,IF(G273="Unknown","Missing Region",""),IF(M273="Unknown","Missing Ship Mode",""),IF(P273&lt;0,"Negative Discount",""),IF(P273&gt;0.7,"High Discount",""),IF(C273&lt;B273,"Ship Before Order",""))</f>
        <v/>
      </c>
      <c r="Z273" s="2">
        <f>IFERROR(
  IF(ISNUMBER(B273),B273,
    IF(ISNUMBER(SEARCH("-",B273)*1),
      IF(LEN(LEFT(B273,FIND("-",B273)-1))=4,
        DATE(VALUE(LEFT(B273,4)),VALUE(MID(B273,6,2)),VALUE(RIGHT(B273,2))),
        DATE(VALUE(RIGHT(B273,4)),VALUE(MID(B273,4,2)),VALUE(LEFT(B273,2)))
      ),
      IF(ISNUMBER(SEARCH("/",B273)*1),
        DATE(VALUE(RIGHT(B273,4)),VALUE(LEFT(B273,2)),VALUE(MID(B273,4,2))),
        DATEVALUE(B273)
      )
    )
  ),
"INVALID_DATE")</f>
        <v>45647</v>
      </c>
      <c r="AA273" s="2">
        <f>IFERROR(
  IF(ISNUMBER(C273),C273,
    IF(ISNUMBER(SEARCH("-",C273)*1),
      IF(LEN(LEFT(C273,FIND("-",C273)-1))=4,
        DATE(VALUE(LEFT(C273,4)),VALUE(MID(C273,6,2)),VALUE(RIGHT(C273,2))),
        DATE(VALUE(RIGHT(C273,4)),VALUE(MID(C273,4,2)),VALUE(LEFT(C273,2)))
      ),
      IF(ISNUMBER(SEARCH("/",C273)*1),
        DATE(VALUE(RIGHT(C273,4)),VALUE(LEFT(C273,2)),VALUE(MID(C273,4,2))),
        DATEVALUE(C273)
      )
    )
  ),
"INVALID_DATE")</f>
        <v>45651</v>
      </c>
      <c r="AB273">
        <f t="shared" si="27"/>
        <v>4</v>
      </c>
      <c r="AC273" t="str">
        <f t="shared" si="28"/>
        <v>December</v>
      </c>
      <c r="AD273">
        <f t="shared" si="29"/>
        <v>2024</v>
      </c>
    </row>
    <row r="274" spans="1:30">
      <c r="A274" t="s">
        <v>1416</v>
      </c>
      <c r="B274" t="s">
        <v>1417</v>
      </c>
      <c r="C274" t="s">
        <v>1418</v>
      </c>
      <c r="D274" t="s">
        <v>1419</v>
      </c>
      <c r="E274" t="s">
        <v>68</v>
      </c>
      <c r="F274" t="s">
        <v>33</v>
      </c>
      <c r="G274" t="s">
        <v>69</v>
      </c>
      <c r="H274" t="s">
        <v>107</v>
      </c>
      <c r="I274" t="s">
        <v>108</v>
      </c>
      <c r="J274" t="s">
        <v>52</v>
      </c>
      <c r="K274" t="s">
        <v>83</v>
      </c>
      <c r="L274" t="s">
        <v>1420</v>
      </c>
      <c r="M274" t="s">
        <v>63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41</v>
      </c>
      <c r="U274" t="s">
        <v>42</v>
      </c>
      <c r="V274">
        <f t="shared" si="24"/>
        <v>3510.4230000000002</v>
      </c>
      <c r="W274">
        <f t="shared" si="25"/>
        <v>1318.92</v>
      </c>
      <c r="X274">
        <f t="shared" si="26"/>
        <v>0.34567943436967657</v>
      </c>
      <c r="Y274" t="str">
        <f>_xlfn.TEXTJOIN(", ",TRUE,IF(G274="Unknown","Missing Region",""),IF(M274="Unknown","Missing Ship Mode",""),IF(P274&lt;0,"Negative Discount",""),IF(P274&gt;0.7,"High Discount",""),IF(C274&lt;B274,"Ship Before Order",""))</f>
        <v/>
      </c>
      <c r="Z274" s="2">
        <f>IFERROR(
  IF(ISNUMBER(B274),B274,
    IF(ISNUMBER(SEARCH("-",B274)*1),
      IF(LEN(LEFT(B274,FIND("-",B274)-1))=4,
        DATE(VALUE(LEFT(B274,4)),VALUE(MID(B274,6,2)),VALUE(RIGHT(B274,2))),
        DATE(VALUE(RIGHT(B274,4)),VALUE(MID(B274,4,2)),VALUE(LEFT(B274,2)))
      ),
      IF(ISNUMBER(SEARCH("/",B274)*1),
        DATE(VALUE(RIGHT(B274,4)),VALUE(LEFT(B274,2)),VALUE(MID(B274,4,2))),
        DATEVALUE(B274)
      )
    )
  ),
"INVALID_DATE")</f>
        <v>45522</v>
      </c>
      <c r="AA274" s="2">
        <f>IFERROR(
  IF(ISNUMBER(C274),C274,
    IF(ISNUMBER(SEARCH("-",C274)*1),
      IF(LEN(LEFT(C274,FIND("-",C274)-1))=4,
        DATE(VALUE(LEFT(C274,4)),VALUE(MID(C274,6,2)),VALUE(RIGHT(C274,2))),
        DATE(VALUE(RIGHT(C274,4)),VALUE(MID(C274,4,2)),VALUE(LEFT(C274,2)))
      ),
      IF(ISNUMBER(SEARCH("/",C274)*1),
        DATE(VALUE(RIGHT(C274,4)),VALUE(LEFT(C274,2)),VALUE(MID(C274,4,2))),
        DATEVALUE(C274)
      )
    )
  ),
"INVALID_DATE")</f>
        <v>45528</v>
      </c>
      <c r="AB274">
        <f t="shared" si="27"/>
        <v>6</v>
      </c>
      <c r="AC274" t="str">
        <f t="shared" si="28"/>
        <v>August</v>
      </c>
      <c r="AD274">
        <f t="shared" si="29"/>
        <v>2024</v>
      </c>
    </row>
    <row r="275" spans="1:30">
      <c r="A275" t="s">
        <v>1421</v>
      </c>
      <c r="B275" t="s">
        <v>1422</v>
      </c>
      <c r="C275" t="s">
        <v>1423</v>
      </c>
      <c r="D275" t="s">
        <v>1424</v>
      </c>
      <c r="E275" t="s">
        <v>60</v>
      </c>
      <c r="F275" t="s">
        <v>33</v>
      </c>
      <c r="G275" t="s">
        <v>49</v>
      </c>
      <c r="H275" t="s">
        <v>193</v>
      </c>
      <c r="I275" t="s">
        <v>194</v>
      </c>
      <c r="J275" t="s">
        <v>37</v>
      </c>
      <c r="K275" t="s">
        <v>38</v>
      </c>
      <c r="L275" t="s">
        <v>1425</v>
      </c>
      <c r="M275" t="s">
        <v>40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41</v>
      </c>
      <c r="U275" t="s">
        <v>132</v>
      </c>
      <c r="V275">
        <f t="shared" si="24"/>
        <v>22694.670000000002</v>
      </c>
      <c r="W275">
        <f t="shared" si="25"/>
        <v>7289.3099999999977</v>
      </c>
      <c r="X275">
        <f t="shared" si="26"/>
        <v>0.32119039404406413</v>
      </c>
      <c r="Y275" t="str">
        <f>_xlfn.TEXTJOIN(", ",TRUE,IF(G275="Unknown","Missing Region",""),IF(M275="Unknown","Missing Ship Mode",""),IF(P275&lt;0,"Negative Discount",""),IF(P275&gt;0.7,"High Discount",""),IF(C275&lt;B275,"Ship Before Order",""))</f>
        <v/>
      </c>
      <c r="Z275" s="2">
        <f>IFERROR(
  IF(ISNUMBER(B275),B275,
    IF(ISNUMBER(SEARCH("-",B275)*1),
      IF(LEN(LEFT(B275,FIND("-",B275)-1))=4,
        DATE(VALUE(LEFT(B275,4)),VALUE(MID(B275,6,2)),VALUE(RIGHT(B275,2))),
        DATE(VALUE(RIGHT(B275,4)),VALUE(MID(B275,4,2)),VALUE(LEFT(B275,2)))
      ),
      IF(ISNUMBER(SEARCH("/",B275)*1),
        DATE(VALUE(RIGHT(B275,4)),VALUE(LEFT(B275,2)),VALUE(MID(B275,4,2))),
        DATEVALUE(B275)
      )
    )
  ),
"INVALID_DATE")</f>
        <v>45701</v>
      </c>
      <c r="AA275" s="2">
        <f>IFERROR(
  IF(ISNUMBER(C275),C275,
    IF(ISNUMBER(SEARCH("-",C275)*1),
      IF(LEN(LEFT(C275,FIND("-",C275)-1))=4,
        DATE(VALUE(LEFT(C275,4)),VALUE(MID(C275,6,2)),VALUE(RIGHT(C275,2))),
        DATE(VALUE(RIGHT(C275,4)),VALUE(MID(C275,4,2)),VALUE(LEFT(C275,2)))
      ),
      IF(ISNUMBER(SEARCH("/",C275)*1),
        DATE(VALUE(RIGHT(C275,4)),VALUE(LEFT(C275,2)),VALUE(MID(C275,4,2))),
        DATEVALUE(C275)
      )
    )
  ),
"INVALID_DATE")</f>
        <v>45701</v>
      </c>
      <c r="AB275">
        <f t="shared" si="27"/>
        <v>0</v>
      </c>
      <c r="AC275" t="str">
        <f t="shared" si="28"/>
        <v>February</v>
      </c>
      <c r="AD275">
        <f t="shared" si="29"/>
        <v>2025</v>
      </c>
    </row>
    <row r="276" spans="1:30">
      <c r="A276" t="s">
        <v>1426</v>
      </c>
      <c r="B276" t="s">
        <v>1427</v>
      </c>
      <c r="C276" t="s">
        <v>1428</v>
      </c>
      <c r="D276" t="s">
        <v>1429</v>
      </c>
      <c r="E276" t="s">
        <v>187</v>
      </c>
      <c r="F276" t="s">
        <v>33</v>
      </c>
      <c r="G276" t="s">
        <v>69</v>
      </c>
      <c r="H276" t="s">
        <v>249</v>
      </c>
      <c r="I276" t="s">
        <v>250</v>
      </c>
      <c r="J276" t="s">
        <v>93</v>
      </c>
      <c r="K276" t="s">
        <v>101</v>
      </c>
      <c r="L276" t="s">
        <v>1430</v>
      </c>
      <c r="M276" t="s">
        <v>74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207</v>
      </c>
      <c r="U276" t="s">
        <v>132</v>
      </c>
      <c r="V276">
        <f t="shared" si="24"/>
        <v>21658.221000000001</v>
      </c>
      <c r="W276">
        <f t="shared" si="25"/>
        <v>6167.5300000000007</v>
      </c>
      <c r="X276">
        <f t="shared" si="26"/>
        <v>0.28476624579489906</v>
      </c>
      <c r="Y276" t="str">
        <f>_xlfn.TEXTJOIN(", ",TRUE,IF(G276="Unknown","Missing Region",""),IF(M276="Unknown","Missing Ship Mode",""),IF(P276&lt;0,"Negative Discount",""),IF(P276&gt;0.7,"High Discount",""),IF(C276&lt;B276,"Ship Before Order",""))</f>
        <v/>
      </c>
      <c r="Z276" s="2">
        <f>IFERROR(
  IF(ISNUMBER(B276),B276,
    IF(ISNUMBER(SEARCH("-",B276)*1),
      IF(LEN(LEFT(B276,FIND("-",B276)-1))=4,
        DATE(VALUE(LEFT(B276,4)),VALUE(MID(B276,6,2)),VALUE(RIGHT(B276,2))),
        DATE(VALUE(RIGHT(B276,4)),VALUE(MID(B276,4,2)),VALUE(LEFT(B276,2)))
      ),
      IF(ISNUMBER(SEARCH("/",B276)*1),
        DATE(VALUE(RIGHT(B276,4)),VALUE(LEFT(B276,2)),VALUE(MID(B276,4,2))),
        DATEVALUE(B276)
      )
    )
  ),
"INVALID_DATE")</f>
        <v>45389</v>
      </c>
      <c r="AA276" s="2">
        <f>IFERROR(
  IF(ISNUMBER(C276),C276,
    IF(ISNUMBER(SEARCH("-",C276)*1),
      IF(LEN(LEFT(C276,FIND("-",C276)-1))=4,
        DATE(VALUE(LEFT(C276,4)),VALUE(MID(C276,6,2)),VALUE(RIGHT(C276,2))),
        DATE(VALUE(RIGHT(C276,4)),VALUE(MID(C276,4,2)),VALUE(LEFT(C276,2)))
      ),
      IF(ISNUMBER(SEARCH("/",C276)*1),
        DATE(VALUE(RIGHT(C276,4)),VALUE(LEFT(C276,2)),VALUE(MID(C276,4,2))),
        DATEVALUE(C276)
      )
    )
  ),
"INVALID_DATE")</f>
        <v>45396</v>
      </c>
      <c r="AB276">
        <f t="shared" si="27"/>
        <v>7</v>
      </c>
      <c r="AC276" t="str">
        <f t="shared" si="28"/>
        <v>April</v>
      </c>
      <c r="AD276">
        <f t="shared" si="29"/>
        <v>2024</v>
      </c>
    </row>
    <row r="277" spans="1:30">
      <c r="A277" t="s">
        <v>1431</v>
      </c>
      <c r="B277" t="s">
        <v>685</v>
      </c>
      <c r="C277" t="s">
        <v>1432</v>
      </c>
      <c r="D277" t="s">
        <v>1433</v>
      </c>
      <c r="E277" t="s">
        <v>149</v>
      </c>
      <c r="F277" t="s">
        <v>48</v>
      </c>
      <c r="G277" t="s">
        <v>49</v>
      </c>
      <c r="H277" t="s">
        <v>128</v>
      </c>
      <c r="I277" t="s">
        <v>129</v>
      </c>
      <c r="J277" t="s">
        <v>52</v>
      </c>
      <c r="K277" t="s">
        <v>72</v>
      </c>
      <c r="L277" t="s">
        <v>1434</v>
      </c>
      <c r="M277" t="s">
        <v>55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41</v>
      </c>
      <c r="U277" t="s">
        <v>42</v>
      </c>
      <c r="V277">
        <f t="shared" si="24"/>
        <v>980.51</v>
      </c>
      <c r="W277">
        <f t="shared" si="25"/>
        <v>319.59000000000003</v>
      </c>
      <c r="X277">
        <f t="shared" si="26"/>
        <v>0.32594262169687199</v>
      </c>
      <c r="Y277" t="str">
        <f>_xlfn.TEXTJOIN(", ",TRUE,IF(G277="Unknown","Missing Region",""),IF(M277="Unknown","Missing Ship Mode",""),IF(P277&lt;0,"Negative Discount",""),IF(P277&gt;0.7,"High Discount",""),IF(C277&lt;B277,"Ship Before Order",""))</f>
        <v>Ship Before Order</v>
      </c>
      <c r="Z277" s="2">
        <f>IFERROR(
  IF(ISNUMBER(B277),B277,
    IF(ISNUMBER(SEARCH("-",B277)*1),
      IF(LEN(LEFT(B277,FIND("-",B277)-1))=4,
        DATE(VALUE(LEFT(B277,4)),VALUE(MID(B277,6,2)),VALUE(RIGHT(B277,2))),
        DATE(VALUE(RIGHT(B277,4)),VALUE(MID(B277,4,2)),VALUE(LEFT(B277,2)))
      ),
      IF(ISNUMBER(SEARCH("/",B277)*1),
        DATE(VALUE(RIGHT(B277,4)),VALUE(LEFT(B277,2)),VALUE(MID(B277,4,2))),
        DATEVALUE(B277)
      )
    )
  ),
"INVALID_DATE")</f>
        <v>45337</v>
      </c>
      <c r="AA277" s="2">
        <f>IFERROR(
  IF(ISNUMBER(C277),C277,
    IF(ISNUMBER(SEARCH("-",C277)*1),
      IF(LEN(LEFT(C277,FIND("-",C277)-1))=4,
        DATE(VALUE(LEFT(C277,4)),VALUE(MID(C277,6,2)),VALUE(RIGHT(C277,2))),
        DATE(VALUE(RIGHT(C277,4)),VALUE(MID(C277,4,2)),VALUE(LEFT(C277,2)))
      ),
      IF(ISNUMBER(SEARCH("/",C277)*1),
        DATE(VALUE(RIGHT(C277,4)),VALUE(LEFT(C277,2)),VALUE(MID(C277,4,2))),
        DATEVALUE(C277)
      )
    )
  ),
"INVALID_DATE")</f>
        <v>45344</v>
      </c>
      <c r="AB277">
        <f t="shared" si="27"/>
        <v>7</v>
      </c>
      <c r="AC277" t="str">
        <f t="shared" si="28"/>
        <v>February</v>
      </c>
      <c r="AD277">
        <f t="shared" si="29"/>
        <v>2024</v>
      </c>
    </row>
    <row r="278" spans="1:30">
      <c r="A278" t="s">
        <v>1435</v>
      </c>
      <c r="B278" t="s">
        <v>1066</v>
      </c>
      <c r="C278" t="s">
        <v>1436</v>
      </c>
      <c r="D278" t="s">
        <v>1437</v>
      </c>
      <c r="E278" t="s">
        <v>169</v>
      </c>
      <c r="F278" t="s">
        <v>48</v>
      </c>
      <c r="G278" t="s">
        <v>279</v>
      </c>
      <c r="H278" t="s">
        <v>223</v>
      </c>
      <c r="I278" t="s">
        <v>224</v>
      </c>
      <c r="J278" t="s">
        <v>52</v>
      </c>
      <c r="K278" t="s">
        <v>83</v>
      </c>
      <c r="L278" t="s">
        <v>1438</v>
      </c>
      <c r="M278" t="s">
        <v>40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41</v>
      </c>
      <c r="U278" t="s">
        <v>42</v>
      </c>
      <c r="V278">
        <f t="shared" si="24"/>
        <v>23198.065200000005</v>
      </c>
      <c r="W278">
        <f t="shared" si="25"/>
        <v>6848.3599999999988</v>
      </c>
      <c r="X278">
        <f t="shared" si="26"/>
        <v>0.44872293012202291</v>
      </c>
      <c r="Y278" t="str">
        <f>_xlfn.TEXTJOIN(", ",TRUE,IF(G278="Unknown","Missing Region",""),IF(M278="Unknown","Missing Ship Mode",""),IF(P278&lt;0,"Negative Discount",""),IF(P278&gt;0.7,"High Discount",""),IF(C278&lt;B278,"Ship Before Order",""))</f>
        <v>Missing Region, Negative Discount</v>
      </c>
      <c r="Z278" s="2">
        <f>IFERROR(
  IF(ISNUMBER(B278),B278,
    IF(ISNUMBER(SEARCH("-",B278)*1),
      IF(LEN(LEFT(B278,FIND("-",B278)-1))=4,
        DATE(VALUE(LEFT(B278,4)),VALUE(MID(B278,6,2)),VALUE(RIGHT(B278,2))),
        DATE(VALUE(RIGHT(B278,4)),VALUE(MID(B278,4,2)),VALUE(LEFT(B278,2)))
      ),
      IF(ISNUMBER(SEARCH("/",B278)*1),
        DATE(VALUE(RIGHT(B278,4)),VALUE(LEFT(B278,2)),VALUE(MID(B278,4,2))),
        DATEVALUE(B278)
      )
    )
  ),
"INVALID_DATE")</f>
        <v>45313</v>
      </c>
      <c r="AA278" s="2">
        <f>IFERROR(
  IF(ISNUMBER(C278),C278,
    IF(ISNUMBER(SEARCH("-",C278)*1),
      IF(LEN(LEFT(C278,FIND("-",C278)-1))=4,
        DATE(VALUE(LEFT(C278,4)),VALUE(MID(C278,6,2)),VALUE(RIGHT(C278,2))),
        DATE(VALUE(RIGHT(C278,4)),VALUE(MID(C278,4,2)),VALUE(LEFT(C278,2)))
      ),
      IF(ISNUMBER(SEARCH("/",C278)*1),
        DATE(VALUE(RIGHT(C278,4)),VALUE(LEFT(C278,2)),VALUE(MID(C278,4,2))),
        DATEVALUE(C278)
      )
    )
  ),
"INVALID_DATE")</f>
        <v>45314</v>
      </c>
      <c r="AB278">
        <f t="shared" si="27"/>
        <v>1</v>
      </c>
      <c r="AC278" t="str">
        <f t="shared" si="28"/>
        <v>January</v>
      </c>
      <c r="AD278">
        <f t="shared" si="29"/>
        <v>2024</v>
      </c>
    </row>
    <row r="279" spans="1:30">
      <c r="A279" t="s">
        <v>1439</v>
      </c>
      <c r="B279" t="s">
        <v>1440</v>
      </c>
      <c r="C279" t="s">
        <v>1440</v>
      </c>
      <c r="D279" t="s">
        <v>1214</v>
      </c>
      <c r="E279" t="s">
        <v>60</v>
      </c>
      <c r="F279" t="s">
        <v>115</v>
      </c>
      <c r="G279" t="s">
        <v>34</v>
      </c>
      <c r="H279" t="s">
        <v>331</v>
      </c>
      <c r="I279" t="s">
        <v>332</v>
      </c>
      <c r="J279" t="s">
        <v>93</v>
      </c>
      <c r="K279" t="s">
        <v>94</v>
      </c>
      <c r="L279" t="s">
        <v>1441</v>
      </c>
      <c r="M279" t="s">
        <v>40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144</v>
      </c>
      <c r="U279" t="s">
        <v>85</v>
      </c>
      <c r="V279">
        <f t="shared" si="24"/>
        <v>1813.6704999999999</v>
      </c>
      <c r="W279">
        <f t="shared" si="25"/>
        <v>1005.82</v>
      </c>
      <c r="X279">
        <f t="shared" si="26"/>
        <v>0.40385582481490145</v>
      </c>
      <c r="Y279" t="str">
        <f>_xlfn.TEXTJOIN(", ",TRUE,IF(G279="Unknown","Missing Region",""),IF(M279="Unknown","Missing Ship Mode",""),IF(P279&lt;0,"Negative Discount",""),IF(P279&gt;0.7,"High Discount",""),IF(C279&lt;B279,"Ship Before Order",""))</f>
        <v/>
      </c>
      <c r="Z279" s="2">
        <f>IFERROR(
  IF(ISNUMBER(B279),B279,
    IF(ISNUMBER(SEARCH("-",B279)*1),
      IF(LEN(LEFT(B279,FIND("-",B279)-1))=4,
        DATE(VALUE(LEFT(B279,4)),VALUE(MID(B279,6,2)),VALUE(RIGHT(B279,2))),
        DATE(VALUE(RIGHT(B279,4)),VALUE(MID(B279,4,2)),VALUE(LEFT(B279,2)))
      ),
      IF(ISNUMBER(SEARCH("/",B279)*1),
        DATE(VALUE(RIGHT(B279,4)),VALUE(LEFT(B279,2)),VALUE(MID(B279,4,2))),
        DATEVALUE(B279)
      )
    )
  ),
"INVALID_DATE")</f>
        <v>45812</v>
      </c>
      <c r="AA279" s="2">
        <f>IFERROR(
  IF(ISNUMBER(C279),C279,
    IF(ISNUMBER(SEARCH("-",C279)*1),
      IF(LEN(LEFT(C279,FIND("-",C279)-1))=4,
        DATE(VALUE(LEFT(C279,4)),VALUE(MID(C279,6,2)),VALUE(RIGHT(C279,2))),
        DATE(VALUE(RIGHT(C279,4)),VALUE(MID(C279,4,2)),VALUE(LEFT(C279,2)))
      ),
      IF(ISNUMBER(SEARCH("/",C279)*1),
        DATE(VALUE(RIGHT(C279,4)),VALUE(LEFT(C279,2)),VALUE(MID(C279,4,2))),
        DATEVALUE(C279)
      )
    )
  ),
"INVALID_DATE")</f>
        <v>45812</v>
      </c>
      <c r="AB279">
        <f t="shared" si="27"/>
        <v>0</v>
      </c>
      <c r="AC279" t="str">
        <f t="shared" si="28"/>
        <v>June</v>
      </c>
      <c r="AD279">
        <f t="shared" si="29"/>
        <v>2025</v>
      </c>
    </row>
    <row r="280" spans="1:30">
      <c r="A280" t="s">
        <v>1442</v>
      </c>
      <c r="B280" t="s">
        <v>795</v>
      </c>
      <c r="C280" t="s">
        <v>1443</v>
      </c>
      <c r="D280" t="s">
        <v>1444</v>
      </c>
      <c r="E280" t="s">
        <v>149</v>
      </c>
      <c r="F280" t="s">
        <v>48</v>
      </c>
      <c r="G280" t="s">
        <v>34</v>
      </c>
      <c r="H280" t="s">
        <v>514</v>
      </c>
      <c r="I280" t="s">
        <v>515</v>
      </c>
      <c r="J280" t="s">
        <v>93</v>
      </c>
      <c r="K280" t="s">
        <v>94</v>
      </c>
      <c r="L280" t="s">
        <v>1445</v>
      </c>
      <c r="M280" t="s">
        <v>55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41</v>
      </c>
      <c r="U280" t="s">
        <v>132</v>
      </c>
      <c r="V280">
        <f t="shared" si="24"/>
        <v>3780.6579999999999</v>
      </c>
      <c r="W280">
        <f t="shared" si="25"/>
        <v>1632.35</v>
      </c>
      <c r="X280">
        <f t="shared" si="26"/>
        <v>0.43176323710674858</v>
      </c>
      <c r="Y280" t="str">
        <f>_xlfn.TEXTJOIN(", ",TRUE,IF(G280="Unknown","Missing Region",""),IF(M280="Unknown","Missing Ship Mode",""),IF(P280&lt;0,"Negative Discount",""),IF(P280&gt;0.7,"High Discount",""),IF(C280&lt;B280,"Ship Before Order",""))</f>
        <v/>
      </c>
      <c r="Z280" s="2">
        <f>IFERROR(
  IF(ISNUMBER(B280),B280,
    IF(ISNUMBER(SEARCH("-",B280)*1),
      IF(LEN(LEFT(B280,FIND("-",B280)-1))=4,
        DATE(VALUE(LEFT(B280,4)),VALUE(MID(B280,6,2)),VALUE(RIGHT(B280,2))),
        DATE(VALUE(RIGHT(B280,4)),VALUE(MID(B280,4,2)),VALUE(LEFT(B280,2)))
      ),
      IF(ISNUMBER(SEARCH("/",B280)*1),
        DATE(VALUE(RIGHT(B280,4)),VALUE(LEFT(B280,2)),VALUE(MID(B280,4,2))),
        DATEVALUE(B280)
      )
    )
  ),
"INVALID_DATE")</f>
        <v>45723</v>
      </c>
      <c r="AA280" s="2">
        <f>IFERROR(
  IF(ISNUMBER(C280),C280,
    IF(ISNUMBER(SEARCH("-",C280)*1),
      IF(LEN(LEFT(C280,FIND("-",C280)-1))=4,
        DATE(VALUE(LEFT(C280,4)),VALUE(MID(C280,6,2)),VALUE(RIGHT(C280,2))),
        DATE(VALUE(RIGHT(C280,4)),VALUE(MID(C280,4,2)),VALUE(LEFT(C280,2)))
      ),
      IF(ISNUMBER(SEARCH("/",C280)*1),
        DATE(VALUE(RIGHT(C280,4)),VALUE(LEFT(C280,2)),VALUE(MID(C280,4,2))),
        DATEVALUE(C280)
      )
    )
  ),
"INVALID_DATE")</f>
        <v>45730</v>
      </c>
      <c r="AB280">
        <f t="shared" si="27"/>
        <v>7</v>
      </c>
      <c r="AC280" t="str">
        <f t="shared" si="28"/>
        <v>March</v>
      </c>
      <c r="AD280">
        <f t="shared" si="29"/>
        <v>2025</v>
      </c>
    </row>
    <row r="281" spans="1:30">
      <c r="A281" t="s">
        <v>1446</v>
      </c>
      <c r="B281" t="s">
        <v>1447</v>
      </c>
      <c r="C281" t="s">
        <v>1448</v>
      </c>
      <c r="D281" t="s">
        <v>1449</v>
      </c>
      <c r="E281" t="s">
        <v>187</v>
      </c>
      <c r="F281" t="s">
        <v>48</v>
      </c>
      <c r="G281" t="s">
        <v>80</v>
      </c>
      <c r="H281" t="s">
        <v>81</v>
      </c>
      <c r="I281" t="s">
        <v>82</v>
      </c>
      <c r="J281" t="s">
        <v>37</v>
      </c>
      <c r="K281" t="s">
        <v>163</v>
      </c>
      <c r="L281" t="s">
        <v>1450</v>
      </c>
      <c r="M281" t="s">
        <v>63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41</v>
      </c>
      <c r="U281" t="s">
        <v>42</v>
      </c>
      <c r="V281">
        <f t="shared" si="24"/>
        <v>4141.1639999999998</v>
      </c>
      <c r="W281">
        <f t="shared" si="25"/>
        <v>1386.9899999999998</v>
      </c>
      <c r="X281">
        <f t="shared" si="26"/>
        <v>0.33492789459958083</v>
      </c>
      <c r="Y281" t="str">
        <f>_xlfn.TEXTJOIN(", ",TRUE,IF(G281="Unknown","Missing Region",""),IF(M281="Unknown","Missing Ship Mode",""),IF(P281&lt;0,"Negative Discount",""),IF(P281&gt;0.7,"High Discount",""),IF(C281&lt;B281,"Ship Before Order",""))</f>
        <v/>
      </c>
      <c r="Z281" s="2">
        <f>IFERROR(
  IF(ISNUMBER(B281),B281,
    IF(ISNUMBER(SEARCH("-",B281)*1),
      IF(LEN(LEFT(B281,FIND("-",B281)-1))=4,
        DATE(VALUE(LEFT(B281,4)),VALUE(MID(B281,6,2)),VALUE(RIGHT(B281,2))),
        DATE(VALUE(RIGHT(B281,4)),VALUE(MID(B281,4,2)),VALUE(LEFT(B281,2)))
      ),
      IF(ISNUMBER(SEARCH("/",B281)*1),
        DATE(VALUE(RIGHT(B281,4)),VALUE(LEFT(B281,2)),VALUE(MID(B281,4,2))),
        DATEVALUE(B281)
      )
    )
  ),
"INVALID_DATE")</f>
        <v>45391</v>
      </c>
      <c r="AA281" s="2">
        <f>IFERROR(
  IF(ISNUMBER(C281),C281,
    IF(ISNUMBER(SEARCH("-",C281)*1),
      IF(LEN(LEFT(C281,FIND("-",C281)-1))=4,
        DATE(VALUE(LEFT(C281,4)),VALUE(MID(C281,6,2)),VALUE(RIGHT(C281,2))),
        DATE(VALUE(RIGHT(C281,4)),VALUE(MID(C281,4,2)),VALUE(LEFT(C281,2)))
      ),
      IF(ISNUMBER(SEARCH("/",C281)*1),
        DATE(VALUE(RIGHT(C281,4)),VALUE(LEFT(C281,2)),VALUE(MID(C281,4,2))),
        DATEVALUE(C281)
      )
    )
  ),
"INVALID_DATE")</f>
        <v>45392</v>
      </c>
      <c r="AB281">
        <f t="shared" si="27"/>
        <v>1</v>
      </c>
      <c r="AC281" t="str">
        <f t="shared" si="28"/>
        <v>April</v>
      </c>
      <c r="AD281">
        <f t="shared" si="29"/>
        <v>2024</v>
      </c>
    </row>
    <row r="282" spans="1:30">
      <c r="A282" t="s">
        <v>1451</v>
      </c>
      <c r="B282" t="s">
        <v>1452</v>
      </c>
      <c r="C282" t="s">
        <v>1453</v>
      </c>
      <c r="D282" t="s">
        <v>1454</v>
      </c>
      <c r="E282" t="s">
        <v>114</v>
      </c>
      <c r="F282" t="s">
        <v>33</v>
      </c>
      <c r="G282" t="s">
        <v>69</v>
      </c>
      <c r="H282" t="s">
        <v>236</v>
      </c>
      <c r="I282" t="s">
        <v>237</v>
      </c>
      <c r="J282" t="s">
        <v>93</v>
      </c>
      <c r="K282" t="s">
        <v>101</v>
      </c>
      <c r="L282" t="s">
        <v>1455</v>
      </c>
      <c r="M282" t="s">
        <v>74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41</v>
      </c>
      <c r="U282" t="s">
        <v>42</v>
      </c>
      <c r="V282">
        <f t="shared" si="24"/>
        <v>8943.0299999999988</v>
      </c>
      <c r="W282">
        <f t="shared" si="25"/>
        <v>3777.6500000000005</v>
      </c>
      <c r="X282">
        <f t="shared" si="26"/>
        <v>0.42241276167026165</v>
      </c>
      <c r="Y282" t="str">
        <f>_xlfn.TEXTJOIN(", ",TRUE,IF(G282="Unknown","Missing Region",""),IF(M282="Unknown","Missing Ship Mode",""),IF(P282&lt;0,"Negative Discount",""),IF(P282&gt;0.7,"High Discount",""),IF(C282&lt;B282,"Ship Before Order",""))</f>
        <v/>
      </c>
      <c r="Z282" s="2">
        <f>IFERROR(
  IF(ISNUMBER(B282),B282,
    IF(ISNUMBER(SEARCH("-",B282)*1),
      IF(LEN(LEFT(B282,FIND("-",B282)-1))=4,
        DATE(VALUE(LEFT(B282,4)),VALUE(MID(B282,6,2)),VALUE(RIGHT(B282,2))),
        DATE(VALUE(RIGHT(B282,4)),VALUE(MID(B282,4,2)),VALUE(LEFT(B282,2)))
      ),
      IF(ISNUMBER(SEARCH("/",B282)*1),
        DATE(VALUE(RIGHT(B282,4)),VALUE(LEFT(B282,2)),VALUE(MID(B282,4,2))),
        DATEVALUE(B282)
      )
    )
  ),
"INVALID_DATE")</f>
        <v>45649</v>
      </c>
      <c r="AA282" s="2">
        <f>IFERROR(
  IF(ISNUMBER(C282),C282,
    IF(ISNUMBER(SEARCH("-",C282)*1),
      IF(LEN(LEFT(C282,FIND("-",C282)-1))=4,
        DATE(VALUE(LEFT(C282,4)),VALUE(MID(C282,6,2)),VALUE(RIGHT(C282,2))),
        DATE(VALUE(RIGHT(C282,4)),VALUE(MID(C282,4,2)),VALUE(LEFT(C282,2)))
      ),
      IF(ISNUMBER(SEARCH("/",C282)*1),
        DATE(VALUE(RIGHT(C282,4)),VALUE(LEFT(C282,2)),VALUE(MID(C282,4,2))),
        DATEVALUE(C282)
      )
    )
  ),
"INVALID_DATE")</f>
        <v>45652</v>
      </c>
      <c r="AB282">
        <f t="shared" si="27"/>
        <v>3</v>
      </c>
      <c r="AC282" t="str">
        <f t="shared" si="28"/>
        <v>December</v>
      </c>
      <c r="AD282">
        <f t="shared" si="29"/>
        <v>2024</v>
      </c>
    </row>
    <row r="283" spans="1:30">
      <c r="A283" t="s">
        <v>1456</v>
      </c>
      <c r="B283" t="s">
        <v>1457</v>
      </c>
      <c r="C283" t="s">
        <v>1458</v>
      </c>
      <c r="D283" t="s">
        <v>1459</v>
      </c>
      <c r="E283" t="s">
        <v>374</v>
      </c>
      <c r="F283" t="s">
        <v>33</v>
      </c>
      <c r="G283" t="s">
        <v>49</v>
      </c>
      <c r="H283" t="s">
        <v>319</v>
      </c>
      <c r="I283" t="s">
        <v>320</v>
      </c>
      <c r="J283" t="s">
        <v>37</v>
      </c>
      <c r="K283" t="s">
        <v>205</v>
      </c>
      <c r="L283" t="s">
        <v>1460</v>
      </c>
      <c r="M283" t="s">
        <v>40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41</v>
      </c>
      <c r="U283" t="s">
        <v>42</v>
      </c>
      <c r="V283">
        <f t="shared" si="24"/>
        <v>16504.224000000002</v>
      </c>
      <c r="W283">
        <f t="shared" si="25"/>
        <v>5241.510000000002</v>
      </c>
      <c r="X283">
        <f t="shared" si="26"/>
        <v>0.31758604768962118</v>
      </c>
      <c r="Y283" t="str">
        <f>_xlfn.TEXTJOIN(", ",TRUE,IF(G283="Unknown","Missing Region",""),IF(M283="Unknown","Missing Ship Mode",""),IF(P283&lt;0,"Negative Discount",""),IF(P283&gt;0.7,"High Discount",""),IF(C283&lt;B283,"Ship Before Order",""))</f>
        <v>Ship Before Order</v>
      </c>
      <c r="Z283" s="2">
        <f>IFERROR(
  IF(ISNUMBER(B283),B283,
    IF(ISNUMBER(SEARCH("-",B283)*1),
      IF(LEN(LEFT(B283,FIND("-",B283)-1))=4,
        DATE(VALUE(LEFT(B283,4)),VALUE(MID(B283,6,2)),VALUE(RIGHT(B283,2))),
        DATE(VALUE(RIGHT(B283,4)),VALUE(MID(B283,4,2)),VALUE(LEFT(B283,2)))
      ),
      IF(ISNUMBER(SEARCH("/",B283)*1),
        DATE(VALUE(RIGHT(B283,4)),VALUE(LEFT(B283,2)),VALUE(MID(B283,4,2))),
        DATEVALUE(B283)
      )
    )
  ),
"INVALID_DATE")</f>
        <v>45863</v>
      </c>
      <c r="AA283" s="2">
        <f>IFERROR(
  IF(ISNUMBER(C283),C283,
    IF(ISNUMBER(SEARCH("-",C283)*1),
      IF(LEN(LEFT(C283,FIND("-",C283)-1))=4,
        DATE(VALUE(LEFT(C283,4)),VALUE(MID(C283,6,2)),VALUE(RIGHT(C283,2))),
        DATE(VALUE(RIGHT(C283,4)),VALUE(MID(C283,4,2)),VALUE(LEFT(C283,2)))
      ),
      IF(ISNUMBER(SEARCH("/",C283)*1),
        DATE(VALUE(RIGHT(C283,4)),VALUE(LEFT(C283,2)),VALUE(MID(C283,4,2))),
        DATEVALUE(C283)
      )
    )
  ),
"INVALID_DATE")</f>
        <v>45865</v>
      </c>
      <c r="AB283">
        <f t="shared" si="27"/>
        <v>2</v>
      </c>
      <c r="AC283" t="str">
        <f t="shared" si="28"/>
        <v>July</v>
      </c>
      <c r="AD283">
        <f t="shared" si="29"/>
        <v>2025</v>
      </c>
    </row>
    <row r="284" spans="1:30">
      <c r="A284" t="s">
        <v>1461</v>
      </c>
      <c r="B284" t="s">
        <v>1462</v>
      </c>
      <c r="C284" t="s">
        <v>1463</v>
      </c>
      <c r="D284" t="s">
        <v>1464</v>
      </c>
      <c r="E284" t="s">
        <v>32</v>
      </c>
      <c r="F284" t="s">
        <v>122</v>
      </c>
      <c r="G284" t="s">
        <v>49</v>
      </c>
      <c r="H284" t="s">
        <v>223</v>
      </c>
      <c r="I284" t="s">
        <v>224</v>
      </c>
      <c r="J284" t="s">
        <v>52</v>
      </c>
      <c r="K284" t="s">
        <v>53</v>
      </c>
      <c r="L284" t="s">
        <v>1465</v>
      </c>
      <c r="M284" t="s">
        <v>40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41</v>
      </c>
      <c r="U284" t="s">
        <v>42</v>
      </c>
      <c r="V284">
        <f t="shared" si="24"/>
        <v>4596</v>
      </c>
      <c r="W284">
        <f t="shared" si="25"/>
        <v>1375.67</v>
      </c>
      <c r="X284">
        <f t="shared" si="26"/>
        <v>0.29931897302001742</v>
      </c>
      <c r="Y284" t="str">
        <f>_xlfn.TEXTJOIN(", ",TRUE,IF(G284="Unknown","Missing Region",""),IF(M284="Unknown","Missing Ship Mode",""),IF(P284&lt;0,"Negative Discount",""),IF(P284&gt;0.7,"High Discount",""),IF(C284&lt;B284,"Ship Before Order",""))</f>
        <v>Ship Before Order</v>
      </c>
      <c r="Z284" s="2">
        <f>IFERROR(
  IF(ISNUMBER(B284),B284,
    IF(ISNUMBER(SEARCH("-",B284)*1),
      IF(LEN(LEFT(B284,FIND("-",B284)-1))=4,
        DATE(VALUE(LEFT(B284,4)),VALUE(MID(B284,6,2)),VALUE(RIGHT(B284,2))),
        DATE(VALUE(RIGHT(B284,4)),VALUE(MID(B284,4,2)),VALUE(LEFT(B284,2)))
      ),
      IF(ISNUMBER(SEARCH("/",B284)*1),
        DATE(VALUE(RIGHT(B284,4)),VALUE(LEFT(B284,2)),VALUE(MID(B284,4,2))),
        DATEVALUE(B284)
      )
    )
  ),
"INVALID_DATE")</f>
        <v>45566</v>
      </c>
      <c r="AA284" s="2">
        <f>IFERROR(
  IF(ISNUMBER(C284),C284,
    IF(ISNUMBER(SEARCH("-",C284)*1),
      IF(LEN(LEFT(C284,FIND("-",C284)-1))=4,
        DATE(VALUE(LEFT(C284,4)),VALUE(MID(C284,6,2)),VALUE(RIGHT(C284,2))),
        DATE(VALUE(RIGHT(C284,4)),VALUE(MID(C284,4,2)),VALUE(LEFT(C284,2)))
      ),
      IF(ISNUMBER(SEARCH("/",C284)*1),
        DATE(VALUE(RIGHT(C284,4)),VALUE(LEFT(C284,2)),VALUE(MID(C284,4,2))),
        DATEVALUE(C284)
      )
    )
  ),
"INVALID_DATE")</f>
        <v>45567</v>
      </c>
      <c r="AB284">
        <f t="shared" si="27"/>
        <v>1</v>
      </c>
      <c r="AC284" t="str">
        <f t="shared" si="28"/>
        <v>October</v>
      </c>
      <c r="AD284">
        <f t="shared" si="29"/>
        <v>2024</v>
      </c>
    </row>
    <row r="285" spans="1:30">
      <c r="A285" t="s">
        <v>1466</v>
      </c>
      <c r="B285" t="s">
        <v>1467</v>
      </c>
      <c r="C285" t="s">
        <v>1468</v>
      </c>
      <c r="D285" t="s">
        <v>1469</v>
      </c>
      <c r="E285" t="s">
        <v>90</v>
      </c>
      <c r="F285" t="s">
        <v>33</v>
      </c>
      <c r="G285" t="s">
        <v>80</v>
      </c>
      <c r="H285" t="s">
        <v>81</v>
      </c>
      <c r="I285" t="s">
        <v>82</v>
      </c>
      <c r="J285" t="s">
        <v>52</v>
      </c>
      <c r="K285" t="s">
        <v>72</v>
      </c>
      <c r="L285" t="s">
        <v>1470</v>
      </c>
      <c r="M285" t="s">
        <v>63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41</v>
      </c>
      <c r="U285" t="s">
        <v>42</v>
      </c>
      <c r="V285">
        <f t="shared" si="24"/>
        <v>1814.01</v>
      </c>
      <c r="W285">
        <f t="shared" si="25"/>
        <v>780.54</v>
      </c>
      <c r="X285">
        <f t="shared" si="26"/>
        <v>0.43028428729720342</v>
      </c>
      <c r="Y285" t="str">
        <f>_xlfn.TEXTJOIN(", ",TRUE,IF(G285="Unknown","Missing Region",""),IF(M285="Unknown","Missing Ship Mode",""),IF(P285&lt;0,"Negative Discount",""),IF(P285&gt;0.7,"High Discount",""),IF(C285&lt;B285,"Ship Before Order",""))</f>
        <v/>
      </c>
      <c r="Z285" s="2">
        <f>IFERROR(
  IF(ISNUMBER(B285),B285,
    IF(ISNUMBER(SEARCH("-",B285)*1),
      IF(LEN(LEFT(B285,FIND("-",B285)-1))=4,
        DATE(VALUE(LEFT(B285,4)),VALUE(MID(B285,6,2)),VALUE(RIGHT(B285,2))),
        DATE(VALUE(RIGHT(B285,4)),VALUE(MID(B285,4,2)),VALUE(LEFT(B285,2)))
      ),
      IF(ISNUMBER(SEARCH("/",B285)*1),
        DATE(VALUE(RIGHT(B285,4)),VALUE(LEFT(B285,2)),VALUE(MID(B285,4,2))),
        DATEVALUE(B285)
      )
    )
  ),
"INVALID_DATE")</f>
        <v>45729</v>
      </c>
      <c r="AA285" s="2">
        <f>IFERROR(
  IF(ISNUMBER(C285),C285,
    IF(ISNUMBER(SEARCH("-",C285)*1),
      IF(LEN(LEFT(C285,FIND("-",C285)-1))=4,
        DATE(VALUE(LEFT(C285,4)),VALUE(MID(C285,6,2)),VALUE(RIGHT(C285,2))),
        DATE(VALUE(RIGHT(C285,4)),VALUE(MID(C285,4,2)),VALUE(LEFT(C285,2)))
      ),
      IF(ISNUMBER(SEARCH("/",C285)*1),
        DATE(VALUE(RIGHT(C285,4)),VALUE(LEFT(C285,2)),VALUE(MID(C285,4,2))),
        DATEVALUE(C285)
      )
    )
  ),
"INVALID_DATE")</f>
        <v>45736</v>
      </c>
      <c r="AB285">
        <f t="shared" si="27"/>
        <v>7</v>
      </c>
      <c r="AC285" t="str">
        <f t="shared" si="28"/>
        <v>March</v>
      </c>
      <c r="AD285">
        <f t="shared" si="29"/>
        <v>2025</v>
      </c>
    </row>
    <row r="286" spans="1:30">
      <c r="A286" t="s">
        <v>1471</v>
      </c>
      <c r="B286" t="s">
        <v>1472</v>
      </c>
      <c r="C286" t="s">
        <v>1473</v>
      </c>
      <c r="D286" t="s">
        <v>1474</v>
      </c>
      <c r="E286" t="s">
        <v>32</v>
      </c>
      <c r="F286" t="s">
        <v>33</v>
      </c>
      <c r="G286" t="s">
        <v>49</v>
      </c>
      <c r="H286" t="s">
        <v>50</v>
      </c>
      <c r="I286" t="s">
        <v>51</v>
      </c>
      <c r="J286" t="s">
        <v>52</v>
      </c>
      <c r="K286" t="s">
        <v>53</v>
      </c>
      <c r="L286" t="s">
        <v>1475</v>
      </c>
      <c r="M286" t="s">
        <v>55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41</v>
      </c>
      <c r="U286" t="s">
        <v>132</v>
      </c>
      <c r="V286">
        <f t="shared" si="24"/>
        <v>4730.76</v>
      </c>
      <c r="W286">
        <f t="shared" si="25"/>
        <v>1591.0300000000002</v>
      </c>
      <c r="X286">
        <f t="shared" si="26"/>
        <v>0.3363159407790714</v>
      </c>
      <c r="Y286" t="str">
        <f>_xlfn.TEXTJOIN(", ",TRUE,IF(G286="Unknown","Missing Region",""),IF(M286="Unknown","Missing Ship Mode",""),IF(P286&lt;0,"Negative Discount",""),IF(P286&gt;0.7,"High Discount",""),IF(C286&lt;B286,"Ship Before Order",""))</f>
        <v/>
      </c>
      <c r="Z286" s="2">
        <f>IFERROR(
  IF(ISNUMBER(B286),B286,
    IF(ISNUMBER(SEARCH("-",B286)*1),
      IF(LEN(LEFT(B286,FIND("-",B286)-1))=4,
        DATE(VALUE(LEFT(B286,4)),VALUE(MID(B286,6,2)),VALUE(RIGHT(B286,2))),
        DATE(VALUE(RIGHT(B286,4)),VALUE(MID(B286,4,2)),VALUE(LEFT(B286,2)))
      ),
      IF(ISNUMBER(SEARCH("/",B286)*1),
        DATE(VALUE(RIGHT(B286,4)),VALUE(LEFT(B286,2)),VALUE(MID(B286,4,2))),
        DATEVALUE(B286)
      )
    )
  ),
"INVALID_DATE")</f>
        <v>45634</v>
      </c>
      <c r="AA286" s="2">
        <f>IFERROR(
  IF(ISNUMBER(C286),C286,
    IF(ISNUMBER(SEARCH("-",C286)*1),
      IF(LEN(LEFT(C286,FIND("-",C286)-1))=4,
        DATE(VALUE(LEFT(C286,4)),VALUE(MID(C286,6,2)),VALUE(RIGHT(C286,2))),
        DATE(VALUE(RIGHT(C286,4)),VALUE(MID(C286,4,2)),VALUE(LEFT(C286,2)))
      ),
      IF(ISNUMBER(SEARCH("/",C286)*1),
        DATE(VALUE(RIGHT(C286,4)),VALUE(LEFT(C286,2)),VALUE(MID(C286,4,2))),
        DATEVALUE(C286)
      )
    )
  ),
"INVALID_DATE")</f>
        <v>45640</v>
      </c>
      <c r="AB286">
        <f t="shared" si="27"/>
        <v>6</v>
      </c>
      <c r="AC286" t="str">
        <f t="shared" si="28"/>
        <v>December</v>
      </c>
      <c r="AD286">
        <f t="shared" si="29"/>
        <v>2024</v>
      </c>
    </row>
    <row r="287" spans="1:30">
      <c r="A287" t="s">
        <v>1476</v>
      </c>
      <c r="B287" t="s">
        <v>1477</v>
      </c>
      <c r="C287" t="s">
        <v>1478</v>
      </c>
      <c r="D287" t="s">
        <v>1479</v>
      </c>
      <c r="E287" t="s">
        <v>100</v>
      </c>
      <c r="F287" t="s">
        <v>122</v>
      </c>
      <c r="G287" t="s">
        <v>34</v>
      </c>
      <c r="H287" t="s">
        <v>35</v>
      </c>
      <c r="I287" t="s">
        <v>36</v>
      </c>
      <c r="J287" t="s">
        <v>37</v>
      </c>
      <c r="K287" t="s">
        <v>163</v>
      </c>
      <c r="L287" t="s">
        <v>1480</v>
      </c>
      <c r="M287" t="s">
        <v>74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41</v>
      </c>
      <c r="U287" t="s">
        <v>42</v>
      </c>
      <c r="V287">
        <f t="shared" si="24"/>
        <v>36735.93</v>
      </c>
      <c r="W287">
        <f t="shared" si="25"/>
        <v>5915.09</v>
      </c>
      <c r="X287">
        <f t="shared" si="26"/>
        <v>0.16101647624001897</v>
      </c>
      <c r="Y287" t="str">
        <f>_xlfn.TEXTJOIN(", ",TRUE,IF(G287="Unknown","Missing Region",""),IF(M287="Unknown","Missing Ship Mode",""),IF(P287&lt;0,"Negative Discount",""),IF(P287&gt;0.7,"High Discount",""),IF(C287&lt;B287,"Ship Before Order",""))</f>
        <v/>
      </c>
      <c r="Z287" s="2">
        <f>IFERROR(
  IF(ISNUMBER(B287),B287,
    IF(ISNUMBER(SEARCH("-",B287)*1),
      IF(LEN(LEFT(B287,FIND("-",B287)-1))=4,
        DATE(VALUE(LEFT(B287,4)),VALUE(MID(B287,6,2)),VALUE(RIGHT(B287,2))),
        DATE(VALUE(RIGHT(B287,4)),VALUE(MID(B287,4,2)),VALUE(LEFT(B287,2)))
      ),
      IF(ISNUMBER(SEARCH("/",B287)*1),
        DATE(VALUE(RIGHT(B287,4)),VALUE(LEFT(B287,2)),VALUE(MID(B287,4,2))),
        DATEVALUE(B287)
      )
    )
  ),
"INVALID_DATE")</f>
        <v>45884</v>
      </c>
      <c r="AA287" s="2">
        <f>IFERROR(
  IF(ISNUMBER(C287),C287,
    IF(ISNUMBER(SEARCH("-",C287)*1),
      IF(LEN(LEFT(C287,FIND("-",C287)-1))=4,
        DATE(VALUE(LEFT(C287,4)),VALUE(MID(C287,6,2)),VALUE(RIGHT(C287,2))),
        DATE(VALUE(RIGHT(C287,4)),VALUE(MID(C287,4,2)),VALUE(LEFT(C287,2)))
      ),
      IF(ISNUMBER(SEARCH("/",C287)*1),
        DATE(VALUE(RIGHT(C287,4)),VALUE(LEFT(C287,2)),VALUE(MID(C287,4,2))),
        DATEVALUE(C287)
      )
    )
  ),
"INVALID_DATE")</f>
        <v>45889</v>
      </c>
      <c r="AB287">
        <f t="shared" si="27"/>
        <v>5</v>
      </c>
      <c r="AC287" t="str">
        <f t="shared" si="28"/>
        <v>August</v>
      </c>
      <c r="AD287">
        <f t="shared" si="29"/>
        <v>2025</v>
      </c>
    </row>
    <row r="288" spans="1:30">
      <c r="A288" t="s">
        <v>1481</v>
      </c>
      <c r="B288" t="s">
        <v>1482</v>
      </c>
      <c r="C288" t="s">
        <v>1483</v>
      </c>
      <c r="D288" t="s">
        <v>1484</v>
      </c>
      <c r="E288" t="s">
        <v>149</v>
      </c>
      <c r="F288" t="s">
        <v>48</v>
      </c>
      <c r="G288" t="s">
        <v>34</v>
      </c>
      <c r="H288" t="s">
        <v>514</v>
      </c>
      <c r="I288" t="s">
        <v>515</v>
      </c>
      <c r="J288" t="s">
        <v>52</v>
      </c>
      <c r="K288" t="s">
        <v>72</v>
      </c>
      <c r="L288" t="s">
        <v>1485</v>
      </c>
      <c r="M288" t="s">
        <v>63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144</v>
      </c>
      <c r="U288" t="s">
        <v>132</v>
      </c>
      <c r="V288">
        <f t="shared" si="24"/>
        <v>4421.34</v>
      </c>
      <c r="W288">
        <f t="shared" si="25"/>
        <v>1931.3600000000001</v>
      </c>
      <c r="X288">
        <f t="shared" si="26"/>
        <v>0.43682684435035529</v>
      </c>
      <c r="Y288" t="str">
        <f>_xlfn.TEXTJOIN(", ",TRUE,IF(G288="Unknown","Missing Region",""),IF(M288="Unknown","Missing Ship Mode",""),IF(P288&lt;0,"Negative Discount",""),IF(P288&gt;0.7,"High Discount",""),IF(C288&lt;B288,"Ship Before Order",""))</f>
        <v>Ship Before Order</v>
      </c>
      <c r="Z288" s="2">
        <f>IFERROR(
  IF(ISNUMBER(B288),B288,
    IF(ISNUMBER(SEARCH("-",B288)*1),
      IF(LEN(LEFT(B288,FIND("-",B288)-1))=4,
        DATE(VALUE(LEFT(B288,4)),VALUE(MID(B288,6,2)),VALUE(RIGHT(B288,2))),
        DATE(VALUE(RIGHT(B288,4)),VALUE(MID(B288,4,2)),VALUE(LEFT(B288,2)))
      ),
      IF(ISNUMBER(SEARCH("/",B288)*1),
        DATE(VALUE(RIGHT(B288,4)),VALUE(LEFT(B288,2)),VALUE(MID(B288,4,2))),
        DATEVALUE(B288)
      )
    )
  ),
"INVALID_DATE")</f>
        <v>45350</v>
      </c>
      <c r="AA288" s="2">
        <f>IFERROR(
  IF(ISNUMBER(C288),C288,
    IF(ISNUMBER(SEARCH("-",C288)*1),
      IF(LEN(LEFT(C288,FIND("-",C288)-1))=4,
        DATE(VALUE(LEFT(C288,4)),VALUE(MID(C288,6,2)),VALUE(RIGHT(C288,2))),
        DATE(VALUE(RIGHT(C288,4)),VALUE(MID(C288,4,2)),VALUE(LEFT(C288,2)))
      ),
      IF(ISNUMBER(SEARCH("/",C288)*1),
        DATE(VALUE(RIGHT(C288,4)),VALUE(LEFT(C288,2)),VALUE(MID(C288,4,2))),
        DATEVALUE(C288)
      )
    )
  ),
"INVALID_DATE")</f>
        <v>45353</v>
      </c>
      <c r="AB288">
        <f t="shared" si="27"/>
        <v>3</v>
      </c>
      <c r="AC288" t="str">
        <f t="shared" si="28"/>
        <v>February</v>
      </c>
      <c r="AD288">
        <f t="shared" si="29"/>
        <v>2024</v>
      </c>
    </row>
    <row r="289" spans="1:30">
      <c r="A289" t="s">
        <v>1486</v>
      </c>
      <c r="B289" t="s">
        <v>1487</v>
      </c>
      <c r="C289" t="s">
        <v>1488</v>
      </c>
      <c r="D289" t="s">
        <v>1489</v>
      </c>
      <c r="E289" t="s">
        <v>100</v>
      </c>
      <c r="F289" t="s">
        <v>48</v>
      </c>
      <c r="G289" t="s">
        <v>69</v>
      </c>
      <c r="H289" t="s">
        <v>347</v>
      </c>
      <c r="I289" t="s">
        <v>348</v>
      </c>
      <c r="J289" t="s">
        <v>93</v>
      </c>
      <c r="K289" t="s">
        <v>101</v>
      </c>
      <c r="L289" t="s">
        <v>1490</v>
      </c>
      <c r="M289" t="s">
        <v>74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41</v>
      </c>
      <c r="U289" t="s">
        <v>85</v>
      </c>
      <c r="V289">
        <f t="shared" si="24"/>
        <v>6516.9329999999991</v>
      </c>
      <c r="W289">
        <f t="shared" si="25"/>
        <v>2005.3900000000003</v>
      </c>
      <c r="X289">
        <f t="shared" si="26"/>
        <v>0.30772004609532405</v>
      </c>
      <c r="Y289" t="str">
        <f>_xlfn.TEXTJOIN(", ",TRUE,IF(G289="Unknown","Missing Region",""),IF(M289="Unknown","Missing Ship Mode",""),IF(P289&lt;0,"Negative Discount",""),IF(P289&gt;0.7,"High Discount",""),IF(C289&lt;B289,"Ship Before Order",""))</f>
        <v>Ship Before Order</v>
      </c>
      <c r="Z289" s="2">
        <f>IFERROR(
  IF(ISNUMBER(B289),B289,
    IF(ISNUMBER(SEARCH("-",B289)*1),
      IF(LEN(LEFT(B289,FIND("-",B289)-1))=4,
        DATE(VALUE(LEFT(B289,4)),VALUE(MID(B289,6,2)),VALUE(RIGHT(B289,2))),
        DATE(VALUE(RIGHT(B289,4)),VALUE(MID(B289,4,2)),VALUE(LEFT(B289,2)))
      ),
      IF(ISNUMBER(SEARCH("/",B289)*1),
        DATE(VALUE(RIGHT(B289,4)),VALUE(LEFT(B289,2)),VALUE(MID(B289,4,2))),
        DATEVALUE(B289)
      )
    )
  ),
"INVALID_DATE")</f>
        <v>45540</v>
      </c>
      <c r="AA289" s="2">
        <f>IFERROR(
  IF(ISNUMBER(C289),C289,
    IF(ISNUMBER(SEARCH("-",C289)*1),
      IF(LEN(LEFT(C289,FIND("-",C289)-1))=4,
        DATE(VALUE(LEFT(C289,4)),VALUE(MID(C289,6,2)),VALUE(RIGHT(C289,2))),
        DATE(VALUE(RIGHT(C289,4)),VALUE(MID(C289,4,2)),VALUE(LEFT(C289,2)))
      ),
      IF(ISNUMBER(SEARCH("/",C289)*1),
        DATE(VALUE(RIGHT(C289,4)),VALUE(LEFT(C289,2)),VALUE(MID(C289,4,2))),
        DATEVALUE(C289)
      )
    )
  ),
"INVALID_DATE")</f>
        <v>45542</v>
      </c>
      <c r="AB289">
        <f t="shared" si="27"/>
        <v>2</v>
      </c>
      <c r="AC289" t="str">
        <f t="shared" si="28"/>
        <v>September</v>
      </c>
      <c r="AD289">
        <f t="shared" si="29"/>
        <v>2024</v>
      </c>
    </row>
    <row r="290" spans="1:30">
      <c r="A290" t="s">
        <v>1491</v>
      </c>
      <c r="B290" t="s">
        <v>1492</v>
      </c>
      <c r="C290" t="s">
        <v>1492</v>
      </c>
      <c r="D290" t="s">
        <v>1493</v>
      </c>
      <c r="E290" t="s">
        <v>187</v>
      </c>
      <c r="F290" t="s">
        <v>48</v>
      </c>
      <c r="G290" t="s">
        <v>49</v>
      </c>
      <c r="H290" t="s">
        <v>193</v>
      </c>
      <c r="I290" t="s">
        <v>194</v>
      </c>
      <c r="J290" t="s">
        <v>37</v>
      </c>
      <c r="K290" t="s">
        <v>205</v>
      </c>
      <c r="L290" t="s">
        <v>1494</v>
      </c>
      <c r="M290" t="s">
        <v>55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41</v>
      </c>
      <c r="U290" t="s">
        <v>42</v>
      </c>
      <c r="V290">
        <f t="shared" si="24"/>
        <v>7411.829999999999</v>
      </c>
      <c r="W290">
        <f t="shared" si="25"/>
        <v>2507.1999999999998</v>
      </c>
      <c r="X290">
        <f t="shared" si="26"/>
        <v>0.33827003587508075</v>
      </c>
      <c r="Y290" t="str">
        <f>_xlfn.TEXTJOIN(", ",TRUE,IF(G290="Unknown","Missing Region",""),IF(M290="Unknown","Missing Ship Mode",""),IF(P290&lt;0,"Negative Discount",""),IF(P290&gt;0.7,"High Discount",""),IF(C290&lt;B290,"Ship Before Order",""))</f>
        <v/>
      </c>
      <c r="Z290" s="2">
        <f>IFERROR(
  IF(ISNUMBER(B290),B290,
    IF(ISNUMBER(SEARCH("-",B290)*1),
      IF(LEN(LEFT(B290,FIND("-",B290)-1))=4,
        DATE(VALUE(LEFT(B290,4)),VALUE(MID(B290,6,2)),VALUE(RIGHT(B290,2))),
        DATE(VALUE(RIGHT(B290,4)),VALUE(MID(B290,4,2)),VALUE(LEFT(B290,2)))
      ),
      IF(ISNUMBER(SEARCH("/",B290)*1),
        DATE(VALUE(RIGHT(B290,4)),VALUE(LEFT(B290,2)),VALUE(MID(B290,4,2))),
        DATEVALUE(B290)
      )
    )
  ),
"INVALID_DATE")</f>
        <v>45467</v>
      </c>
      <c r="AA290" s="2">
        <f>IFERROR(
  IF(ISNUMBER(C290),C290,
    IF(ISNUMBER(SEARCH("-",C290)*1),
      IF(LEN(LEFT(C290,FIND("-",C290)-1))=4,
        DATE(VALUE(LEFT(C290,4)),VALUE(MID(C290,6,2)),VALUE(RIGHT(C290,2))),
        DATE(VALUE(RIGHT(C290,4)),VALUE(MID(C290,4,2)),VALUE(LEFT(C290,2)))
      ),
      IF(ISNUMBER(SEARCH("/",C290)*1),
        DATE(VALUE(RIGHT(C290,4)),VALUE(LEFT(C290,2)),VALUE(MID(C290,4,2))),
        DATEVALUE(C290)
      )
    )
  ),
"INVALID_DATE")</f>
        <v>45467</v>
      </c>
      <c r="AB290">
        <f t="shared" si="27"/>
        <v>0</v>
      </c>
      <c r="AC290" t="str">
        <f t="shared" si="28"/>
        <v>June</v>
      </c>
      <c r="AD290">
        <f t="shared" si="29"/>
        <v>2024</v>
      </c>
    </row>
    <row r="291" spans="1:30">
      <c r="A291" t="s">
        <v>1495</v>
      </c>
      <c r="B291" t="s">
        <v>261</v>
      </c>
      <c r="C291" t="s">
        <v>657</v>
      </c>
      <c r="D291" t="s">
        <v>1496</v>
      </c>
      <c r="E291" t="s">
        <v>32</v>
      </c>
      <c r="F291" t="s">
        <v>122</v>
      </c>
      <c r="G291" t="s">
        <v>69</v>
      </c>
      <c r="H291" t="s">
        <v>347</v>
      </c>
      <c r="I291" t="s">
        <v>348</v>
      </c>
      <c r="J291" t="s">
        <v>52</v>
      </c>
      <c r="K291" t="s">
        <v>211</v>
      </c>
      <c r="L291" t="s">
        <v>1497</v>
      </c>
      <c r="M291" t="s">
        <v>63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41</v>
      </c>
      <c r="U291" t="s">
        <v>42</v>
      </c>
      <c r="V291">
        <f t="shared" si="24"/>
        <v>8258.7109999999993</v>
      </c>
      <c r="W291">
        <f t="shared" si="25"/>
        <v>1239.7399999999989</v>
      </c>
      <c r="X291">
        <f t="shared" si="26"/>
        <v>0.15011303218057059</v>
      </c>
      <c r="Y291" t="str">
        <f>_xlfn.TEXTJOIN(", ",TRUE,IF(G291="Unknown","Missing Region",""),IF(M291="Unknown","Missing Ship Mode",""),IF(P291&lt;0,"Negative Discount",""),IF(P291&gt;0.7,"High Discount",""),IF(C291&lt;B291,"Ship Before Order",""))</f>
        <v>Ship Before Order</v>
      </c>
      <c r="Z291" s="2">
        <f>IFERROR(
  IF(ISNUMBER(B291),B291,
    IF(ISNUMBER(SEARCH("-",B291)*1),
      IF(LEN(LEFT(B291,FIND("-",B291)-1))=4,
        DATE(VALUE(LEFT(B291,4)),VALUE(MID(B291,6,2)),VALUE(RIGHT(B291,2))),
        DATE(VALUE(RIGHT(B291,4)),VALUE(MID(B291,4,2)),VALUE(LEFT(B291,2)))
      ),
      IF(ISNUMBER(SEARCH("/",B291)*1),
        DATE(VALUE(RIGHT(B291,4)),VALUE(LEFT(B291,2)),VALUE(MID(B291,4,2))),
        DATEVALUE(B291)
      )
    )
  ),
"INVALID_DATE")</f>
        <v>45827</v>
      </c>
      <c r="AA291" s="2">
        <f>IFERROR(
  IF(ISNUMBER(C291),C291,
    IF(ISNUMBER(SEARCH("-",C291)*1),
      IF(LEN(LEFT(C291,FIND("-",C291)-1))=4,
        DATE(VALUE(LEFT(C291,4)),VALUE(MID(C291,6,2)),VALUE(RIGHT(C291,2))),
        DATE(VALUE(RIGHT(C291,4)),VALUE(MID(C291,4,2)),VALUE(LEFT(C291,2)))
      ),
      IF(ISNUMBER(SEARCH("/",C291)*1),
        DATE(VALUE(RIGHT(C291,4)),VALUE(LEFT(C291,2)),VALUE(MID(C291,4,2))),
        DATEVALUE(C291)
      )
    )
  ),
"INVALID_DATE")</f>
        <v>45835</v>
      </c>
      <c r="AB291">
        <f t="shared" si="27"/>
        <v>8</v>
      </c>
      <c r="AC291" t="str">
        <f t="shared" si="28"/>
        <v>June</v>
      </c>
      <c r="AD291">
        <f t="shared" si="29"/>
        <v>2025</v>
      </c>
    </row>
    <row r="292" spans="1:30">
      <c r="A292" t="s">
        <v>1498</v>
      </c>
      <c r="B292" t="s">
        <v>1499</v>
      </c>
      <c r="C292" t="s">
        <v>1500</v>
      </c>
      <c r="D292" t="s">
        <v>1501</v>
      </c>
      <c r="E292" t="s">
        <v>217</v>
      </c>
      <c r="F292" t="s">
        <v>122</v>
      </c>
      <c r="G292" t="s">
        <v>49</v>
      </c>
      <c r="H292" t="s">
        <v>319</v>
      </c>
      <c r="I292" t="s">
        <v>320</v>
      </c>
      <c r="J292" t="s">
        <v>52</v>
      </c>
      <c r="K292" t="s">
        <v>53</v>
      </c>
      <c r="L292" t="s">
        <v>1502</v>
      </c>
      <c r="M292" t="s">
        <v>74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41</v>
      </c>
      <c r="U292" t="s">
        <v>42</v>
      </c>
      <c r="V292">
        <f t="shared" si="24"/>
        <v>1658.3670000000002</v>
      </c>
      <c r="W292">
        <f t="shared" si="25"/>
        <v>687.24999999999989</v>
      </c>
      <c r="X292">
        <f t="shared" si="26"/>
        <v>0.41441294765341874</v>
      </c>
      <c r="Y292" t="str">
        <f>_xlfn.TEXTJOIN(", ",TRUE,IF(G292="Unknown","Missing Region",""),IF(M292="Unknown","Missing Ship Mode",""),IF(P292&lt;0,"Negative Discount",""),IF(P292&gt;0.7,"High Discount",""),IF(C292&lt;B292,"Ship Before Order",""))</f>
        <v>Ship Before Order</v>
      </c>
      <c r="Z292" s="2">
        <f>IFERROR(
  IF(ISNUMBER(B292),B292,
    IF(ISNUMBER(SEARCH("-",B292)*1),
      IF(LEN(LEFT(B292,FIND("-",B292)-1))=4,
        DATE(VALUE(LEFT(B292,4)),VALUE(MID(B292,6,2)),VALUE(RIGHT(B292,2))),
        DATE(VALUE(RIGHT(B292,4)),VALUE(MID(B292,4,2)),VALUE(LEFT(B292,2)))
      ),
      IF(ISNUMBER(SEARCH("/",B292)*1),
        DATE(VALUE(RIGHT(B292,4)),VALUE(LEFT(B292,2)),VALUE(MID(B292,4,2))),
        DATEVALUE(B292)
      )
    )
  ),
"INVALID_DATE")</f>
        <v>45891</v>
      </c>
      <c r="AA292" s="2">
        <f>IFERROR(
  IF(ISNUMBER(C292),C292,
    IF(ISNUMBER(SEARCH("-",C292)*1),
      IF(LEN(LEFT(C292,FIND("-",C292)-1))=4,
        DATE(VALUE(LEFT(C292,4)),VALUE(MID(C292,6,2)),VALUE(RIGHT(C292,2))),
        DATE(VALUE(RIGHT(C292,4)),VALUE(MID(C292,4,2)),VALUE(LEFT(C292,2)))
      ),
      IF(ISNUMBER(SEARCH("/",C292)*1),
        DATE(VALUE(RIGHT(C292,4)),VALUE(LEFT(C292,2)),VALUE(MID(C292,4,2))),
        DATEVALUE(C292)
      )
    )
  ),
"INVALID_DATE")</f>
        <v>45895</v>
      </c>
      <c r="AB292">
        <f t="shared" si="27"/>
        <v>4</v>
      </c>
      <c r="AC292" t="str">
        <f t="shared" si="28"/>
        <v>August</v>
      </c>
      <c r="AD292">
        <f t="shared" si="29"/>
        <v>2025</v>
      </c>
    </row>
    <row r="293" spans="1:30">
      <c r="A293" t="s">
        <v>1503</v>
      </c>
      <c r="B293" t="s">
        <v>1504</v>
      </c>
      <c r="C293" t="s">
        <v>1505</v>
      </c>
      <c r="D293" t="s">
        <v>1506</v>
      </c>
      <c r="E293" t="s">
        <v>149</v>
      </c>
      <c r="F293" t="s">
        <v>122</v>
      </c>
      <c r="G293" t="s">
        <v>34</v>
      </c>
      <c r="H293" t="s">
        <v>35</v>
      </c>
      <c r="I293" t="s">
        <v>36</v>
      </c>
      <c r="J293" t="s">
        <v>37</v>
      </c>
      <c r="K293" t="s">
        <v>205</v>
      </c>
      <c r="L293" t="s">
        <v>1507</v>
      </c>
      <c r="M293" t="s">
        <v>74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41</v>
      </c>
      <c r="U293" t="s">
        <v>42</v>
      </c>
      <c r="V293">
        <f t="shared" si="24"/>
        <v>9685.98</v>
      </c>
      <c r="W293">
        <f t="shared" si="25"/>
        <v>1955.9399999999996</v>
      </c>
      <c r="X293">
        <f t="shared" si="26"/>
        <v>0.20193516815025431</v>
      </c>
      <c r="Y293" t="str">
        <f>_xlfn.TEXTJOIN(", ",TRUE,IF(G293="Unknown","Missing Region",""),IF(M293="Unknown","Missing Ship Mode",""),IF(P293&lt;0,"Negative Discount",""),IF(P293&gt;0.7,"High Discount",""),IF(C293&lt;B293,"Ship Before Order",""))</f>
        <v/>
      </c>
      <c r="Z293" s="2">
        <f>IFERROR(
  IF(ISNUMBER(B293),B293,
    IF(ISNUMBER(SEARCH("-",B293)*1),
      IF(LEN(LEFT(B293,FIND("-",B293)-1))=4,
        DATE(VALUE(LEFT(B293,4)),VALUE(MID(B293,6,2)),VALUE(RIGHT(B293,2))),
        DATE(VALUE(RIGHT(B293,4)),VALUE(MID(B293,4,2)),VALUE(LEFT(B293,2)))
      ),
      IF(ISNUMBER(SEARCH("/",B293)*1),
        DATE(VALUE(RIGHT(B293,4)),VALUE(LEFT(B293,2)),VALUE(MID(B293,4,2))),
        DATEVALUE(B293)
      )
    )
  ),
"INVALID_DATE")</f>
        <v>45387</v>
      </c>
      <c r="AA293" s="2">
        <f>IFERROR(
  IF(ISNUMBER(C293),C293,
    IF(ISNUMBER(SEARCH("-",C293)*1),
      IF(LEN(LEFT(C293,FIND("-",C293)-1))=4,
        DATE(VALUE(LEFT(C293,4)),VALUE(MID(C293,6,2)),VALUE(RIGHT(C293,2))),
        DATE(VALUE(RIGHT(C293,4)),VALUE(MID(C293,4,2)),VALUE(LEFT(C293,2)))
      ),
      IF(ISNUMBER(SEARCH("/",C293)*1),
        DATE(VALUE(RIGHT(C293,4)),VALUE(LEFT(C293,2)),VALUE(MID(C293,4,2))),
        DATEVALUE(C293)
      )
    )
  ),
"INVALID_DATE")</f>
        <v>45392</v>
      </c>
      <c r="AB293">
        <f t="shared" si="27"/>
        <v>5</v>
      </c>
      <c r="AC293" t="str">
        <f t="shared" si="28"/>
        <v>April</v>
      </c>
      <c r="AD293">
        <f t="shared" si="29"/>
        <v>2024</v>
      </c>
    </row>
    <row r="294" spans="1:30">
      <c r="A294" t="s">
        <v>1508</v>
      </c>
      <c r="B294" t="s">
        <v>1509</v>
      </c>
      <c r="C294" t="s">
        <v>1510</v>
      </c>
      <c r="D294" t="s">
        <v>1511</v>
      </c>
      <c r="E294" t="s">
        <v>374</v>
      </c>
      <c r="F294" t="s">
        <v>122</v>
      </c>
      <c r="G294" t="s">
        <v>34</v>
      </c>
      <c r="H294" t="s">
        <v>331</v>
      </c>
      <c r="I294" t="s">
        <v>332</v>
      </c>
      <c r="J294" t="s">
        <v>37</v>
      </c>
      <c r="K294" t="s">
        <v>61</v>
      </c>
      <c r="L294" t="s">
        <v>1512</v>
      </c>
      <c r="M294" t="s">
        <v>55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144</v>
      </c>
      <c r="U294" t="s">
        <v>85</v>
      </c>
      <c r="V294">
        <f t="shared" si="24"/>
        <v>33740.549999999996</v>
      </c>
      <c r="W294">
        <f t="shared" si="25"/>
        <v>9118.6600000000035</v>
      </c>
      <c r="X294">
        <f t="shared" si="26"/>
        <v>0.27025819081194585</v>
      </c>
      <c r="Y294" t="str">
        <f>_xlfn.TEXTJOIN(", ",TRUE,IF(G294="Unknown","Missing Region",""),IF(M294="Unknown","Missing Ship Mode",""),IF(P294&lt;0,"Negative Discount",""),IF(P294&gt;0.7,"High Discount",""),IF(C294&lt;B294,"Ship Before Order",""))</f>
        <v>Ship Before Order</v>
      </c>
      <c r="Z294" s="2">
        <f>IFERROR(
  IF(ISNUMBER(B294),B294,
    IF(ISNUMBER(SEARCH("-",B294)*1),
      IF(LEN(LEFT(B294,FIND("-",B294)-1))=4,
        DATE(VALUE(LEFT(B294,4)),VALUE(MID(B294,6,2)),VALUE(RIGHT(B294,2))),
        DATE(VALUE(RIGHT(B294,4)),VALUE(MID(B294,4,2)),VALUE(LEFT(B294,2)))
      ),
      IF(ISNUMBER(SEARCH("/",B294)*1),
        DATE(VALUE(RIGHT(B294,4)),VALUE(LEFT(B294,2)),VALUE(MID(B294,4,2))),
        DATEVALUE(B294)
      )
    )
  ),
"INVALID_DATE")</f>
        <v>45716</v>
      </c>
      <c r="AA294" s="2">
        <f>IFERROR(
  IF(ISNUMBER(C294),C294,
    IF(ISNUMBER(SEARCH("-",C294)*1),
      IF(LEN(LEFT(C294,FIND("-",C294)-1))=4,
        DATE(VALUE(LEFT(C294,4)),VALUE(MID(C294,6,2)),VALUE(RIGHT(C294,2))),
        DATE(VALUE(RIGHT(C294,4)),VALUE(MID(C294,4,2)),VALUE(LEFT(C294,2)))
      ),
      IF(ISNUMBER(SEARCH("/",C294)*1),
        DATE(VALUE(RIGHT(C294,4)),VALUE(LEFT(C294,2)),VALUE(MID(C294,4,2))),
        DATEVALUE(C294)
      )
    )
  ),
"INVALID_DATE")</f>
        <v>45719</v>
      </c>
      <c r="AB294">
        <f t="shared" si="27"/>
        <v>3</v>
      </c>
      <c r="AC294" t="str">
        <f t="shared" si="28"/>
        <v>February</v>
      </c>
      <c r="AD294">
        <f t="shared" si="29"/>
        <v>2025</v>
      </c>
    </row>
    <row r="295" spans="1:30">
      <c r="A295" t="s">
        <v>1513</v>
      </c>
      <c r="B295" t="s">
        <v>1514</v>
      </c>
      <c r="C295" t="s">
        <v>1515</v>
      </c>
      <c r="D295" t="s">
        <v>1516</v>
      </c>
      <c r="E295" t="s">
        <v>68</v>
      </c>
      <c r="F295" t="s">
        <v>122</v>
      </c>
      <c r="G295" t="s">
        <v>69</v>
      </c>
      <c r="H295" t="s">
        <v>70</v>
      </c>
      <c r="I295" t="s">
        <v>71</v>
      </c>
      <c r="J295" t="s">
        <v>93</v>
      </c>
      <c r="K295" t="s">
        <v>230</v>
      </c>
      <c r="L295" t="s">
        <v>1517</v>
      </c>
      <c r="M295" t="s">
        <v>63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41</v>
      </c>
      <c r="U295" t="s">
        <v>42</v>
      </c>
      <c r="V295">
        <f t="shared" si="24"/>
        <v>3081.0569999999998</v>
      </c>
      <c r="W295">
        <f t="shared" si="25"/>
        <v>1821.8300000000008</v>
      </c>
      <c r="X295">
        <f t="shared" si="26"/>
        <v>0.21784746145760961</v>
      </c>
      <c r="Y295" t="str">
        <f>_xlfn.TEXTJOIN(", ",TRUE,IF(G295="Unknown","Missing Region",""),IF(M295="Unknown","Missing Ship Mode",""),IF(P295&lt;0,"Negative Discount",""),IF(P295&gt;0.7,"High Discount",""),IF(C295&lt;B295,"Ship Before Order",""))</f>
        <v/>
      </c>
      <c r="Z295" s="2">
        <f>IFERROR(
  IF(ISNUMBER(B295),B295,
    IF(ISNUMBER(SEARCH("-",B295)*1),
      IF(LEN(LEFT(B295,FIND("-",B295)-1))=4,
        DATE(VALUE(LEFT(B295,4)),VALUE(MID(B295,6,2)),VALUE(RIGHT(B295,2))),
        DATE(VALUE(RIGHT(B295,4)),VALUE(MID(B295,4,2)),VALUE(LEFT(B295,2)))
      ),
      IF(ISNUMBER(SEARCH("/",B295)*1),
        DATE(VALUE(RIGHT(B295,4)),VALUE(LEFT(B295,2)),VALUE(MID(B295,4,2))),
        DATEVALUE(B295)
      )
    )
  ),
"INVALID_DATE")</f>
        <v>45358</v>
      </c>
      <c r="AA295" s="2">
        <f>IFERROR(
  IF(ISNUMBER(C295),C295,
    IF(ISNUMBER(SEARCH("-",C295)*1),
      IF(LEN(LEFT(C295,FIND("-",C295)-1))=4,
        DATE(VALUE(LEFT(C295,4)),VALUE(MID(C295,6,2)),VALUE(RIGHT(C295,2))),
        DATE(VALUE(RIGHT(C295,4)),VALUE(MID(C295,4,2)),VALUE(LEFT(C295,2)))
      ),
      IF(ISNUMBER(SEARCH("/",C295)*1),
        DATE(VALUE(RIGHT(C295,4)),VALUE(LEFT(C295,2)),VALUE(MID(C295,4,2))),
        DATEVALUE(C295)
      )
    )
  ),
"INVALID_DATE")</f>
        <v>45362</v>
      </c>
      <c r="AB295">
        <f t="shared" si="27"/>
        <v>4</v>
      </c>
      <c r="AC295" t="str">
        <f t="shared" si="28"/>
        <v>March</v>
      </c>
      <c r="AD295">
        <f t="shared" si="29"/>
        <v>2024</v>
      </c>
    </row>
    <row r="296" spans="1:30">
      <c r="A296" t="s">
        <v>1518</v>
      </c>
      <c r="B296" t="s">
        <v>1519</v>
      </c>
      <c r="C296" t="s">
        <v>1520</v>
      </c>
      <c r="D296" t="s">
        <v>1521</v>
      </c>
      <c r="E296" t="s">
        <v>149</v>
      </c>
      <c r="F296" t="s">
        <v>33</v>
      </c>
      <c r="G296" t="s">
        <v>49</v>
      </c>
      <c r="H296" t="s">
        <v>50</v>
      </c>
      <c r="I296" t="s">
        <v>51</v>
      </c>
      <c r="J296" t="s">
        <v>93</v>
      </c>
      <c r="K296" t="s">
        <v>230</v>
      </c>
      <c r="L296" t="s">
        <v>1522</v>
      </c>
      <c r="M296" t="s">
        <v>40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41</v>
      </c>
      <c r="U296" t="s">
        <v>132</v>
      </c>
      <c r="V296">
        <f t="shared" si="24"/>
        <v>18716.985000000001</v>
      </c>
      <c r="W296">
        <f t="shared" si="25"/>
        <v>6434.5600000000013</v>
      </c>
      <c r="X296">
        <f t="shared" si="26"/>
        <v>0.34378177260339404</v>
      </c>
      <c r="Y296" t="str">
        <f>_xlfn.TEXTJOIN(", ",TRUE,IF(G296="Unknown","Missing Region",""),IF(M296="Unknown","Missing Ship Mode",""),IF(P296&lt;0,"Negative Discount",""),IF(P296&gt;0.7,"High Discount",""),IF(C296&lt;B296,"Ship Before Order",""))</f>
        <v>Ship Before Order</v>
      </c>
      <c r="Z296" s="2">
        <f>IFERROR(
  IF(ISNUMBER(B296),B296,
    IF(ISNUMBER(SEARCH("-",B296)*1),
      IF(LEN(LEFT(B296,FIND("-",B296)-1))=4,
        DATE(VALUE(LEFT(B296,4)),VALUE(MID(B296,6,2)),VALUE(RIGHT(B296,2))),
        DATE(VALUE(RIGHT(B296,4)),VALUE(MID(B296,4,2)),VALUE(LEFT(B296,2)))
      ),
      IF(ISNUMBER(SEARCH("/",B296)*1),
        DATE(VALUE(RIGHT(B296,4)),VALUE(LEFT(B296,2)),VALUE(MID(B296,4,2))),
        DATEVALUE(B296)
      )
    )
  ),
"INVALID_DATE")</f>
        <v>45854</v>
      </c>
      <c r="AA296" s="2">
        <f>IFERROR(
  IF(ISNUMBER(C296),C296,
    IF(ISNUMBER(SEARCH("-",C296)*1),
      IF(LEN(LEFT(C296,FIND("-",C296)-1))=4,
        DATE(VALUE(LEFT(C296,4)),VALUE(MID(C296,6,2)),VALUE(RIGHT(C296,2))),
        DATE(VALUE(RIGHT(C296,4)),VALUE(MID(C296,4,2)),VALUE(LEFT(C296,2)))
      ),
      IF(ISNUMBER(SEARCH("/",C296)*1),
        DATE(VALUE(RIGHT(C296,4)),VALUE(LEFT(C296,2)),VALUE(MID(C296,4,2))),
        DATEVALUE(C296)
      )
    )
  ),
"INVALID_DATE")</f>
        <v>45860</v>
      </c>
      <c r="AB296">
        <f t="shared" si="27"/>
        <v>6</v>
      </c>
      <c r="AC296" t="str">
        <f t="shared" si="28"/>
        <v>July</v>
      </c>
      <c r="AD296">
        <f t="shared" si="29"/>
        <v>2025</v>
      </c>
    </row>
    <row r="297" spans="1:30">
      <c r="A297" t="s">
        <v>1523</v>
      </c>
      <c r="B297" t="s">
        <v>1524</v>
      </c>
      <c r="C297" t="s">
        <v>1525</v>
      </c>
      <c r="D297" t="s">
        <v>1526</v>
      </c>
      <c r="E297" t="s">
        <v>114</v>
      </c>
      <c r="F297" t="s">
        <v>48</v>
      </c>
      <c r="G297" t="s">
        <v>49</v>
      </c>
      <c r="H297" t="s">
        <v>223</v>
      </c>
      <c r="I297" t="s">
        <v>224</v>
      </c>
      <c r="J297" t="s">
        <v>37</v>
      </c>
      <c r="K297" t="s">
        <v>205</v>
      </c>
      <c r="L297" t="s">
        <v>1527</v>
      </c>
      <c r="M297" t="s">
        <v>74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41</v>
      </c>
      <c r="U297" t="s">
        <v>42</v>
      </c>
      <c r="V297">
        <f t="shared" si="24"/>
        <v>9385.3350000000009</v>
      </c>
      <c r="W297">
        <f t="shared" si="25"/>
        <v>3556.8</v>
      </c>
      <c r="X297">
        <f t="shared" si="26"/>
        <v>0.37897401692426702</v>
      </c>
      <c r="Y297" t="str">
        <f>_xlfn.TEXTJOIN(", ",TRUE,IF(G297="Unknown","Missing Region",""),IF(M297="Unknown","Missing Ship Mode",""),IF(P297&lt;0,"Negative Discount",""),IF(P297&gt;0.7,"High Discount",""),IF(C297&lt;B297,"Ship Before Order",""))</f>
        <v/>
      </c>
      <c r="Z297" s="2">
        <f>IFERROR(
  IF(ISNUMBER(B297),B297,
    IF(ISNUMBER(SEARCH("-",B297)*1),
      IF(LEN(LEFT(B297,FIND("-",B297)-1))=4,
        DATE(VALUE(LEFT(B297,4)),VALUE(MID(B297,6,2)),VALUE(RIGHT(B297,2))),
        DATE(VALUE(RIGHT(B297,4)),VALUE(MID(B297,4,2)),VALUE(LEFT(B297,2)))
      ),
      IF(ISNUMBER(SEARCH("/",B297)*1),
        DATE(VALUE(RIGHT(B297,4)),VALUE(LEFT(B297,2)),VALUE(MID(B297,4,2))),
        DATEVALUE(B297)
      )
    )
  ),
"INVALID_DATE")</f>
        <v>45833</v>
      </c>
      <c r="AA297" s="2">
        <f>IFERROR(
  IF(ISNUMBER(C297),C297,
    IF(ISNUMBER(SEARCH("-",C297)*1),
      IF(LEN(LEFT(C297,FIND("-",C297)-1))=4,
        DATE(VALUE(LEFT(C297,4)),VALUE(MID(C297,6,2)),VALUE(RIGHT(C297,2))),
        DATE(VALUE(RIGHT(C297,4)),VALUE(MID(C297,4,2)),VALUE(LEFT(C297,2)))
      ),
      IF(ISNUMBER(SEARCH("/",C297)*1),
        DATE(VALUE(RIGHT(C297,4)),VALUE(LEFT(C297,2)),VALUE(MID(C297,4,2))),
        DATEVALUE(C297)
      )
    )
  ),
"INVALID_DATE")</f>
        <v>45836</v>
      </c>
      <c r="AB297">
        <f t="shared" si="27"/>
        <v>3</v>
      </c>
      <c r="AC297" t="str">
        <f t="shared" si="28"/>
        <v>June</v>
      </c>
      <c r="AD297">
        <f t="shared" si="29"/>
        <v>2025</v>
      </c>
    </row>
    <row r="298" spans="1:30">
      <c r="A298" t="s">
        <v>1528</v>
      </c>
      <c r="B298" t="s">
        <v>1529</v>
      </c>
      <c r="C298" t="s">
        <v>1530</v>
      </c>
      <c r="D298" t="s">
        <v>1531</v>
      </c>
      <c r="E298" t="s">
        <v>114</v>
      </c>
      <c r="F298" t="s">
        <v>122</v>
      </c>
      <c r="G298" t="s">
        <v>34</v>
      </c>
      <c r="H298" t="s">
        <v>331</v>
      </c>
      <c r="I298" t="s">
        <v>332</v>
      </c>
      <c r="J298" t="s">
        <v>52</v>
      </c>
      <c r="K298" t="s">
        <v>72</v>
      </c>
      <c r="L298" t="s">
        <v>1532</v>
      </c>
      <c r="M298" t="s">
        <v>55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41</v>
      </c>
      <c r="U298" t="s">
        <v>42</v>
      </c>
      <c r="V298">
        <f t="shared" si="24"/>
        <v>17826.590999999997</v>
      </c>
      <c r="W298">
        <f t="shared" si="25"/>
        <v>6971.24</v>
      </c>
      <c r="X298">
        <f t="shared" si="26"/>
        <v>0.39105852549478054</v>
      </c>
      <c r="Y298" t="str">
        <f>_xlfn.TEXTJOIN(", ",TRUE,IF(G298="Unknown","Missing Region",""),IF(M298="Unknown","Missing Ship Mode",""),IF(P298&lt;0,"Negative Discount",""),IF(P298&gt;0.7,"High Discount",""),IF(C298&lt;B298,"Ship Before Order",""))</f>
        <v>Ship Before Order</v>
      </c>
      <c r="Z298" s="2">
        <f>IFERROR(
  IF(ISNUMBER(B298),B298,
    IF(ISNUMBER(SEARCH("-",B298)*1),
      IF(LEN(LEFT(B298,FIND("-",B298)-1))=4,
        DATE(VALUE(LEFT(B298,4)),VALUE(MID(B298,6,2)),VALUE(RIGHT(B298,2))),
        DATE(VALUE(RIGHT(B298,4)),VALUE(MID(B298,4,2)),VALUE(LEFT(B298,2)))
      ),
      IF(ISNUMBER(SEARCH("/",B298)*1),
        DATE(VALUE(RIGHT(B298,4)),VALUE(LEFT(B298,2)),VALUE(MID(B298,4,2))),
        DATEVALUE(B298)
      )
    )
  ),
"INVALID_DATE")</f>
        <v>45801</v>
      </c>
      <c r="AA298" s="2">
        <f>IFERROR(
  IF(ISNUMBER(C298),C298,
    IF(ISNUMBER(SEARCH("-",C298)*1),
      IF(LEN(LEFT(C298,FIND("-",C298)-1))=4,
        DATE(VALUE(LEFT(C298,4)),VALUE(MID(C298,6,2)),VALUE(RIGHT(C298,2))),
        DATE(VALUE(RIGHT(C298,4)),VALUE(MID(C298,4,2)),VALUE(LEFT(C298,2)))
      ),
      IF(ISNUMBER(SEARCH("/",C298)*1),
        DATE(VALUE(RIGHT(C298,4)),VALUE(LEFT(C298,2)),VALUE(MID(C298,4,2))),
        DATEVALUE(C298)
      )
    )
  ),
"INVALID_DATE")</f>
        <v>45803</v>
      </c>
      <c r="AB298">
        <f t="shared" si="27"/>
        <v>2</v>
      </c>
      <c r="AC298" t="str">
        <f t="shared" si="28"/>
        <v>May</v>
      </c>
      <c r="AD298">
        <f t="shared" si="29"/>
        <v>2025</v>
      </c>
    </row>
    <row r="299" spans="1:30">
      <c r="A299" t="s">
        <v>1533</v>
      </c>
      <c r="B299" t="s">
        <v>1534</v>
      </c>
      <c r="C299" t="s">
        <v>1535</v>
      </c>
      <c r="D299" t="s">
        <v>1536</v>
      </c>
      <c r="E299" t="s">
        <v>175</v>
      </c>
      <c r="F299" t="s">
        <v>115</v>
      </c>
      <c r="G299" t="s">
        <v>69</v>
      </c>
      <c r="H299" t="s">
        <v>347</v>
      </c>
      <c r="I299" t="s">
        <v>348</v>
      </c>
      <c r="J299" t="s">
        <v>93</v>
      </c>
      <c r="K299" t="s">
        <v>101</v>
      </c>
      <c r="L299" t="s">
        <v>1537</v>
      </c>
      <c r="M299" t="s">
        <v>55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41</v>
      </c>
      <c r="U299" t="s">
        <v>42</v>
      </c>
      <c r="V299">
        <f t="shared" si="24"/>
        <v>5966.5920000000006</v>
      </c>
      <c r="W299">
        <f t="shared" si="25"/>
        <v>1971.8700000000003</v>
      </c>
      <c r="X299">
        <f t="shared" si="26"/>
        <v>0.33048525204513801</v>
      </c>
      <c r="Y299" t="str">
        <f>_xlfn.TEXTJOIN(", ",TRUE,IF(G299="Unknown","Missing Region",""),IF(M299="Unknown","Missing Ship Mode",""),IF(P299&lt;0,"Negative Discount",""),IF(P299&gt;0.7,"High Discount",""),IF(C299&lt;B299,"Ship Before Order",""))</f>
        <v>Ship Before Order</v>
      </c>
      <c r="Z299" s="2">
        <f>IFERROR(
  IF(ISNUMBER(B299),B299,
    IF(ISNUMBER(SEARCH("-",B299)*1),
      IF(LEN(LEFT(B299,FIND("-",B299)-1))=4,
        DATE(VALUE(LEFT(B299,4)),VALUE(MID(B299,6,2)),VALUE(RIGHT(B299,2))),
        DATE(VALUE(RIGHT(B299,4)),VALUE(MID(B299,4,2)),VALUE(LEFT(B299,2)))
      ),
      IF(ISNUMBER(SEARCH("/",B299)*1),
        DATE(VALUE(RIGHT(B299,4)),VALUE(LEFT(B299,2)),VALUE(MID(B299,4,2))),
        DATEVALUE(B299)
      )
    )
  ),
"INVALID_DATE")</f>
        <v>45594</v>
      </c>
      <c r="AA299" s="2">
        <f>IFERROR(
  IF(ISNUMBER(C299),C299,
    IF(ISNUMBER(SEARCH("-",C299)*1),
      IF(LEN(LEFT(C299,FIND("-",C299)-1))=4,
        DATE(VALUE(LEFT(C299,4)),VALUE(MID(C299,6,2)),VALUE(RIGHT(C299,2))),
        DATE(VALUE(RIGHT(C299,4)),VALUE(MID(C299,4,2)),VALUE(LEFT(C299,2)))
      ),
      IF(ISNUMBER(SEARCH("/",C299)*1),
        DATE(VALUE(RIGHT(C299,4)),VALUE(LEFT(C299,2)),VALUE(MID(C299,4,2))),
        DATEVALUE(C299)
      )
    )
  ),
"INVALID_DATE")</f>
        <v>45602</v>
      </c>
      <c r="AB299">
        <f t="shared" si="27"/>
        <v>8</v>
      </c>
      <c r="AC299" t="str">
        <f t="shared" si="28"/>
        <v>October</v>
      </c>
      <c r="AD299">
        <f t="shared" si="29"/>
        <v>2024</v>
      </c>
    </row>
    <row r="300" spans="1:30">
      <c r="A300" t="s">
        <v>1538</v>
      </c>
      <c r="B300" t="s">
        <v>1539</v>
      </c>
      <c r="C300" t="s">
        <v>1540</v>
      </c>
      <c r="D300" t="s">
        <v>1541</v>
      </c>
      <c r="E300" t="s">
        <v>60</v>
      </c>
      <c r="F300" t="s">
        <v>33</v>
      </c>
      <c r="G300" t="s">
        <v>69</v>
      </c>
      <c r="H300" t="s">
        <v>249</v>
      </c>
      <c r="I300" t="s">
        <v>250</v>
      </c>
      <c r="J300" t="s">
        <v>93</v>
      </c>
      <c r="K300" t="s">
        <v>101</v>
      </c>
      <c r="L300" t="s">
        <v>1542</v>
      </c>
      <c r="M300" t="s">
        <v>63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207</v>
      </c>
      <c r="U300" t="s">
        <v>132</v>
      </c>
      <c r="V300">
        <f t="shared" si="24"/>
        <v>1951.5440000000003</v>
      </c>
      <c r="W300">
        <f t="shared" si="25"/>
        <v>341.58999999999992</v>
      </c>
      <c r="X300">
        <f t="shared" si="26"/>
        <v>0.17503612531641677</v>
      </c>
      <c r="Y300" t="str">
        <f>_xlfn.TEXTJOIN(", ",TRUE,IF(G300="Unknown","Missing Region",""),IF(M300="Unknown","Missing Ship Mode",""),IF(P300&lt;0,"Negative Discount",""),IF(P300&gt;0.7,"High Discount",""),IF(C300&lt;B300,"Ship Before Order",""))</f>
        <v>Ship Before Order</v>
      </c>
      <c r="Z300" s="2">
        <f>IFERROR(
  IF(ISNUMBER(B300),B300,
    IF(ISNUMBER(SEARCH("-",B300)*1),
      IF(LEN(LEFT(B300,FIND("-",B300)-1))=4,
        DATE(VALUE(LEFT(B300,4)),VALUE(MID(B300,6,2)),VALUE(RIGHT(B300,2))),
        DATE(VALUE(RIGHT(B300,4)),VALUE(MID(B300,4,2)),VALUE(LEFT(B300,2)))
      ),
      IF(ISNUMBER(SEARCH("/",B300)*1),
        DATE(VALUE(RIGHT(B300,4)),VALUE(LEFT(B300,2)),VALUE(MID(B300,4,2))),
        DATEVALUE(B300)
      )
    )
  ),
"INVALID_DATE")</f>
        <v>45680</v>
      </c>
      <c r="AA300" s="2">
        <f>IFERROR(
  IF(ISNUMBER(C300),C300,
    IF(ISNUMBER(SEARCH("-",C300)*1),
      IF(LEN(LEFT(C300,FIND("-",C300)-1))=4,
        DATE(VALUE(LEFT(C300,4)),VALUE(MID(C300,6,2)),VALUE(RIGHT(C300,2))),
        DATE(VALUE(RIGHT(C300,4)),VALUE(MID(C300,4,2)),VALUE(LEFT(C300,2)))
      ),
      IF(ISNUMBER(SEARCH("/",C300)*1),
        DATE(VALUE(RIGHT(C300,4)),VALUE(LEFT(C300,2)),VALUE(MID(C300,4,2))),
        DATEVALUE(C300)
      )
    )
  ),
"INVALID_DATE")</f>
        <v>45683</v>
      </c>
      <c r="AB300">
        <f t="shared" si="27"/>
        <v>3</v>
      </c>
      <c r="AC300" t="str">
        <f t="shared" si="28"/>
        <v>January</v>
      </c>
      <c r="AD300">
        <f t="shared" si="29"/>
        <v>2025</v>
      </c>
    </row>
    <row r="301" spans="1:30">
      <c r="A301" t="s">
        <v>1543</v>
      </c>
      <c r="B301" t="s">
        <v>1535</v>
      </c>
      <c r="C301" t="s">
        <v>1544</v>
      </c>
      <c r="D301" t="s">
        <v>1545</v>
      </c>
      <c r="E301" t="s">
        <v>155</v>
      </c>
      <c r="F301" t="s">
        <v>48</v>
      </c>
      <c r="G301" t="s">
        <v>80</v>
      </c>
      <c r="H301" t="s">
        <v>242</v>
      </c>
      <c r="I301" t="s">
        <v>243</v>
      </c>
      <c r="J301" t="s">
        <v>93</v>
      </c>
      <c r="K301" t="s">
        <v>94</v>
      </c>
      <c r="L301" t="s">
        <v>1546</v>
      </c>
      <c r="M301" t="s">
        <v>74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41</v>
      </c>
      <c r="U301" t="s">
        <v>42</v>
      </c>
      <c r="V301">
        <f t="shared" si="24"/>
        <v>10830.014999999999</v>
      </c>
      <c r="W301">
        <f t="shared" si="25"/>
        <v>3774.71</v>
      </c>
      <c r="X301">
        <f t="shared" si="26"/>
        <v>0.3485413692680161</v>
      </c>
      <c r="Y301" t="str">
        <f>_xlfn.TEXTJOIN(", ",TRUE,IF(G301="Unknown","Missing Region",""),IF(M301="Unknown","Missing Ship Mode",""),IF(P301&lt;0,"Negative Discount",""),IF(P301&gt;0.7,"High Discount",""),IF(C301&lt;B301,"Ship Before Order",""))</f>
        <v/>
      </c>
      <c r="Z301" s="2">
        <f>IFERROR(
  IF(ISNUMBER(B301),B301,
    IF(ISNUMBER(SEARCH("-",B301)*1),
      IF(LEN(LEFT(B301,FIND("-",B301)-1))=4,
        DATE(VALUE(LEFT(B301,4)),VALUE(MID(B301,6,2)),VALUE(RIGHT(B301,2))),
        DATE(VALUE(RIGHT(B301,4)),VALUE(MID(B301,4,2)),VALUE(LEFT(B301,2)))
      ),
      IF(ISNUMBER(SEARCH("/",B301)*1),
        DATE(VALUE(RIGHT(B301,4)),VALUE(LEFT(B301,2)),VALUE(MID(B301,4,2))),
        DATEVALUE(B301)
      )
    )
  ),
"INVALID_DATE")</f>
        <v>45602</v>
      </c>
      <c r="AA301" s="2">
        <f>IFERROR(
  IF(ISNUMBER(C301),C301,
    IF(ISNUMBER(SEARCH("-",C301)*1),
      IF(LEN(LEFT(C301,FIND("-",C301)-1))=4,
        DATE(VALUE(LEFT(C301,4)),VALUE(MID(C301,6,2)),VALUE(RIGHT(C301,2))),
        DATE(VALUE(RIGHT(C301,4)),VALUE(MID(C301,4,2)),VALUE(LEFT(C301,2)))
      ),
      IF(ISNUMBER(SEARCH("/",C301)*1),
        DATE(VALUE(RIGHT(C301,4)),VALUE(LEFT(C301,2)),VALUE(MID(C301,4,2))),
        DATEVALUE(C301)
      )
    )
  ),
"INVALID_DATE")</f>
        <v>45608</v>
      </c>
      <c r="AB301">
        <f t="shared" si="27"/>
        <v>6</v>
      </c>
      <c r="AC301" t="str">
        <f t="shared" si="28"/>
        <v>November</v>
      </c>
      <c r="AD301">
        <f t="shared" si="29"/>
        <v>2024</v>
      </c>
    </row>
    <row r="302" spans="1:30">
      <c r="A302" t="s">
        <v>1547</v>
      </c>
      <c r="B302" t="s">
        <v>1548</v>
      </c>
      <c r="C302" t="s">
        <v>1549</v>
      </c>
      <c r="D302" t="s">
        <v>1550</v>
      </c>
      <c r="E302" t="s">
        <v>217</v>
      </c>
      <c r="F302" t="s">
        <v>48</v>
      </c>
      <c r="G302" t="s">
        <v>34</v>
      </c>
      <c r="H302" t="s">
        <v>161</v>
      </c>
      <c r="I302" t="s">
        <v>162</v>
      </c>
      <c r="J302" t="s">
        <v>93</v>
      </c>
      <c r="K302" t="s">
        <v>94</v>
      </c>
      <c r="L302" t="s">
        <v>1551</v>
      </c>
      <c r="M302" t="s">
        <v>40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41</v>
      </c>
      <c r="U302" t="s">
        <v>42</v>
      </c>
      <c r="V302">
        <f t="shared" si="24"/>
        <v>31539.294000000002</v>
      </c>
      <c r="W302">
        <f t="shared" si="25"/>
        <v>9439.1500000000015</v>
      </c>
      <c r="X302">
        <f t="shared" si="26"/>
        <v>0.29928226031721067</v>
      </c>
      <c r="Y302" t="str">
        <f>_xlfn.TEXTJOIN(", ",TRUE,IF(G302="Unknown","Missing Region",""),IF(M302="Unknown","Missing Ship Mode",""),IF(P302&lt;0,"Negative Discount",""),IF(P302&gt;0.7,"High Discount",""),IF(C302&lt;B302,"Ship Before Order",""))</f>
        <v>Ship Before Order</v>
      </c>
      <c r="Z302" s="2">
        <f>IFERROR(
  IF(ISNUMBER(B302),B302,
    IF(ISNUMBER(SEARCH("-",B302)*1),
      IF(LEN(LEFT(B302,FIND("-",B302)-1))=4,
        DATE(VALUE(LEFT(B302,4)),VALUE(MID(B302,6,2)),VALUE(RIGHT(B302,2))),
        DATE(VALUE(RIGHT(B302,4)),VALUE(MID(B302,4,2)),VALUE(LEFT(B302,2)))
      ),
      IF(ISNUMBER(SEARCH("/",B302)*1),
        DATE(VALUE(RIGHT(B302,4)),VALUE(LEFT(B302,2)),VALUE(MID(B302,4,2))),
        DATEVALUE(B302)
      )
    )
  ),
"INVALID_DATE")</f>
        <v>45397</v>
      </c>
      <c r="AA302" s="2">
        <f>IFERROR(
  IF(ISNUMBER(C302),C302,
    IF(ISNUMBER(SEARCH("-",C302)*1),
      IF(LEN(LEFT(C302,FIND("-",C302)-1))=4,
        DATE(VALUE(LEFT(C302,4)),VALUE(MID(C302,6,2)),VALUE(RIGHT(C302,2))),
        DATE(VALUE(RIGHT(C302,4)),VALUE(MID(C302,4,2)),VALUE(LEFT(C302,2)))
      ),
      IF(ISNUMBER(SEARCH("/",C302)*1),
        DATE(VALUE(RIGHT(C302,4)),VALUE(LEFT(C302,2)),VALUE(MID(C302,4,2))),
        DATEVALUE(C302)
      )
    )
  ),
"INVALID_DATE")</f>
        <v>45405</v>
      </c>
      <c r="AB302">
        <f t="shared" si="27"/>
        <v>8</v>
      </c>
      <c r="AC302" t="str">
        <f t="shared" si="28"/>
        <v>April</v>
      </c>
      <c r="AD302">
        <f t="shared" si="29"/>
        <v>2024</v>
      </c>
    </row>
    <row r="303" spans="1:30">
      <c r="A303" t="s">
        <v>1552</v>
      </c>
      <c r="B303" t="s">
        <v>1026</v>
      </c>
      <c r="C303" t="s">
        <v>1553</v>
      </c>
      <c r="D303" t="s">
        <v>1554</v>
      </c>
      <c r="E303" t="s">
        <v>60</v>
      </c>
      <c r="F303" t="s">
        <v>122</v>
      </c>
      <c r="G303" t="s">
        <v>49</v>
      </c>
      <c r="H303" t="s">
        <v>193</v>
      </c>
      <c r="I303" t="s">
        <v>194</v>
      </c>
      <c r="J303" t="s">
        <v>93</v>
      </c>
      <c r="K303" t="s">
        <v>230</v>
      </c>
      <c r="L303" t="s">
        <v>1555</v>
      </c>
      <c r="M303" t="s">
        <v>55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41</v>
      </c>
      <c r="U303" t="s">
        <v>42</v>
      </c>
      <c r="V303">
        <f t="shared" si="24"/>
        <v>6285.6179999999995</v>
      </c>
      <c r="W303">
        <f t="shared" si="25"/>
        <v>2580.2399999999998</v>
      </c>
      <c r="X303">
        <f t="shared" si="26"/>
        <v>0.41049888475599861</v>
      </c>
      <c r="Y303" t="str">
        <f>_xlfn.TEXTJOIN(", ",TRUE,IF(G303="Unknown","Missing Region",""),IF(M303="Unknown","Missing Ship Mode",""),IF(P303&lt;0,"Negative Discount",""),IF(P303&gt;0.7,"High Discount",""),IF(C303&lt;B303,"Ship Before Order",""))</f>
        <v>Ship Before Order</v>
      </c>
      <c r="Z303" s="2">
        <f>IFERROR(
  IF(ISNUMBER(B303),B303,
    IF(ISNUMBER(SEARCH("-",B303)*1),
      IF(LEN(LEFT(B303,FIND("-",B303)-1))=4,
        DATE(VALUE(LEFT(B303,4)),VALUE(MID(B303,6,2)),VALUE(RIGHT(B303,2))),
        DATE(VALUE(RIGHT(B303,4)),VALUE(MID(B303,4,2)),VALUE(LEFT(B303,2)))
      ),
      IF(ISNUMBER(SEARCH("/",B303)*1),
        DATE(VALUE(RIGHT(B303,4)),VALUE(LEFT(B303,2)),VALUE(MID(B303,4,2))),
        DATEVALUE(B303)
      )
    )
  ),
"INVALID_DATE")</f>
        <v>45805</v>
      </c>
      <c r="AA303" s="2">
        <f>IFERROR(
  IF(ISNUMBER(C303),C303,
    IF(ISNUMBER(SEARCH("-",C303)*1),
      IF(LEN(LEFT(C303,FIND("-",C303)-1))=4,
        DATE(VALUE(LEFT(C303,4)),VALUE(MID(C303,6,2)),VALUE(RIGHT(C303,2))),
        DATE(VALUE(RIGHT(C303,4)),VALUE(MID(C303,4,2)),VALUE(LEFT(C303,2)))
      ),
      IF(ISNUMBER(SEARCH("/",C303)*1),
        DATE(VALUE(RIGHT(C303,4)),VALUE(LEFT(C303,2)),VALUE(MID(C303,4,2))),
        DATEVALUE(C303)
      )
    )
  ),
"INVALID_DATE")</f>
        <v>45809</v>
      </c>
      <c r="AB303">
        <f t="shared" si="27"/>
        <v>4</v>
      </c>
      <c r="AC303" t="str">
        <f t="shared" si="28"/>
        <v>May</v>
      </c>
      <c r="AD303">
        <f t="shared" si="29"/>
        <v>2025</v>
      </c>
    </row>
    <row r="304" spans="1:30">
      <c r="A304" t="s">
        <v>1556</v>
      </c>
      <c r="B304" t="s">
        <v>1397</v>
      </c>
      <c r="C304" t="s">
        <v>1557</v>
      </c>
      <c r="D304" t="s">
        <v>1558</v>
      </c>
      <c r="E304" t="s">
        <v>100</v>
      </c>
      <c r="F304" t="s">
        <v>33</v>
      </c>
      <c r="G304" t="s">
        <v>80</v>
      </c>
      <c r="H304" t="s">
        <v>256</v>
      </c>
      <c r="I304" t="s">
        <v>257</v>
      </c>
      <c r="J304" t="s">
        <v>926</v>
      </c>
      <c r="K304" t="s">
        <v>163</v>
      </c>
      <c r="L304" t="s">
        <v>1559</v>
      </c>
      <c r="M304" t="s">
        <v>55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41</v>
      </c>
      <c r="U304" t="s">
        <v>42</v>
      </c>
      <c r="V304">
        <f t="shared" si="24"/>
        <v>4054.92</v>
      </c>
      <c r="W304">
        <f t="shared" si="25"/>
        <v>1630.0900000000001</v>
      </c>
      <c r="X304">
        <f t="shared" si="26"/>
        <v>0.4020029988261174</v>
      </c>
      <c r="Y304" t="str">
        <f>_xlfn.TEXTJOIN(", ",TRUE,IF(G304="Unknown","Missing Region",""),IF(M304="Unknown","Missing Ship Mode",""),IF(P304&lt;0,"Negative Discount",""),IF(P304&gt;0.7,"High Discount",""),IF(C304&lt;B304,"Ship Before Order",""))</f>
        <v/>
      </c>
      <c r="Z304" s="2">
        <f>IFERROR(
  IF(ISNUMBER(B304),B304,
    IF(ISNUMBER(SEARCH("-",B304)*1),
      IF(LEN(LEFT(B304,FIND("-",B304)-1))=4,
        DATE(VALUE(LEFT(B304,4)),VALUE(MID(B304,6,2)),VALUE(RIGHT(B304,2))),
        DATE(VALUE(RIGHT(B304,4)),VALUE(MID(B304,4,2)),VALUE(LEFT(B304,2)))
      ),
      IF(ISNUMBER(SEARCH("/",B304)*1),
        DATE(VALUE(RIGHT(B304,4)),VALUE(LEFT(B304,2)),VALUE(MID(B304,4,2))),
        DATEVALUE(B304)
      )
    )
  ),
"INVALID_DATE")</f>
        <v>45812</v>
      </c>
      <c r="AA304" s="2">
        <f>IFERROR(
  IF(ISNUMBER(C304),C304,
    IF(ISNUMBER(SEARCH("-",C304)*1),
      IF(LEN(LEFT(C304,FIND("-",C304)-1))=4,
        DATE(VALUE(LEFT(C304,4)),VALUE(MID(C304,6,2)),VALUE(RIGHT(C304,2))),
        DATE(VALUE(RIGHT(C304,4)),VALUE(MID(C304,4,2)),VALUE(LEFT(C304,2)))
      ),
      IF(ISNUMBER(SEARCH("/",C304)*1),
        DATE(VALUE(RIGHT(C304,4)),VALUE(LEFT(C304,2)),VALUE(MID(C304,4,2))),
        DATEVALUE(C304)
      )
    )
  ),
"INVALID_DATE")</f>
        <v>45820</v>
      </c>
      <c r="AB304">
        <f t="shared" si="27"/>
        <v>8</v>
      </c>
      <c r="AC304" t="str">
        <f t="shared" si="28"/>
        <v>June</v>
      </c>
      <c r="AD304">
        <f t="shared" si="29"/>
        <v>2025</v>
      </c>
    </row>
    <row r="305" spans="1:30">
      <c r="A305" t="s">
        <v>1560</v>
      </c>
      <c r="B305" t="s">
        <v>1561</v>
      </c>
      <c r="C305" t="s">
        <v>1051</v>
      </c>
      <c r="D305" t="s">
        <v>1562</v>
      </c>
      <c r="E305" t="s">
        <v>217</v>
      </c>
      <c r="F305" t="s">
        <v>122</v>
      </c>
      <c r="G305" t="s">
        <v>80</v>
      </c>
      <c r="H305" t="s">
        <v>242</v>
      </c>
      <c r="I305" t="s">
        <v>243</v>
      </c>
      <c r="J305" t="s">
        <v>52</v>
      </c>
      <c r="K305" t="s">
        <v>83</v>
      </c>
      <c r="L305" t="s">
        <v>1563</v>
      </c>
      <c r="M305" t="s">
        <v>74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144</v>
      </c>
      <c r="U305" t="s">
        <v>132</v>
      </c>
      <c r="V305">
        <f t="shared" si="24"/>
        <v>2363.652</v>
      </c>
      <c r="W305">
        <f t="shared" si="25"/>
        <v>487.55000000000018</v>
      </c>
      <c r="X305">
        <f t="shared" si="26"/>
        <v>0.20626996382713175</v>
      </c>
      <c r="Y305" t="str">
        <f>_xlfn.TEXTJOIN(", ",TRUE,IF(G305="Unknown","Missing Region",""),IF(M305="Unknown","Missing Ship Mode",""),IF(P305&lt;0,"Negative Discount",""),IF(P305&gt;0.7,"High Discount",""),IF(C305&lt;B305,"Ship Before Order",""))</f>
        <v/>
      </c>
      <c r="Z305" s="2">
        <f>IFERROR(
  IF(ISNUMBER(B305),B305,
    IF(ISNUMBER(SEARCH("-",B305)*1),
      IF(LEN(LEFT(B305,FIND("-",B305)-1))=4,
        DATE(VALUE(LEFT(B305,4)),VALUE(MID(B305,6,2)),VALUE(RIGHT(B305,2))),
        DATE(VALUE(RIGHT(B305,4)),VALUE(MID(B305,4,2)),VALUE(LEFT(B305,2)))
      ),
      IF(ISNUMBER(SEARCH("/",B305)*1),
        DATE(VALUE(RIGHT(B305,4)),VALUE(LEFT(B305,2)),VALUE(MID(B305,4,2))),
        DATEVALUE(B305)
      )
    )
  ),
"INVALID_DATE")</f>
        <v>45466</v>
      </c>
      <c r="AA305" s="2">
        <f>IFERROR(
  IF(ISNUMBER(C305),C305,
    IF(ISNUMBER(SEARCH("-",C305)*1),
      IF(LEN(LEFT(C305,FIND("-",C305)-1))=4,
        DATE(VALUE(LEFT(C305,4)),VALUE(MID(C305,6,2)),VALUE(RIGHT(C305,2))),
        DATE(VALUE(RIGHT(C305,4)),VALUE(MID(C305,4,2)),VALUE(LEFT(C305,2)))
      ),
      IF(ISNUMBER(SEARCH("/",C305)*1),
        DATE(VALUE(RIGHT(C305,4)),VALUE(LEFT(C305,2)),VALUE(MID(C305,4,2))),
        DATEVALUE(C305)
      )
    )
  ),
"INVALID_DATE")</f>
        <v>45471</v>
      </c>
      <c r="AB305">
        <f t="shared" si="27"/>
        <v>5</v>
      </c>
      <c r="AC305" t="str">
        <f t="shared" si="28"/>
        <v>June</v>
      </c>
      <c r="AD305">
        <f t="shared" si="29"/>
        <v>2024</v>
      </c>
    </row>
    <row r="306" spans="1:30">
      <c r="A306" t="s">
        <v>1564</v>
      </c>
      <c r="B306" t="s">
        <v>1565</v>
      </c>
      <c r="C306" t="s">
        <v>1566</v>
      </c>
      <c r="D306" t="s">
        <v>1567</v>
      </c>
      <c r="E306" t="s">
        <v>32</v>
      </c>
      <c r="F306" t="s">
        <v>33</v>
      </c>
      <c r="G306" t="s">
        <v>34</v>
      </c>
      <c r="H306" t="s">
        <v>161</v>
      </c>
      <c r="I306" t="s">
        <v>162</v>
      </c>
      <c r="J306" t="s">
        <v>52</v>
      </c>
      <c r="K306" t="s">
        <v>72</v>
      </c>
      <c r="L306" t="s">
        <v>1568</v>
      </c>
      <c r="M306" t="s">
        <v>74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41</v>
      </c>
      <c r="U306" t="s">
        <v>42</v>
      </c>
      <c r="V306">
        <f t="shared" si="24"/>
        <v>12976.470000000001</v>
      </c>
      <c r="W306">
        <f t="shared" si="25"/>
        <v>2956.49</v>
      </c>
      <c r="X306">
        <f t="shared" si="26"/>
        <v>0.2278346884784537</v>
      </c>
      <c r="Y306" t="str">
        <f>_xlfn.TEXTJOIN(", ",TRUE,IF(G306="Unknown","Missing Region",""),IF(M306="Unknown","Missing Ship Mode",""),IF(P306&lt;0,"Negative Discount",""),IF(P306&gt;0.7,"High Discount",""),IF(C306&lt;B306,"Ship Before Order",""))</f>
        <v/>
      </c>
      <c r="Z306" s="2">
        <f>IFERROR(
  IF(ISNUMBER(B306),B306,
    IF(ISNUMBER(SEARCH("-",B306)*1),
      IF(LEN(LEFT(B306,FIND("-",B306)-1))=4,
        DATE(VALUE(LEFT(B306,4)),VALUE(MID(B306,6,2)),VALUE(RIGHT(B306,2))),
        DATE(VALUE(RIGHT(B306,4)),VALUE(MID(B306,4,2)),VALUE(LEFT(B306,2)))
      ),
      IF(ISNUMBER(SEARCH("/",B306)*1),
        DATE(VALUE(RIGHT(B306,4)),VALUE(LEFT(B306,2)),VALUE(MID(B306,4,2))),
        DATEVALUE(B306)
      )
    )
  ),
"INVALID_DATE")</f>
        <v>45357</v>
      </c>
      <c r="AA306" s="2">
        <f>IFERROR(
  IF(ISNUMBER(C306),C306,
    IF(ISNUMBER(SEARCH("-",C306)*1),
      IF(LEN(LEFT(C306,FIND("-",C306)-1))=4,
        DATE(VALUE(LEFT(C306,4)),VALUE(MID(C306,6,2)),VALUE(RIGHT(C306,2))),
        DATE(VALUE(RIGHT(C306,4)),VALUE(MID(C306,4,2)),VALUE(LEFT(C306,2)))
      ),
      IF(ISNUMBER(SEARCH("/",C306)*1),
        DATE(VALUE(RIGHT(C306,4)),VALUE(LEFT(C306,2)),VALUE(MID(C306,4,2))),
        DATEVALUE(C306)
      )
    )
  ),
"INVALID_DATE")</f>
        <v>45364</v>
      </c>
      <c r="AB306">
        <f t="shared" si="27"/>
        <v>7</v>
      </c>
      <c r="AC306" t="str">
        <f t="shared" si="28"/>
        <v>March</v>
      </c>
      <c r="AD306">
        <f t="shared" si="29"/>
        <v>2024</v>
      </c>
    </row>
    <row r="307" spans="1:30">
      <c r="A307" t="s">
        <v>1569</v>
      </c>
      <c r="B307" t="s">
        <v>1570</v>
      </c>
      <c r="C307" t="s">
        <v>1233</v>
      </c>
      <c r="D307" t="s">
        <v>1571</v>
      </c>
      <c r="E307" t="s">
        <v>79</v>
      </c>
      <c r="F307" t="s">
        <v>33</v>
      </c>
      <c r="G307" t="s">
        <v>49</v>
      </c>
      <c r="H307" t="s">
        <v>223</v>
      </c>
      <c r="I307" t="s">
        <v>224</v>
      </c>
      <c r="J307" t="s">
        <v>52</v>
      </c>
      <c r="K307" t="s">
        <v>83</v>
      </c>
      <c r="L307" t="s">
        <v>1572</v>
      </c>
      <c r="M307" t="s">
        <v>63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41</v>
      </c>
      <c r="U307" t="s">
        <v>85</v>
      </c>
      <c r="V307">
        <f t="shared" si="24"/>
        <v>7480.9080000000004</v>
      </c>
      <c r="W307">
        <f t="shared" si="25"/>
        <v>3447.4799999999996</v>
      </c>
      <c r="X307">
        <f t="shared" si="26"/>
        <v>0.25922091163579686</v>
      </c>
      <c r="Y307" t="str">
        <f>_xlfn.TEXTJOIN(", ",TRUE,IF(G307="Unknown","Missing Region",""),IF(M307="Unknown","Missing Ship Mode",""),IF(P307&lt;0,"Negative Discount",""),IF(P307&gt;0.7,"High Discount",""),IF(C307&lt;B307,"Ship Before Order",""))</f>
        <v/>
      </c>
      <c r="Z307" s="2">
        <f>IFERROR(
  IF(ISNUMBER(B307),B307,
    IF(ISNUMBER(SEARCH("-",B307)*1),
      IF(LEN(LEFT(B307,FIND("-",B307)-1))=4,
        DATE(VALUE(LEFT(B307,4)),VALUE(MID(B307,6,2)),VALUE(RIGHT(B307,2))),
        DATE(VALUE(RIGHT(B307,4)),VALUE(MID(B307,4,2)),VALUE(LEFT(B307,2)))
      ),
      IF(ISNUMBER(SEARCH("/",B307)*1),
        DATE(VALUE(RIGHT(B307,4)),VALUE(LEFT(B307,2)),VALUE(MID(B307,4,2))),
        DATEVALUE(B307)
      )
    )
  ),
"INVALID_DATE")</f>
        <v>45413</v>
      </c>
      <c r="AA307" s="2">
        <f>IFERROR(
  IF(ISNUMBER(C307),C307,
    IF(ISNUMBER(SEARCH("-",C307)*1),
      IF(LEN(LEFT(C307,FIND("-",C307)-1))=4,
        DATE(VALUE(LEFT(C307,4)),VALUE(MID(C307,6,2)),VALUE(RIGHT(C307,2))),
        DATE(VALUE(RIGHT(C307,4)),VALUE(MID(C307,4,2)),VALUE(LEFT(C307,2)))
      ),
      IF(ISNUMBER(SEARCH("/",C307)*1),
        DATE(VALUE(RIGHT(C307,4)),VALUE(LEFT(C307,2)),VALUE(MID(C307,4,2))),
        DATEVALUE(C307)
      )
    )
  ),
"INVALID_DATE")</f>
        <v>45414</v>
      </c>
      <c r="AB307">
        <f t="shared" si="27"/>
        <v>1</v>
      </c>
      <c r="AC307" t="str">
        <f t="shared" si="28"/>
        <v>May</v>
      </c>
      <c r="AD307">
        <f t="shared" si="29"/>
        <v>2024</v>
      </c>
    </row>
    <row r="308" spans="1:30">
      <c r="A308" t="s">
        <v>1573</v>
      </c>
      <c r="B308" t="s">
        <v>1574</v>
      </c>
      <c r="C308" t="s">
        <v>104</v>
      </c>
      <c r="D308" t="s">
        <v>1575</v>
      </c>
      <c r="E308" t="s">
        <v>169</v>
      </c>
      <c r="F308" t="s">
        <v>33</v>
      </c>
      <c r="G308" t="s">
        <v>34</v>
      </c>
      <c r="H308" t="s">
        <v>35</v>
      </c>
      <c r="I308" t="s">
        <v>36</v>
      </c>
      <c r="J308" t="s">
        <v>93</v>
      </c>
      <c r="K308" t="s">
        <v>230</v>
      </c>
      <c r="L308" t="s">
        <v>1576</v>
      </c>
      <c r="M308" t="s">
        <v>40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41</v>
      </c>
      <c r="U308" t="s">
        <v>42</v>
      </c>
      <c r="V308">
        <f t="shared" si="24"/>
        <v>14692.44</v>
      </c>
      <c r="W308">
        <f t="shared" si="25"/>
        <v>4610.25</v>
      </c>
      <c r="X308">
        <f t="shared" si="26"/>
        <v>0.31378382351740075</v>
      </c>
      <c r="Y308" t="str">
        <f>_xlfn.TEXTJOIN(", ",TRUE,IF(G308="Unknown","Missing Region",""),IF(M308="Unknown","Missing Ship Mode",""),IF(P308&lt;0,"Negative Discount",""),IF(P308&gt;0.7,"High Discount",""),IF(C308&lt;B308,"Ship Before Order",""))</f>
        <v/>
      </c>
      <c r="Z308" s="2">
        <f>IFERROR(
  IF(ISNUMBER(B308),B308,
    IF(ISNUMBER(SEARCH("-",B308)*1),
      IF(LEN(LEFT(B308,FIND("-",B308)-1))=4,
        DATE(VALUE(LEFT(B308,4)),VALUE(MID(B308,6,2)),VALUE(RIGHT(B308,2))),
        DATE(VALUE(RIGHT(B308,4)),VALUE(MID(B308,4,2)),VALUE(LEFT(B308,2)))
      ),
      IF(ISNUMBER(SEARCH("/",B308)*1),
        DATE(VALUE(RIGHT(B308,4)),VALUE(LEFT(B308,2)),VALUE(MID(B308,4,2))),
        DATEVALUE(B308)
      )
    )
  ),
"INVALID_DATE")</f>
        <v>45708</v>
      </c>
      <c r="AA308" s="2">
        <f>IFERROR(
  IF(ISNUMBER(C308),C308,
    IF(ISNUMBER(SEARCH("-",C308)*1),
      IF(LEN(LEFT(C308,FIND("-",C308)-1))=4,
        DATE(VALUE(LEFT(C308,4)),VALUE(MID(C308,6,2)),VALUE(RIGHT(C308,2))),
        DATE(VALUE(RIGHT(C308,4)),VALUE(MID(C308,4,2)),VALUE(LEFT(C308,2)))
      ),
      IF(ISNUMBER(SEARCH("/",C308)*1),
        DATE(VALUE(RIGHT(C308,4)),VALUE(LEFT(C308,2)),VALUE(MID(C308,4,2))),
        DATEVALUE(C308)
      )
    )
  ),
"INVALID_DATE")</f>
        <v>45711</v>
      </c>
      <c r="AB308">
        <f t="shared" si="27"/>
        <v>3</v>
      </c>
      <c r="AC308" t="str">
        <f t="shared" si="28"/>
        <v>February</v>
      </c>
      <c r="AD308">
        <f t="shared" si="29"/>
        <v>2025</v>
      </c>
    </row>
    <row r="309" spans="1:30">
      <c r="A309" t="s">
        <v>1577</v>
      </c>
      <c r="B309" t="s">
        <v>1578</v>
      </c>
      <c r="C309" t="s">
        <v>1579</v>
      </c>
      <c r="D309" t="s">
        <v>1580</v>
      </c>
      <c r="E309" t="s">
        <v>79</v>
      </c>
      <c r="F309" t="s">
        <v>115</v>
      </c>
      <c r="G309" t="s">
        <v>34</v>
      </c>
      <c r="H309" t="s">
        <v>181</v>
      </c>
      <c r="I309" t="s">
        <v>182</v>
      </c>
      <c r="J309" t="s">
        <v>52</v>
      </c>
      <c r="K309" t="s">
        <v>53</v>
      </c>
      <c r="L309" t="s">
        <v>1581</v>
      </c>
      <c r="M309" t="s">
        <v>63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1582</v>
      </c>
      <c r="U309" t="s">
        <v>85</v>
      </c>
      <c r="V309">
        <f t="shared" si="24"/>
        <v>29469.888000000003</v>
      </c>
      <c r="W309">
        <f t="shared" si="25"/>
        <v>10534.380000000001</v>
      </c>
      <c r="X309">
        <f t="shared" si="26"/>
        <v>0.35746248119690976</v>
      </c>
      <c r="Y309" t="str">
        <f>_xlfn.TEXTJOIN(", ",TRUE,IF(G309="Unknown","Missing Region",""),IF(M309="Unknown","Missing Ship Mode",""),IF(P309&lt;0,"Negative Discount",""),IF(P309&gt;0.7,"High Discount",""),IF(C309&lt;B309,"Ship Before Order",""))</f>
        <v>Ship Before Order</v>
      </c>
      <c r="Z309" s="2">
        <f>IFERROR(
  IF(ISNUMBER(B309),B309,
    IF(ISNUMBER(SEARCH("-",B309)*1),
      IF(LEN(LEFT(B309,FIND("-",B309)-1))=4,
        DATE(VALUE(LEFT(B309,4)),VALUE(MID(B309,6,2)),VALUE(RIGHT(B309,2))),
        DATE(VALUE(RIGHT(B309,4)),VALUE(MID(B309,4,2)),VALUE(LEFT(B309,2)))
      ),
      IF(ISNUMBER(SEARCH("/",B309)*1),
        DATE(VALUE(RIGHT(B309,4)),VALUE(LEFT(B309,2)),VALUE(MID(B309,4,2))),
        DATEVALUE(B309)
      )
    )
  ),
"INVALID_DATE")</f>
        <v>45850</v>
      </c>
      <c r="AA309" s="2">
        <f>IFERROR(
  IF(ISNUMBER(C309),C309,
    IF(ISNUMBER(SEARCH("-",C309)*1),
      IF(LEN(LEFT(C309,FIND("-",C309)-1))=4,
        DATE(VALUE(LEFT(C309,4)),VALUE(MID(C309,6,2)),VALUE(RIGHT(C309,2))),
        DATE(VALUE(RIGHT(C309,4)),VALUE(MID(C309,4,2)),VALUE(LEFT(C309,2)))
      ),
      IF(ISNUMBER(SEARCH("/",C309)*1),
        DATE(VALUE(RIGHT(C309,4)),VALUE(LEFT(C309,2)),VALUE(MID(C309,4,2))),
        DATEVALUE(C309)
      )
    )
  ),
"INVALID_DATE")</f>
        <v>45857</v>
      </c>
      <c r="AB309">
        <f t="shared" si="27"/>
        <v>7</v>
      </c>
      <c r="AC309" t="str">
        <f t="shared" si="28"/>
        <v>July</v>
      </c>
      <c r="AD309">
        <f t="shared" si="29"/>
        <v>2025</v>
      </c>
    </row>
    <row r="310" spans="1:30">
      <c r="A310" t="s">
        <v>1583</v>
      </c>
      <c r="B310" t="s">
        <v>1584</v>
      </c>
      <c r="C310" t="s">
        <v>1585</v>
      </c>
      <c r="D310" t="s">
        <v>1586</v>
      </c>
      <c r="E310" t="s">
        <v>187</v>
      </c>
      <c r="F310" t="s">
        <v>33</v>
      </c>
      <c r="G310" t="s">
        <v>34</v>
      </c>
      <c r="H310" t="s">
        <v>35</v>
      </c>
      <c r="I310" t="s">
        <v>36</v>
      </c>
      <c r="J310" t="s">
        <v>52</v>
      </c>
      <c r="K310" t="s">
        <v>53</v>
      </c>
      <c r="L310" t="s">
        <v>1587</v>
      </c>
      <c r="M310" t="s">
        <v>63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41</v>
      </c>
      <c r="U310" t="s">
        <v>42</v>
      </c>
      <c r="V310">
        <f t="shared" si="24"/>
        <v>2341.0240000000003</v>
      </c>
      <c r="W310">
        <f t="shared" si="25"/>
        <v>775.53</v>
      </c>
      <c r="X310">
        <f t="shared" si="26"/>
        <v>0.33127867339877487</v>
      </c>
      <c r="Y310" t="str">
        <f>_xlfn.TEXTJOIN(", ",TRUE,IF(G310="Unknown","Missing Region",""),IF(M310="Unknown","Missing Ship Mode",""),IF(P310&lt;0,"Negative Discount",""),IF(P310&gt;0.7,"High Discount",""),IF(C310&lt;B310,"Ship Before Order",""))</f>
        <v/>
      </c>
      <c r="Z310" s="2">
        <f>IFERROR(
  IF(ISNUMBER(B310),B310,
    IF(ISNUMBER(SEARCH("-",B310)*1),
      IF(LEN(LEFT(B310,FIND("-",B310)-1))=4,
        DATE(VALUE(LEFT(B310,4)),VALUE(MID(B310,6,2)),VALUE(RIGHT(B310,2))),
        DATE(VALUE(RIGHT(B310,4)),VALUE(MID(B310,4,2)),VALUE(LEFT(B310,2)))
      ),
      IF(ISNUMBER(SEARCH("/",B310)*1),
        DATE(VALUE(RIGHT(B310,4)),VALUE(LEFT(B310,2)),VALUE(MID(B310,4,2))),
        DATEVALUE(B310)
      )
    )
  ),
"INVALID_DATE")</f>
        <v>45821</v>
      </c>
      <c r="AA310" s="2">
        <f>IFERROR(
  IF(ISNUMBER(C310),C310,
    IF(ISNUMBER(SEARCH("-",C310)*1),
      IF(LEN(LEFT(C310,FIND("-",C310)-1))=4,
        DATE(VALUE(LEFT(C310,4)),VALUE(MID(C310,6,2)),VALUE(RIGHT(C310,2))),
        DATE(VALUE(RIGHT(C310,4)),VALUE(MID(C310,4,2)),VALUE(LEFT(C310,2)))
      ),
      IF(ISNUMBER(SEARCH("/",C310)*1),
        DATE(VALUE(RIGHT(C310,4)),VALUE(LEFT(C310,2)),VALUE(MID(C310,4,2))),
        DATEVALUE(C310)
      )
    )
  ),
"INVALID_DATE")</f>
        <v>45827</v>
      </c>
      <c r="AB310">
        <f t="shared" si="27"/>
        <v>6</v>
      </c>
      <c r="AC310" t="str">
        <f t="shared" si="28"/>
        <v>June</v>
      </c>
      <c r="AD310">
        <f t="shared" si="29"/>
        <v>2025</v>
      </c>
    </row>
    <row r="311" spans="1:30">
      <c r="A311" t="s">
        <v>1588</v>
      </c>
      <c r="B311" t="s">
        <v>1589</v>
      </c>
      <c r="C311" t="s">
        <v>134</v>
      </c>
      <c r="D311" t="s">
        <v>1590</v>
      </c>
      <c r="E311" t="s">
        <v>79</v>
      </c>
      <c r="F311" t="s">
        <v>33</v>
      </c>
      <c r="G311" t="s">
        <v>69</v>
      </c>
      <c r="H311" t="s">
        <v>347</v>
      </c>
      <c r="I311" t="s">
        <v>348</v>
      </c>
      <c r="J311" t="s">
        <v>52</v>
      </c>
      <c r="K311" t="s">
        <v>53</v>
      </c>
      <c r="L311" t="s">
        <v>1591</v>
      </c>
      <c r="M311" t="s">
        <v>63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41</v>
      </c>
      <c r="U311" t="s">
        <v>85</v>
      </c>
      <c r="V311">
        <f t="shared" si="24"/>
        <v>12982.599000000002</v>
      </c>
      <c r="W311">
        <f t="shared" si="25"/>
        <v>5736.2400000000007</v>
      </c>
      <c r="X311">
        <f t="shared" si="26"/>
        <v>0.44184061744180669</v>
      </c>
      <c r="Y311" t="str">
        <f>_xlfn.TEXTJOIN(", ",TRUE,IF(G311="Unknown","Missing Region",""),IF(M311="Unknown","Missing Ship Mode",""),IF(P311&lt;0,"Negative Discount",""),IF(P311&gt;0.7,"High Discount",""),IF(C311&lt;B311,"Ship Before Order",""))</f>
        <v/>
      </c>
      <c r="Z311" s="2">
        <f>IFERROR(
  IF(ISNUMBER(B311),B311,
    IF(ISNUMBER(SEARCH("-",B311)*1),
      IF(LEN(LEFT(B311,FIND("-",B311)-1))=4,
        DATE(VALUE(LEFT(B311,4)),VALUE(MID(B311,6,2)),VALUE(RIGHT(B311,2))),
        DATE(VALUE(RIGHT(B311,4)),VALUE(MID(B311,4,2)),VALUE(LEFT(B311,2)))
      ),
      IF(ISNUMBER(SEARCH("/",B311)*1),
        DATE(VALUE(RIGHT(B311,4)),VALUE(LEFT(B311,2)),VALUE(MID(B311,4,2))),
        DATEVALUE(B311)
      )
    )
  ),
"INVALID_DATE")</f>
        <v>45493</v>
      </c>
      <c r="AA311" s="2">
        <f>IFERROR(
  IF(ISNUMBER(C311),C311,
    IF(ISNUMBER(SEARCH("-",C311)*1),
      IF(LEN(LEFT(C311,FIND("-",C311)-1))=4,
        DATE(VALUE(LEFT(C311,4)),VALUE(MID(C311,6,2)),VALUE(RIGHT(C311,2))),
        DATE(VALUE(RIGHT(C311,4)),VALUE(MID(C311,4,2)),VALUE(LEFT(C311,2)))
      ),
      IF(ISNUMBER(SEARCH("/",C311)*1),
        DATE(VALUE(RIGHT(C311,4)),VALUE(LEFT(C311,2)),VALUE(MID(C311,4,2))),
        DATEVALUE(C311)
      )
    )
  ),
"INVALID_DATE")</f>
        <v>45495</v>
      </c>
      <c r="AB311">
        <f t="shared" si="27"/>
        <v>2</v>
      </c>
      <c r="AC311" t="str">
        <f t="shared" si="28"/>
        <v>July</v>
      </c>
      <c r="AD311">
        <f t="shared" si="29"/>
        <v>2024</v>
      </c>
    </row>
    <row r="312" spans="1:30">
      <c r="A312" t="s">
        <v>1592</v>
      </c>
      <c r="B312" t="s">
        <v>1593</v>
      </c>
      <c r="C312" t="s">
        <v>1594</v>
      </c>
      <c r="D312" t="s">
        <v>1595</v>
      </c>
      <c r="E312" t="s">
        <v>187</v>
      </c>
      <c r="F312" t="s">
        <v>48</v>
      </c>
      <c r="G312" t="s">
        <v>69</v>
      </c>
      <c r="H312" t="s">
        <v>347</v>
      </c>
      <c r="I312" t="s">
        <v>348</v>
      </c>
      <c r="J312" t="s">
        <v>93</v>
      </c>
      <c r="K312" t="s">
        <v>390</v>
      </c>
      <c r="L312" t="s">
        <v>1596</v>
      </c>
      <c r="M312" t="s">
        <v>63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41</v>
      </c>
      <c r="U312" t="s">
        <v>42</v>
      </c>
      <c r="V312">
        <f t="shared" si="24"/>
        <v>16274</v>
      </c>
      <c r="W312">
        <f t="shared" si="25"/>
        <v>6849.75</v>
      </c>
      <c r="X312">
        <f t="shared" si="26"/>
        <v>0.42090143787636719</v>
      </c>
      <c r="Y312" t="str">
        <f>_xlfn.TEXTJOIN(", ",TRUE,IF(G312="Unknown","Missing Region",""),IF(M312="Unknown","Missing Ship Mode",""),IF(P312&lt;0,"Negative Discount",""),IF(P312&gt;0.7,"High Discount",""),IF(C312&lt;B312,"Ship Before Order",""))</f>
        <v/>
      </c>
      <c r="Z312" s="2">
        <f>IFERROR(
  IF(ISNUMBER(B312),B312,
    IF(ISNUMBER(SEARCH("-",B312)*1),
      IF(LEN(LEFT(B312,FIND("-",B312)-1))=4,
        DATE(VALUE(LEFT(B312,4)),VALUE(MID(B312,6,2)),VALUE(RIGHT(B312,2))),
        DATE(VALUE(RIGHT(B312,4)),VALUE(MID(B312,4,2)),VALUE(LEFT(B312,2)))
      ),
      IF(ISNUMBER(SEARCH("/",B312)*1),
        DATE(VALUE(RIGHT(B312,4)),VALUE(LEFT(B312,2)),VALUE(MID(B312,4,2))),
        DATEVALUE(B312)
      )
    )
  ),
"INVALID_DATE")</f>
        <v>45477</v>
      </c>
      <c r="AA312" s="2">
        <f>IFERROR(
  IF(ISNUMBER(C312),C312,
    IF(ISNUMBER(SEARCH("-",C312)*1),
      IF(LEN(LEFT(C312,FIND("-",C312)-1))=4,
        DATE(VALUE(LEFT(C312,4)),VALUE(MID(C312,6,2)),VALUE(RIGHT(C312,2))),
        DATE(VALUE(RIGHT(C312,4)),VALUE(MID(C312,4,2)),VALUE(LEFT(C312,2)))
      ),
      IF(ISNUMBER(SEARCH("/",C312)*1),
        DATE(VALUE(RIGHT(C312,4)),VALUE(LEFT(C312,2)),VALUE(MID(C312,4,2))),
        DATEVALUE(C312)
      )
    )
  ),
"INVALID_DATE")</f>
        <v>45481</v>
      </c>
      <c r="AB312">
        <f t="shared" si="27"/>
        <v>4</v>
      </c>
      <c r="AC312" t="str">
        <f t="shared" si="28"/>
        <v>July</v>
      </c>
      <c r="AD312">
        <f t="shared" si="29"/>
        <v>2024</v>
      </c>
    </row>
    <row r="313" spans="1:30">
      <c r="A313" t="s">
        <v>1597</v>
      </c>
      <c r="B313" t="s">
        <v>1598</v>
      </c>
      <c r="C313" t="s">
        <v>956</v>
      </c>
      <c r="D313" t="s">
        <v>1599</v>
      </c>
      <c r="E313" t="s">
        <v>47</v>
      </c>
      <c r="F313" t="s">
        <v>115</v>
      </c>
      <c r="G313" t="s">
        <v>69</v>
      </c>
      <c r="H313" t="s">
        <v>236</v>
      </c>
      <c r="I313" t="s">
        <v>237</v>
      </c>
      <c r="J313" t="s">
        <v>37</v>
      </c>
      <c r="K313" t="s">
        <v>205</v>
      </c>
      <c r="L313" t="s">
        <v>1600</v>
      </c>
      <c r="M313" t="s">
        <v>40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41</v>
      </c>
      <c r="U313" t="s">
        <v>42</v>
      </c>
      <c r="V313">
        <f t="shared" si="24"/>
        <v>2493.1799999999998</v>
      </c>
      <c r="W313">
        <f t="shared" si="25"/>
        <v>729.17999999999984</v>
      </c>
      <c r="X313">
        <f t="shared" si="26"/>
        <v>0.29246985777200202</v>
      </c>
      <c r="Y313" t="str">
        <f>_xlfn.TEXTJOIN(", ",TRUE,IF(G313="Unknown","Missing Region",""),IF(M313="Unknown","Missing Ship Mode",""),IF(P313&lt;0,"Negative Discount",""),IF(P313&gt;0.7,"High Discount",""),IF(C313&lt;B313,"Ship Before Order",""))</f>
        <v>Ship Before Order</v>
      </c>
      <c r="Z313" s="2">
        <f>IFERROR(
  IF(ISNUMBER(B313),B313,
    IF(ISNUMBER(SEARCH("-",B313)*1),
      IF(LEN(LEFT(B313,FIND("-",B313)-1))=4,
        DATE(VALUE(LEFT(B313,4)),VALUE(MID(B313,6,2)),VALUE(RIGHT(B313,2))),
        DATE(VALUE(RIGHT(B313,4)),VALUE(MID(B313,4,2)),VALUE(LEFT(B313,2)))
      ),
      IF(ISNUMBER(SEARCH("/",B313)*1),
        DATE(VALUE(RIGHT(B313,4)),VALUE(LEFT(B313,2)),VALUE(MID(B313,4,2))),
        DATEVALUE(B313)
      )
    )
  ),
"INVALID_DATE")</f>
        <v>45409</v>
      </c>
      <c r="AA313" s="2">
        <f>IFERROR(
  IF(ISNUMBER(C313),C313,
    IF(ISNUMBER(SEARCH("-",C313)*1),
      IF(LEN(LEFT(C313,FIND("-",C313)-1))=4,
        DATE(VALUE(LEFT(C313,4)),VALUE(MID(C313,6,2)),VALUE(RIGHT(C313,2))),
        DATE(VALUE(RIGHT(C313,4)),VALUE(MID(C313,4,2)),VALUE(LEFT(C313,2)))
      ),
      IF(ISNUMBER(SEARCH("/",C313)*1),
        DATE(VALUE(RIGHT(C313,4)),VALUE(LEFT(C313,2)),VALUE(MID(C313,4,2))),
        DATEVALUE(C313)
      )
    )
  ),
"INVALID_DATE")</f>
        <v>45414</v>
      </c>
      <c r="AB313">
        <f t="shared" si="27"/>
        <v>5</v>
      </c>
      <c r="AC313" t="str">
        <f t="shared" si="28"/>
        <v>April</v>
      </c>
      <c r="AD313">
        <f t="shared" si="29"/>
        <v>2024</v>
      </c>
    </row>
    <row r="314" spans="1:30">
      <c r="A314" t="s">
        <v>1601</v>
      </c>
      <c r="B314" t="s">
        <v>1602</v>
      </c>
      <c r="C314" t="s">
        <v>524</v>
      </c>
      <c r="D314" t="s">
        <v>1603</v>
      </c>
      <c r="E314" t="s">
        <v>32</v>
      </c>
      <c r="F314" t="s">
        <v>48</v>
      </c>
      <c r="G314" t="s">
        <v>49</v>
      </c>
      <c r="H314" t="s">
        <v>223</v>
      </c>
      <c r="I314" t="s">
        <v>224</v>
      </c>
      <c r="J314" t="s">
        <v>93</v>
      </c>
      <c r="K314" t="s">
        <v>230</v>
      </c>
      <c r="L314" t="s">
        <v>1604</v>
      </c>
      <c r="M314" t="s">
        <v>74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41</v>
      </c>
      <c r="U314" t="s">
        <v>85</v>
      </c>
      <c r="V314">
        <f t="shared" si="24"/>
        <v>20917.919999999998</v>
      </c>
      <c r="W314">
        <f t="shared" si="25"/>
        <v>5641.1100000000006</v>
      </c>
      <c r="X314">
        <f t="shared" si="26"/>
        <v>0.35957112370637229</v>
      </c>
      <c r="Y314" t="str">
        <f>_xlfn.TEXTJOIN(", ",TRUE,IF(G314="Unknown","Missing Region",""),IF(M314="Unknown","Missing Ship Mode",""),IF(P314&lt;0,"Negative Discount",""),IF(P314&gt;0.7,"High Discount",""),IF(C314&lt;B314,"Ship Before Order",""))</f>
        <v>Ship Before Order</v>
      </c>
      <c r="Z314" s="2">
        <f>IFERROR(
  IF(ISNUMBER(B314),B314,
    IF(ISNUMBER(SEARCH("-",B314)*1),
      IF(LEN(LEFT(B314,FIND("-",B314)-1))=4,
        DATE(VALUE(LEFT(B314,4)),VALUE(MID(B314,6,2)),VALUE(RIGHT(B314,2))),
        DATE(VALUE(RIGHT(B314,4)),VALUE(MID(B314,4,2)),VALUE(LEFT(B314,2)))
      ),
      IF(ISNUMBER(SEARCH("/",B314)*1),
        DATE(VALUE(RIGHT(B314,4)),VALUE(LEFT(B314,2)),VALUE(MID(B314,4,2))),
        DATEVALUE(B314)
      )
    )
  ),
"INVALID_DATE")</f>
        <v>45504</v>
      </c>
      <c r="AA314" s="2">
        <f>IFERROR(
  IF(ISNUMBER(C314),C314,
    IF(ISNUMBER(SEARCH("-",C314)*1),
      IF(LEN(LEFT(C314,FIND("-",C314)-1))=4,
        DATE(VALUE(LEFT(C314,4)),VALUE(MID(C314,6,2)),VALUE(RIGHT(C314,2))),
        DATE(VALUE(RIGHT(C314,4)),VALUE(MID(C314,4,2)),VALUE(LEFT(C314,2)))
      ),
      IF(ISNUMBER(SEARCH("/",C314)*1),
        DATE(VALUE(RIGHT(C314,4)),VALUE(LEFT(C314,2)),VALUE(MID(C314,4,2))),
        DATEVALUE(C314)
      )
    )
  ),
"INVALID_DATE")</f>
        <v>45508</v>
      </c>
      <c r="AB314">
        <f t="shared" si="27"/>
        <v>4</v>
      </c>
      <c r="AC314" t="str">
        <f t="shared" si="28"/>
        <v>July</v>
      </c>
      <c r="AD314">
        <f t="shared" si="29"/>
        <v>2024</v>
      </c>
    </row>
    <row r="315" spans="1:30">
      <c r="A315" t="s">
        <v>1605</v>
      </c>
      <c r="B315" t="s">
        <v>1606</v>
      </c>
      <c r="C315" t="s">
        <v>1607</v>
      </c>
      <c r="D315" t="s">
        <v>1608</v>
      </c>
      <c r="E315" t="s">
        <v>155</v>
      </c>
      <c r="F315" t="s">
        <v>115</v>
      </c>
      <c r="G315" t="s">
        <v>34</v>
      </c>
      <c r="H315" t="s">
        <v>181</v>
      </c>
      <c r="I315" t="s">
        <v>182</v>
      </c>
      <c r="J315" t="s">
        <v>93</v>
      </c>
      <c r="K315" t="s">
        <v>230</v>
      </c>
      <c r="L315" t="s">
        <v>1609</v>
      </c>
      <c r="M315" t="s">
        <v>63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131</v>
      </c>
      <c r="U315" t="s">
        <v>85</v>
      </c>
      <c r="V315">
        <f t="shared" si="24"/>
        <v>12488.579999999998</v>
      </c>
      <c r="W315">
        <f t="shared" si="25"/>
        <v>1771.1800000000003</v>
      </c>
      <c r="X315">
        <f t="shared" si="26"/>
        <v>0.14182397037933858</v>
      </c>
      <c r="Y315" t="str">
        <f>_xlfn.TEXTJOIN(", ",TRUE,IF(G315="Unknown","Missing Region",""),IF(M315="Unknown","Missing Ship Mode",""),IF(P315&lt;0,"Negative Discount",""),IF(P315&gt;0.7,"High Discount",""),IF(C315&lt;B315,"Ship Before Order",""))</f>
        <v/>
      </c>
      <c r="Z315" s="2">
        <f>IFERROR(
  IF(ISNUMBER(B315),B315,
    IF(ISNUMBER(SEARCH("-",B315)*1),
      IF(LEN(LEFT(B315,FIND("-",B315)-1))=4,
        DATE(VALUE(LEFT(B315,4)),VALUE(MID(B315,6,2)),VALUE(RIGHT(B315,2))),
        DATE(VALUE(RIGHT(B315,4)),VALUE(MID(B315,4,2)),VALUE(LEFT(B315,2)))
      ),
      IF(ISNUMBER(SEARCH("/",B315)*1),
        DATE(VALUE(RIGHT(B315,4)),VALUE(LEFT(B315,2)),VALUE(MID(B315,4,2))),
        DATEVALUE(B315)
      )
    )
  ),
"INVALID_DATE")</f>
        <v>45807</v>
      </c>
      <c r="AA315" s="2">
        <f>IFERROR(
  IF(ISNUMBER(C315),C315,
    IF(ISNUMBER(SEARCH("-",C315)*1),
      IF(LEN(LEFT(C315,FIND("-",C315)-1))=4,
        DATE(VALUE(LEFT(C315,4)),VALUE(MID(C315,6,2)),VALUE(RIGHT(C315,2))),
        DATE(VALUE(RIGHT(C315,4)),VALUE(MID(C315,4,2)),VALUE(LEFT(C315,2)))
      ),
      IF(ISNUMBER(SEARCH("/",C315)*1),
        DATE(VALUE(RIGHT(C315,4)),VALUE(LEFT(C315,2)),VALUE(MID(C315,4,2))),
        DATEVALUE(C315)
      )
    )
  ),
"INVALID_DATE")</f>
        <v>45808</v>
      </c>
      <c r="AB315">
        <f t="shared" si="27"/>
        <v>1</v>
      </c>
      <c r="AC315" t="str">
        <f t="shared" si="28"/>
        <v>May</v>
      </c>
      <c r="AD315">
        <f t="shared" si="29"/>
        <v>2025</v>
      </c>
    </row>
    <row r="316" spans="1:30">
      <c r="A316" t="s">
        <v>1610</v>
      </c>
      <c r="B316" t="s">
        <v>1112</v>
      </c>
      <c r="C316" t="s">
        <v>125</v>
      </c>
      <c r="D316" t="s">
        <v>1611</v>
      </c>
      <c r="E316" t="s">
        <v>60</v>
      </c>
      <c r="F316" t="s">
        <v>115</v>
      </c>
      <c r="G316" t="s">
        <v>80</v>
      </c>
      <c r="H316" t="s">
        <v>91</v>
      </c>
      <c r="I316" t="s">
        <v>92</v>
      </c>
      <c r="J316" t="s">
        <v>37</v>
      </c>
      <c r="K316" t="s">
        <v>116</v>
      </c>
      <c r="L316" t="s">
        <v>1612</v>
      </c>
      <c r="M316" t="s">
        <v>74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207</v>
      </c>
      <c r="U316" t="s">
        <v>132</v>
      </c>
      <c r="V316">
        <f t="shared" si="24"/>
        <v>6485.3639999999996</v>
      </c>
      <c r="W316">
        <f t="shared" si="25"/>
        <v>1109.1899999999996</v>
      </c>
      <c r="X316">
        <f t="shared" si="26"/>
        <v>0.17102982717998694</v>
      </c>
      <c r="Y316" t="str">
        <f>_xlfn.TEXTJOIN(", ",TRUE,IF(G316="Unknown","Missing Region",""),IF(M316="Unknown","Missing Ship Mode",""),IF(P316&lt;0,"Negative Discount",""),IF(P316&gt;0.7,"High Discount",""),IF(C316&lt;B316,"Ship Before Order",""))</f>
        <v/>
      </c>
      <c r="Z316" s="2">
        <f>IFERROR(
  IF(ISNUMBER(B316),B316,
    IF(ISNUMBER(SEARCH("-",B316)*1),
      IF(LEN(LEFT(B316,FIND("-",B316)-1))=4,
        DATE(VALUE(LEFT(B316,4)),VALUE(MID(B316,6,2)),VALUE(RIGHT(B316,2))),
        DATE(VALUE(RIGHT(B316,4)),VALUE(MID(B316,4,2)),VALUE(LEFT(B316,2)))
      ),
      IF(ISNUMBER(SEARCH("/",B316)*1),
        DATE(VALUE(RIGHT(B316,4)),VALUE(LEFT(B316,2)),VALUE(MID(B316,4,2))),
        DATEVALUE(B316)
      )
    )
  ),
"INVALID_DATE")</f>
        <v>45795</v>
      </c>
      <c r="AA316" s="2">
        <f>IFERROR(
  IF(ISNUMBER(C316),C316,
    IF(ISNUMBER(SEARCH("-",C316)*1),
      IF(LEN(LEFT(C316,FIND("-",C316)-1))=4,
        DATE(VALUE(LEFT(C316,4)),VALUE(MID(C316,6,2)),VALUE(RIGHT(C316,2))),
        DATE(VALUE(RIGHT(C316,4)),VALUE(MID(C316,4,2)),VALUE(LEFT(C316,2)))
      ),
      IF(ISNUMBER(SEARCH("/",C316)*1),
        DATE(VALUE(RIGHT(C316,4)),VALUE(LEFT(C316,2)),VALUE(MID(C316,4,2))),
        DATEVALUE(C316)
      )
    )
  ),
"INVALID_DATE")</f>
        <v>45797</v>
      </c>
      <c r="AB316">
        <f t="shared" si="27"/>
        <v>2</v>
      </c>
      <c r="AC316" t="str">
        <f t="shared" si="28"/>
        <v>May</v>
      </c>
      <c r="AD316">
        <f t="shared" si="29"/>
        <v>2025</v>
      </c>
    </row>
    <row r="317" spans="1:30">
      <c r="A317" t="s">
        <v>1613</v>
      </c>
      <c r="B317" t="s">
        <v>1614</v>
      </c>
      <c r="C317" t="s">
        <v>1615</v>
      </c>
      <c r="D317" t="s">
        <v>1616</v>
      </c>
      <c r="E317" t="s">
        <v>187</v>
      </c>
      <c r="F317" t="s">
        <v>33</v>
      </c>
      <c r="G317" t="s">
        <v>34</v>
      </c>
      <c r="H317" t="s">
        <v>514</v>
      </c>
      <c r="I317" t="s">
        <v>515</v>
      </c>
      <c r="J317" t="s">
        <v>37</v>
      </c>
      <c r="K317" t="s">
        <v>38</v>
      </c>
      <c r="L317" t="s">
        <v>1617</v>
      </c>
      <c r="M317" t="s">
        <v>74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144</v>
      </c>
      <c r="U317" t="s">
        <v>132</v>
      </c>
      <c r="V317">
        <f t="shared" si="24"/>
        <v>29500.920000000002</v>
      </c>
      <c r="W317">
        <f t="shared" si="25"/>
        <v>11511.239999999998</v>
      </c>
      <c r="X317">
        <f t="shared" si="26"/>
        <v>0.39019935649464493</v>
      </c>
      <c r="Y317" t="str">
        <f>_xlfn.TEXTJOIN(", ",TRUE,IF(G317="Unknown","Missing Region",""),IF(M317="Unknown","Missing Ship Mode",""),IF(P317&lt;0,"Negative Discount",""),IF(P317&gt;0.7,"High Discount",""),IF(C317&lt;B317,"Ship Before Order",""))</f>
        <v/>
      </c>
      <c r="Z317" s="2">
        <f>IFERROR(
  IF(ISNUMBER(B317),B317,
    IF(ISNUMBER(SEARCH("-",B317)*1),
      IF(LEN(LEFT(B317,FIND("-",B317)-1))=4,
        DATE(VALUE(LEFT(B317,4)),VALUE(MID(B317,6,2)),VALUE(RIGHT(B317,2))),
        DATE(VALUE(RIGHT(B317,4)),VALUE(MID(B317,4,2)),VALUE(LEFT(B317,2)))
      ),
      IF(ISNUMBER(SEARCH("/",B317)*1),
        DATE(VALUE(RIGHT(B317,4)),VALUE(LEFT(B317,2)),VALUE(MID(B317,4,2))),
        DATEVALUE(B317)
      )
    )
  ),
"INVALID_DATE")</f>
        <v>45475</v>
      </c>
      <c r="AA317" s="2">
        <f>IFERROR(
  IF(ISNUMBER(C317),C317,
    IF(ISNUMBER(SEARCH("-",C317)*1),
      IF(LEN(LEFT(C317,FIND("-",C317)-1))=4,
        DATE(VALUE(LEFT(C317,4)),VALUE(MID(C317,6,2)),VALUE(RIGHT(C317,2))),
        DATE(VALUE(RIGHT(C317,4)),VALUE(MID(C317,4,2)),VALUE(LEFT(C317,2)))
      ),
      IF(ISNUMBER(SEARCH("/",C317)*1),
        DATE(VALUE(RIGHT(C317,4)),VALUE(LEFT(C317,2)),VALUE(MID(C317,4,2))),
        DATEVALUE(C317)
      )
    )
  ),
"INVALID_DATE")</f>
        <v>45481</v>
      </c>
      <c r="AB317">
        <f t="shared" si="27"/>
        <v>6</v>
      </c>
      <c r="AC317" t="str">
        <f t="shared" si="28"/>
        <v>July</v>
      </c>
      <c r="AD317">
        <f t="shared" si="29"/>
        <v>2024</v>
      </c>
    </row>
    <row r="318" spans="1:30">
      <c r="A318" t="s">
        <v>1618</v>
      </c>
      <c r="B318" t="s">
        <v>1619</v>
      </c>
      <c r="C318" t="s">
        <v>1620</v>
      </c>
      <c r="D318" t="s">
        <v>1621</v>
      </c>
      <c r="E318" t="s">
        <v>32</v>
      </c>
      <c r="F318" t="s">
        <v>115</v>
      </c>
      <c r="G318" t="s">
        <v>34</v>
      </c>
      <c r="H318" t="s">
        <v>161</v>
      </c>
      <c r="I318" t="s">
        <v>162</v>
      </c>
      <c r="J318" t="s">
        <v>37</v>
      </c>
      <c r="K318" t="s">
        <v>116</v>
      </c>
      <c r="L318" t="s">
        <v>1622</v>
      </c>
      <c r="M318" t="s">
        <v>74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41</v>
      </c>
      <c r="U318" t="s">
        <v>85</v>
      </c>
      <c r="V318">
        <f t="shared" si="24"/>
        <v>3116.0480000000002</v>
      </c>
      <c r="W318">
        <f t="shared" si="25"/>
        <v>1159.42</v>
      </c>
      <c r="X318">
        <f t="shared" si="26"/>
        <v>0.37208003722661703</v>
      </c>
      <c r="Y318" t="str">
        <f>_xlfn.TEXTJOIN(", ",TRUE,IF(G318="Unknown","Missing Region",""),IF(M318="Unknown","Missing Ship Mode",""),IF(P318&lt;0,"Negative Discount",""),IF(P318&gt;0.7,"High Discount",""),IF(C318&lt;B318,"Ship Before Order",""))</f>
        <v>Ship Before Order</v>
      </c>
      <c r="Z318" s="2">
        <f>IFERROR(
  IF(ISNUMBER(B318),B318,
    IF(ISNUMBER(SEARCH("-",B318)*1),
      IF(LEN(LEFT(B318,FIND("-",B318)-1))=4,
        DATE(VALUE(LEFT(B318,4)),VALUE(MID(B318,6,2)),VALUE(RIGHT(B318,2))),
        DATE(VALUE(RIGHT(B318,4)),VALUE(MID(B318,4,2)),VALUE(LEFT(B318,2)))
      ),
      IF(ISNUMBER(SEARCH("/",B318)*1),
        DATE(VALUE(RIGHT(B318,4)),VALUE(LEFT(B318,2)),VALUE(MID(B318,4,2))),
        DATEVALUE(B318)
      )
    )
  ),
"INVALID_DATE")</f>
        <v>45338</v>
      </c>
      <c r="AA318" s="2">
        <f>IFERROR(
  IF(ISNUMBER(C318),C318,
    IF(ISNUMBER(SEARCH("-",C318)*1),
      IF(LEN(LEFT(C318,FIND("-",C318)-1))=4,
        DATE(VALUE(LEFT(C318,4)),VALUE(MID(C318,6,2)),VALUE(RIGHT(C318,2))),
        DATE(VALUE(RIGHT(C318,4)),VALUE(MID(C318,4,2)),VALUE(LEFT(C318,2)))
      ),
      IF(ISNUMBER(SEARCH("/",C318)*1),
        DATE(VALUE(RIGHT(C318,4)),VALUE(LEFT(C318,2)),VALUE(MID(C318,4,2))),
        DATEVALUE(C318)
      )
    )
  ),
"INVALID_DATE")</f>
        <v>45340</v>
      </c>
      <c r="AB318">
        <f t="shared" si="27"/>
        <v>2</v>
      </c>
      <c r="AC318" t="str">
        <f t="shared" si="28"/>
        <v>February</v>
      </c>
      <c r="AD318">
        <f t="shared" si="29"/>
        <v>2024</v>
      </c>
    </row>
    <row r="319" spans="1:30">
      <c r="A319" t="s">
        <v>1623</v>
      </c>
      <c r="B319" t="s">
        <v>1624</v>
      </c>
      <c r="C319" t="s">
        <v>1625</v>
      </c>
      <c r="D319" t="s">
        <v>1626</v>
      </c>
      <c r="E319" t="s">
        <v>100</v>
      </c>
      <c r="F319" t="s">
        <v>115</v>
      </c>
      <c r="G319" t="s">
        <v>69</v>
      </c>
      <c r="H319" t="s">
        <v>249</v>
      </c>
      <c r="I319" t="s">
        <v>250</v>
      </c>
      <c r="J319" t="s">
        <v>52</v>
      </c>
      <c r="K319" t="s">
        <v>53</v>
      </c>
      <c r="L319" t="s">
        <v>1627</v>
      </c>
      <c r="M319" t="s">
        <v>63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41</v>
      </c>
      <c r="U319" t="s">
        <v>42</v>
      </c>
      <c r="V319">
        <f t="shared" si="24"/>
        <v>22926.820499999998</v>
      </c>
      <c r="W319">
        <f t="shared" si="25"/>
        <v>8305.23</v>
      </c>
      <c r="X319">
        <f t="shared" si="26"/>
        <v>0.36224954005832471</v>
      </c>
      <c r="Y319" t="str">
        <f>_xlfn.TEXTJOIN(", ",TRUE,IF(G319="Unknown","Missing Region",""),IF(M319="Unknown","Missing Ship Mode",""),IF(P319&lt;0,"Negative Discount",""),IF(P319&gt;0.7,"High Discount",""),IF(C319&lt;B319,"Ship Before Order",""))</f>
        <v>Ship Before Order</v>
      </c>
      <c r="Z319" s="2">
        <f>IFERROR(
  IF(ISNUMBER(B319),B319,
    IF(ISNUMBER(SEARCH("-",B319)*1),
      IF(LEN(LEFT(B319,FIND("-",B319)-1))=4,
        DATE(VALUE(LEFT(B319,4)),VALUE(MID(B319,6,2)),VALUE(RIGHT(B319,2))),
        DATE(VALUE(RIGHT(B319,4)),VALUE(MID(B319,4,2)),VALUE(LEFT(B319,2)))
      ),
      IF(ISNUMBER(SEARCH("/",B319)*1),
        DATE(VALUE(RIGHT(B319,4)),VALUE(LEFT(B319,2)),VALUE(MID(B319,4,2))),
        DATEVALUE(B319)
      )
    )
  ),
"INVALID_DATE")</f>
        <v>45898</v>
      </c>
      <c r="AA319" s="2">
        <f>IFERROR(
  IF(ISNUMBER(C319),C319,
    IF(ISNUMBER(SEARCH("-",C319)*1),
      IF(LEN(LEFT(C319,FIND("-",C319)-1))=4,
        DATE(VALUE(LEFT(C319,4)),VALUE(MID(C319,6,2)),VALUE(RIGHT(C319,2))),
        DATE(VALUE(RIGHT(C319,4)),VALUE(MID(C319,4,2)),VALUE(LEFT(C319,2)))
      ),
      IF(ISNUMBER(SEARCH("/",C319)*1),
        DATE(VALUE(RIGHT(C319,4)),VALUE(LEFT(C319,2)),VALUE(MID(C319,4,2))),
        DATEVALUE(C319)
      )
    )
  ),
"INVALID_DATE")</f>
        <v>45904</v>
      </c>
      <c r="AB319">
        <f t="shared" si="27"/>
        <v>6</v>
      </c>
      <c r="AC319" t="str">
        <f t="shared" si="28"/>
        <v>August</v>
      </c>
      <c r="AD319">
        <f t="shared" si="29"/>
        <v>2025</v>
      </c>
    </row>
    <row r="320" spans="1:30">
      <c r="A320" t="s">
        <v>1628</v>
      </c>
      <c r="B320" t="s">
        <v>1629</v>
      </c>
      <c r="C320" t="s">
        <v>1630</v>
      </c>
      <c r="D320" t="s">
        <v>1631</v>
      </c>
      <c r="E320" t="s">
        <v>47</v>
      </c>
      <c r="F320" t="s">
        <v>48</v>
      </c>
      <c r="G320" t="s">
        <v>69</v>
      </c>
      <c r="H320" t="s">
        <v>236</v>
      </c>
      <c r="I320" t="s">
        <v>237</v>
      </c>
      <c r="J320" t="s">
        <v>93</v>
      </c>
      <c r="K320" t="s">
        <v>230</v>
      </c>
      <c r="L320" t="s">
        <v>1632</v>
      </c>
      <c r="M320" t="s">
        <v>74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41</v>
      </c>
      <c r="U320" t="s">
        <v>42</v>
      </c>
      <c r="V320">
        <f t="shared" si="24"/>
        <v>11203.542000000001</v>
      </c>
      <c r="W320">
        <f t="shared" si="25"/>
        <v>2750.6100000000006</v>
      </c>
      <c r="X320">
        <f t="shared" si="26"/>
        <v>0.24551257905983287</v>
      </c>
      <c r="Y320" t="str">
        <f>_xlfn.TEXTJOIN(", ",TRUE,IF(G320="Unknown","Missing Region",""),IF(M320="Unknown","Missing Ship Mode",""),IF(P320&lt;0,"Negative Discount",""),IF(P320&gt;0.7,"High Discount",""),IF(C320&lt;B320,"Ship Before Order",""))</f>
        <v/>
      </c>
      <c r="Z320" s="2">
        <f>IFERROR(
  IF(ISNUMBER(B320),B320,
    IF(ISNUMBER(SEARCH("-",B320)*1),
      IF(LEN(LEFT(B320,FIND("-",B320)-1))=4,
        DATE(VALUE(LEFT(B320,4)),VALUE(MID(B320,6,2)),VALUE(RIGHT(B320,2))),
        DATE(VALUE(RIGHT(B320,4)),VALUE(MID(B320,4,2)),VALUE(LEFT(B320,2)))
      ),
      IF(ISNUMBER(SEARCH("/",B320)*1),
        DATE(VALUE(RIGHT(B320,4)),VALUE(LEFT(B320,2)),VALUE(MID(B320,4,2))),
        DATEVALUE(B320)
      )
    )
  ),
"INVALID_DATE")</f>
        <v>45407</v>
      </c>
      <c r="AA320" s="2">
        <f>IFERROR(
  IF(ISNUMBER(C320),C320,
    IF(ISNUMBER(SEARCH("-",C320)*1),
      IF(LEN(LEFT(C320,FIND("-",C320)-1))=4,
        DATE(VALUE(LEFT(C320,4)),VALUE(MID(C320,6,2)),VALUE(RIGHT(C320,2))),
        DATE(VALUE(RIGHT(C320,4)),VALUE(MID(C320,4,2)),VALUE(LEFT(C320,2)))
      ),
      IF(ISNUMBER(SEARCH("/",C320)*1),
        DATE(VALUE(RIGHT(C320,4)),VALUE(LEFT(C320,2)),VALUE(MID(C320,4,2))),
        DATEVALUE(C320)
      )
    )
  ),
"INVALID_DATE")</f>
        <v>45412</v>
      </c>
      <c r="AB320">
        <f t="shared" si="27"/>
        <v>5</v>
      </c>
      <c r="AC320" t="str">
        <f t="shared" si="28"/>
        <v>April</v>
      </c>
      <c r="AD320">
        <f t="shared" si="29"/>
        <v>2024</v>
      </c>
    </row>
    <row r="321" spans="1:30">
      <c r="A321" t="s">
        <v>1633</v>
      </c>
      <c r="B321" t="s">
        <v>1634</v>
      </c>
      <c r="C321" t="s">
        <v>1635</v>
      </c>
      <c r="D321" t="s">
        <v>1636</v>
      </c>
      <c r="E321" t="s">
        <v>217</v>
      </c>
      <c r="F321" t="s">
        <v>33</v>
      </c>
      <c r="G321" t="s">
        <v>80</v>
      </c>
      <c r="H321" t="s">
        <v>242</v>
      </c>
      <c r="I321" t="s">
        <v>243</v>
      </c>
      <c r="J321" t="s">
        <v>37</v>
      </c>
      <c r="K321" t="s">
        <v>205</v>
      </c>
      <c r="L321" t="s">
        <v>1637</v>
      </c>
      <c r="M321" t="s">
        <v>63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41</v>
      </c>
      <c r="U321" t="s">
        <v>42</v>
      </c>
      <c r="V321">
        <f t="shared" si="24"/>
        <v>270.27999999999997</v>
      </c>
      <c r="W321">
        <f t="shared" si="25"/>
        <v>113.93999999999997</v>
      </c>
      <c r="X321">
        <f t="shared" si="26"/>
        <v>0.42156282373834547</v>
      </c>
      <c r="Y321" t="str">
        <f>_xlfn.TEXTJOIN(", ",TRUE,IF(G321="Unknown","Missing Region",""),IF(M321="Unknown","Missing Ship Mode",""),IF(P321&lt;0,"Negative Discount",""),IF(P321&gt;0.7,"High Discount",""),IF(C321&lt;B321,"Ship Before Order",""))</f>
        <v>Ship Before Order</v>
      </c>
      <c r="Z321" s="2">
        <f>IFERROR(
  IF(ISNUMBER(B321),B321,
    IF(ISNUMBER(SEARCH("-",B321)*1),
      IF(LEN(LEFT(B321,FIND("-",B321)-1))=4,
        DATE(VALUE(LEFT(B321,4)),VALUE(MID(B321,6,2)),VALUE(RIGHT(B321,2))),
        DATE(VALUE(RIGHT(B321,4)),VALUE(MID(B321,4,2)),VALUE(LEFT(B321,2)))
      ),
      IF(ISNUMBER(SEARCH("/",B321)*1),
        DATE(VALUE(RIGHT(B321,4)),VALUE(LEFT(B321,2)),VALUE(MID(B321,4,2))),
        DATEVALUE(B321)
      )
    )
  ),
"INVALID_DATE")</f>
        <v>45525</v>
      </c>
      <c r="AA321" s="2">
        <f>IFERROR(
  IF(ISNUMBER(C321),C321,
    IF(ISNUMBER(SEARCH("-",C321)*1),
      IF(LEN(LEFT(C321,FIND("-",C321)-1))=4,
        DATE(VALUE(LEFT(C321,4)),VALUE(MID(C321,6,2)),VALUE(RIGHT(C321,2))),
        DATE(VALUE(RIGHT(C321,4)),VALUE(MID(C321,4,2)),VALUE(LEFT(C321,2)))
      ),
      IF(ISNUMBER(SEARCH("/",C321)*1),
        DATE(VALUE(RIGHT(C321,4)),VALUE(LEFT(C321,2)),VALUE(MID(C321,4,2))),
        DATEVALUE(C321)
      )
    )
  ),
"INVALID_DATE")</f>
        <v>45529</v>
      </c>
      <c r="AB321">
        <f t="shared" si="27"/>
        <v>4</v>
      </c>
      <c r="AC321" t="str">
        <f t="shared" si="28"/>
        <v>August</v>
      </c>
      <c r="AD321">
        <f t="shared" si="29"/>
        <v>2024</v>
      </c>
    </row>
    <row r="322" spans="1:30">
      <c r="A322" t="s">
        <v>1638</v>
      </c>
      <c r="B322" t="s">
        <v>1639</v>
      </c>
      <c r="C322" t="s">
        <v>1640</v>
      </c>
      <c r="D322" t="s">
        <v>1641</v>
      </c>
      <c r="E322" t="s">
        <v>169</v>
      </c>
      <c r="F322" t="s">
        <v>122</v>
      </c>
      <c r="G322" t="s">
        <v>49</v>
      </c>
      <c r="H322" t="s">
        <v>128</v>
      </c>
      <c r="I322" t="s">
        <v>129</v>
      </c>
      <c r="J322" t="s">
        <v>37</v>
      </c>
      <c r="K322" t="s">
        <v>61</v>
      </c>
      <c r="L322" t="s">
        <v>1642</v>
      </c>
      <c r="M322" t="s">
        <v>40</v>
      </c>
      <c r="N322">
        <v>3</v>
      </c>
      <c r="O322">
        <v>876.14</v>
      </c>
      <c r="P322" t="s">
        <v>689</v>
      </c>
      <c r="Q322">
        <v>2628.42</v>
      </c>
      <c r="R322">
        <v>1541.54</v>
      </c>
      <c r="S322">
        <v>1086.8800000000001</v>
      </c>
      <c r="T322" t="s">
        <v>144</v>
      </c>
      <c r="U322" t="s">
        <v>132</v>
      </c>
      <c r="V322">
        <f t="shared" ref="V322:V385" si="30">O322*(1-P322)*N322</f>
        <v>788.52600000000007</v>
      </c>
      <c r="W322">
        <f t="shared" ref="W322:W385" si="31">Q322-R322</f>
        <v>1086.8800000000001</v>
      </c>
      <c r="X322">
        <f t="shared" ref="X322:X385" si="32">IF(Q322=0,"",S322/Q322)</f>
        <v>0.41351077833831734</v>
      </c>
      <c r="Y322" t="str">
        <f>_xlfn.TEXTJOIN(", ",TRUE,IF(G322="Unknown","Missing Region",""),IF(M322="Unknown","Missing Ship Mode",""),IF(P322&lt;0,"Negative Discount",""),IF(P322&gt;0.7,"High Discount",""),IF(C322&lt;B322,"Ship Before Order",""))</f>
        <v>High Discount</v>
      </c>
      <c r="Z322" s="2">
        <f>IFERROR(
  IF(ISNUMBER(B322),B322,
    IF(ISNUMBER(SEARCH("-",B322)*1),
      IF(LEN(LEFT(B322,FIND("-",B322)-1))=4,
        DATE(VALUE(LEFT(B322,4)),VALUE(MID(B322,6,2)),VALUE(RIGHT(B322,2))),
        DATE(VALUE(RIGHT(B322,4)),VALUE(MID(B322,4,2)),VALUE(LEFT(B322,2)))
      ),
      IF(ISNUMBER(SEARCH("/",B322)*1),
        DATE(VALUE(RIGHT(B322,4)),VALUE(LEFT(B322,2)),VALUE(MID(B322,4,2))),
        DATEVALUE(B322)
      )
    )
  ),
"INVALID_DATE")</f>
        <v>45630</v>
      </c>
      <c r="AA322" s="2">
        <f>IFERROR(
  IF(ISNUMBER(C322),C322,
    IF(ISNUMBER(SEARCH("-",C322)*1),
      IF(LEN(LEFT(C322,FIND("-",C322)-1))=4,
        DATE(VALUE(LEFT(C322,4)),VALUE(MID(C322,6,2)),VALUE(RIGHT(C322,2))),
        DATE(VALUE(RIGHT(C322,4)),VALUE(MID(C322,4,2)),VALUE(LEFT(C322,2)))
      ),
      IF(ISNUMBER(SEARCH("/",C322)*1),
        DATE(VALUE(RIGHT(C322,4)),VALUE(LEFT(C322,2)),VALUE(MID(C322,4,2))),
        DATEVALUE(C322)
      )
    )
  ),
"INVALID_DATE")</f>
        <v>45632</v>
      </c>
      <c r="AB322">
        <f t="shared" si="27"/>
        <v>2</v>
      </c>
      <c r="AC322" t="str">
        <f t="shared" si="28"/>
        <v>December</v>
      </c>
      <c r="AD322">
        <f t="shared" si="29"/>
        <v>2024</v>
      </c>
    </row>
    <row r="323" spans="1:30">
      <c r="A323" t="s">
        <v>1643</v>
      </c>
      <c r="B323" t="s">
        <v>1644</v>
      </c>
      <c r="C323" t="s">
        <v>1645</v>
      </c>
      <c r="D323" t="s">
        <v>1646</v>
      </c>
      <c r="E323" t="s">
        <v>100</v>
      </c>
      <c r="F323" t="s">
        <v>48</v>
      </c>
      <c r="G323" t="s">
        <v>80</v>
      </c>
      <c r="H323" t="s">
        <v>256</v>
      </c>
      <c r="I323" t="s">
        <v>257</v>
      </c>
      <c r="J323" t="s">
        <v>93</v>
      </c>
      <c r="K323" t="s">
        <v>94</v>
      </c>
      <c r="L323" t="s">
        <v>1647</v>
      </c>
      <c r="M323" t="s">
        <v>55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207</v>
      </c>
      <c r="U323" t="s">
        <v>85</v>
      </c>
      <c r="V323">
        <f t="shared" si="30"/>
        <v>2699.28</v>
      </c>
      <c r="W323">
        <f t="shared" si="31"/>
        <v>939.52000000000021</v>
      </c>
      <c r="X323">
        <f t="shared" si="32"/>
        <v>0.34806318722029578</v>
      </c>
      <c r="Y323" t="str">
        <f>_xlfn.TEXTJOIN(", ",TRUE,IF(G323="Unknown","Missing Region",""),IF(M323="Unknown","Missing Ship Mode",""),IF(P323&lt;0,"Negative Discount",""),IF(P323&gt;0.7,"High Discount",""),IF(C323&lt;B323,"Ship Before Order",""))</f>
        <v/>
      </c>
      <c r="Z323" s="2">
        <f>IFERROR(
  IF(ISNUMBER(B323),B323,
    IF(ISNUMBER(SEARCH("-",B323)*1),
      IF(LEN(LEFT(B323,FIND("-",B323)-1))=4,
        DATE(VALUE(LEFT(B323,4)),VALUE(MID(B323,6,2)),VALUE(RIGHT(B323,2))),
        DATE(VALUE(RIGHT(B323,4)),VALUE(MID(B323,4,2)),VALUE(LEFT(B323,2)))
      ),
      IF(ISNUMBER(SEARCH("/",B323)*1),
        DATE(VALUE(RIGHT(B323,4)),VALUE(LEFT(B323,2)),VALUE(MID(B323,4,2))),
        DATEVALUE(B323)
      )
    )
  ),
"INVALID_DATE")</f>
        <v>45466</v>
      </c>
      <c r="AA323" s="2">
        <f>IFERROR(
  IF(ISNUMBER(C323),C323,
    IF(ISNUMBER(SEARCH("-",C323)*1),
      IF(LEN(LEFT(C323,FIND("-",C323)-1))=4,
        DATE(VALUE(LEFT(C323,4)),VALUE(MID(C323,6,2)),VALUE(RIGHT(C323,2))),
        DATE(VALUE(RIGHT(C323,4)),VALUE(MID(C323,4,2)),VALUE(LEFT(C323,2)))
      ),
      IF(ISNUMBER(SEARCH("/",C323)*1),
        DATE(VALUE(RIGHT(C323,4)),VALUE(LEFT(C323,2)),VALUE(MID(C323,4,2))),
        DATEVALUE(C323)
      )
    )
  ),
"INVALID_DATE")</f>
        <v>45473</v>
      </c>
      <c r="AB323">
        <f t="shared" ref="AB323:AB386" si="33">AA323-Z323</f>
        <v>7</v>
      </c>
      <c r="AC323" t="str">
        <f t="shared" ref="AC323:AC386" si="34">TEXT(Z323,"mmmm")</f>
        <v>June</v>
      </c>
      <c r="AD323">
        <f t="shared" ref="AD323:AD386" si="35">YEAR(Z323)</f>
        <v>2024</v>
      </c>
    </row>
    <row r="324" spans="1:30">
      <c r="A324" t="s">
        <v>1648</v>
      </c>
      <c r="B324" t="s">
        <v>1544</v>
      </c>
      <c r="C324" t="s">
        <v>1649</v>
      </c>
      <c r="D324" t="s">
        <v>1650</v>
      </c>
      <c r="E324" t="s">
        <v>60</v>
      </c>
      <c r="F324" t="s">
        <v>33</v>
      </c>
      <c r="G324" t="s">
        <v>34</v>
      </c>
      <c r="H324" t="s">
        <v>181</v>
      </c>
      <c r="I324" t="s">
        <v>182</v>
      </c>
      <c r="J324" t="s">
        <v>93</v>
      </c>
      <c r="K324" t="s">
        <v>230</v>
      </c>
      <c r="L324" t="s">
        <v>1651</v>
      </c>
      <c r="M324" t="s">
        <v>40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41</v>
      </c>
      <c r="U324" t="s">
        <v>42</v>
      </c>
      <c r="V324">
        <f t="shared" si="30"/>
        <v>6984.348</v>
      </c>
      <c r="W324">
        <f t="shared" si="31"/>
        <v>2960.7200000000003</v>
      </c>
      <c r="X324">
        <f t="shared" si="32"/>
        <v>0.42390773658250225</v>
      </c>
      <c r="Y324" t="str">
        <f>_xlfn.TEXTJOIN(", ",TRUE,IF(G324="Unknown","Missing Region",""),IF(M324="Unknown","Missing Ship Mode",""),IF(P324&lt;0,"Negative Discount",""),IF(P324&gt;0.7,"High Discount",""),IF(C324&lt;B324,"Ship Before Order",""))</f>
        <v>Ship Before Order</v>
      </c>
      <c r="Z324" s="2">
        <f>IFERROR(
  IF(ISNUMBER(B324),B324,
    IF(ISNUMBER(SEARCH("-",B324)*1),
      IF(LEN(LEFT(B324,FIND("-",B324)-1))=4,
        DATE(VALUE(LEFT(B324,4)),VALUE(MID(B324,6,2)),VALUE(RIGHT(B324,2))),
        DATE(VALUE(RIGHT(B324,4)),VALUE(MID(B324,4,2)),VALUE(LEFT(B324,2)))
      ),
      IF(ISNUMBER(SEARCH("/",B324)*1),
        DATE(VALUE(RIGHT(B324,4)),VALUE(LEFT(B324,2)),VALUE(MID(B324,4,2))),
        DATEVALUE(B324)
      )
    )
  ),
"INVALID_DATE")</f>
        <v>45608</v>
      </c>
      <c r="AA324" s="2">
        <f>IFERROR(
  IF(ISNUMBER(C324),C324,
    IF(ISNUMBER(SEARCH("-",C324)*1),
      IF(LEN(LEFT(C324,FIND("-",C324)-1))=4,
        DATE(VALUE(LEFT(C324,4)),VALUE(MID(C324,6,2)),VALUE(RIGHT(C324,2))),
        DATE(VALUE(RIGHT(C324,4)),VALUE(MID(C324,4,2)),VALUE(LEFT(C324,2)))
      ),
      IF(ISNUMBER(SEARCH("/",C324)*1),
        DATE(VALUE(RIGHT(C324,4)),VALUE(LEFT(C324,2)),VALUE(MID(C324,4,2))),
        DATEVALUE(C324)
      )
    )
  ),
"INVALID_DATE")</f>
        <v>45608</v>
      </c>
      <c r="AB324">
        <f t="shared" si="33"/>
        <v>0</v>
      </c>
      <c r="AC324" t="str">
        <f t="shared" si="34"/>
        <v>November</v>
      </c>
      <c r="AD324">
        <f t="shared" si="35"/>
        <v>2024</v>
      </c>
    </row>
    <row r="325" spans="1:30">
      <c r="A325" t="s">
        <v>1652</v>
      </c>
      <c r="B325" t="s">
        <v>1653</v>
      </c>
      <c r="C325" t="s">
        <v>1654</v>
      </c>
      <c r="D325" t="s">
        <v>1655</v>
      </c>
      <c r="E325" t="s">
        <v>60</v>
      </c>
      <c r="F325" t="s">
        <v>48</v>
      </c>
      <c r="G325" t="s">
        <v>80</v>
      </c>
      <c r="H325" t="s">
        <v>256</v>
      </c>
      <c r="I325" t="s">
        <v>257</v>
      </c>
      <c r="J325" t="s">
        <v>52</v>
      </c>
      <c r="K325" t="s">
        <v>72</v>
      </c>
      <c r="L325" t="s">
        <v>200</v>
      </c>
      <c r="M325" t="s">
        <v>74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41</v>
      </c>
      <c r="U325" t="s">
        <v>42</v>
      </c>
      <c r="V325">
        <f t="shared" si="30"/>
        <v>10185.669</v>
      </c>
      <c r="W325">
        <f t="shared" si="31"/>
        <v>3706.3599999999997</v>
      </c>
      <c r="X325">
        <f t="shared" si="32"/>
        <v>0.36387984295583897</v>
      </c>
      <c r="Y325" t="str">
        <f>_xlfn.TEXTJOIN(", ",TRUE,IF(G325="Unknown","Missing Region",""),IF(M325="Unknown","Missing Ship Mode",""),IF(P325&lt;0,"Negative Discount",""),IF(P325&gt;0.7,"High Discount",""),IF(C325&lt;B325,"Ship Before Order",""))</f>
        <v/>
      </c>
      <c r="Z325" s="2">
        <f>IFERROR(
  IF(ISNUMBER(B325),B325,
    IF(ISNUMBER(SEARCH("-",B325)*1),
      IF(LEN(LEFT(B325,FIND("-",B325)-1))=4,
        DATE(VALUE(LEFT(B325,4)),VALUE(MID(B325,6,2)),VALUE(RIGHT(B325,2))),
        DATE(VALUE(RIGHT(B325,4)),VALUE(MID(B325,4,2)),VALUE(LEFT(B325,2)))
      ),
      IF(ISNUMBER(SEARCH("/",B325)*1),
        DATE(VALUE(RIGHT(B325,4)),VALUE(LEFT(B325,2)),VALUE(MID(B325,4,2))),
        DATEVALUE(B325)
      )
    )
  ),
"INVALID_DATE")</f>
        <v>45347</v>
      </c>
      <c r="AA325" s="2">
        <f>IFERROR(
  IF(ISNUMBER(C325),C325,
    IF(ISNUMBER(SEARCH("-",C325)*1),
      IF(LEN(LEFT(C325,FIND("-",C325)-1))=4,
        DATE(VALUE(LEFT(C325,4)),VALUE(MID(C325,6,2)),VALUE(RIGHT(C325,2))),
        DATE(VALUE(RIGHT(C325,4)),VALUE(MID(C325,4,2)),VALUE(LEFT(C325,2)))
      ),
      IF(ISNUMBER(SEARCH("/",C325)*1),
        DATE(VALUE(RIGHT(C325,4)),VALUE(LEFT(C325,2)),VALUE(MID(C325,4,2))),
        DATEVALUE(C325)
      )
    )
  ),
"INVALID_DATE")</f>
        <v>45351</v>
      </c>
      <c r="AB325">
        <f t="shared" si="33"/>
        <v>4</v>
      </c>
      <c r="AC325" t="str">
        <f t="shared" si="34"/>
        <v>February</v>
      </c>
      <c r="AD325">
        <f t="shared" si="35"/>
        <v>2024</v>
      </c>
    </row>
    <row r="326" spans="1:30">
      <c r="A326" t="s">
        <v>1656</v>
      </c>
      <c r="B326" t="s">
        <v>1657</v>
      </c>
      <c r="C326" t="s">
        <v>951</v>
      </c>
      <c r="D326" t="s">
        <v>1658</v>
      </c>
      <c r="E326" t="s">
        <v>187</v>
      </c>
      <c r="F326" t="s">
        <v>122</v>
      </c>
      <c r="G326" t="s">
        <v>69</v>
      </c>
      <c r="H326" t="s">
        <v>107</v>
      </c>
      <c r="I326" t="s">
        <v>108</v>
      </c>
      <c r="J326" t="s">
        <v>37</v>
      </c>
      <c r="K326" t="s">
        <v>116</v>
      </c>
      <c r="L326" t="s">
        <v>1659</v>
      </c>
      <c r="M326" t="s">
        <v>55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41</v>
      </c>
      <c r="U326" t="s">
        <v>132</v>
      </c>
      <c r="V326">
        <f t="shared" si="30"/>
        <v>1655.6980000000001</v>
      </c>
      <c r="W326">
        <f t="shared" si="31"/>
        <v>300.90000000000009</v>
      </c>
      <c r="X326">
        <f t="shared" si="32"/>
        <v>0.18173582170683092</v>
      </c>
      <c r="Y326" t="str">
        <f>_xlfn.TEXTJOIN(", ",TRUE,IF(G326="Unknown","Missing Region",""),IF(M326="Unknown","Missing Ship Mode",""),IF(P326&lt;0,"Negative Discount",""),IF(P326&gt;0.7,"High Discount",""),IF(C326&lt;B326,"Ship Before Order",""))</f>
        <v>Ship Before Order</v>
      </c>
      <c r="Z326" s="2">
        <f>IFERROR(
  IF(ISNUMBER(B326),B326,
    IF(ISNUMBER(SEARCH("-",B326)*1),
      IF(LEN(LEFT(B326,FIND("-",B326)-1))=4,
        DATE(VALUE(LEFT(B326,4)),VALUE(MID(B326,6,2)),VALUE(RIGHT(B326,2))),
        DATE(VALUE(RIGHT(B326,4)),VALUE(MID(B326,4,2)),VALUE(LEFT(B326,2)))
      ),
      IF(ISNUMBER(SEARCH("/",B326)*1),
        DATE(VALUE(RIGHT(B326,4)),VALUE(LEFT(B326,2)),VALUE(MID(B326,4,2))),
        DATEVALUE(B326)
      )
    )
  ),
"INVALID_DATE")</f>
        <v>45869</v>
      </c>
      <c r="AA326" s="2">
        <f>IFERROR(
  IF(ISNUMBER(C326),C326,
    IF(ISNUMBER(SEARCH("-",C326)*1),
      IF(LEN(LEFT(C326,FIND("-",C326)-1))=4,
        DATE(VALUE(LEFT(C326,4)),VALUE(MID(C326,6,2)),VALUE(RIGHT(C326,2))),
        DATE(VALUE(RIGHT(C326,4)),VALUE(MID(C326,4,2)),VALUE(LEFT(C326,2)))
      ),
      IF(ISNUMBER(SEARCH("/",C326)*1),
        DATE(VALUE(RIGHT(C326,4)),VALUE(LEFT(C326,2)),VALUE(MID(C326,4,2))),
        DATEVALUE(C326)
      )
    )
  ),
"INVALID_DATE")</f>
        <v>45871</v>
      </c>
      <c r="AB326">
        <f t="shared" si="33"/>
        <v>2</v>
      </c>
      <c r="AC326" t="str">
        <f t="shared" si="34"/>
        <v>July</v>
      </c>
      <c r="AD326">
        <f t="shared" si="35"/>
        <v>2025</v>
      </c>
    </row>
    <row r="327" spans="1:30">
      <c r="A327" t="s">
        <v>1660</v>
      </c>
      <c r="B327" t="s">
        <v>1661</v>
      </c>
      <c r="C327" t="s">
        <v>1662</v>
      </c>
      <c r="D327" t="s">
        <v>1663</v>
      </c>
      <c r="E327" t="s">
        <v>175</v>
      </c>
      <c r="F327" t="s">
        <v>122</v>
      </c>
      <c r="G327" t="s">
        <v>49</v>
      </c>
      <c r="H327" t="s">
        <v>128</v>
      </c>
      <c r="I327" t="s">
        <v>129</v>
      </c>
      <c r="J327" t="s">
        <v>93</v>
      </c>
      <c r="K327" t="s">
        <v>101</v>
      </c>
      <c r="L327" t="s">
        <v>1664</v>
      </c>
      <c r="M327" t="s">
        <v>40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41</v>
      </c>
      <c r="U327" t="s">
        <v>42</v>
      </c>
      <c r="V327">
        <f t="shared" si="30"/>
        <v>15602.6</v>
      </c>
      <c r="W327">
        <f t="shared" si="31"/>
        <v>3694.08</v>
      </c>
      <c r="X327">
        <f t="shared" si="32"/>
        <v>0.236760539910015</v>
      </c>
      <c r="Y327" t="str">
        <f>_xlfn.TEXTJOIN(", ",TRUE,IF(G327="Unknown","Missing Region",""),IF(M327="Unknown","Missing Ship Mode",""),IF(P327&lt;0,"Negative Discount",""),IF(P327&gt;0.7,"High Discount",""),IF(C327&lt;B327,"Ship Before Order",""))</f>
        <v/>
      </c>
      <c r="Z327" s="2">
        <f>IFERROR(
  IF(ISNUMBER(B327),B327,
    IF(ISNUMBER(SEARCH("-",B327)*1),
      IF(LEN(LEFT(B327,FIND("-",B327)-1))=4,
        DATE(VALUE(LEFT(B327,4)),VALUE(MID(B327,6,2)),VALUE(RIGHT(B327,2))),
        DATE(VALUE(RIGHT(B327,4)),VALUE(MID(B327,4,2)),VALUE(LEFT(B327,2)))
      ),
      IF(ISNUMBER(SEARCH("/",B327)*1),
        DATE(VALUE(RIGHT(B327,4)),VALUE(LEFT(B327,2)),VALUE(MID(B327,4,2))),
        DATEVALUE(B327)
      )
    )
  ),
"INVALID_DATE")</f>
        <v>45916</v>
      </c>
      <c r="AA327" s="2">
        <f>IFERROR(
  IF(ISNUMBER(C327),C327,
    IF(ISNUMBER(SEARCH("-",C327)*1),
      IF(LEN(LEFT(C327,FIND("-",C327)-1))=4,
        DATE(VALUE(LEFT(C327,4)),VALUE(MID(C327,6,2)),VALUE(RIGHT(C327,2))),
        DATE(VALUE(RIGHT(C327,4)),VALUE(MID(C327,4,2)),VALUE(LEFT(C327,2)))
      ),
      IF(ISNUMBER(SEARCH("/",C327)*1),
        DATE(VALUE(RIGHT(C327,4)),VALUE(LEFT(C327,2)),VALUE(MID(C327,4,2))),
        DATEVALUE(C327)
      )
    )
  ),
"INVALID_DATE")</f>
        <v>45922</v>
      </c>
      <c r="AB327">
        <f t="shared" si="33"/>
        <v>6</v>
      </c>
      <c r="AC327" t="str">
        <f t="shared" si="34"/>
        <v>September</v>
      </c>
      <c r="AD327">
        <f t="shared" si="35"/>
        <v>2025</v>
      </c>
    </row>
    <row r="328" spans="1:30">
      <c r="A328" t="s">
        <v>1665</v>
      </c>
      <c r="B328" t="s">
        <v>1666</v>
      </c>
      <c r="C328" t="s">
        <v>1520</v>
      </c>
      <c r="D328" t="s">
        <v>1667</v>
      </c>
      <c r="E328" t="s">
        <v>175</v>
      </c>
      <c r="F328" t="s">
        <v>115</v>
      </c>
      <c r="G328" t="s">
        <v>49</v>
      </c>
      <c r="H328" t="s">
        <v>319</v>
      </c>
      <c r="I328" t="s">
        <v>320</v>
      </c>
      <c r="J328" t="s">
        <v>52</v>
      </c>
      <c r="K328" t="s">
        <v>72</v>
      </c>
      <c r="L328" t="s">
        <v>1668</v>
      </c>
      <c r="M328" t="s">
        <v>55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41</v>
      </c>
      <c r="U328" t="s">
        <v>42</v>
      </c>
      <c r="V328">
        <f t="shared" si="30"/>
        <v>15138.487500000001</v>
      </c>
      <c r="W328">
        <f t="shared" si="31"/>
        <v>3902.7700000000004</v>
      </c>
      <c r="X328">
        <f t="shared" si="32"/>
        <v>0.25780444416847387</v>
      </c>
      <c r="Y328" t="str">
        <f>_xlfn.TEXTJOIN(", ",TRUE,IF(G328="Unknown","Missing Region",""),IF(M328="Unknown","Missing Ship Mode",""),IF(P328&lt;0,"Negative Discount",""),IF(P328&gt;0.7,"High Discount",""),IF(C328&lt;B328,"Ship Before Order",""))</f>
        <v>Ship Before Order</v>
      </c>
      <c r="Z328" s="2">
        <f>IFERROR(
  IF(ISNUMBER(B328),B328,
    IF(ISNUMBER(SEARCH("-",B328)*1),
      IF(LEN(LEFT(B328,FIND("-",B328)-1))=4,
        DATE(VALUE(LEFT(B328,4)),VALUE(MID(B328,6,2)),VALUE(RIGHT(B328,2))),
        DATE(VALUE(RIGHT(B328,4)),VALUE(MID(B328,4,2)),VALUE(LEFT(B328,2)))
      ),
      IF(ISNUMBER(SEARCH("/",B328)*1),
        DATE(VALUE(RIGHT(B328,4)),VALUE(LEFT(B328,2)),VALUE(MID(B328,4,2))),
        DATEVALUE(B328)
      )
    )
  ),
"INVALID_DATE")</f>
        <v>45860</v>
      </c>
      <c r="AA328" s="2">
        <f>IFERROR(
  IF(ISNUMBER(C328),C328,
    IF(ISNUMBER(SEARCH("-",C328)*1),
      IF(LEN(LEFT(C328,FIND("-",C328)-1))=4,
        DATE(VALUE(LEFT(C328,4)),VALUE(MID(C328,6,2)),VALUE(RIGHT(C328,2))),
        DATE(VALUE(RIGHT(C328,4)),VALUE(MID(C328,4,2)),VALUE(LEFT(C328,2)))
      ),
      IF(ISNUMBER(SEARCH("/",C328)*1),
        DATE(VALUE(RIGHT(C328,4)),VALUE(LEFT(C328,2)),VALUE(MID(C328,4,2))),
        DATEVALUE(C328)
      )
    )
  ),
"INVALID_DATE")</f>
        <v>45860</v>
      </c>
      <c r="AB328">
        <f t="shared" si="33"/>
        <v>0</v>
      </c>
      <c r="AC328" t="str">
        <f t="shared" si="34"/>
        <v>July</v>
      </c>
      <c r="AD328">
        <f t="shared" si="35"/>
        <v>2025</v>
      </c>
    </row>
    <row r="329" spans="1:30">
      <c r="A329" t="s">
        <v>1669</v>
      </c>
      <c r="B329" t="s">
        <v>1670</v>
      </c>
      <c r="C329" t="s">
        <v>271</v>
      </c>
      <c r="D329" t="s">
        <v>1671</v>
      </c>
      <c r="E329" t="s">
        <v>60</v>
      </c>
      <c r="F329" t="s">
        <v>33</v>
      </c>
      <c r="G329" t="s">
        <v>80</v>
      </c>
      <c r="H329" t="s">
        <v>35</v>
      </c>
      <c r="I329" t="s">
        <v>142</v>
      </c>
      <c r="J329" t="s">
        <v>93</v>
      </c>
      <c r="K329" t="s">
        <v>94</v>
      </c>
      <c r="L329" t="s">
        <v>1672</v>
      </c>
      <c r="M329" t="s">
        <v>40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144</v>
      </c>
      <c r="U329" t="s">
        <v>85</v>
      </c>
      <c r="V329">
        <f t="shared" si="30"/>
        <v>4402.92</v>
      </c>
      <c r="W329">
        <f t="shared" si="31"/>
        <v>1408.98</v>
      </c>
      <c r="X329">
        <f t="shared" si="32"/>
        <v>0.32001035676323897</v>
      </c>
      <c r="Y329" t="str">
        <f>_xlfn.TEXTJOIN(", ",TRUE,IF(G329="Unknown","Missing Region",""),IF(M329="Unknown","Missing Ship Mode",""),IF(P329&lt;0,"Negative Discount",""),IF(P329&gt;0.7,"High Discount",""),IF(C329&lt;B329,"Ship Before Order",""))</f>
        <v/>
      </c>
      <c r="Z329" s="2">
        <f>IFERROR(
  IF(ISNUMBER(B329),B329,
    IF(ISNUMBER(SEARCH("-",B329)*1),
      IF(LEN(LEFT(B329,FIND("-",B329)-1))=4,
        DATE(VALUE(LEFT(B329,4)),VALUE(MID(B329,6,2)),VALUE(RIGHT(B329,2))),
        DATE(VALUE(RIGHT(B329,4)),VALUE(MID(B329,4,2)),VALUE(LEFT(B329,2)))
      ),
      IF(ISNUMBER(SEARCH("/",B329)*1),
        DATE(VALUE(RIGHT(B329,4)),VALUE(LEFT(B329,2)),VALUE(MID(B329,4,2))),
        DATEVALUE(B329)
      )
    )
  ),
"INVALID_DATE")</f>
        <v>45497</v>
      </c>
      <c r="AA329" s="2">
        <f>IFERROR(
  IF(ISNUMBER(C329),C329,
    IF(ISNUMBER(SEARCH("-",C329)*1),
      IF(LEN(LEFT(C329,FIND("-",C329)-1))=4,
        DATE(VALUE(LEFT(C329,4)),VALUE(MID(C329,6,2)),VALUE(RIGHT(C329,2))),
        DATE(VALUE(RIGHT(C329,4)),VALUE(MID(C329,4,2)),VALUE(LEFT(C329,2)))
      ),
      IF(ISNUMBER(SEARCH("/",C329)*1),
        DATE(VALUE(RIGHT(C329,4)),VALUE(LEFT(C329,2)),VALUE(MID(C329,4,2))),
        DATEVALUE(C329)
      )
    )
  ),
"INVALID_DATE")</f>
        <v>45500</v>
      </c>
      <c r="AB329">
        <f t="shared" si="33"/>
        <v>3</v>
      </c>
      <c r="AC329" t="str">
        <f t="shared" si="34"/>
        <v>July</v>
      </c>
      <c r="AD329">
        <f t="shared" si="35"/>
        <v>2024</v>
      </c>
    </row>
    <row r="330" spans="1:30">
      <c r="A330" t="s">
        <v>1673</v>
      </c>
      <c r="B330" t="s">
        <v>1674</v>
      </c>
      <c r="C330" t="s">
        <v>1440</v>
      </c>
      <c r="D330" t="s">
        <v>1675</v>
      </c>
      <c r="E330" t="s">
        <v>217</v>
      </c>
      <c r="F330" t="s">
        <v>33</v>
      </c>
      <c r="G330" t="s">
        <v>80</v>
      </c>
      <c r="H330" t="s">
        <v>81</v>
      </c>
      <c r="I330" t="s">
        <v>82</v>
      </c>
      <c r="J330" t="s">
        <v>37</v>
      </c>
      <c r="K330" t="s">
        <v>163</v>
      </c>
      <c r="L330" t="s">
        <v>1676</v>
      </c>
      <c r="M330" t="s">
        <v>63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41</v>
      </c>
      <c r="U330" t="s">
        <v>42</v>
      </c>
      <c r="V330">
        <f t="shared" si="30"/>
        <v>18604.079999999998</v>
      </c>
      <c r="W330">
        <f t="shared" si="31"/>
        <v>2769.7800000000025</v>
      </c>
      <c r="X330">
        <f t="shared" si="32"/>
        <v>0.14888024562354063</v>
      </c>
      <c r="Y330" t="str">
        <f>_xlfn.TEXTJOIN(", ",TRUE,IF(G330="Unknown","Missing Region",""),IF(M330="Unknown","Missing Ship Mode",""),IF(P330&lt;0,"Negative Discount",""),IF(P330&gt;0.7,"High Discount",""),IF(C330&lt;B330,"Ship Before Order",""))</f>
        <v>Ship Before Order</v>
      </c>
      <c r="Z330" s="2">
        <f>IFERROR(
  IF(ISNUMBER(B330),B330,
    IF(ISNUMBER(SEARCH("-",B330)*1),
      IF(LEN(LEFT(B330,FIND("-",B330)-1))=4,
        DATE(VALUE(LEFT(B330,4)),VALUE(MID(B330,6,2)),VALUE(RIGHT(B330,2))),
        DATE(VALUE(RIGHT(B330,4)),VALUE(MID(B330,4,2)),VALUE(LEFT(B330,2)))
      ),
      IF(ISNUMBER(SEARCH("/",B330)*1),
        DATE(VALUE(RIGHT(B330,4)),VALUE(LEFT(B330,2)),VALUE(MID(B330,4,2))),
        DATEVALUE(B330)
      )
    )
  ),
"INVALID_DATE")</f>
        <v>45806</v>
      </c>
      <c r="AA330" s="2">
        <f>IFERROR(
  IF(ISNUMBER(C330),C330,
    IF(ISNUMBER(SEARCH("-",C330)*1),
      IF(LEN(LEFT(C330,FIND("-",C330)-1))=4,
        DATE(VALUE(LEFT(C330,4)),VALUE(MID(C330,6,2)),VALUE(RIGHT(C330,2))),
        DATE(VALUE(RIGHT(C330,4)),VALUE(MID(C330,4,2)),VALUE(LEFT(C330,2)))
      ),
      IF(ISNUMBER(SEARCH("/",C330)*1),
        DATE(VALUE(RIGHT(C330,4)),VALUE(LEFT(C330,2)),VALUE(MID(C330,4,2))),
        DATEVALUE(C330)
      )
    )
  ),
"INVALID_DATE")</f>
        <v>45812</v>
      </c>
      <c r="AB330">
        <f t="shared" si="33"/>
        <v>6</v>
      </c>
      <c r="AC330" t="str">
        <f t="shared" si="34"/>
        <v>May</v>
      </c>
      <c r="AD330">
        <f t="shared" si="35"/>
        <v>2025</v>
      </c>
    </row>
    <row r="331" spans="1:30">
      <c r="A331" t="s">
        <v>1677</v>
      </c>
      <c r="B331" t="s">
        <v>1678</v>
      </c>
      <c r="C331" t="s">
        <v>1679</v>
      </c>
      <c r="D331" t="s">
        <v>1680</v>
      </c>
      <c r="E331" t="s">
        <v>100</v>
      </c>
      <c r="F331" t="s">
        <v>48</v>
      </c>
      <c r="G331" t="s">
        <v>80</v>
      </c>
      <c r="H331" t="s">
        <v>81</v>
      </c>
      <c r="I331" t="s">
        <v>82</v>
      </c>
      <c r="J331" t="s">
        <v>37</v>
      </c>
      <c r="K331" t="s">
        <v>163</v>
      </c>
      <c r="L331" t="s">
        <v>1681</v>
      </c>
      <c r="M331" t="s">
        <v>74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41</v>
      </c>
      <c r="U331" t="s">
        <v>42</v>
      </c>
      <c r="V331">
        <f t="shared" si="30"/>
        <v>15401.513999999999</v>
      </c>
      <c r="W331">
        <f t="shared" si="31"/>
        <v>6751.09</v>
      </c>
      <c r="X331">
        <f t="shared" si="32"/>
        <v>0.4383394874918109</v>
      </c>
      <c r="Y331" t="str">
        <f>_xlfn.TEXTJOIN(", ",TRUE,IF(G331="Unknown","Missing Region",""),IF(M331="Unknown","Missing Ship Mode",""),IF(P331&lt;0,"Negative Discount",""),IF(P331&gt;0.7,"High Discount",""),IF(C331&lt;B331,"Ship Before Order",""))</f>
        <v/>
      </c>
      <c r="Z331" s="2">
        <f>IFERROR(
  IF(ISNUMBER(B331),B331,
    IF(ISNUMBER(SEARCH("-",B331)*1),
      IF(LEN(LEFT(B331,FIND("-",B331)-1))=4,
        DATE(VALUE(LEFT(B331,4)),VALUE(MID(B331,6,2)),VALUE(RIGHT(B331,2))),
        DATE(VALUE(RIGHT(B331,4)),VALUE(MID(B331,4,2)),VALUE(LEFT(B331,2)))
      ),
      IF(ISNUMBER(SEARCH("/",B331)*1),
        DATE(VALUE(RIGHT(B331,4)),VALUE(LEFT(B331,2)),VALUE(MID(B331,4,2))),
        DATEVALUE(B331)
      )
    )
  ),
"INVALID_DATE")</f>
        <v>45789</v>
      </c>
      <c r="AA331" s="2">
        <f>IFERROR(
  IF(ISNUMBER(C331),C331,
    IF(ISNUMBER(SEARCH("-",C331)*1),
      IF(LEN(LEFT(C331,FIND("-",C331)-1))=4,
        DATE(VALUE(LEFT(C331,4)),VALUE(MID(C331,6,2)),VALUE(RIGHT(C331,2))),
        DATE(VALUE(RIGHT(C331,4)),VALUE(MID(C331,4,2)),VALUE(LEFT(C331,2)))
      ),
      IF(ISNUMBER(SEARCH("/",C331)*1),
        DATE(VALUE(RIGHT(C331,4)),VALUE(LEFT(C331,2)),VALUE(MID(C331,4,2))),
        DATEVALUE(C331)
      )
    )
  ),
"INVALID_DATE")</f>
        <v>45795</v>
      </c>
      <c r="AB331">
        <f t="shared" si="33"/>
        <v>6</v>
      </c>
      <c r="AC331" t="str">
        <f t="shared" si="34"/>
        <v>May</v>
      </c>
      <c r="AD331">
        <f t="shared" si="35"/>
        <v>2025</v>
      </c>
    </row>
    <row r="332" spans="1:30">
      <c r="A332" t="s">
        <v>1682</v>
      </c>
      <c r="B332" t="s">
        <v>1136</v>
      </c>
      <c r="C332" t="s">
        <v>717</v>
      </c>
      <c r="D332" t="s">
        <v>1683</v>
      </c>
      <c r="E332" t="s">
        <v>68</v>
      </c>
      <c r="F332" t="s">
        <v>122</v>
      </c>
      <c r="G332" t="s">
        <v>34</v>
      </c>
      <c r="H332" t="s">
        <v>161</v>
      </c>
      <c r="I332" t="s">
        <v>162</v>
      </c>
      <c r="J332" t="s">
        <v>93</v>
      </c>
      <c r="K332" t="s">
        <v>94</v>
      </c>
      <c r="L332" t="s">
        <v>1684</v>
      </c>
      <c r="M332" t="s">
        <v>55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207</v>
      </c>
      <c r="U332" t="s">
        <v>85</v>
      </c>
      <c r="V332">
        <f t="shared" si="30"/>
        <v>783.09</v>
      </c>
      <c r="W332">
        <f t="shared" si="31"/>
        <v>279.20000000000005</v>
      </c>
      <c r="X332">
        <f t="shared" si="32"/>
        <v>0.35653628573982554</v>
      </c>
      <c r="Y332" t="str">
        <f>_xlfn.TEXTJOIN(", ",TRUE,IF(G332="Unknown","Missing Region",""),IF(M332="Unknown","Missing Ship Mode",""),IF(P332&lt;0,"Negative Discount",""),IF(P332&gt;0.7,"High Discount",""),IF(C332&lt;B332,"Ship Before Order",""))</f>
        <v/>
      </c>
      <c r="Z332" s="2">
        <f>IFERROR(
  IF(ISNUMBER(B332),B332,
    IF(ISNUMBER(SEARCH("-",B332)*1),
      IF(LEN(LEFT(B332,FIND("-",B332)-1))=4,
        DATE(VALUE(LEFT(B332,4)),VALUE(MID(B332,6,2)),VALUE(RIGHT(B332,2))),
        DATE(VALUE(RIGHT(B332,4)),VALUE(MID(B332,4,2)),VALUE(LEFT(B332,2)))
      ),
      IF(ISNUMBER(SEARCH("/",B332)*1),
        DATE(VALUE(RIGHT(B332,4)),VALUE(LEFT(B332,2)),VALUE(MID(B332,4,2))),
        DATEVALUE(B332)
      )
    )
  ),
"INVALID_DATE")</f>
        <v>45428</v>
      </c>
      <c r="AA332" s="2">
        <f>IFERROR(
  IF(ISNUMBER(C332),C332,
    IF(ISNUMBER(SEARCH("-",C332)*1),
      IF(LEN(LEFT(C332,FIND("-",C332)-1))=4,
        DATE(VALUE(LEFT(C332,4)),VALUE(MID(C332,6,2)),VALUE(RIGHT(C332,2))),
        DATE(VALUE(RIGHT(C332,4)),VALUE(MID(C332,4,2)),VALUE(LEFT(C332,2)))
      ),
      IF(ISNUMBER(SEARCH("/",C332)*1),
        DATE(VALUE(RIGHT(C332,4)),VALUE(LEFT(C332,2)),VALUE(MID(C332,4,2))),
        DATEVALUE(C332)
      )
    )
  ),
"INVALID_DATE")</f>
        <v>45436</v>
      </c>
      <c r="AB332">
        <f t="shared" si="33"/>
        <v>8</v>
      </c>
      <c r="AC332" t="str">
        <f t="shared" si="34"/>
        <v>May</v>
      </c>
      <c r="AD332">
        <f t="shared" si="35"/>
        <v>2024</v>
      </c>
    </row>
    <row r="333" spans="1:30">
      <c r="A333" t="s">
        <v>1685</v>
      </c>
      <c r="B333" t="s">
        <v>713</v>
      </c>
      <c r="C333" t="s">
        <v>1686</v>
      </c>
      <c r="D333" t="s">
        <v>1687</v>
      </c>
      <c r="E333" t="s">
        <v>175</v>
      </c>
      <c r="F333" t="s">
        <v>122</v>
      </c>
      <c r="G333" t="s">
        <v>49</v>
      </c>
      <c r="H333" t="s">
        <v>50</v>
      </c>
      <c r="I333" t="s">
        <v>51</v>
      </c>
      <c r="J333" t="s">
        <v>37</v>
      </c>
      <c r="K333" t="s">
        <v>205</v>
      </c>
      <c r="L333" t="s">
        <v>1688</v>
      </c>
      <c r="M333" t="s">
        <v>40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41</v>
      </c>
      <c r="U333" t="s">
        <v>132</v>
      </c>
      <c r="V333">
        <f t="shared" si="30"/>
        <v>10742.64</v>
      </c>
      <c r="W333">
        <f t="shared" si="31"/>
        <v>4265.2699999999995</v>
      </c>
      <c r="X333">
        <f t="shared" si="32"/>
        <v>0.3970411370017054</v>
      </c>
      <c r="Y333" t="str">
        <f>_xlfn.TEXTJOIN(", ",TRUE,IF(G333="Unknown","Missing Region",""),IF(M333="Unknown","Missing Ship Mode",""),IF(P333&lt;0,"Negative Discount",""),IF(P333&gt;0.7,"High Discount",""),IF(C333&lt;B333,"Ship Before Order",""))</f>
        <v/>
      </c>
      <c r="Z333" s="2">
        <f>IFERROR(
  IF(ISNUMBER(B333),B333,
    IF(ISNUMBER(SEARCH("-",B333)*1),
      IF(LEN(LEFT(B333,FIND("-",B333)-1))=4,
        DATE(VALUE(LEFT(B333,4)),VALUE(MID(B333,6,2)),VALUE(RIGHT(B333,2))),
        DATE(VALUE(RIGHT(B333,4)),VALUE(MID(B333,4,2)),VALUE(LEFT(B333,2)))
      ),
      IF(ISNUMBER(SEARCH("/",B333)*1),
        DATE(VALUE(RIGHT(B333,4)),VALUE(LEFT(B333,2)),VALUE(MID(B333,4,2))),
        DATEVALUE(B333)
      )
    )
  ),
"INVALID_DATE")</f>
        <v>45630</v>
      </c>
      <c r="AA333" s="2">
        <f>IFERROR(
  IF(ISNUMBER(C333),C333,
    IF(ISNUMBER(SEARCH("-",C333)*1),
      IF(LEN(LEFT(C333,FIND("-",C333)-1))=4,
        DATE(VALUE(LEFT(C333,4)),VALUE(MID(C333,6,2)),VALUE(RIGHT(C333,2))),
        DATE(VALUE(RIGHT(C333,4)),VALUE(MID(C333,4,2)),VALUE(LEFT(C333,2)))
      ),
      IF(ISNUMBER(SEARCH("/",C333)*1),
        DATE(VALUE(RIGHT(C333,4)),VALUE(LEFT(C333,2)),VALUE(MID(C333,4,2))),
        DATEVALUE(C333)
      )
    )
  ),
"INVALID_DATE")</f>
        <v>45632</v>
      </c>
      <c r="AB333">
        <f t="shared" si="33"/>
        <v>2</v>
      </c>
      <c r="AC333" t="str">
        <f t="shared" si="34"/>
        <v>December</v>
      </c>
      <c r="AD333">
        <f t="shared" si="35"/>
        <v>2024</v>
      </c>
    </row>
    <row r="334" spans="1:30">
      <c r="A334" t="s">
        <v>1689</v>
      </c>
      <c r="B334" t="s">
        <v>1690</v>
      </c>
      <c r="C334" t="s">
        <v>1691</v>
      </c>
      <c r="D334" t="s">
        <v>1692</v>
      </c>
      <c r="E334" t="s">
        <v>169</v>
      </c>
      <c r="F334" t="s">
        <v>33</v>
      </c>
      <c r="G334" t="s">
        <v>69</v>
      </c>
      <c r="H334" t="s">
        <v>107</v>
      </c>
      <c r="I334" t="s">
        <v>108</v>
      </c>
      <c r="J334" t="s">
        <v>93</v>
      </c>
      <c r="K334" t="s">
        <v>1693</v>
      </c>
      <c r="L334" t="s">
        <v>1694</v>
      </c>
      <c r="M334" t="s">
        <v>40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41</v>
      </c>
      <c r="U334" t="s">
        <v>42</v>
      </c>
      <c r="V334">
        <f t="shared" si="30"/>
        <v>7823.92</v>
      </c>
      <c r="W334">
        <f t="shared" si="31"/>
        <v>1789.29</v>
      </c>
      <c r="X334">
        <f t="shared" si="32"/>
        <v>0.22869482305545047</v>
      </c>
      <c r="Y334" t="str">
        <f>_xlfn.TEXTJOIN(", ",TRUE,IF(G334="Unknown","Missing Region",""),IF(M334="Unknown","Missing Ship Mode",""),IF(P334&lt;0,"Negative Discount",""),IF(P334&gt;0.7,"High Discount",""),IF(C334&lt;B334,"Ship Before Order",""))</f>
        <v>Ship Before Order</v>
      </c>
      <c r="Z334" s="2">
        <f>IFERROR(
  IF(ISNUMBER(B334),B334,
    IF(ISNUMBER(SEARCH("-",B334)*1),
      IF(LEN(LEFT(B334,FIND("-",B334)-1))=4,
        DATE(VALUE(LEFT(B334,4)),VALUE(MID(B334,6,2)),VALUE(RIGHT(B334,2))),
        DATE(VALUE(RIGHT(B334,4)),VALUE(MID(B334,4,2)),VALUE(LEFT(B334,2)))
      ),
      IF(ISNUMBER(SEARCH("/",B334)*1),
        DATE(VALUE(RIGHT(B334,4)),VALUE(LEFT(B334,2)),VALUE(MID(B334,4,2))),
        DATEVALUE(B334)
      )
    )
  ),
"INVALID_DATE")</f>
        <v>45804</v>
      </c>
      <c r="AA334" s="2">
        <f>IFERROR(
  IF(ISNUMBER(C334),C334,
    IF(ISNUMBER(SEARCH("-",C334)*1),
      IF(LEN(LEFT(C334,FIND("-",C334)-1))=4,
        DATE(VALUE(LEFT(C334,4)),VALUE(MID(C334,6,2)),VALUE(RIGHT(C334,2))),
        DATE(VALUE(RIGHT(C334,4)),VALUE(MID(C334,4,2)),VALUE(LEFT(C334,2)))
      ),
      IF(ISNUMBER(SEARCH("/",C334)*1),
        DATE(VALUE(RIGHT(C334,4)),VALUE(LEFT(C334,2)),VALUE(MID(C334,4,2))),
        DATEVALUE(C334)
      )
    )
  ),
"INVALID_DATE")</f>
        <v>45805</v>
      </c>
      <c r="AB334">
        <f t="shared" si="33"/>
        <v>1</v>
      </c>
      <c r="AC334" t="str">
        <f t="shared" si="34"/>
        <v>May</v>
      </c>
      <c r="AD334">
        <f t="shared" si="35"/>
        <v>2025</v>
      </c>
    </row>
    <row r="335" spans="1:30">
      <c r="A335" t="s">
        <v>1695</v>
      </c>
      <c r="B335" t="s">
        <v>1696</v>
      </c>
      <c r="C335" t="s">
        <v>1697</v>
      </c>
      <c r="D335" t="s">
        <v>1698</v>
      </c>
      <c r="E335" t="s">
        <v>187</v>
      </c>
      <c r="F335" t="s">
        <v>122</v>
      </c>
      <c r="G335" t="s">
        <v>279</v>
      </c>
      <c r="H335" t="s">
        <v>514</v>
      </c>
      <c r="I335" t="s">
        <v>515</v>
      </c>
      <c r="J335" t="s">
        <v>93</v>
      </c>
      <c r="K335" t="s">
        <v>230</v>
      </c>
      <c r="L335" t="s">
        <v>1699</v>
      </c>
      <c r="M335" t="s">
        <v>63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41</v>
      </c>
      <c r="U335" t="s">
        <v>42</v>
      </c>
      <c r="V335">
        <f t="shared" si="30"/>
        <v>2936.1</v>
      </c>
      <c r="W335">
        <f t="shared" si="31"/>
        <v>1013</v>
      </c>
      <c r="X335">
        <f t="shared" si="32"/>
        <v>0.34501549674738602</v>
      </c>
      <c r="Y335" t="str">
        <f>_xlfn.TEXTJOIN(", ",TRUE,IF(G335="Unknown","Missing Region",""),IF(M335="Unknown","Missing Ship Mode",""),IF(P335&lt;0,"Negative Discount",""),IF(P335&gt;0.7,"High Discount",""),IF(C335&lt;B335,"Ship Before Order",""))</f>
        <v>Missing Region, Ship Before Order</v>
      </c>
      <c r="Z335" s="2">
        <f>IFERROR(
  IF(ISNUMBER(B335),B335,
    IF(ISNUMBER(SEARCH("-",B335)*1),
      IF(LEN(LEFT(B335,FIND("-",B335)-1))=4,
        DATE(VALUE(LEFT(B335,4)),VALUE(MID(B335,6,2)),VALUE(RIGHT(B335,2))),
        DATE(VALUE(RIGHT(B335,4)),VALUE(MID(B335,4,2)),VALUE(LEFT(B335,2)))
      ),
      IF(ISNUMBER(SEARCH("/",B335)*1),
        DATE(VALUE(RIGHT(B335,4)),VALUE(LEFT(B335,2)),VALUE(MID(B335,4,2))),
        DATEVALUE(B335)
      )
    )
  ),
"INVALID_DATE")</f>
        <v>45830</v>
      </c>
      <c r="AA335" s="2">
        <f>IFERROR(
  IF(ISNUMBER(C335),C335,
    IF(ISNUMBER(SEARCH("-",C335)*1),
      IF(LEN(LEFT(C335,FIND("-",C335)-1))=4,
        DATE(VALUE(LEFT(C335,4)),VALUE(MID(C335,6,2)),VALUE(RIGHT(C335,2))),
        DATE(VALUE(RIGHT(C335,4)),VALUE(MID(C335,4,2)),VALUE(LEFT(C335,2)))
      ),
      IF(ISNUMBER(SEARCH("/",C335)*1),
        DATE(VALUE(RIGHT(C335,4)),VALUE(LEFT(C335,2)),VALUE(MID(C335,4,2))),
        DATEVALUE(C335)
      )
    )
  ),
"INVALID_DATE")</f>
        <v>45835</v>
      </c>
      <c r="AB335">
        <f t="shared" si="33"/>
        <v>5</v>
      </c>
      <c r="AC335" t="str">
        <f t="shared" si="34"/>
        <v>June</v>
      </c>
      <c r="AD335">
        <f t="shared" si="35"/>
        <v>2025</v>
      </c>
    </row>
    <row r="336" spans="1:30">
      <c r="A336" t="s">
        <v>1700</v>
      </c>
      <c r="B336" t="s">
        <v>1701</v>
      </c>
      <c r="C336" t="s">
        <v>1702</v>
      </c>
      <c r="D336" t="s">
        <v>1703</v>
      </c>
      <c r="E336" t="s">
        <v>79</v>
      </c>
      <c r="F336" t="s">
        <v>33</v>
      </c>
      <c r="G336" t="s">
        <v>49</v>
      </c>
      <c r="H336" t="s">
        <v>319</v>
      </c>
      <c r="I336" t="s">
        <v>320</v>
      </c>
      <c r="J336" t="s">
        <v>37</v>
      </c>
      <c r="K336" t="s">
        <v>163</v>
      </c>
      <c r="L336" t="s">
        <v>1704</v>
      </c>
      <c r="M336" t="s">
        <v>63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41</v>
      </c>
      <c r="U336" t="s">
        <v>42</v>
      </c>
      <c r="V336">
        <f t="shared" si="30"/>
        <v>12969.922500000001</v>
      </c>
      <c r="W336">
        <f t="shared" si="31"/>
        <v>3571.4600000000009</v>
      </c>
      <c r="X336">
        <f t="shared" si="32"/>
        <v>0.27536484419333351</v>
      </c>
      <c r="Y336" t="str">
        <f>_xlfn.TEXTJOIN(", ",TRUE,IF(G336="Unknown","Missing Region",""),IF(M336="Unknown","Missing Ship Mode",""),IF(P336&lt;0,"Negative Discount",""),IF(P336&gt;0.7,"High Discount",""),IF(C336&lt;B336,"Ship Before Order",""))</f>
        <v/>
      </c>
      <c r="Z336" s="2">
        <f>IFERROR(
  IF(ISNUMBER(B336),B336,
    IF(ISNUMBER(SEARCH("-",B336)*1),
      IF(LEN(LEFT(B336,FIND("-",B336)-1))=4,
        DATE(VALUE(LEFT(B336,4)),VALUE(MID(B336,6,2)),VALUE(RIGHT(B336,2))),
        DATE(VALUE(RIGHT(B336,4)),VALUE(MID(B336,4,2)),VALUE(LEFT(B336,2)))
      ),
      IF(ISNUMBER(SEARCH("/",B336)*1),
        DATE(VALUE(RIGHT(B336,4)),VALUE(LEFT(B336,2)),VALUE(MID(B336,4,2))),
        DATEVALUE(B336)
      )
    )
  ),
"INVALID_DATE")</f>
        <v>45547</v>
      </c>
      <c r="AA336" s="2">
        <f>IFERROR(
  IF(ISNUMBER(C336),C336,
    IF(ISNUMBER(SEARCH("-",C336)*1),
      IF(LEN(LEFT(C336,FIND("-",C336)-1))=4,
        DATE(VALUE(LEFT(C336,4)),VALUE(MID(C336,6,2)),VALUE(RIGHT(C336,2))),
        DATE(VALUE(RIGHT(C336,4)),VALUE(MID(C336,4,2)),VALUE(LEFT(C336,2)))
      ),
      IF(ISNUMBER(SEARCH("/",C336)*1),
        DATE(VALUE(RIGHT(C336,4)),VALUE(LEFT(C336,2)),VALUE(MID(C336,4,2))),
        DATEVALUE(C336)
      )
    )
  ),
"INVALID_DATE")</f>
        <v>45552</v>
      </c>
      <c r="AB336">
        <f t="shared" si="33"/>
        <v>5</v>
      </c>
      <c r="AC336" t="str">
        <f t="shared" si="34"/>
        <v>September</v>
      </c>
      <c r="AD336">
        <f t="shared" si="35"/>
        <v>2024</v>
      </c>
    </row>
    <row r="337" spans="1:30">
      <c r="A337" t="s">
        <v>1705</v>
      </c>
      <c r="B337" t="s">
        <v>1706</v>
      </c>
      <c r="C337" t="s">
        <v>1707</v>
      </c>
      <c r="D337" t="s">
        <v>1708</v>
      </c>
      <c r="E337" t="s">
        <v>155</v>
      </c>
      <c r="F337" t="s">
        <v>122</v>
      </c>
      <c r="G337" t="s">
        <v>80</v>
      </c>
      <c r="H337" t="s">
        <v>91</v>
      </c>
      <c r="I337" t="s">
        <v>92</v>
      </c>
      <c r="J337" t="s">
        <v>37</v>
      </c>
      <c r="K337" t="s">
        <v>38</v>
      </c>
      <c r="L337" t="s">
        <v>1709</v>
      </c>
      <c r="M337" t="s">
        <v>63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41</v>
      </c>
      <c r="U337" t="s">
        <v>42</v>
      </c>
      <c r="V337">
        <f t="shared" si="30"/>
        <v>11581.298999999999</v>
      </c>
      <c r="W337">
        <f t="shared" si="31"/>
        <v>4751.869999999999</v>
      </c>
      <c r="X337">
        <f t="shared" si="32"/>
        <v>0.41030540612884564</v>
      </c>
      <c r="Y337" t="str">
        <f>_xlfn.TEXTJOIN(", ",TRUE,IF(G337="Unknown","Missing Region",""),IF(M337="Unknown","Missing Ship Mode",""),IF(P337&lt;0,"Negative Discount",""),IF(P337&gt;0.7,"High Discount",""),IF(C337&lt;B337,"Ship Before Order",""))</f>
        <v/>
      </c>
      <c r="Z337" s="2">
        <f>IFERROR(
  IF(ISNUMBER(B337),B337,
    IF(ISNUMBER(SEARCH("-",B337)*1),
      IF(LEN(LEFT(B337,FIND("-",B337)-1))=4,
        DATE(VALUE(LEFT(B337,4)),VALUE(MID(B337,6,2)),VALUE(RIGHT(B337,2))),
        DATE(VALUE(RIGHT(B337,4)),VALUE(MID(B337,4,2)),VALUE(LEFT(B337,2)))
      ),
      IF(ISNUMBER(SEARCH("/",B337)*1),
        DATE(VALUE(RIGHT(B337,4)),VALUE(LEFT(B337,2)),VALUE(MID(B337,4,2))),
        DATEVALUE(B337)
      )
    )
  ),
"INVALID_DATE")</f>
        <v>45824</v>
      </c>
      <c r="AA337" s="2">
        <f>IFERROR(
  IF(ISNUMBER(C337),C337,
    IF(ISNUMBER(SEARCH("-",C337)*1),
      IF(LEN(LEFT(C337,FIND("-",C337)-1))=4,
        DATE(VALUE(LEFT(C337,4)),VALUE(MID(C337,6,2)),VALUE(RIGHT(C337,2))),
        DATE(VALUE(RIGHT(C337,4)),VALUE(MID(C337,4,2)),VALUE(LEFT(C337,2)))
      ),
      IF(ISNUMBER(SEARCH("/",C337)*1),
        DATE(VALUE(RIGHT(C337,4)),VALUE(LEFT(C337,2)),VALUE(MID(C337,4,2))),
        DATEVALUE(C337)
      )
    )
  ),
"INVALID_DATE")</f>
        <v>45826</v>
      </c>
      <c r="AB337">
        <f t="shared" si="33"/>
        <v>2</v>
      </c>
      <c r="AC337" t="str">
        <f t="shared" si="34"/>
        <v>June</v>
      </c>
      <c r="AD337">
        <f t="shared" si="35"/>
        <v>2025</v>
      </c>
    </row>
    <row r="338" spans="1:30">
      <c r="A338" t="s">
        <v>1710</v>
      </c>
      <c r="B338" t="s">
        <v>312</v>
      </c>
      <c r="C338" t="s">
        <v>1711</v>
      </c>
      <c r="D338" t="s">
        <v>1329</v>
      </c>
      <c r="E338" t="s">
        <v>169</v>
      </c>
      <c r="F338" t="s">
        <v>33</v>
      </c>
      <c r="G338" t="s">
        <v>34</v>
      </c>
      <c r="H338" t="s">
        <v>35</v>
      </c>
      <c r="I338" t="s">
        <v>36</v>
      </c>
      <c r="J338" t="s">
        <v>93</v>
      </c>
      <c r="K338" t="s">
        <v>101</v>
      </c>
      <c r="L338" t="s">
        <v>1712</v>
      </c>
      <c r="M338" t="s">
        <v>63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41</v>
      </c>
      <c r="U338" t="s">
        <v>42</v>
      </c>
      <c r="V338">
        <f t="shared" si="30"/>
        <v>15940.56</v>
      </c>
      <c r="W338">
        <f t="shared" si="31"/>
        <v>3593.41</v>
      </c>
      <c r="X338">
        <f t="shared" si="32"/>
        <v>0.2254255810335396</v>
      </c>
      <c r="Y338" t="str">
        <f>_xlfn.TEXTJOIN(", ",TRUE,IF(G338="Unknown","Missing Region",""),IF(M338="Unknown","Missing Ship Mode",""),IF(P338&lt;0,"Negative Discount",""),IF(P338&gt;0.7,"High Discount",""),IF(C338&lt;B338,"Ship Before Order",""))</f>
        <v>Ship Before Order</v>
      </c>
      <c r="Z338" s="2">
        <f>IFERROR(
  IF(ISNUMBER(B338),B338,
    IF(ISNUMBER(SEARCH("-",B338)*1),
      IF(LEN(LEFT(B338,FIND("-",B338)-1))=4,
        DATE(VALUE(LEFT(B338,4)),VALUE(MID(B338,6,2)),VALUE(RIGHT(B338,2))),
        DATE(VALUE(RIGHT(B338,4)),VALUE(MID(B338,4,2)),VALUE(LEFT(B338,2)))
      ),
      IF(ISNUMBER(SEARCH("/",B338)*1),
        DATE(VALUE(RIGHT(B338,4)),VALUE(LEFT(B338,2)),VALUE(MID(B338,4,2))),
        DATEVALUE(B338)
      )
    )
  ),
"INVALID_DATE")</f>
        <v>45368</v>
      </c>
      <c r="AA338" s="2">
        <f>IFERROR(
  IF(ISNUMBER(C338),C338,
    IF(ISNUMBER(SEARCH("-",C338)*1),
      IF(LEN(LEFT(C338,FIND("-",C338)-1))=4,
        DATE(VALUE(LEFT(C338,4)),VALUE(MID(C338,6,2)),VALUE(RIGHT(C338,2))),
        DATE(VALUE(RIGHT(C338,4)),VALUE(MID(C338,4,2)),VALUE(LEFT(C338,2)))
      ),
      IF(ISNUMBER(SEARCH("/",C338)*1),
        DATE(VALUE(RIGHT(C338,4)),VALUE(LEFT(C338,2)),VALUE(MID(C338,4,2))),
        DATEVALUE(C338)
      )
    )
  ),
"INVALID_DATE")</f>
        <v>45372</v>
      </c>
      <c r="AB338">
        <f t="shared" si="33"/>
        <v>4</v>
      </c>
      <c r="AC338" t="str">
        <f t="shared" si="34"/>
        <v>March</v>
      </c>
      <c r="AD338">
        <f t="shared" si="35"/>
        <v>2024</v>
      </c>
    </row>
    <row r="339" spans="1:30">
      <c r="A339" t="s">
        <v>1713</v>
      </c>
      <c r="B339" t="s">
        <v>1714</v>
      </c>
      <c r="C339" t="s">
        <v>1715</v>
      </c>
      <c r="D339" t="s">
        <v>1716</v>
      </c>
      <c r="E339" t="s">
        <v>79</v>
      </c>
      <c r="F339" t="s">
        <v>33</v>
      </c>
      <c r="G339" t="s">
        <v>49</v>
      </c>
      <c r="H339" t="s">
        <v>223</v>
      </c>
      <c r="I339" t="s">
        <v>224</v>
      </c>
      <c r="J339" t="s">
        <v>37</v>
      </c>
      <c r="K339" t="s">
        <v>116</v>
      </c>
      <c r="L339" t="s">
        <v>1717</v>
      </c>
      <c r="M339" t="s">
        <v>55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41</v>
      </c>
      <c r="U339" t="s">
        <v>42</v>
      </c>
      <c r="V339">
        <f t="shared" si="30"/>
        <v>7090.4400000000005</v>
      </c>
      <c r="W339">
        <f t="shared" si="31"/>
        <v>1418.1699999999992</v>
      </c>
      <c r="X339">
        <f t="shared" si="32"/>
        <v>0.17810883386644552</v>
      </c>
      <c r="Y339" t="str">
        <f>_xlfn.TEXTJOIN(", ",TRUE,IF(G339="Unknown","Missing Region",""),IF(M339="Unknown","Missing Ship Mode",""),IF(P339&lt;0,"Negative Discount",""),IF(P339&gt;0.7,"High Discount",""),IF(C339&lt;B339,"Ship Before Order",""))</f>
        <v/>
      </c>
      <c r="Z339" s="2">
        <f>IFERROR(
  IF(ISNUMBER(B339),B339,
    IF(ISNUMBER(SEARCH("-",B339)*1),
      IF(LEN(LEFT(B339,FIND("-",B339)-1))=4,
        DATE(VALUE(LEFT(B339,4)),VALUE(MID(B339,6,2)),VALUE(RIGHT(B339,2))),
        DATE(VALUE(RIGHT(B339,4)),VALUE(MID(B339,4,2)),VALUE(LEFT(B339,2)))
      ),
      IF(ISNUMBER(SEARCH("/",B339)*1),
        DATE(VALUE(RIGHT(B339,4)),VALUE(LEFT(B339,2)),VALUE(MID(B339,4,2))),
        DATEVALUE(B339)
      )
    )
  ),
"INVALID_DATE")</f>
        <v>45516</v>
      </c>
      <c r="AA339" s="2">
        <f>IFERROR(
  IF(ISNUMBER(C339),C339,
    IF(ISNUMBER(SEARCH("-",C339)*1),
      IF(LEN(LEFT(C339,FIND("-",C339)-1))=4,
        DATE(VALUE(LEFT(C339,4)),VALUE(MID(C339,6,2)),VALUE(RIGHT(C339,2))),
        DATE(VALUE(RIGHT(C339,4)),VALUE(MID(C339,4,2)),VALUE(LEFT(C339,2)))
      ),
      IF(ISNUMBER(SEARCH("/",C339)*1),
        DATE(VALUE(RIGHT(C339,4)),VALUE(LEFT(C339,2)),VALUE(MID(C339,4,2))),
        DATEVALUE(C339)
      )
    )
  ),
"INVALID_DATE")</f>
        <v>45522</v>
      </c>
      <c r="AB339">
        <f t="shared" si="33"/>
        <v>6</v>
      </c>
      <c r="AC339" t="str">
        <f t="shared" si="34"/>
        <v>August</v>
      </c>
      <c r="AD339">
        <f t="shared" si="35"/>
        <v>2024</v>
      </c>
    </row>
    <row r="340" spans="1:30">
      <c r="A340" t="s">
        <v>1718</v>
      </c>
      <c r="B340" t="s">
        <v>1719</v>
      </c>
      <c r="C340" t="s">
        <v>1472</v>
      </c>
      <c r="D340" t="s">
        <v>1720</v>
      </c>
      <c r="E340" t="s">
        <v>68</v>
      </c>
      <c r="F340" t="s">
        <v>48</v>
      </c>
      <c r="G340" t="s">
        <v>69</v>
      </c>
      <c r="H340" t="s">
        <v>107</v>
      </c>
      <c r="I340" t="s">
        <v>108</v>
      </c>
      <c r="J340" t="s">
        <v>93</v>
      </c>
      <c r="K340" t="s">
        <v>94</v>
      </c>
      <c r="L340" t="s">
        <v>1721</v>
      </c>
      <c r="M340" t="s">
        <v>63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41</v>
      </c>
      <c r="U340" t="s">
        <v>42</v>
      </c>
      <c r="V340">
        <f t="shared" si="30"/>
        <v>26414.159999999996</v>
      </c>
      <c r="W340">
        <f t="shared" si="31"/>
        <v>4591.630000000001</v>
      </c>
      <c r="X340">
        <f t="shared" si="32"/>
        <v>0.17383214154832105</v>
      </c>
      <c r="Y340" t="str">
        <f>_xlfn.TEXTJOIN(", ",TRUE,IF(G340="Unknown","Missing Region",""),IF(M340="Unknown","Missing Ship Mode",""),IF(P340&lt;0,"Negative Discount",""),IF(P340&gt;0.7,"High Discount",""),IF(C340&lt;B340,"Ship Before Order",""))</f>
        <v/>
      </c>
      <c r="Z340" s="2">
        <f>IFERROR(
  IF(ISNUMBER(B340),B340,
    IF(ISNUMBER(SEARCH("-",B340)*1),
      IF(LEN(LEFT(B340,FIND("-",B340)-1))=4,
        DATE(VALUE(LEFT(B340,4)),VALUE(MID(B340,6,2)),VALUE(RIGHT(B340,2))),
        DATE(VALUE(RIGHT(B340,4)),VALUE(MID(B340,4,2)),VALUE(LEFT(B340,2)))
      ),
      IF(ISNUMBER(SEARCH("/",B340)*1),
        DATE(VALUE(RIGHT(B340,4)),VALUE(LEFT(B340,2)),VALUE(MID(B340,4,2))),
        DATEVALUE(B340)
      )
    )
  ),
"INVALID_DATE")</f>
        <v>45634</v>
      </c>
      <c r="AA340" s="2">
        <f>IFERROR(
  IF(ISNUMBER(C340),C340,
    IF(ISNUMBER(SEARCH("-",C340)*1),
      IF(LEN(LEFT(C340,FIND("-",C340)-1))=4,
        DATE(VALUE(LEFT(C340,4)),VALUE(MID(C340,6,2)),VALUE(RIGHT(C340,2))),
        DATE(VALUE(RIGHT(C340,4)),VALUE(MID(C340,4,2)),VALUE(LEFT(C340,2)))
      ),
      IF(ISNUMBER(SEARCH("/",C340)*1),
        DATE(VALUE(RIGHT(C340,4)),VALUE(LEFT(C340,2)),VALUE(MID(C340,4,2))),
        DATEVALUE(C340)
      )
    )
  ),
"INVALID_DATE")</f>
        <v>45634</v>
      </c>
      <c r="AB340">
        <f t="shared" si="33"/>
        <v>0</v>
      </c>
      <c r="AC340" t="str">
        <f t="shared" si="34"/>
        <v>December</v>
      </c>
      <c r="AD340">
        <f t="shared" si="35"/>
        <v>2024</v>
      </c>
    </row>
    <row r="341" spans="1:30">
      <c r="A341" t="s">
        <v>1722</v>
      </c>
      <c r="B341" t="s">
        <v>924</v>
      </c>
      <c r="C341" t="s">
        <v>1723</v>
      </c>
      <c r="D341" t="s">
        <v>1724</v>
      </c>
      <c r="E341" t="s">
        <v>100</v>
      </c>
      <c r="F341" t="s">
        <v>115</v>
      </c>
      <c r="G341" t="s">
        <v>49</v>
      </c>
      <c r="H341" t="s">
        <v>319</v>
      </c>
      <c r="I341" t="s">
        <v>320</v>
      </c>
      <c r="J341" t="s">
        <v>52</v>
      </c>
      <c r="K341" t="s">
        <v>211</v>
      </c>
      <c r="L341" t="s">
        <v>1725</v>
      </c>
      <c r="M341" t="s">
        <v>74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41</v>
      </c>
      <c r="U341" t="s">
        <v>42</v>
      </c>
      <c r="V341">
        <f t="shared" si="30"/>
        <v>20900.864000000001</v>
      </c>
      <c r="W341">
        <f t="shared" si="31"/>
        <v>8387.7200000000012</v>
      </c>
      <c r="X341">
        <f t="shared" si="32"/>
        <v>0.40130980256314808</v>
      </c>
      <c r="Y341" t="str">
        <f>_xlfn.TEXTJOIN(", ",TRUE,IF(G341="Unknown","Missing Region",""),IF(M341="Unknown","Missing Ship Mode",""),IF(P341&lt;0,"Negative Discount",""),IF(P341&gt;0.7,"High Discount",""),IF(C341&lt;B341,"Ship Before Order",""))</f>
        <v/>
      </c>
      <c r="Z341" s="2">
        <f>IFERROR(
  IF(ISNUMBER(B341),B341,
    IF(ISNUMBER(SEARCH("-",B341)*1),
      IF(LEN(LEFT(B341,FIND("-",B341)-1))=4,
        DATE(VALUE(LEFT(B341,4)),VALUE(MID(B341,6,2)),VALUE(RIGHT(B341,2))),
        DATE(VALUE(RIGHT(B341,4)),VALUE(MID(B341,4,2)),VALUE(LEFT(B341,2)))
      ),
      IF(ISNUMBER(SEARCH("/",B341)*1),
        DATE(VALUE(RIGHT(B341,4)),VALUE(LEFT(B341,2)),VALUE(MID(B341,4,2))),
        DATEVALUE(B341)
      )
    )
  ),
"INVALID_DATE")</f>
        <v>45708</v>
      </c>
      <c r="AA341" s="2">
        <f>IFERROR(
  IF(ISNUMBER(C341),C341,
    IF(ISNUMBER(SEARCH("-",C341)*1),
      IF(LEN(LEFT(C341,FIND("-",C341)-1))=4,
        DATE(VALUE(LEFT(C341,4)),VALUE(MID(C341,6,2)),VALUE(RIGHT(C341,2))),
        DATE(VALUE(RIGHT(C341,4)),VALUE(MID(C341,4,2)),VALUE(LEFT(C341,2)))
      ),
      IF(ISNUMBER(SEARCH("/",C341)*1),
        DATE(VALUE(RIGHT(C341,4)),VALUE(LEFT(C341,2)),VALUE(MID(C341,4,2))),
        DATEVALUE(C341)
      )
    )
  ),
"INVALID_DATE")</f>
        <v>45710</v>
      </c>
      <c r="AB341">
        <f t="shared" si="33"/>
        <v>2</v>
      </c>
      <c r="AC341" t="str">
        <f t="shared" si="34"/>
        <v>February</v>
      </c>
      <c r="AD341">
        <f t="shared" si="35"/>
        <v>2025</v>
      </c>
    </row>
    <row r="342" spans="1:30">
      <c r="A342" t="s">
        <v>1726</v>
      </c>
      <c r="B342" t="s">
        <v>1727</v>
      </c>
      <c r="C342" t="s">
        <v>1728</v>
      </c>
      <c r="D342" t="s">
        <v>1729</v>
      </c>
      <c r="E342" t="s">
        <v>100</v>
      </c>
      <c r="F342" t="s">
        <v>33</v>
      </c>
      <c r="G342" t="s">
        <v>69</v>
      </c>
      <c r="H342" t="s">
        <v>236</v>
      </c>
      <c r="I342" t="s">
        <v>237</v>
      </c>
      <c r="J342" t="s">
        <v>37</v>
      </c>
      <c r="K342" t="s">
        <v>205</v>
      </c>
      <c r="L342" t="s">
        <v>1730</v>
      </c>
      <c r="M342" t="s">
        <v>74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41</v>
      </c>
      <c r="U342" t="s">
        <v>42</v>
      </c>
      <c r="V342">
        <f t="shared" si="30"/>
        <v>18261.36</v>
      </c>
      <c r="W342">
        <f t="shared" si="31"/>
        <v>6861.42</v>
      </c>
      <c r="X342">
        <f t="shared" si="32"/>
        <v>0.3757343374206521</v>
      </c>
      <c r="Y342" t="str">
        <f>_xlfn.TEXTJOIN(", ",TRUE,IF(G342="Unknown","Missing Region",""),IF(M342="Unknown","Missing Ship Mode",""),IF(P342&lt;0,"Negative Discount",""),IF(P342&gt;0.7,"High Discount",""),IF(C342&lt;B342,"Ship Before Order",""))</f>
        <v>Ship Before Order</v>
      </c>
      <c r="Z342" s="2">
        <f>IFERROR(
  IF(ISNUMBER(B342),B342,
    IF(ISNUMBER(SEARCH("-",B342)*1),
      IF(LEN(LEFT(B342,FIND("-",B342)-1))=4,
        DATE(VALUE(LEFT(B342,4)),VALUE(MID(B342,6,2)),VALUE(RIGHT(B342,2))),
        DATE(VALUE(RIGHT(B342,4)),VALUE(MID(B342,4,2)),VALUE(LEFT(B342,2)))
      ),
      IF(ISNUMBER(SEARCH("/",B342)*1),
        DATE(VALUE(RIGHT(B342,4)),VALUE(LEFT(B342,2)),VALUE(MID(B342,4,2))),
        DATEVALUE(B342)
      )
    )
  ),
"INVALID_DATE")</f>
        <v>45312</v>
      </c>
      <c r="AA342" s="2">
        <f>IFERROR(
  IF(ISNUMBER(C342),C342,
    IF(ISNUMBER(SEARCH("-",C342)*1),
      IF(LEN(LEFT(C342,FIND("-",C342)-1))=4,
        DATE(VALUE(LEFT(C342,4)),VALUE(MID(C342,6,2)),VALUE(RIGHT(C342,2))),
        DATE(VALUE(RIGHT(C342,4)),VALUE(MID(C342,4,2)),VALUE(LEFT(C342,2)))
      ),
      IF(ISNUMBER(SEARCH("/",C342)*1),
        DATE(VALUE(RIGHT(C342,4)),VALUE(LEFT(C342,2)),VALUE(MID(C342,4,2))),
        DATEVALUE(C342)
      )
    )
  ),
"INVALID_DATE")</f>
        <v>45320</v>
      </c>
      <c r="AB342">
        <f t="shared" si="33"/>
        <v>8</v>
      </c>
      <c r="AC342" t="str">
        <f t="shared" si="34"/>
        <v>January</v>
      </c>
      <c r="AD342">
        <f t="shared" si="35"/>
        <v>2024</v>
      </c>
    </row>
    <row r="343" spans="1:30">
      <c r="A343" t="s">
        <v>1731</v>
      </c>
      <c r="B343" t="s">
        <v>1732</v>
      </c>
      <c r="C343" t="s">
        <v>1733</v>
      </c>
      <c r="D343" t="s">
        <v>1734</v>
      </c>
      <c r="E343" t="s">
        <v>187</v>
      </c>
      <c r="F343" t="s">
        <v>122</v>
      </c>
      <c r="G343" t="s">
        <v>80</v>
      </c>
      <c r="H343" t="s">
        <v>242</v>
      </c>
      <c r="I343" t="s">
        <v>243</v>
      </c>
      <c r="J343" t="s">
        <v>52</v>
      </c>
      <c r="K343" t="s">
        <v>83</v>
      </c>
      <c r="L343" t="s">
        <v>1735</v>
      </c>
      <c r="M343" t="s">
        <v>40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41</v>
      </c>
      <c r="U343" t="s">
        <v>42</v>
      </c>
      <c r="V343">
        <f t="shared" si="30"/>
        <v>7524.6269999999995</v>
      </c>
      <c r="W343">
        <f t="shared" si="31"/>
        <v>1295.0299999999997</v>
      </c>
      <c r="X343">
        <f t="shared" si="32"/>
        <v>0.17210547229564777</v>
      </c>
      <c r="Y343" t="str">
        <f>_xlfn.TEXTJOIN(", ",TRUE,IF(G343="Unknown","Missing Region",""),IF(M343="Unknown","Missing Ship Mode",""),IF(P343&lt;0,"Negative Discount",""),IF(P343&gt;0.7,"High Discount",""),IF(C343&lt;B343,"Ship Before Order",""))</f>
        <v/>
      </c>
      <c r="Z343" s="2">
        <f>IFERROR(
  IF(ISNUMBER(B343),B343,
    IF(ISNUMBER(SEARCH("-",B343)*1),
      IF(LEN(LEFT(B343,FIND("-",B343)-1))=4,
        DATE(VALUE(LEFT(B343,4)),VALUE(MID(B343,6,2)),VALUE(RIGHT(B343,2))),
        DATE(VALUE(RIGHT(B343,4)),VALUE(MID(B343,4,2)),VALUE(LEFT(B343,2)))
      ),
      IF(ISNUMBER(SEARCH("/",B343)*1),
        DATE(VALUE(RIGHT(B343,4)),VALUE(LEFT(B343,2)),VALUE(MID(B343,4,2))),
        DATEVALUE(B343)
      )
    )
  ),
"INVALID_DATE")</f>
        <v>45908</v>
      </c>
      <c r="AA343" s="2">
        <f>IFERROR(
  IF(ISNUMBER(C343),C343,
    IF(ISNUMBER(SEARCH("-",C343)*1),
      IF(LEN(LEFT(C343,FIND("-",C343)-1))=4,
        DATE(VALUE(LEFT(C343,4)),VALUE(MID(C343,6,2)),VALUE(RIGHT(C343,2))),
        DATE(VALUE(RIGHT(C343,4)),VALUE(MID(C343,4,2)),VALUE(LEFT(C343,2)))
      ),
      IF(ISNUMBER(SEARCH("/",C343)*1),
        DATE(VALUE(RIGHT(C343,4)),VALUE(LEFT(C343,2)),VALUE(MID(C343,4,2))),
        DATEVALUE(C343)
      )
    )
  ),
"INVALID_DATE")</f>
        <v>45909</v>
      </c>
      <c r="AB343">
        <f t="shared" si="33"/>
        <v>1</v>
      </c>
      <c r="AC343" t="str">
        <f t="shared" si="34"/>
        <v>September</v>
      </c>
      <c r="AD343">
        <f t="shared" si="35"/>
        <v>2025</v>
      </c>
    </row>
    <row r="344" spans="1:30">
      <c r="A344" t="s">
        <v>1736</v>
      </c>
      <c r="B344" t="s">
        <v>1737</v>
      </c>
      <c r="C344" t="s">
        <v>1738</v>
      </c>
      <c r="D344" t="s">
        <v>1739</v>
      </c>
      <c r="E344" t="s">
        <v>374</v>
      </c>
      <c r="F344" t="s">
        <v>48</v>
      </c>
      <c r="G344" t="s">
        <v>49</v>
      </c>
      <c r="H344" t="s">
        <v>319</v>
      </c>
      <c r="I344" t="s">
        <v>320</v>
      </c>
      <c r="J344" t="s">
        <v>37</v>
      </c>
      <c r="K344" t="s">
        <v>205</v>
      </c>
      <c r="L344" t="s">
        <v>1740</v>
      </c>
      <c r="M344" t="s">
        <v>63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41</v>
      </c>
      <c r="U344" t="s">
        <v>42</v>
      </c>
      <c r="V344">
        <f t="shared" si="30"/>
        <v>12231.36</v>
      </c>
      <c r="W344">
        <f t="shared" si="31"/>
        <v>3464.4600000000009</v>
      </c>
      <c r="X344">
        <f t="shared" si="32"/>
        <v>0.28324405462679536</v>
      </c>
      <c r="Y344" t="str">
        <f>_xlfn.TEXTJOIN(", ",TRUE,IF(G344="Unknown","Missing Region",""),IF(M344="Unknown","Missing Ship Mode",""),IF(P344&lt;0,"Negative Discount",""),IF(P344&gt;0.7,"High Discount",""),IF(C344&lt;B344,"Ship Before Order",""))</f>
        <v>Ship Before Order</v>
      </c>
      <c r="Z344" s="2">
        <f>IFERROR(
  IF(ISNUMBER(B344),B344,
    IF(ISNUMBER(SEARCH("-",B344)*1),
      IF(LEN(LEFT(B344,FIND("-",B344)-1))=4,
        DATE(VALUE(LEFT(B344,4)),VALUE(MID(B344,6,2)),VALUE(RIGHT(B344,2))),
        DATE(VALUE(RIGHT(B344,4)),VALUE(MID(B344,4,2)),VALUE(LEFT(B344,2)))
      ),
      IF(ISNUMBER(SEARCH("/",B344)*1),
        DATE(VALUE(RIGHT(B344,4)),VALUE(LEFT(B344,2)),VALUE(MID(B344,4,2))),
        DATEVALUE(B344)
      )
    )
  ),
"INVALID_DATE")</f>
        <v>45862</v>
      </c>
      <c r="AA344" s="2">
        <f>IFERROR(
  IF(ISNUMBER(C344),C344,
    IF(ISNUMBER(SEARCH("-",C344)*1),
      IF(LEN(LEFT(C344,FIND("-",C344)-1))=4,
        DATE(VALUE(LEFT(C344,4)),VALUE(MID(C344,6,2)),VALUE(RIGHT(C344,2))),
        DATE(VALUE(RIGHT(C344,4)),VALUE(MID(C344,4,2)),VALUE(LEFT(C344,2)))
      ),
      IF(ISNUMBER(SEARCH("/",C344)*1),
        DATE(VALUE(RIGHT(C344,4)),VALUE(LEFT(C344,2)),VALUE(MID(C344,4,2))),
        DATEVALUE(C344)
      )
    )
  ),
"INVALID_DATE")</f>
        <v>45870</v>
      </c>
      <c r="AB344">
        <f t="shared" si="33"/>
        <v>8</v>
      </c>
      <c r="AC344" t="str">
        <f t="shared" si="34"/>
        <v>July</v>
      </c>
      <c r="AD344">
        <f t="shared" si="35"/>
        <v>2025</v>
      </c>
    </row>
    <row r="345" spans="1:30">
      <c r="A345" t="s">
        <v>1741</v>
      </c>
      <c r="B345" t="s">
        <v>1742</v>
      </c>
      <c r="C345" t="s">
        <v>1199</v>
      </c>
      <c r="D345" t="s">
        <v>1743</v>
      </c>
      <c r="E345" t="s">
        <v>169</v>
      </c>
      <c r="F345" t="s">
        <v>115</v>
      </c>
      <c r="G345" t="s">
        <v>80</v>
      </c>
      <c r="H345" t="s">
        <v>91</v>
      </c>
      <c r="I345" t="s">
        <v>92</v>
      </c>
      <c r="J345" t="s">
        <v>93</v>
      </c>
      <c r="K345" t="s">
        <v>390</v>
      </c>
      <c r="L345" t="s">
        <v>1744</v>
      </c>
      <c r="M345" t="s">
        <v>55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41</v>
      </c>
      <c r="U345" t="s">
        <v>42</v>
      </c>
      <c r="V345">
        <f t="shared" si="30"/>
        <v>31079.7</v>
      </c>
      <c r="W345">
        <f t="shared" si="31"/>
        <v>13321.45</v>
      </c>
      <c r="X345">
        <f t="shared" si="32"/>
        <v>0.4286222196481948</v>
      </c>
      <c r="Y345" t="str">
        <f>_xlfn.TEXTJOIN(", ",TRUE,IF(G345="Unknown","Missing Region",""),IF(M345="Unknown","Missing Ship Mode",""),IF(P345&lt;0,"Negative Discount",""),IF(P345&gt;0.7,"High Discount",""),IF(C345&lt;B345,"Ship Before Order",""))</f>
        <v>Ship Before Order</v>
      </c>
      <c r="Z345" s="2">
        <f>IFERROR(
  IF(ISNUMBER(B345),B345,
    IF(ISNUMBER(SEARCH("-",B345)*1),
      IF(LEN(LEFT(B345,FIND("-",B345)-1))=4,
        DATE(VALUE(LEFT(B345,4)),VALUE(MID(B345,6,2)),VALUE(RIGHT(B345,2))),
        DATE(VALUE(RIGHT(B345,4)),VALUE(MID(B345,4,2)),VALUE(LEFT(B345,2)))
      ),
      IF(ISNUMBER(SEARCH("/",B345)*1),
        DATE(VALUE(RIGHT(B345,4)),VALUE(LEFT(B345,2)),VALUE(MID(B345,4,2))),
        DATEVALUE(B345)
      )
    )
  ),
"INVALID_DATE")</f>
        <v>45933</v>
      </c>
      <c r="AA345" s="2">
        <f>IFERROR(
  IF(ISNUMBER(C345),C345,
    IF(ISNUMBER(SEARCH("-",C345)*1),
      IF(LEN(LEFT(C345,FIND("-",C345)-1))=4,
        DATE(VALUE(LEFT(C345,4)),VALUE(MID(C345,6,2)),VALUE(RIGHT(C345,2))),
        DATE(VALUE(RIGHT(C345,4)),VALUE(MID(C345,4,2)),VALUE(LEFT(C345,2)))
      ),
      IF(ISNUMBER(SEARCH("/",C345)*1),
        DATE(VALUE(RIGHT(C345,4)),VALUE(LEFT(C345,2)),VALUE(MID(C345,4,2))),
        DATEVALUE(C345)
      )
    )
  ),
"INVALID_DATE")</f>
        <v>45938</v>
      </c>
      <c r="AB345">
        <f t="shared" si="33"/>
        <v>5</v>
      </c>
      <c r="AC345" t="str">
        <f t="shared" si="34"/>
        <v>October</v>
      </c>
      <c r="AD345">
        <f t="shared" si="35"/>
        <v>2025</v>
      </c>
    </row>
    <row r="346" spans="1:30">
      <c r="A346" t="s">
        <v>1745</v>
      </c>
      <c r="B346" t="s">
        <v>1515</v>
      </c>
      <c r="C346" t="s">
        <v>1515</v>
      </c>
      <c r="D346" t="s">
        <v>1746</v>
      </c>
      <c r="E346" t="s">
        <v>149</v>
      </c>
      <c r="F346" t="s">
        <v>33</v>
      </c>
      <c r="G346" t="s">
        <v>34</v>
      </c>
      <c r="H346" t="s">
        <v>161</v>
      </c>
      <c r="I346" t="s">
        <v>162</v>
      </c>
      <c r="J346" t="s">
        <v>52</v>
      </c>
      <c r="K346" t="s">
        <v>211</v>
      </c>
      <c r="L346" t="s">
        <v>1747</v>
      </c>
      <c r="M346" t="s">
        <v>55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144</v>
      </c>
      <c r="U346" t="s">
        <v>132</v>
      </c>
      <c r="V346">
        <f t="shared" si="30"/>
        <v>31107.420000000002</v>
      </c>
      <c r="W346">
        <f t="shared" si="31"/>
        <v>10960.759999999998</v>
      </c>
      <c r="X346">
        <f t="shared" si="32"/>
        <v>0.3523519468988428</v>
      </c>
      <c r="Y346" t="str">
        <f>_xlfn.TEXTJOIN(", ",TRUE,IF(G346="Unknown","Missing Region",""),IF(M346="Unknown","Missing Ship Mode",""),IF(P346&lt;0,"Negative Discount",""),IF(P346&gt;0.7,"High Discount",""),IF(C346&lt;B346,"Ship Before Order",""))</f>
        <v/>
      </c>
      <c r="Z346" s="2">
        <f>IFERROR(
  IF(ISNUMBER(B346),B346,
    IF(ISNUMBER(SEARCH("-",B346)*1),
      IF(LEN(LEFT(B346,FIND("-",B346)-1))=4,
        DATE(VALUE(LEFT(B346,4)),VALUE(MID(B346,6,2)),VALUE(RIGHT(B346,2))),
        DATE(VALUE(RIGHT(B346,4)),VALUE(MID(B346,4,2)),VALUE(LEFT(B346,2)))
      ),
      IF(ISNUMBER(SEARCH("/",B346)*1),
        DATE(VALUE(RIGHT(B346,4)),VALUE(LEFT(B346,2)),VALUE(MID(B346,4,2))),
        DATEVALUE(B346)
      )
    )
  ),
"INVALID_DATE")</f>
        <v>45362</v>
      </c>
      <c r="AA346" s="2">
        <f>IFERROR(
  IF(ISNUMBER(C346),C346,
    IF(ISNUMBER(SEARCH("-",C346)*1),
      IF(LEN(LEFT(C346,FIND("-",C346)-1))=4,
        DATE(VALUE(LEFT(C346,4)),VALUE(MID(C346,6,2)),VALUE(RIGHT(C346,2))),
        DATE(VALUE(RIGHT(C346,4)),VALUE(MID(C346,4,2)),VALUE(LEFT(C346,2)))
      ),
      IF(ISNUMBER(SEARCH("/",C346)*1),
        DATE(VALUE(RIGHT(C346,4)),VALUE(LEFT(C346,2)),VALUE(MID(C346,4,2))),
        DATEVALUE(C346)
      )
    )
  ),
"INVALID_DATE")</f>
        <v>45362</v>
      </c>
      <c r="AB346">
        <f t="shared" si="33"/>
        <v>0</v>
      </c>
      <c r="AC346" t="str">
        <f t="shared" si="34"/>
        <v>March</v>
      </c>
      <c r="AD346">
        <f t="shared" si="35"/>
        <v>2024</v>
      </c>
    </row>
    <row r="347" spans="1:30">
      <c r="A347" t="s">
        <v>1748</v>
      </c>
      <c r="B347" t="s">
        <v>1749</v>
      </c>
      <c r="C347" t="s">
        <v>1750</v>
      </c>
      <c r="D347" t="s">
        <v>1751</v>
      </c>
      <c r="E347" t="s">
        <v>32</v>
      </c>
      <c r="F347" t="s">
        <v>33</v>
      </c>
      <c r="G347" t="s">
        <v>80</v>
      </c>
      <c r="H347" t="s">
        <v>91</v>
      </c>
      <c r="I347" t="s">
        <v>92</v>
      </c>
      <c r="J347" t="s">
        <v>52</v>
      </c>
      <c r="K347" t="s">
        <v>72</v>
      </c>
      <c r="L347" t="s">
        <v>1752</v>
      </c>
      <c r="M347" t="s">
        <v>40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41</v>
      </c>
      <c r="U347" t="s">
        <v>42</v>
      </c>
      <c r="V347">
        <f t="shared" si="30"/>
        <v>5530.6</v>
      </c>
      <c r="W347">
        <f t="shared" si="31"/>
        <v>1077.4900000000007</v>
      </c>
      <c r="X347">
        <f t="shared" si="32"/>
        <v>0.1948233464723538</v>
      </c>
      <c r="Y347" t="str">
        <f>_xlfn.TEXTJOIN(", ",TRUE,IF(G347="Unknown","Missing Region",""),IF(M347="Unknown","Missing Ship Mode",""),IF(P347&lt;0,"Negative Discount",""),IF(P347&gt;0.7,"High Discount",""),IF(C347&lt;B347,"Ship Before Order",""))</f>
        <v/>
      </c>
      <c r="Z347" s="2">
        <f>IFERROR(
  IF(ISNUMBER(B347),B347,
    IF(ISNUMBER(SEARCH("-",B347)*1),
      IF(LEN(LEFT(B347,FIND("-",B347)-1))=4,
        DATE(VALUE(LEFT(B347,4)),VALUE(MID(B347,6,2)),VALUE(RIGHT(B347,2))),
        DATE(VALUE(RIGHT(B347,4)),VALUE(MID(B347,4,2)),VALUE(LEFT(B347,2)))
      ),
      IF(ISNUMBER(SEARCH("/",B347)*1),
        DATE(VALUE(RIGHT(B347,4)),VALUE(LEFT(B347,2)),VALUE(MID(B347,4,2))),
        DATEVALUE(B347)
      )
    )
  ),
"INVALID_DATE")</f>
        <v>45549</v>
      </c>
      <c r="AA347" s="2">
        <f>IFERROR(
  IF(ISNUMBER(C347),C347,
    IF(ISNUMBER(SEARCH("-",C347)*1),
      IF(LEN(LEFT(C347,FIND("-",C347)-1))=4,
        DATE(VALUE(LEFT(C347,4)),VALUE(MID(C347,6,2)),VALUE(RIGHT(C347,2))),
        DATE(VALUE(RIGHT(C347,4)),VALUE(MID(C347,4,2)),VALUE(LEFT(C347,2)))
      ),
      IF(ISNUMBER(SEARCH("/",C347)*1),
        DATE(VALUE(RIGHT(C347,4)),VALUE(LEFT(C347,2)),VALUE(MID(C347,4,2))),
        DATEVALUE(C347)
      )
    )
  ),
"INVALID_DATE")</f>
        <v>45557</v>
      </c>
      <c r="AB347">
        <f t="shared" si="33"/>
        <v>8</v>
      </c>
      <c r="AC347" t="str">
        <f t="shared" si="34"/>
        <v>September</v>
      </c>
      <c r="AD347">
        <f t="shared" si="35"/>
        <v>2024</v>
      </c>
    </row>
    <row r="348" spans="1:30">
      <c r="A348" t="s">
        <v>1753</v>
      </c>
      <c r="B348" t="s">
        <v>1666</v>
      </c>
      <c r="C348" t="s">
        <v>1754</v>
      </c>
      <c r="D348" t="s">
        <v>1755</v>
      </c>
      <c r="E348" t="s">
        <v>155</v>
      </c>
      <c r="F348" t="s">
        <v>115</v>
      </c>
      <c r="G348" t="s">
        <v>69</v>
      </c>
      <c r="H348" t="s">
        <v>249</v>
      </c>
      <c r="I348" t="s">
        <v>250</v>
      </c>
      <c r="J348" t="s">
        <v>52</v>
      </c>
      <c r="K348" t="s">
        <v>83</v>
      </c>
      <c r="L348" t="s">
        <v>1756</v>
      </c>
      <c r="M348" t="s">
        <v>40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41</v>
      </c>
      <c r="U348" t="s">
        <v>42</v>
      </c>
      <c r="V348">
        <f t="shared" si="30"/>
        <v>7715.8080000000009</v>
      </c>
      <c r="W348">
        <f t="shared" si="31"/>
        <v>3457.3900000000003</v>
      </c>
      <c r="X348">
        <f t="shared" si="32"/>
        <v>0.44809164559521292</v>
      </c>
      <c r="Y348" t="str">
        <f>_xlfn.TEXTJOIN(", ",TRUE,IF(G348="Unknown","Missing Region",""),IF(M348="Unknown","Missing Ship Mode",""),IF(P348&lt;0,"Negative Discount",""),IF(P348&gt;0.7,"High Discount",""),IF(C348&lt;B348,"Ship Before Order",""))</f>
        <v/>
      </c>
      <c r="Z348" s="2">
        <f>IFERROR(
  IF(ISNUMBER(B348),B348,
    IF(ISNUMBER(SEARCH("-",B348)*1),
      IF(LEN(LEFT(B348,FIND("-",B348)-1))=4,
        DATE(VALUE(LEFT(B348,4)),VALUE(MID(B348,6,2)),VALUE(RIGHT(B348,2))),
        DATE(VALUE(RIGHT(B348,4)),VALUE(MID(B348,4,2)),VALUE(LEFT(B348,2)))
      ),
      IF(ISNUMBER(SEARCH("/",B348)*1),
        DATE(VALUE(RIGHT(B348,4)),VALUE(LEFT(B348,2)),VALUE(MID(B348,4,2))),
        DATEVALUE(B348)
      )
    )
  ),
"INVALID_DATE")</f>
        <v>45860</v>
      </c>
      <c r="AA348" s="2">
        <f>IFERROR(
  IF(ISNUMBER(C348),C348,
    IF(ISNUMBER(SEARCH("-",C348)*1),
      IF(LEN(LEFT(C348,FIND("-",C348)-1))=4,
        DATE(VALUE(LEFT(C348,4)),VALUE(MID(C348,6,2)),VALUE(RIGHT(C348,2))),
        DATE(VALUE(RIGHT(C348,4)),VALUE(MID(C348,4,2)),VALUE(LEFT(C348,2)))
      ),
      IF(ISNUMBER(SEARCH("/",C348)*1),
        DATE(VALUE(RIGHT(C348,4)),VALUE(LEFT(C348,2)),VALUE(MID(C348,4,2))),
        DATEVALUE(C348)
      )
    )
  ),
"INVALID_DATE")</f>
        <v>45866</v>
      </c>
      <c r="AB348">
        <f t="shared" si="33"/>
        <v>6</v>
      </c>
      <c r="AC348" t="str">
        <f t="shared" si="34"/>
        <v>July</v>
      </c>
      <c r="AD348">
        <f t="shared" si="35"/>
        <v>2025</v>
      </c>
    </row>
    <row r="349" spans="1:30">
      <c r="A349" t="s">
        <v>1757</v>
      </c>
      <c r="B349" t="s">
        <v>1758</v>
      </c>
      <c r="C349" t="s">
        <v>1472</v>
      </c>
      <c r="D349" t="s">
        <v>1759</v>
      </c>
      <c r="E349" t="s">
        <v>169</v>
      </c>
      <c r="F349" t="s">
        <v>48</v>
      </c>
      <c r="G349" t="s">
        <v>80</v>
      </c>
      <c r="H349" t="s">
        <v>256</v>
      </c>
      <c r="I349" t="s">
        <v>257</v>
      </c>
      <c r="J349" t="s">
        <v>52</v>
      </c>
      <c r="K349" t="s">
        <v>83</v>
      </c>
      <c r="L349" t="s">
        <v>1760</v>
      </c>
      <c r="M349" t="s">
        <v>40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131</v>
      </c>
      <c r="U349" t="s">
        <v>132</v>
      </c>
      <c r="V349">
        <f t="shared" si="30"/>
        <v>11925.96</v>
      </c>
      <c r="W349">
        <f t="shared" si="31"/>
        <v>1822.4499999999989</v>
      </c>
      <c r="X349">
        <f t="shared" si="32"/>
        <v>0.15281369382422885</v>
      </c>
      <c r="Y349" t="str">
        <f>_xlfn.TEXTJOIN(", ",TRUE,IF(G349="Unknown","Missing Region",""),IF(M349="Unknown","Missing Ship Mode",""),IF(P349&lt;0,"Negative Discount",""),IF(P349&gt;0.7,"High Discount",""),IF(C349&lt;B349,"Ship Before Order",""))</f>
        <v/>
      </c>
      <c r="Z349" s="2">
        <f>IFERROR(
  IF(ISNUMBER(B349),B349,
    IF(ISNUMBER(SEARCH("-",B349)*1),
      IF(LEN(LEFT(B349,FIND("-",B349)-1))=4,
        DATE(VALUE(LEFT(B349,4)),VALUE(MID(B349,6,2)),VALUE(RIGHT(B349,2))),
        DATE(VALUE(RIGHT(B349,4)),VALUE(MID(B349,4,2)),VALUE(LEFT(B349,2)))
      ),
      IF(ISNUMBER(SEARCH("/",B349)*1),
        DATE(VALUE(RIGHT(B349,4)),VALUE(LEFT(B349,2)),VALUE(MID(B349,4,2))),
        DATEVALUE(B349)
      )
    )
  ),
"INVALID_DATE")</f>
        <v>45627</v>
      </c>
      <c r="AA349" s="2">
        <f>IFERROR(
  IF(ISNUMBER(C349),C349,
    IF(ISNUMBER(SEARCH("-",C349)*1),
      IF(LEN(LEFT(C349,FIND("-",C349)-1))=4,
        DATE(VALUE(LEFT(C349,4)),VALUE(MID(C349,6,2)),VALUE(RIGHT(C349,2))),
        DATE(VALUE(RIGHT(C349,4)),VALUE(MID(C349,4,2)),VALUE(LEFT(C349,2)))
      ),
      IF(ISNUMBER(SEARCH("/",C349)*1),
        DATE(VALUE(RIGHT(C349,4)),VALUE(LEFT(C349,2)),VALUE(MID(C349,4,2))),
        DATEVALUE(C349)
      )
    )
  ),
"INVALID_DATE")</f>
        <v>45634</v>
      </c>
      <c r="AB349">
        <f t="shared" si="33"/>
        <v>7</v>
      </c>
      <c r="AC349" t="str">
        <f t="shared" si="34"/>
        <v>December</v>
      </c>
      <c r="AD349">
        <f t="shared" si="35"/>
        <v>2024</v>
      </c>
    </row>
    <row r="350" spans="1:30">
      <c r="A350" t="s">
        <v>1761</v>
      </c>
      <c r="B350" t="s">
        <v>1311</v>
      </c>
      <c r="C350" t="s">
        <v>1762</v>
      </c>
      <c r="D350" t="s">
        <v>1763</v>
      </c>
      <c r="E350" t="s">
        <v>169</v>
      </c>
      <c r="F350" t="s">
        <v>115</v>
      </c>
      <c r="G350" t="s">
        <v>69</v>
      </c>
      <c r="H350" t="s">
        <v>236</v>
      </c>
      <c r="I350" t="s">
        <v>237</v>
      </c>
      <c r="J350" t="s">
        <v>93</v>
      </c>
      <c r="K350" t="s">
        <v>230</v>
      </c>
      <c r="L350" t="s">
        <v>1764</v>
      </c>
      <c r="M350" t="s">
        <v>55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41</v>
      </c>
      <c r="U350" t="s">
        <v>42</v>
      </c>
      <c r="V350">
        <f t="shared" si="30"/>
        <v>19306.755000000001</v>
      </c>
      <c r="W350">
        <f t="shared" si="31"/>
        <v>4864.3799999999992</v>
      </c>
      <c r="X350">
        <f t="shared" si="32"/>
        <v>0.25195216597709819</v>
      </c>
      <c r="Y350" t="str">
        <f>_xlfn.TEXTJOIN(", ",TRUE,IF(G350="Unknown","Missing Region",""),IF(M350="Unknown","Missing Ship Mode",""),IF(P350&lt;0,"Negative Discount",""),IF(P350&gt;0.7,"High Discount",""),IF(C350&lt;B350,"Ship Before Order",""))</f>
        <v/>
      </c>
      <c r="Z350" s="2">
        <f>IFERROR(
  IF(ISNUMBER(B350),B350,
    IF(ISNUMBER(SEARCH("-",B350)*1),
      IF(LEN(LEFT(B350,FIND("-",B350)-1))=4,
        DATE(VALUE(LEFT(B350,4)),VALUE(MID(B350,6,2)),VALUE(RIGHT(B350,2))),
        DATE(VALUE(RIGHT(B350,4)),VALUE(MID(B350,4,2)),VALUE(LEFT(B350,2)))
      ),
      IF(ISNUMBER(SEARCH("/",B350)*1),
        DATE(VALUE(RIGHT(B350,4)),VALUE(LEFT(B350,2)),VALUE(MID(B350,4,2))),
        DATEVALUE(B350)
      )
    )
  ),
"INVALID_DATE")</f>
        <v>45445</v>
      </c>
      <c r="AA350" s="2">
        <f>IFERROR(
  IF(ISNUMBER(C350),C350,
    IF(ISNUMBER(SEARCH("-",C350)*1),
      IF(LEN(LEFT(C350,FIND("-",C350)-1))=4,
        DATE(VALUE(LEFT(C350,4)),VALUE(MID(C350,6,2)),VALUE(RIGHT(C350,2))),
        DATE(VALUE(RIGHT(C350,4)),VALUE(MID(C350,4,2)),VALUE(LEFT(C350,2)))
      ),
      IF(ISNUMBER(SEARCH("/",C350)*1),
        DATE(VALUE(RIGHT(C350,4)),VALUE(LEFT(C350,2)),VALUE(MID(C350,4,2))),
        DATEVALUE(C350)
      )
    )
  ),
"INVALID_DATE")</f>
        <v>45450</v>
      </c>
      <c r="AB350">
        <f t="shared" si="33"/>
        <v>5</v>
      </c>
      <c r="AC350" t="str">
        <f t="shared" si="34"/>
        <v>June</v>
      </c>
      <c r="AD350">
        <f t="shared" si="35"/>
        <v>2024</v>
      </c>
    </row>
    <row r="351" spans="1:30">
      <c r="A351" t="s">
        <v>1765</v>
      </c>
      <c r="B351" t="s">
        <v>1766</v>
      </c>
      <c r="C351" t="s">
        <v>755</v>
      </c>
      <c r="D351" t="s">
        <v>1767</v>
      </c>
      <c r="E351" t="s">
        <v>374</v>
      </c>
      <c r="F351" t="s">
        <v>122</v>
      </c>
      <c r="G351" t="s">
        <v>49</v>
      </c>
      <c r="H351" t="s">
        <v>319</v>
      </c>
      <c r="I351" t="s">
        <v>320</v>
      </c>
      <c r="J351" t="s">
        <v>52</v>
      </c>
      <c r="K351" t="s">
        <v>72</v>
      </c>
      <c r="L351" t="s">
        <v>1768</v>
      </c>
      <c r="M351" t="s">
        <v>40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41</v>
      </c>
      <c r="U351" t="s">
        <v>42</v>
      </c>
      <c r="V351">
        <f t="shared" si="30"/>
        <v>19355.962500000001</v>
      </c>
      <c r="W351">
        <f t="shared" si="31"/>
        <v>4343.5099999999984</v>
      </c>
      <c r="X351">
        <f t="shared" si="32"/>
        <v>0.20755364239231741</v>
      </c>
      <c r="Y351" t="str">
        <f>_xlfn.TEXTJOIN(", ",TRUE,IF(G351="Unknown","Missing Region",""),IF(M351="Unknown","Missing Ship Mode",""),IF(P351&lt;0,"Negative Discount",""),IF(P351&gt;0.7,"High Discount",""),IF(C351&lt;B351,"Ship Before Order",""))</f>
        <v>Ship Before Order</v>
      </c>
      <c r="Z351" s="2">
        <f>IFERROR(
  IF(ISNUMBER(B351),B351,
    IF(ISNUMBER(SEARCH("-",B351)*1),
      IF(LEN(LEFT(B351,FIND("-",B351)-1))=4,
        DATE(VALUE(LEFT(B351,4)),VALUE(MID(B351,6,2)),VALUE(RIGHT(B351,2))),
        DATE(VALUE(RIGHT(B351,4)),VALUE(MID(B351,4,2)),VALUE(LEFT(B351,2)))
      ),
      IF(ISNUMBER(SEARCH("/",B351)*1),
        DATE(VALUE(RIGHT(B351,4)),VALUE(LEFT(B351,2)),VALUE(MID(B351,4,2))),
        DATEVALUE(B351)
      )
    )
  ),
"INVALID_DATE")</f>
        <v>45927</v>
      </c>
      <c r="AA351" s="2">
        <f>IFERROR(
  IF(ISNUMBER(C351),C351,
    IF(ISNUMBER(SEARCH("-",C351)*1),
      IF(LEN(LEFT(C351,FIND("-",C351)-1))=4,
        DATE(VALUE(LEFT(C351,4)),VALUE(MID(C351,6,2)),VALUE(RIGHT(C351,2))),
        DATE(VALUE(RIGHT(C351,4)),VALUE(MID(C351,4,2)),VALUE(LEFT(C351,2)))
      ),
      IF(ISNUMBER(SEARCH("/",C351)*1),
        DATE(VALUE(RIGHT(C351,4)),VALUE(LEFT(C351,2)),VALUE(MID(C351,4,2))),
        DATEVALUE(C351)
      )
    )
  ),
"INVALID_DATE")</f>
        <v>45929</v>
      </c>
      <c r="AB351">
        <f t="shared" si="33"/>
        <v>2</v>
      </c>
      <c r="AC351" t="str">
        <f t="shared" si="34"/>
        <v>September</v>
      </c>
      <c r="AD351">
        <f t="shared" si="35"/>
        <v>2025</v>
      </c>
    </row>
    <row r="352" spans="1:30">
      <c r="A352" t="s">
        <v>1769</v>
      </c>
      <c r="B352" t="s">
        <v>1770</v>
      </c>
      <c r="C352" t="s">
        <v>1771</v>
      </c>
      <c r="D352" t="s">
        <v>1772</v>
      </c>
      <c r="E352" t="s">
        <v>175</v>
      </c>
      <c r="F352" t="s">
        <v>48</v>
      </c>
      <c r="G352" t="s">
        <v>49</v>
      </c>
      <c r="H352" t="s">
        <v>319</v>
      </c>
      <c r="I352" t="s">
        <v>320</v>
      </c>
      <c r="J352" t="s">
        <v>52</v>
      </c>
      <c r="K352" t="s">
        <v>72</v>
      </c>
      <c r="L352" t="s">
        <v>1773</v>
      </c>
      <c r="M352" t="s">
        <v>40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131</v>
      </c>
      <c r="U352" t="s">
        <v>132</v>
      </c>
      <c r="V352">
        <f t="shared" si="30"/>
        <v>11914.344000000001</v>
      </c>
      <c r="W352">
        <f t="shared" si="31"/>
        <v>2143.1000000000004</v>
      </c>
      <c r="X352">
        <f t="shared" si="32"/>
        <v>0.1798756792235239</v>
      </c>
      <c r="Y352" t="str">
        <f>_xlfn.TEXTJOIN(", ",TRUE,IF(G352="Unknown","Missing Region",""),IF(M352="Unknown","Missing Ship Mode",""),IF(P352&lt;0,"Negative Discount",""),IF(P352&gt;0.7,"High Discount",""),IF(C352&lt;B352,"Ship Before Order",""))</f>
        <v/>
      </c>
      <c r="Z352" s="2">
        <f>IFERROR(
  IF(ISNUMBER(B352),B352,
    IF(ISNUMBER(SEARCH("-",B352)*1),
      IF(LEN(LEFT(B352,FIND("-",B352)-1))=4,
        DATE(VALUE(LEFT(B352,4)),VALUE(MID(B352,6,2)),VALUE(RIGHT(B352,2))),
        DATE(VALUE(RIGHT(B352,4)),VALUE(MID(B352,4,2)),VALUE(LEFT(B352,2)))
      ),
      IF(ISNUMBER(SEARCH("/",B352)*1),
        DATE(VALUE(RIGHT(B352,4)),VALUE(LEFT(B352,2)),VALUE(MID(B352,4,2))),
        DATEVALUE(B352)
      )
    )
  ),
"INVALID_DATE")</f>
        <v>45298</v>
      </c>
      <c r="AA352" s="2">
        <f>IFERROR(
  IF(ISNUMBER(C352),C352,
    IF(ISNUMBER(SEARCH("-",C352)*1),
      IF(LEN(LEFT(C352,FIND("-",C352)-1))=4,
        DATE(VALUE(LEFT(C352,4)),VALUE(MID(C352,6,2)),VALUE(RIGHT(C352,2))),
        DATE(VALUE(RIGHT(C352,4)),VALUE(MID(C352,4,2)),VALUE(LEFT(C352,2)))
      ),
      IF(ISNUMBER(SEARCH("/",C352)*1),
        DATE(VALUE(RIGHT(C352,4)),VALUE(LEFT(C352,2)),VALUE(MID(C352,4,2))),
        DATEVALUE(C352)
      )
    )
  ),
"INVALID_DATE")</f>
        <v>45305</v>
      </c>
      <c r="AB352">
        <f t="shared" si="33"/>
        <v>7</v>
      </c>
      <c r="AC352" t="str">
        <f t="shared" si="34"/>
        <v>January</v>
      </c>
      <c r="AD352">
        <f t="shared" si="35"/>
        <v>2024</v>
      </c>
    </row>
    <row r="353" spans="1:30">
      <c r="A353" t="s">
        <v>1774</v>
      </c>
      <c r="B353" t="s">
        <v>1775</v>
      </c>
      <c r="C353" t="s">
        <v>1690</v>
      </c>
      <c r="D353" t="s">
        <v>1776</v>
      </c>
      <c r="E353" t="s">
        <v>90</v>
      </c>
      <c r="F353" t="s">
        <v>48</v>
      </c>
      <c r="G353" t="s">
        <v>69</v>
      </c>
      <c r="H353" t="s">
        <v>70</v>
      </c>
      <c r="I353" t="s">
        <v>71</v>
      </c>
      <c r="J353" t="s">
        <v>37</v>
      </c>
      <c r="K353" t="s">
        <v>163</v>
      </c>
      <c r="L353" t="s">
        <v>1777</v>
      </c>
      <c r="M353" t="s">
        <v>63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144</v>
      </c>
      <c r="U353" t="s">
        <v>85</v>
      </c>
      <c r="V353">
        <f t="shared" si="30"/>
        <v>3237.4800000000005</v>
      </c>
      <c r="W353">
        <f t="shared" si="31"/>
        <v>1119.1399999999999</v>
      </c>
      <c r="X353">
        <f t="shared" si="32"/>
        <v>0.34568244437031276</v>
      </c>
      <c r="Y353" t="str">
        <f>_xlfn.TEXTJOIN(", ",TRUE,IF(G353="Unknown","Missing Region",""),IF(M353="Unknown","Missing Ship Mode",""),IF(P353&lt;0,"Negative Discount",""),IF(P353&gt;0.7,"High Discount",""),IF(C353&lt;B353,"Ship Before Order",""))</f>
        <v/>
      </c>
      <c r="Z353" s="2">
        <f>IFERROR(
  IF(ISNUMBER(B353),B353,
    IF(ISNUMBER(SEARCH("-",B353)*1),
      IF(LEN(LEFT(B353,FIND("-",B353)-1))=4,
        DATE(VALUE(LEFT(B353,4)),VALUE(MID(B353,6,2)),VALUE(RIGHT(B353,2))),
        DATE(VALUE(RIGHT(B353,4)),VALUE(MID(B353,4,2)),VALUE(LEFT(B353,2)))
      ),
      IF(ISNUMBER(SEARCH("/",B353)*1),
        DATE(VALUE(RIGHT(B353,4)),VALUE(LEFT(B353,2)),VALUE(MID(B353,4,2))),
        DATEVALUE(B353)
      )
    )
  ),
"INVALID_DATE")</f>
        <v>45800</v>
      </c>
      <c r="AA353" s="2">
        <f>IFERROR(
  IF(ISNUMBER(C353),C353,
    IF(ISNUMBER(SEARCH("-",C353)*1),
      IF(LEN(LEFT(C353,FIND("-",C353)-1))=4,
        DATE(VALUE(LEFT(C353,4)),VALUE(MID(C353,6,2)),VALUE(RIGHT(C353,2))),
        DATE(VALUE(RIGHT(C353,4)),VALUE(MID(C353,4,2)),VALUE(LEFT(C353,2)))
      ),
      IF(ISNUMBER(SEARCH("/",C353)*1),
        DATE(VALUE(RIGHT(C353,4)),VALUE(LEFT(C353,2)),VALUE(MID(C353,4,2))),
        DATEVALUE(C353)
      )
    )
  ),
"INVALID_DATE")</f>
        <v>45804</v>
      </c>
      <c r="AB353">
        <f t="shared" si="33"/>
        <v>4</v>
      </c>
      <c r="AC353" t="str">
        <f t="shared" si="34"/>
        <v>May</v>
      </c>
      <c r="AD353">
        <f t="shared" si="35"/>
        <v>2025</v>
      </c>
    </row>
    <row r="354" spans="1:30">
      <c r="A354" t="s">
        <v>1778</v>
      </c>
      <c r="B354" t="s">
        <v>1779</v>
      </c>
      <c r="C354" t="s">
        <v>1401</v>
      </c>
      <c r="D354" t="s">
        <v>1780</v>
      </c>
      <c r="E354" t="s">
        <v>217</v>
      </c>
      <c r="F354" t="s">
        <v>48</v>
      </c>
      <c r="G354" t="s">
        <v>49</v>
      </c>
      <c r="H354" t="s">
        <v>223</v>
      </c>
      <c r="I354" t="s">
        <v>224</v>
      </c>
      <c r="J354" t="s">
        <v>93</v>
      </c>
      <c r="K354" t="s">
        <v>101</v>
      </c>
      <c r="L354" t="s">
        <v>1781</v>
      </c>
      <c r="M354" t="s">
        <v>63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41</v>
      </c>
      <c r="U354" t="s">
        <v>42</v>
      </c>
      <c r="V354">
        <f t="shared" si="30"/>
        <v>10734.75</v>
      </c>
      <c r="W354">
        <f t="shared" si="31"/>
        <v>4259.0200000000004</v>
      </c>
      <c r="X354">
        <f t="shared" si="32"/>
        <v>0.39675073942103917</v>
      </c>
      <c r="Y354" t="str">
        <f>_xlfn.TEXTJOIN(", ",TRUE,IF(G354="Unknown","Missing Region",""),IF(M354="Unknown","Missing Ship Mode",""),IF(P354&lt;0,"Negative Discount",""),IF(P354&gt;0.7,"High Discount",""),IF(C354&lt;B354,"Ship Before Order",""))</f>
        <v>Ship Before Order</v>
      </c>
      <c r="Z354" s="2">
        <f>IFERROR(
  IF(ISNUMBER(B354),B354,
    IF(ISNUMBER(SEARCH("-",B354)*1),
      IF(LEN(LEFT(B354,FIND("-",B354)-1))=4,
        DATE(VALUE(LEFT(B354,4)),VALUE(MID(B354,6,2)),VALUE(RIGHT(B354,2))),
        DATE(VALUE(RIGHT(B354,4)),VALUE(MID(B354,4,2)),VALUE(LEFT(B354,2)))
      ),
      IF(ISNUMBER(SEARCH("/",B354)*1),
        DATE(VALUE(RIGHT(B354,4)),VALUE(LEFT(B354,2)),VALUE(MID(B354,4,2))),
        DATEVALUE(B354)
      )
    )
  ),
"INVALID_DATE")</f>
        <v>45884</v>
      </c>
      <c r="AA354" s="2">
        <f>IFERROR(
  IF(ISNUMBER(C354),C354,
    IF(ISNUMBER(SEARCH("-",C354)*1),
      IF(LEN(LEFT(C354,FIND("-",C354)-1))=4,
        DATE(VALUE(LEFT(C354,4)),VALUE(MID(C354,6,2)),VALUE(RIGHT(C354,2))),
        DATE(VALUE(RIGHT(C354,4)),VALUE(MID(C354,4,2)),VALUE(LEFT(C354,2)))
      ),
      IF(ISNUMBER(SEARCH("/",C354)*1),
        DATE(VALUE(RIGHT(C354,4)),VALUE(LEFT(C354,2)),VALUE(MID(C354,4,2))),
        DATEVALUE(C354)
      )
    )
  ),
"INVALID_DATE")</f>
        <v>45886</v>
      </c>
      <c r="AB354">
        <f t="shared" si="33"/>
        <v>2</v>
      </c>
      <c r="AC354" t="str">
        <f t="shared" si="34"/>
        <v>August</v>
      </c>
      <c r="AD354">
        <f t="shared" si="35"/>
        <v>2025</v>
      </c>
    </row>
    <row r="355" spans="1:30">
      <c r="A355" t="s">
        <v>1782</v>
      </c>
      <c r="B355" t="s">
        <v>1783</v>
      </c>
      <c r="C355" t="s">
        <v>1171</v>
      </c>
      <c r="D355" t="s">
        <v>1784</v>
      </c>
      <c r="E355" t="s">
        <v>79</v>
      </c>
      <c r="F355" t="s">
        <v>33</v>
      </c>
      <c r="G355" t="s">
        <v>34</v>
      </c>
      <c r="H355" t="s">
        <v>35</v>
      </c>
      <c r="I355" t="s">
        <v>36</v>
      </c>
      <c r="J355" t="s">
        <v>37</v>
      </c>
      <c r="K355" t="s">
        <v>61</v>
      </c>
      <c r="L355" t="s">
        <v>1785</v>
      </c>
      <c r="M355" t="s">
        <v>55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41</v>
      </c>
      <c r="U355" t="s">
        <v>42</v>
      </c>
      <c r="V355">
        <f t="shared" si="30"/>
        <v>10308.023999999999</v>
      </c>
      <c r="W355">
        <f t="shared" si="31"/>
        <v>4485.71</v>
      </c>
      <c r="X355">
        <f t="shared" si="32"/>
        <v>0.43516698648237001</v>
      </c>
      <c r="Y355" t="str">
        <f>_xlfn.TEXTJOIN(", ",TRUE,IF(G355="Unknown","Missing Region",""),IF(M355="Unknown","Missing Ship Mode",""),IF(P355&lt;0,"Negative Discount",""),IF(P355&gt;0.7,"High Discount",""),IF(C355&lt;B355,"Ship Before Order",""))</f>
        <v/>
      </c>
      <c r="Z355" s="2">
        <f>IFERROR(
  IF(ISNUMBER(B355),B355,
    IF(ISNUMBER(SEARCH("-",B355)*1),
      IF(LEN(LEFT(B355,FIND("-",B355)-1))=4,
        DATE(VALUE(LEFT(B355,4)),VALUE(MID(B355,6,2)),VALUE(RIGHT(B355,2))),
        DATE(VALUE(RIGHT(B355,4)),VALUE(MID(B355,4,2)),VALUE(LEFT(B355,2)))
      ),
      IF(ISNUMBER(SEARCH("/",B355)*1),
        DATE(VALUE(RIGHT(B355,4)),VALUE(LEFT(B355,2)),VALUE(MID(B355,4,2))),
        DATEVALUE(B355)
      )
    )
  ),
"INVALID_DATE")</f>
        <v>45709</v>
      </c>
      <c r="AA355" s="2">
        <f>IFERROR(
  IF(ISNUMBER(C355),C355,
    IF(ISNUMBER(SEARCH("-",C355)*1),
      IF(LEN(LEFT(C355,FIND("-",C355)-1))=4,
        DATE(VALUE(LEFT(C355,4)),VALUE(MID(C355,6,2)),VALUE(RIGHT(C355,2))),
        DATE(VALUE(RIGHT(C355,4)),VALUE(MID(C355,4,2)),VALUE(LEFT(C355,2)))
      ),
      IF(ISNUMBER(SEARCH("/",C355)*1),
        DATE(VALUE(RIGHT(C355,4)),VALUE(LEFT(C355,2)),VALUE(MID(C355,4,2))),
        DATEVALUE(C355)
      )
    )
  ),
"INVALID_DATE")</f>
        <v>45715</v>
      </c>
      <c r="AB355">
        <f t="shared" si="33"/>
        <v>6</v>
      </c>
      <c r="AC355" t="str">
        <f t="shared" si="34"/>
        <v>February</v>
      </c>
      <c r="AD355">
        <f t="shared" si="35"/>
        <v>2025</v>
      </c>
    </row>
    <row r="356" spans="1:30">
      <c r="A356" t="s">
        <v>1786</v>
      </c>
      <c r="B356" t="s">
        <v>152</v>
      </c>
      <c r="C356" t="s">
        <v>1787</v>
      </c>
      <c r="D356" t="s">
        <v>1788</v>
      </c>
      <c r="E356" t="s">
        <v>374</v>
      </c>
      <c r="F356" t="s">
        <v>1789</v>
      </c>
      <c r="G356" t="s">
        <v>34</v>
      </c>
      <c r="H356" t="s">
        <v>161</v>
      </c>
      <c r="I356" t="s">
        <v>162</v>
      </c>
      <c r="J356" t="s">
        <v>52</v>
      </c>
      <c r="K356" t="s">
        <v>72</v>
      </c>
      <c r="L356" t="s">
        <v>1790</v>
      </c>
      <c r="M356" t="s">
        <v>74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144</v>
      </c>
      <c r="U356" t="s">
        <v>85</v>
      </c>
      <c r="V356">
        <f t="shared" si="30"/>
        <v>21285.520800000002</v>
      </c>
      <c r="W356">
        <f t="shared" si="31"/>
        <v>7171.84</v>
      </c>
      <c r="X356">
        <f t="shared" si="32"/>
        <v>0.35715125185003693</v>
      </c>
      <c r="Y356" t="str">
        <f>_xlfn.TEXTJOIN(", ",TRUE,IF(G356="Unknown","Missing Region",""),IF(M356="Unknown","Missing Ship Mode",""),IF(P356&lt;0,"Negative Discount",""),IF(P356&gt;0.7,"High Discount",""),IF(C356&lt;B356,"Ship Before Order",""))</f>
        <v>Negative Discount, Ship Before Order</v>
      </c>
      <c r="Z356" s="2">
        <f>IFERROR(
  IF(ISNUMBER(B356),B356,
    IF(ISNUMBER(SEARCH("-",B356)*1),
      IF(LEN(LEFT(B356,FIND("-",B356)-1))=4,
        DATE(VALUE(LEFT(B356,4)),VALUE(MID(B356,6,2)),VALUE(RIGHT(B356,2))),
        DATE(VALUE(RIGHT(B356,4)),VALUE(MID(B356,4,2)),VALUE(LEFT(B356,2)))
      ),
      IF(ISNUMBER(SEARCH("/",B356)*1),
        DATE(VALUE(RIGHT(B356,4)),VALUE(LEFT(B356,2)),VALUE(MID(B356,4,2))),
        DATEVALUE(B356)
      )
    )
  ),
"INVALID_DATE")</f>
        <v>45653</v>
      </c>
      <c r="AA356" s="2">
        <f>IFERROR(
  IF(ISNUMBER(C356),C356,
    IF(ISNUMBER(SEARCH("-",C356)*1),
      IF(LEN(LEFT(C356,FIND("-",C356)-1))=4,
        DATE(VALUE(LEFT(C356,4)),VALUE(MID(C356,6,2)),VALUE(RIGHT(C356,2))),
        DATE(VALUE(RIGHT(C356,4)),VALUE(MID(C356,4,2)),VALUE(LEFT(C356,2)))
      ),
      IF(ISNUMBER(SEARCH("/",C356)*1),
        DATE(VALUE(RIGHT(C356,4)),VALUE(LEFT(C356,2)),VALUE(MID(C356,4,2))),
        DATEVALUE(C356)
      )
    )
  ),
"INVALID_DATE")</f>
        <v>45657</v>
      </c>
      <c r="AB356">
        <f t="shared" si="33"/>
        <v>4</v>
      </c>
      <c r="AC356" t="str">
        <f t="shared" si="34"/>
        <v>December</v>
      </c>
      <c r="AD356">
        <f t="shared" si="35"/>
        <v>2024</v>
      </c>
    </row>
    <row r="357" spans="1:30">
      <c r="A357" t="s">
        <v>1791</v>
      </c>
      <c r="B357" t="s">
        <v>1792</v>
      </c>
      <c r="C357" t="s">
        <v>1793</v>
      </c>
      <c r="D357" t="s">
        <v>1794</v>
      </c>
      <c r="E357" t="s">
        <v>149</v>
      </c>
      <c r="F357" t="s">
        <v>115</v>
      </c>
      <c r="G357" t="s">
        <v>80</v>
      </c>
      <c r="H357" t="s">
        <v>35</v>
      </c>
      <c r="I357" t="s">
        <v>142</v>
      </c>
      <c r="J357" t="s">
        <v>52</v>
      </c>
      <c r="K357" t="s">
        <v>53</v>
      </c>
      <c r="L357" t="s">
        <v>1795</v>
      </c>
      <c r="M357" t="s">
        <v>74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144</v>
      </c>
      <c r="U357" t="s">
        <v>85</v>
      </c>
      <c r="V357">
        <f t="shared" si="30"/>
        <v>16017.4</v>
      </c>
      <c r="W357">
        <f t="shared" si="31"/>
        <v>6459.6</v>
      </c>
      <c r="X357">
        <f t="shared" si="32"/>
        <v>0.40328642601171227</v>
      </c>
      <c r="Y357" t="str">
        <f>_xlfn.TEXTJOIN(", ",TRUE,IF(G357="Unknown","Missing Region",""),IF(M357="Unknown","Missing Ship Mode",""),IF(P357&lt;0,"Negative Discount",""),IF(P357&gt;0.7,"High Discount",""),IF(C357&lt;B357,"Ship Before Order",""))</f>
        <v/>
      </c>
      <c r="Z357" s="2">
        <f>IFERROR(
  IF(ISNUMBER(B357),B357,
    IF(ISNUMBER(SEARCH("-",B357)*1),
      IF(LEN(LEFT(B357,FIND("-",B357)-1))=4,
        DATE(VALUE(LEFT(B357,4)),VALUE(MID(B357,6,2)),VALUE(RIGHT(B357,2))),
        DATE(VALUE(RIGHT(B357,4)),VALUE(MID(B357,4,2)),VALUE(LEFT(B357,2)))
      ),
      IF(ISNUMBER(SEARCH("/",B357)*1),
        DATE(VALUE(RIGHT(B357,4)),VALUE(LEFT(B357,2)),VALUE(MID(B357,4,2))),
        DATEVALUE(B357)
      )
    )
  ),
"INVALID_DATE")</f>
        <v>45424</v>
      </c>
      <c r="AA357" s="2">
        <f>IFERROR(
  IF(ISNUMBER(C357),C357,
    IF(ISNUMBER(SEARCH("-",C357)*1),
      IF(LEN(LEFT(C357,FIND("-",C357)-1))=4,
        DATE(VALUE(LEFT(C357,4)),VALUE(MID(C357,6,2)),VALUE(RIGHT(C357,2))),
        DATE(VALUE(RIGHT(C357,4)),VALUE(MID(C357,4,2)),VALUE(LEFT(C357,2)))
      ),
      IF(ISNUMBER(SEARCH("/",C357)*1),
        DATE(VALUE(RIGHT(C357,4)),VALUE(LEFT(C357,2)),VALUE(MID(C357,4,2))),
        DATEVALUE(C357)
      )
    )
  ),
"INVALID_DATE")</f>
        <v>45421</v>
      </c>
      <c r="AB357">
        <f t="shared" si="33"/>
        <v>-3</v>
      </c>
      <c r="AC357" t="str">
        <f t="shared" si="34"/>
        <v>May</v>
      </c>
      <c r="AD357">
        <f t="shared" si="35"/>
        <v>2024</v>
      </c>
    </row>
    <row r="358" spans="1:30">
      <c r="A358" t="s">
        <v>1796</v>
      </c>
      <c r="B358" t="s">
        <v>1797</v>
      </c>
      <c r="C358" t="s">
        <v>1798</v>
      </c>
      <c r="D358" t="s">
        <v>1799</v>
      </c>
      <c r="E358" t="s">
        <v>187</v>
      </c>
      <c r="F358" t="s">
        <v>122</v>
      </c>
      <c r="G358" t="s">
        <v>69</v>
      </c>
      <c r="H358" t="s">
        <v>70</v>
      </c>
      <c r="I358" t="s">
        <v>71</v>
      </c>
      <c r="J358" t="s">
        <v>52</v>
      </c>
      <c r="K358" t="s">
        <v>83</v>
      </c>
      <c r="L358" t="s">
        <v>1800</v>
      </c>
      <c r="M358" t="s">
        <v>63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144</v>
      </c>
      <c r="U358" t="s">
        <v>132</v>
      </c>
      <c r="V358">
        <f t="shared" si="30"/>
        <v>2486.8000000000002</v>
      </c>
      <c r="W358">
        <f t="shared" si="31"/>
        <v>355.07000000000016</v>
      </c>
      <c r="X358">
        <f t="shared" si="32"/>
        <v>0.14278188837059674</v>
      </c>
      <c r="Y358" t="str">
        <f>_xlfn.TEXTJOIN(", ",TRUE,IF(G358="Unknown","Missing Region",""),IF(M358="Unknown","Missing Ship Mode",""),IF(P358&lt;0,"Negative Discount",""),IF(P358&gt;0.7,"High Discount",""),IF(C358&lt;B358,"Ship Before Order",""))</f>
        <v/>
      </c>
      <c r="Z358" s="2">
        <f>IFERROR(
  IF(ISNUMBER(B358),B358,
    IF(ISNUMBER(SEARCH("-",B358)*1),
      IF(LEN(LEFT(B358,FIND("-",B358)-1))=4,
        DATE(VALUE(LEFT(B358,4)),VALUE(MID(B358,6,2)),VALUE(RIGHT(B358,2))),
        DATE(VALUE(RIGHT(B358,4)),VALUE(MID(B358,4,2)),VALUE(LEFT(B358,2)))
      ),
      IF(ISNUMBER(SEARCH("/",B358)*1),
        DATE(VALUE(RIGHT(B358,4)),VALUE(LEFT(B358,2)),VALUE(MID(B358,4,2))),
        DATEVALUE(B358)
      )
    )
  ),
"INVALID_DATE")</f>
        <v>45835</v>
      </c>
      <c r="AA358" s="2">
        <f>IFERROR(
  IF(ISNUMBER(C358),C358,
    IF(ISNUMBER(SEARCH("-",C358)*1),
      IF(LEN(LEFT(C358,FIND("-",C358)-1))=4,
        DATE(VALUE(LEFT(C358,4)),VALUE(MID(C358,6,2)),VALUE(RIGHT(C358,2))),
        DATE(VALUE(RIGHT(C358,4)),VALUE(MID(C358,4,2)),VALUE(LEFT(C358,2)))
      ),
      IF(ISNUMBER(SEARCH("/",C358)*1),
        DATE(VALUE(RIGHT(C358,4)),VALUE(LEFT(C358,2)),VALUE(MID(C358,4,2))),
        DATEVALUE(C358)
      )
    )
  ),
"INVALID_DATE")</f>
        <v>45837</v>
      </c>
      <c r="AB358">
        <f t="shared" si="33"/>
        <v>2</v>
      </c>
      <c r="AC358" t="str">
        <f t="shared" si="34"/>
        <v>June</v>
      </c>
      <c r="AD358">
        <f t="shared" si="35"/>
        <v>2025</v>
      </c>
    </row>
    <row r="359" spans="1:30">
      <c r="A359" t="s">
        <v>1801</v>
      </c>
      <c r="B359" t="s">
        <v>203</v>
      </c>
      <c r="C359" t="s">
        <v>1802</v>
      </c>
      <c r="D359" t="s">
        <v>1803</v>
      </c>
      <c r="E359" t="s">
        <v>47</v>
      </c>
      <c r="F359" t="s">
        <v>122</v>
      </c>
      <c r="G359" t="s">
        <v>69</v>
      </c>
      <c r="H359" t="s">
        <v>107</v>
      </c>
      <c r="I359" t="s">
        <v>108</v>
      </c>
      <c r="J359" t="s">
        <v>93</v>
      </c>
      <c r="K359" t="s">
        <v>390</v>
      </c>
      <c r="L359" t="s">
        <v>1804</v>
      </c>
      <c r="M359" t="s">
        <v>40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41</v>
      </c>
      <c r="U359" t="s">
        <v>85</v>
      </c>
      <c r="V359">
        <f t="shared" si="30"/>
        <v>4369.04</v>
      </c>
      <c r="W359">
        <f t="shared" si="31"/>
        <v>652.15999999999985</v>
      </c>
      <c r="X359">
        <f t="shared" si="32"/>
        <v>0.14926848918755606</v>
      </c>
      <c r="Y359" t="str">
        <f>_xlfn.TEXTJOIN(", ",TRUE,IF(G359="Unknown","Missing Region",""),IF(M359="Unknown","Missing Ship Mode",""),IF(P359&lt;0,"Negative Discount",""),IF(P359&gt;0.7,"High Discount",""),IF(C359&lt;B359,"Ship Before Order",""))</f>
        <v>Ship Before Order</v>
      </c>
      <c r="Z359" s="2">
        <f>IFERROR(
  IF(ISNUMBER(B359),B359,
    IF(ISNUMBER(SEARCH("-",B359)*1),
      IF(LEN(LEFT(B359,FIND("-",B359)-1))=4,
        DATE(VALUE(LEFT(B359,4)),VALUE(MID(B359,6,2)),VALUE(RIGHT(B359,2))),
        DATE(VALUE(RIGHT(B359,4)),VALUE(MID(B359,4,2)),VALUE(LEFT(B359,2)))
      ),
      IF(ISNUMBER(SEARCH("/",B359)*1),
        DATE(VALUE(RIGHT(B359,4)),VALUE(LEFT(B359,2)),VALUE(MID(B359,4,2))),
        DATEVALUE(B359)
      )
    )
  ),
"INVALID_DATE")</f>
        <v>45678</v>
      </c>
      <c r="AA359" s="2">
        <f>IFERROR(
  IF(ISNUMBER(C359),C359,
    IF(ISNUMBER(SEARCH("-",C359)*1),
      IF(LEN(LEFT(C359,FIND("-",C359)-1))=4,
        DATE(VALUE(LEFT(C359,4)),VALUE(MID(C359,6,2)),VALUE(RIGHT(C359,2))),
        DATE(VALUE(RIGHT(C359,4)),VALUE(MID(C359,4,2)),VALUE(LEFT(C359,2)))
      ),
      IF(ISNUMBER(SEARCH("/",C359)*1),
        DATE(VALUE(RIGHT(C359,4)),VALUE(LEFT(C359,2)),VALUE(MID(C359,4,2))),
        DATEVALUE(C359)
      )
    )
  ),
"INVALID_DATE")</f>
        <v>45686</v>
      </c>
      <c r="AB359">
        <f t="shared" si="33"/>
        <v>8</v>
      </c>
      <c r="AC359" t="str">
        <f t="shared" si="34"/>
        <v>January</v>
      </c>
      <c r="AD359">
        <f t="shared" si="35"/>
        <v>2025</v>
      </c>
    </row>
    <row r="360" spans="1:30">
      <c r="A360" t="s">
        <v>1805</v>
      </c>
      <c r="B360" t="s">
        <v>1806</v>
      </c>
      <c r="C360" t="s">
        <v>1807</v>
      </c>
      <c r="D360" t="s">
        <v>1808</v>
      </c>
      <c r="E360" t="s">
        <v>90</v>
      </c>
      <c r="F360" t="s">
        <v>122</v>
      </c>
      <c r="G360" t="s">
        <v>80</v>
      </c>
      <c r="H360" t="s">
        <v>242</v>
      </c>
      <c r="I360" t="s">
        <v>243</v>
      </c>
      <c r="J360" t="s">
        <v>52</v>
      </c>
      <c r="K360" t="s">
        <v>211</v>
      </c>
      <c r="L360" t="s">
        <v>1809</v>
      </c>
      <c r="M360" t="s">
        <v>40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144</v>
      </c>
      <c r="U360" t="s">
        <v>132</v>
      </c>
      <c r="V360">
        <f t="shared" si="30"/>
        <v>5956.12</v>
      </c>
      <c r="W360">
        <f t="shared" si="31"/>
        <v>1576.9399999999996</v>
      </c>
      <c r="X360">
        <f t="shared" si="32"/>
        <v>0.26475960860425918</v>
      </c>
      <c r="Y360" t="str">
        <f>_xlfn.TEXTJOIN(", ",TRUE,IF(G360="Unknown","Missing Region",""),IF(M360="Unknown","Missing Ship Mode",""),IF(P360&lt;0,"Negative Discount",""),IF(P360&gt;0.7,"High Discount",""),IF(C360&lt;B360,"Ship Before Order",""))</f>
        <v/>
      </c>
      <c r="Z360" s="2">
        <f>IFERROR(
  IF(ISNUMBER(B360),B360,
    IF(ISNUMBER(SEARCH("-",B360)*1),
      IF(LEN(LEFT(B360,FIND("-",B360)-1))=4,
        DATE(VALUE(LEFT(B360,4)),VALUE(MID(B360,6,2)),VALUE(RIGHT(B360,2))),
        DATE(VALUE(RIGHT(B360,4)),VALUE(MID(B360,4,2)),VALUE(LEFT(B360,2)))
      ),
      IF(ISNUMBER(SEARCH("/",B360)*1),
        DATE(VALUE(RIGHT(B360,4)),VALUE(LEFT(B360,2)),VALUE(MID(B360,4,2))),
        DATEVALUE(B360)
      )
    )
  ),
"INVALID_DATE")</f>
        <v>45878</v>
      </c>
      <c r="AA360" s="2">
        <f>IFERROR(
  IF(ISNUMBER(C360),C360,
    IF(ISNUMBER(SEARCH("-",C360)*1),
      IF(LEN(LEFT(C360,FIND("-",C360)-1))=4,
        DATE(VALUE(LEFT(C360,4)),VALUE(MID(C360,6,2)),VALUE(RIGHT(C360,2))),
        DATE(VALUE(RIGHT(C360,4)),VALUE(MID(C360,4,2)),VALUE(LEFT(C360,2)))
      ),
      IF(ISNUMBER(SEARCH("/",C360)*1),
        DATE(VALUE(RIGHT(C360,4)),VALUE(LEFT(C360,2)),VALUE(MID(C360,4,2))),
        DATEVALUE(C360)
      )
    )
  ),
"INVALID_DATE")</f>
        <v>45876</v>
      </c>
      <c r="AB360">
        <f t="shared" si="33"/>
        <v>-2</v>
      </c>
      <c r="AC360" t="str">
        <f t="shared" si="34"/>
        <v>August</v>
      </c>
      <c r="AD360">
        <f t="shared" si="35"/>
        <v>2025</v>
      </c>
    </row>
    <row r="361" spans="1:30">
      <c r="A361" t="s">
        <v>1810</v>
      </c>
      <c r="B361" t="s">
        <v>1634</v>
      </c>
      <c r="C361" t="s">
        <v>1811</v>
      </c>
      <c r="D361" t="s">
        <v>1812</v>
      </c>
      <c r="E361" t="s">
        <v>60</v>
      </c>
      <c r="F361" t="s">
        <v>33</v>
      </c>
      <c r="G361" t="s">
        <v>69</v>
      </c>
      <c r="H361" t="s">
        <v>347</v>
      </c>
      <c r="I361" t="s">
        <v>348</v>
      </c>
      <c r="J361" t="s">
        <v>93</v>
      </c>
      <c r="K361" t="s">
        <v>230</v>
      </c>
      <c r="L361" t="s">
        <v>1813</v>
      </c>
      <c r="M361" t="s">
        <v>55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41</v>
      </c>
      <c r="U361" t="s">
        <v>42</v>
      </c>
      <c r="V361">
        <f t="shared" si="30"/>
        <v>4997.3760000000002</v>
      </c>
      <c r="W361">
        <f t="shared" si="31"/>
        <v>2025.9900000000002</v>
      </c>
      <c r="X361">
        <f t="shared" si="32"/>
        <v>0.40541043506797564</v>
      </c>
      <c r="Y361" t="str">
        <f>_xlfn.TEXTJOIN(", ",TRUE,IF(G361="Unknown","Missing Region",""),IF(M361="Unknown","Missing Ship Mode",""),IF(P361&lt;0,"Negative Discount",""),IF(P361&gt;0.7,"High Discount",""),IF(C361&lt;B361,"Ship Before Order",""))</f>
        <v/>
      </c>
      <c r="Z361" s="2">
        <f>IFERROR(
  IF(ISNUMBER(B361),B361,
    IF(ISNUMBER(SEARCH("-",B361)*1),
      IF(LEN(LEFT(B361,FIND("-",B361)-1))=4,
        DATE(VALUE(LEFT(B361,4)),VALUE(MID(B361,6,2)),VALUE(RIGHT(B361,2))),
        DATE(VALUE(RIGHT(B361,4)),VALUE(MID(B361,4,2)),VALUE(LEFT(B361,2)))
      ),
      IF(ISNUMBER(SEARCH("/",B361)*1),
        DATE(VALUE(RIGHT(B361,4)),VALUE(LEFT(B361,2)),VALUE(MID(B361,4,2))),
        DATEVALUE(B361)
      )
    )
  ),
"INVALID_DATE")</f>
        <v>45525</v>
      </c>
      <c r="AA361" s="2">
        <f>IFERROR(
  IF(ISNUMBER(C361),C361,
    IF(ISNUMBER(SEARCH("-",C361)*1),
      IF(LEN(LEFT(C361,FIND("-",C361)-1))=4,
        DATE(VALUE(LEFT(C361,4)),VALUE(MID(C361,6,2)),VALUE(RIGHT(C361,2))),
        DATE(VALUE(RIGHT(C361,4)),VALUE(MID(C361,4,2)),VALUE(LEFT(C361,2)))
      ),
      IF(ISNUMBER(SEARCH("/",C361)*1),
        DATE(VALUE(RIGHT(C361,4)),VALUE(LEFT(C361,2)),VALUE(MID(C361,4,2))),
        DATEVALUE(C361)
      )
    )
  ),
"INVALID_DATE")</f>
        <v>45526</v>
      </c>
      <c r="AB361">
        <f t="shared" si="33"/>
        <v>1</v>
      </c>
      <c r="AC361" t="str">
        <f t="shared" si="34"/>
        <v>August</v>
      </c>
      <c r="AD361">
        <f t="shared" si="35"/>
        <v>2024</v>
      </c>
    </row>
    <row r="362" spans="1:30">
      <c r="A362" t="s">
        <v>1814</v>
      </c>
      <c r="B362" t="s">
        <v>1815</v>
      </c>
      <c r="C362" t="s">
        <v>1816</v>
      </c>
      <c r="D362" t="s">
        <v>1817</v>
      </c>
      <c r="E362" t="s">
        <v>175</v>
      </c>
      <c r="F362" t="s">
        <v>48</v>
      </c>
      <c r="G362" t="s">
        <v>80</v>
      </c>
      <c r="H362" t="s">
        <v>242</v>
      </c>
      <c r="I362" t="s">
        <v>243</v>
      </c>
      <c r="J362" t="s">
        <v>52</v>
      </c>
      <c r="K362" t="s">
        <v>72</v>
      </c>
      <c r="L362" t="s">
        <v>1818</v>
      </c>
      <c r="M362" t="s">
        <v>74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131</v>
      </c>
      <c r="U362" t="s">
        <v>85</v>
      </c>
      <c r="V362">
        <f t="shared" si="30"/>
        <v>17669.400000000001</v>
      </c>
      <c r="W362">
        <f t="shared" si="31"/>
        <v>3950.630000000001</v>
      </c>
      <c r="X362">
        <f t="shared" si="32"/>
        <v>0.22358597349089385</v>
      </c>
      <c r="Y362" t="str">
        <f>_xlfn.TEXTJOIN(", ",TRUE,IF(G362="Unknown","Missing Region",""),IF(M362="Unknown","Missing Ship Mode",""),IF(P362&lt;0,"Negative Discount",""),IF(P362&gt;0.7,"High Discount",""),IF(C362&lt;B362,"Ship Before Order",""))</f>
        <v/>
      </c>
      <c r="Z362" s="2">
        <f>IFERROR(
  IF(ISNUMBER(B362),B362,
    IF(ISNUMBER(SEARCH("-",B362)*1),
      IF(LEN(LEFT(B362,FIND("-",B362)-1))=4,
        DATE(VALUE(LEFT(B362,4)),VALUE(MID(B362,6,2)),VALUE(RIGHT(B362,2))),
        DATE(VALUE(RIGHT(B362,4)),VALUE(MID(B362,4,2)),VALUE(LEFT(B362,2)))
      ),
      IF(ISNUMBER(SEARCH("/",B362)*1),
        DATE(VALUE(RIGHT(B362,4)),VALUE(LEFT(B362,2)),VALUE(MID(B362,4,2))),
        DATEVALUE(B362)
      )
    )
  ),
"INVALID_DATE")</f>
        <v>45460</v>
      </c>
      <c r="AA362" s="2">
        <f>IFERROR(
  IF(ISNUMBER(C362),C362,
    IF(ISNUMBER(SEARCH("-",C362)*1),
      IF(LEN(LEFT(C362,FIND("-",C362)-1))=4,
        DATE(VALUE(LEFT(C362,4)),VALUE(MID(C362,6,2)),VALUE(RIGHT(C362,2))),
        DATE(VALUE(RIGHT(C362,4)),VALUE(MID(C362,4,2)),VALUE(LEFT(C362,2)))
      ),
      IF(ISNUMBER(SEARCH("/",C362)*1),
        DATE(VALUE(RIGHT(C362,4)),VALUE(LEFT(C362,2)),VALUE(MID(C362,4,2))),
        DATEVALUE(C362)
      )
    )
  ),
"INVALID_DATE")</f>
        <v>45463</v>
      </c>
      <c r="AB362">
        <f t="shared" si="33"/>
        <v>3</v>
      </c>
      <c r="AC362" t="str">
        <f t="shared" si="34"/>
        <v>June</v>
      </c>
      <c r="AD362">
        <f t="shared" si="35"/>
        <v>2024</v>
      </c>
    </row>
    <row r="363" spans="1:30">
      <c r="A363" t="s">
        <v>1819</v>
      </c>
      <c r="B363" t="s">
        <v>1165</v>
      </c>
      <c r="C363" t="s">
        <v>1820</v>
      </c>
      <c r="D363" t="s">
        <v>1821</v>
      </c>
      <c r="E363" t="s">
        <v>187</v>
      </c>
      <c r="F363" t="s">
        <v>115</v>
      </c>
      <c r="G363" t="s">
        <v>49</v>
      </c>
      <c r="H363" t="s">
        <v>50</v>
      </c>
      <c r="I363" t="s">
        <v>51</v>
      </c>
      <c r="J363" t="s">
        <v>52</v>
      </c>
      <c r="K363" t="s">
        <v>83</v>
      </c>
      <c r="L363" t="s">
        <v>1822</v>
      </c>
      <c r="M363" t="s">
        <v>40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144</v>
      </c>
      <c r="U363" t="s">
        <v>132</v>
      </c>
      <c r="V363">
        <f t="shared" si="30"/>
        <v>35615.709000000003</v>
      </c>
      <c r="W363">
        <f t="shared" si="31"/>
        <v>15226</v>
      </c>
      <c r="X363">
        <f t="shared" si="32"/>
        <v>0.42750797330728491</v>
      </c>
      <c r="Y363" t="str">
        <f>_xlfn.TEXTJOIN(", ",TRUE,IF(G363="Unknown","Missing Region",""),IF(M363="Unknown","Missing Ship Mode",""),IF(P363&lt;0,"Negative Discount",""),IF(P363&gt;0.7,"High Discount",""),IF(C363&lt;B363,"Ship Before Order",""))</f>
        <v/>
      </c>
      <c r="Z363" s="2">
        <f>IFERROR(
  IF(ISNUMBER(B363),B363,
    IF(ISNUMBER(SEARCH("-",B363)*1),
      IF(LEN(LEFT(B363,FIND("-",B363)-1))=4,
        DATE(VALUE(LEFT(B363,4)),VALUE(MID(B363,6,2)),VALUE(RIGHT(B363,2))),
        DATE(VALUE(RIGHT(B363,4)),VALUE(MID(B363,4,2)),VALUE(LEFT(B363,2)))
      ),
      IF(ISNUMBER(SEARCH("/",B363)*1),
        DATE(VALUE(RIGHT(B363,4)),VALUE(LEFT(B363,2)),VALUE(MID(B363,4,2))),
        DATEVALUE(B363)
      )
    )
  ),
"INVALID_DATE")</f>
        <v>45748</v>
      </c>
      <c r="AA363" s="2">
        <f>IFERROR(
  IF(ISNUMBER(C363),C363,
    IF(ISNUMBER(SEARCH("-",C363)*1),
      IF(LEN(LEFT(C363,FIND("-",C363)-1))=4,
        DATE(VALUE(LEFT(C363,4)),VALUE(MID(C363,6,2)),VALUE(RIGHT(C363,2))),
        DATE(VALUE(RIGHT(C363,4)),VALUE(MID(C363,4,2)),VALUE(LEFT(C363,2)))
      ),
      IF(ISNUMBER(SEARCH("/",C363)*1),
        DATE(VALUE(RIGHT(C363,4)),VALUE(LEFT(C363,2)),VALUE(MID(C363,4,2))),
        DATEVALUE(C363)
      )
    )
  ),
"INVALID_DATE")</f>
        <v>45749</v>
      </c>
      <c r="AB363">
        <f t="shared" si="33"/>
        <v>1</v>
      </c>
      <c r="AC363" t="str">
        <f t="shared" si="34"/>
        <v>April</v>
      </c>
      <c r="AD363">
        <f t="shared" si="35"/>
        <v>2025</v>
      </c>
    </row>
    <row r="364" spans="1:30">
      <c r="A364" t="s">
        <v>1823</v>
      </c>
      <c r="B364" t="s">
        <v>1824</v>
      </c>
      <c r="C364" t="s">
        <v>1825</v>
      </c>
      <c r="D364" t="s">
        <v>1826</v>
      </c>
      <c r="E364" t="s">
        <v>90</v>
      </c>
      <c r="F364" t="s">
        <v>33</v>
      </c>
      <c r="G364" t="s">
        <v>80</v>
      </c>
      <c r="H364" t="s">
        <v>256</v>
      </c>
      <c r="I364" t="s">
        <v>257</v>
      </c>
      <c r="J364" t="s">
        <v>93</v>
      </c>
      <c r="K364" t="s">
        <v>390</v>
      </c>
      <c r="L364" t="s">
        <v>1827</v>
      </c>
      <c r="M364" t="s">
        <v>55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41</v>
      </c>
      <c r="U364" t="s">
        <v>42</v>
      </c>
      <c r="V364">
        <f t="shared" si="30"/>
        <v>1866.4079999999999</v>
      </c>
      <c r="W364">
        <f t="shared" si="31"/>
        <v>289.92000000000007</v>
      </c>
      <c r="X364">
        <f t="shared" si="32"/>
        <v>0.15533564436538597</v>
      </c>
      <c r="Y364" t="str">
        <f>_xlfn.TEXTJOIN(", ",TRUE,IF(G364="Unknown","Missing Region",""),IF(M364="Unknown","Missing Ship Mode",""),IF(P364&lt;0,"Negative Discount",""),IF(P364&gt;0.7,"High Discount",""),IF(C364&lt;B364,"Ship Before Order",""))</f>
        <v/>
      </c>
      <c r="Z364" s="2">
        <f>IFERROR(
  IF(ISNUMBER(B364),B364,
    IF(ISNUMBER(SEARCH("-",B364)*1),
      IF(LEN(LEFT(B364,FIND("-",B364)-1))=4,
        DATE(VALUE(LEFT(B364,4)),VALUE(MID(B364,6,2)),VALUE(RIGHT(B364,2))),
        DATE(VALUE(RIGHT(B364,4)),VALUE(MID(B364,4,2)),VALUE(LEFT(B364,2)))
      ),
      IF(ISNUMBER(SEARCH("/",B364)*1),
        DATE(VALUE(RIGHT(B364,4)),VALUE(LEFT(B364,2)),VALUE(MID(B364,4,2))),
        DATEVALUE(B364)
      )
    )
  ),
"INVALID_DATE")</f>
        <v>45527</v>
      </c>
      <c r="AA364" s="2">
        <f>IFERROR(
  IF(ISNUMBER(C364),C364,
    IF(ISNUMBER(SEARCH("-",C364)*1),
      IF(LEN(LEFT(C364,FIND("-",C364)-1))=4,
        DATE(VALUE(LEFT(C364,4)),VALUE(MID(C364,6,2)),VALUE(RIGHT(C364,2))),
        DATE(VALUE(RIGHT(C364,4)),VALUE(MID(C364,4,2)),VALUE(LEFT(C364,2)))
      ),
      IF(ISNUMBER(SEARCH("/",C364)*1),
        DATE(VALUE(RIGHT(C364,4)),VALUE(LEFT(C364,2)),VALUE(MID(C364,4,2))),
        DATEVALUE(C364)
      )
    )
  ),
"INVALID_DATE")</f>
        <v>45529</v>
      </c>
      <c r="AB364">
        <f t="shared" si="33"/>
        <v>2</v>
      </c>
      <c r="AC364" t="str">
        <f t="shared" si="34"/>
        <v>August</v>
      </c>
      <c r="AD364">
        <f t="shared" si="35"/>
        <v>2024</v>
      </c>
    </row>
    <row r="365" spans="1:30">
      <c r="A365" t="s">
        <v>1828</v>
      </c>
      <c r="B365" t="s">
        <v>1829</v>
      </c>
      <c r="C365" t="s">
        <v>1830</v>
      </c>
      <c r="D365" t="s">
        <v>1831</v>
      </c>
      <c r="E365" t="s">
        <v>217</v>
      </c>
      <c r="F365" t="s">
        <v>115</v>
      </c>
      <c r="G365" t="s">
        <v>49</v>
      </c>
      <c r="H365" t="s">
        <v>128</v>
      </c>
      <c r="I365" t="s">
        <v>129</v>
      </c>
      <c r="J365" t="s">
        <v>52</v>
      </c>
      <c r="K365" t="s">
        <v>53</v>
      </c>
      <c r="L365" t="s">
        <v>1832</v>
      </c>
      <c r="M365" t="s">
        <v>40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41</v>
      </c>
      <c r="U365" t="s">
        <v>42</v>
      </c>
      <c r="V365">
        <f t="shared" si="30"/>
        <v>6867.6374999999998</v>
      </c>
      <c r="W365">
        <f t="shared" si="31"/>
        <v>1662.2800000000007</v>
      </c>
      <c r="X365">
        <f t="shared" si="32"/>
        <v>0.24204530231637067</v>
      </c>
      <c r="Y365" t="str">
        <f>_xlfn.TEXTJOIN(", ",TRUE,IF(G365="Unknown","Missing Region",""),IF(M365="Unknown","Missing Ship Mode",""),IF(P365&lt;0,"Negative Discount",""),IF(P365&gt;0.7,"High Discount",""),IF(C365&lt;B365,"Ship Before Order",""))</f>
        <v/>
      </c>
      <c r="Z365" s="2">
        <f>IFERROR(
  IF(ISNUMBER(B365),B365,
    IF(ISNUMBER(SEARCH("-",B365)*1),
      IF(LEN(LEFT(B365,FIND("-",B365)-1))=4,
        DATE(VALUE(LEFT(B365,4)),VALUE(MID(B365,6,2)),VALUE(RIGHT(B365,2))),
        DATE(VALUE(RIGHT(B365,4)),VALUE(MID(B365,4,2)),VALUE(LEFT(B365,2)))
      ),
      IF(ISNUMBER(SEARCH("/",B365)*1),
        DATE(VALUE(RIGHT(B365,4)),VALUE(LEFT(B365,2)),VALUE(MID(B365,4,2))),
        DATEVALUE(B365)
      )
    )
  ),
"INVALID_DATE")</f>
        <v>45845</v>
      </c>
      <c r="AA365" s="2">
        <f>IFERROR(
  IF(ISNUMBER(C365),C365,
    IF(ISNUMBER(SEARCH("-",C365)*1),
      IF(LEN(LEFT(C365,FIND("-",C365)-1))=4,
        DATE(VALUE(LEFT(C365,4)),VALUE(MID(C365,6,2)),VALUE(RIGHT(C365,2))),
        DATE(VALUE(RIGHT(C365,4)),VALUE(MID(C365,4,2)),VALUE(LEFT(C365,2)))
      ),
      IF(ISNUMBER(SEARCH("/",C365)*1),
        DATE(VALUE(RIGHT(C365,4)),VALUE(LEFT(C365,2)),VALUE(MID(C365,4,2))),
        DATEVALUE(C365)
      )
    )
  ),
"INVALID_DATE")</f>
        <v>45850</v>
      </c>
      <c r="AB365">
        <f t="shared" si="33"/>
        <v>5</v>
      </c>
      <c r="AC365" t="str">
        <f t="shared" si="34"/>
        <v>July</v>
      </c>
      <c r="AD365">
        <f t="shared" si="35"/>
        <v>2025</v>
      </c>
    </row>
    <row r="366" spans="1:30">
      <c r="A366" t="s">
        <v>1833</v>
      </c>
      <c r="B366" t="s">
        <v>1834</v>
      </c>
      <c r="C366" t="s">
        <v>1835</v>
      </c>
      <c r="D366" t="s">
        <v>1836</v>
      </c>
      <c r="E366" t="s">
        <v>169</v>
      </c>
      <c r="F366" t="s">
        <v>48</v>
      </c>
      <c r="G366" t="s">
        <v>69</v>
      </c>
      <c r="H366" t="s">
        <v>107</v>
      </c>
      <c r="I366" t="s">
        <v>108</v>
      </c>
      <c r="J366" t="s">
        <v>52</v>
      </c>
      <c r="K366" t="s">
        <v>83</v>
      </c>
      <c r="L366" t="s">
        <v>1837</v>
      </c>
      <c r="M366" t="s">
        <v>40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41</v>
      </c>
      <c r="U366" t="s">
        <v>42</v>
      </c>
      <c r="V366">
        <f t="shared" si="30"/>
        <v>6195.75</v>
      </c>
      <c r="W366">
        <f t="shared" si="31"/>
        <v>2228.73</v>
      </c>
      <c r="X366">
        <f t="shared" si="32"/>
        <v>0.35971916232901585</v>
      </c>
      <c r="Y366" t="str">
        <f>_xlfn.TEXTJOIN(", ",TRUE,IF(G366="Unknown","Missing Region",""),IF(M366="Unknown","Missing Ship Mode",""),IF(P366&lt;0,"Negative Discount",""),IF(P366&gt;0.7,"High Discount",""),IF(C366&lt;B366,"Ship Before Order",""))</f>
        <v/>
      </c>
      <c r="Z366" s="2">
        <f>IFERROR(
  IF(ISNUMBER(B366),B366,
    IF(ISNUMBER(SEARCH("-",B366)*1),
      IF(LEN(LEFT(B366,FIND("-",B366)-1))=4,
        DATE(VALUE(LEFT(B366,4)),VALUE(MID(B366,6,2)),VALUE(RIGHT(B366,2))),
        DATE(VALUE(RIGHT(B366,4)),VALUE(MID(B366,4,2)),VALUE(LEFT(B366,2)))
      ),
      IF(ISNUMBER(SEARCH("/",B366)*1),
        DATE(VALUE(RIGHT(B366,4)),VALUE(LEFT(B366,2)),VALUE(MID(B366,4,2))),
        DATEVALUE(B366)
      )
    )
  ),
"INVALID_DATE")</f>
        <v>45737</v>
      </c>
      <c r="AA366" s="2">
        <f>IFERROR(
  IF(ISNUMBER(C366),C366,
    IF(ISNUMBER(SEARCH("-",C366)*1),
      IF(LEN(LEFT(C366,FIND("-",C366)-1))=4,
        DATE(VALUE(LEFT(C366,4)),VALUE(MID(C366,6,2)),VALUE(RIGHT(C366,2))),
        DATE(VALUE(RIGHT(C366,4)),VALUE(MID(C366,4,2)),VALUE(LEFT(C366,2)))
      ),
      IF(ISNUMBER(SEARCH("/",C366)*1),
        DATE(VALUE(RIGHT(C366,4)),VALUE(LEFT(C366,2)),VALUE(MID(C366,4,2))),
        DATEVALUE(C366)
      )
    )
  ),
"INVALID_DATE")</f>
        <v>45740</v>
      </c>
      <c r="AB366">
        <f t="shared" si="33"/>
        <v>3</v>
      </c>
      <c r="AC366" t="str">
        <f t="shared" si="34"/>
        <v>March</v>
      </c>
      <c r="AD366">
        <f t="shared" si="35"/>
        <v>2025</v>
      </c>
    </row>
    <row r="367" spans="1:30">
      <c r="A367" t="s">
        <v>1838</v>
      </c>
      <c r="B367" t="s">
        <v>1839</v>
      </c>
      <c r="C367" t="s">
        <v>1840</v>
      </c>
      <c r="D367" t="s">
        <v>1841</v>
      </c>
      <c r="E367" t="s">
        <v>114</v>
      </c>
      <c r="F367" t="s">
        <v>115</v>
      </c>
      <c r="G367" t="s">
        <v>80</v>
      </c>
      <c r="H367" t="s">
        <v>256</v>
      </c>
      <c r="I367" t="s">
        <v>257</v>
      </c>
      <c r="J367" t="s">
        <v>93</v>
      </c>
      <c r="K367" t="s">
        <v>94</v>
      </c>
      <c r="L367" t="s">
        <v>1842</v>
      </c>
      <c r="M367" t="s">
        <v>63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41</v>
      </c>
      <c r="U367" t="s">
        <v>42</v>
      </c>
      <c r="V367">
        <f t="shared" si="30"/>
        <v>13651.2</v>
      </c>
      <c r="W367">
        <f t="shared" si="31"/>
        <v>2849.0299999999988</v>
      </c>
      <c r="X367">
        <f t="shared" si="32"/>
        <v>0.21968610432551142</v>
      </c>
      <c r="Y367" t="str">
        <f>_xlfn.TEXTJOIN(", ",TRUE,IF(G367="Unknown","Missing Region",""),IF(M367="Unknown","Missing Ship Mode",""),IF(P367&lt;0,"Negative Discount",""),IF(P367&gt;0.7,"High Discount",""),IF(C367&lt;B367,"Ship Before Order",""))</f>
        <v/>
      </c>
      <c r="Z367" s="2">
        <f>IFERROR(
  IF(ISNUMBER(B367),B367,
    IF(ISNUMBER(SEARCH("-",B367)*1),
      IF(LEN(LEFT(B367,FIND("-",B367)-1))=4,
        DATE(VALUE(LEFT(B367,4)),VALUE(MID(B367,6,2)),VALUE(RIGHT(B367,2))),
        DATE(VALUE(RIGHT(B367,4)),VALUE(MID(B367,4,2)),VALUE(LEFT(B367,2)))
      ),
      IF(ISNUMBER(SEARCH("/",B367)*1),
        DATE(VALUE(RIGHT(B367,4)),VALUE(LEFT(B367,2)),VALUE(MID(B367,4,2))),
        DATEVALUE(B367)
      )
    )
  ),
"INVALID_DATE")</f>
        <v>45458</v>
      </c>
      <c r="AA367" s="2">
        <f>IFERROR(
  IF(ISNUMBER(C367),C367,
    IF(ISNUMBER(SEARCH("-",C367)*1),
      IF(LEN(LEFT(C367,FIND("-",C367)-1))=4,
        DATE(VALUE(LEFT(C367,4)),VALUE(MID(C367,6,2)),VALUE(RIGHT(C367,2))),
        DATE(VALUE(RIGHT(C367,4)),VALUE(MID(C367,4,2)),VALUE(LEFT(C367,2)))
      ),
      IF(ISNUMBER(SEARCH("/",C367)*1),
        DATE(VALUE(RIGHT(C367,4)),VALUE(LEFT(C367,2)),VALUE(MID(C367,4,2))),
        DATEVALUE(C367)
      )
    )
  ),
"INVALID_DATE")</f>
        <v>45464</v>
      </c>
      <c r="AB367">
        <f t="shared" si="33"/>
        <v>6</v>
      </c>
      <c r="AC367" t="str">
        <f t="shared" si="34"/>
        <v>June</v>
      </c>
      <c r="AD367">
        <f t="shared" si="35"/>
        <v>2024</v>
      </c>
    </row>
    <row r="368" spans="1:30">
      <c r="A368" t="s">
        <v>1843</v>
      </c>
      <c r="B368" t="s">
        <v>1844</v>
      </c>
      <c r="C368" t="s">
        <v>1845</v>
      </c>
      <c r="D368" t="s">
        <v>1846</v>
      </c>
      <c r="E368" t="s">
        <v>175</v>
      </c>
      <c r="F368" t="s">
        <v>115</v>
      </c>
      <c r="G368" t="s">
        <v>34</v>
      </c>
      <c r="H368" t="s">
        <v>35</v>
      </c>
      <c r="I368" t="s">
        <v>36</v>
      </c>
      <c r="J368" t="s">
        <v>52</v>
      </c>
      <c r="K368" t="s">
        <v>53</v>
      </c>
      <c r="L368" t="s">
        <v>1847</v>
      </c>
      <c r="M368" t="s">
        <v>55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41</v>
      </c>
      <c r="U368" t="s">
        <v>42</v>
      </c>
      <c r="V368">
        <f t="shared" si="30"/>
        <v>8836.56</v>
      </c>
      <c r="W368">
        <f t="shared" si="31"/>
        <v>2968.8099999999995</v>
      </c>
      <c r="X368">
        <f t="shared" si="32"/>
        <v>0.33596897435201029</v>
      </c>
      <c r="Y368" t="str">
        <f>_xlfn.TEXTJOIN(", ",TRUE,IF(G368="Unknown","Missing Region",""),IF(M368="Unknown","Missing Ship Mode",""),IF(P368&lt;0,"Negative Discount",""),IF(P368&gt;0.7,"High Discount",""),IF(C368&lt;B368,"Ship Before Order",""))</f>
        <v/>
      </c>
      <c r="Z368" s="2">
        <f>IFERROR(
  IF(ISNUMBER(B368),B368,
    IF(ISNUMBER(SEARCH("-",B368)*1),
      IF(LEN(LEFT(B368,FIND("-",B368)-1))=4,
        DATE(VALUE(LEFT(B368,4)),VALUE(MID(B368,6,2)),VALUE(RIGHT(B368,2))),
        DATE(VALUE(RIGHT(B368,4)),VALUE(MID(B368,4,2)),VALUE(LEFT(B368,2)))
      ),
      IF(ISNUMBER(SEARCH("/",B368)*1),
        DATE(VALUE(RIGHT(B368,4)),VALUE(LEFT(B368,2)),VALUE(MID(B368,4,2))),
        DATEVALUE(B368)
      )
    )
  ),
"INVALID_DATE")</f>
        <v>45673</v>
      </c>
      <c r="AA368" s="2">
        <f>IFERROR(
  IF(ISNUMBER(C368),C368,
    IF(ISNUMBER(SEARCH("-",C368)*1),
      IF(LEN(LEFT(C368,FIND("-",C368)-1))=4,
        DATE(VALUE(LEFT(C368,4)),VALUE(MID(C368,6,2)),VALUE(RIGHT(C368,2))),
        DATE(VALUE(RIGHT(C368,4)),VALUE(MID(C368,4,2)),VALUE(LEFT(C368,2)))
      ),
      IF(ISNUMBER(SEARCH("/",C368)*1),
        DATE(VALUE(RIGHT(C368,4)),VALUE(LEFT(C368,2)),VALUE(MID(C368,4,2))),
        DATEVALUE(C368)
      )
    )
  ),
"INVALID_DATE")</f>
        <v>45679</v>
      </c>
      <c r="AB368">
        <f t="shared" si="33"/>
        <v>6</v>
      </c>
      <c r="AC368" t="str">
        <f t="shared" si="34"/>
        <v>January</v>
      </c>
      <c r="AD368">
        <f t="shared" si="35"/>
        <v>2025</v>
      </c>
    </row>
    <row r="369" spans="1:30">
      <c r="A369" t="s">
        <v>1848</v>
      </c>
      <c r="B369" t="s">
        <v>986</v>
      </c>
      <c r="C369" t="s">
        <v>1849</v>
      </c>
      <c r="D369" t="s">
        <v>1850</v>
      </c>
      <c r="E369" t="s">
        <v>187</v>
      </c>
      <c r="F369" t="s">
        <v>33</v>
      </c>
      <c r="G369" t="s">
        <v>34</v>
      </c>
      <c r="H369" t="s">
        <v>514</v>
      </c>
      <c r="I369" t="s">
        <v>515</v>
      </c>
      <c r="J369" t="s">
        <v>37</v>
      </c>
      <c r="K369" t="s">
        <v>61</v>
      </c>
      <c r="L369" t="s">
        <v>1851</v>
      </c>
      <c r="M369" t="s">
        <v>74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207</v>
      </c>
      <c r="U369" t="s">
        <v>85</v>
      </c>
      <c r="V369">
        <f t="shared" si="30"/>
        <v>19456.959000000003</v>
      </c>
      <c r="W369">
        <f t="shared" si="31"/>
        <v>4936.8999999999996</v>
      </c>
      <c r="X369">
        <f t="shared" si="32"/>
        <v>0.25373439632912848</v>
      </c>
      <c r="Y369" t="str">
        <f>_xlfn.TEXTJOIN(", ",TRUE,IF(G369="Unknown","Missing Region",""),IF(M369="Unknown","Missing Ship Mode",""),IF(P369&lt;0,"Negative Discount",""),IF(P369&gt;0.7,"High Discount",""),IF(C369&lt;B369,"Ship Before Order",""))</f>
        <v>Ship Before Order</v>
      </c>
      <c r="Z369" s="2">
        <f>IFERROR(
  IF(ISNUMBER(B369),B369,
    IF(ISNUMBER(SEARCH("-",B369)*1),
      IF(LEN(LEFT(B369,FIND("-",B369)-1))=4,
        DATE(VALUE(LEFT(B369,4)),VALUE(MID(B369,6,2)),VALUE(RIGHT(B369,2))),
        DATE(VALUE(RIGHT(B369,4)),VALUE(MID(B369,4,2)),VALUE(LEFT(B369,2)))
      ),
      IF(ISNUMBER(SEARCH("/",B369)*1),
        DATE(VALUE(RIGHT(B369,4)),VALUE(LEFT(B369,2)),VALUE(MID(B369,4,2))),
        DATEVALUE(B369)
      )
    )
  ),
"INVALID_DATE")</f>
        <v>45366</v>
      </c>
      <c r="AA369" s="2">
        <f>IFERROR(
  IF(ISNUMBER(C369),C369,
    IF(ISNUMBER(SEARCH("-",C369)*1),
      IF(LEN(LEFT(C369,FIND("-",C369)-1))=4,
        DATE(VALUE(LEFT(C369,4)),VALUE(MID(C369,6,2)),VALUE(RIGHT(C369,2))),
        DATE(VALUE(RIGHT(C369,4)),VALUE(MID(C369,4,2)),VALUE(LEFT(C369,2)))
      ),
      IF(ISNUMBER(SEARCH("/",C369)*1),
        DATE(VALUE(RIGHT(C369,4)),VALUE(LEFT(C369,2)),VALUE(MID(C369,4,2))),
        DATEVALUE(C369)
      )
    )
  ),
"INVALID_DATE")</f>
        <v>45367</v>
      </c>
      <c r="AB369">
        <f t="shared" si="33"/>
        <v>1</v>
      </c>
      <c r="AC369" t="str">
        <f t="shared" si="34"/>
        <v>March</v>
      </c>
      <c r="AD369">
        <f t="shared" si="35"/>
        <v>2024</v>
      </c>
    </row>
    <row r="370" spans="1:30">
      <c r="A370" t="s">
        <v>1852</v>
      </c>
      <c r="B370" t="s">
        <v>1280</v>
      </c>
      <c r="C370" t="s">
        <v>1280</v>
      </c>
      <c r="D370" t="s">
        <v>1853</v>
      </c>
      <c r="E370" t="s">
        <v>169</v>
      </c>
      <c r="F370" t="s">
        <v>122</v>
      </c>
      <c r="G370" t="s">
        <v>34</v>
      </c>
      <c r="H370" t="s">
        <v>35</v>
      </c>
      <c r="I370" t="s">
        <v>36</v>
      </c>
      <c r="J370" t="s">
        <v>93</v>
      </c>
      <c r="K370" t="s">
        <v>94</v>
      </c>
      <c r="L370" t="s">
        <v>1854</v>
      </c>
      <c r="M370" t="s">
        <v>55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131</v>
      </c>
      <c r="U370" t="s">
        <v>132</v>
      </c>
      <c r="V370">
        <f t="shared" si="30"/>
        <v>2079.2745</v>
      </c>
      <c r="W370">
        <f t="shared" si="31"/>
        <v>567.09999999999991</v>
      </c>
      <c r="X370">
        <f t="shared" si="32"/>
        <v>0.27273995200238549</v>
      </c>
      <c r="Y370" t="str">
        <f>_xlfn.TEXTJOIN(", ",TRUE,IF(G370="Unknown","Missing Region",""),IF(M370="Unknown","Missing Ship Mode",""),IF(P370&lt;0,"Negative Discount",""),IF(P370&gt;0.7,"High Discount",""),IF(C370&lt;B370,"Ship Before Order",""))</f>
        <v/>
      </c>
      <c r="Z370" s="2">
        <f>IFERROR(
  IF(ISNUMBER(B370),B370,
    IF(ISNUMBER(SEARCH("-",B370)*1),
      IF(LEN(LEFT(B370,FIND("-",B370)-1))=4,
        DATE(VALUE(LEFT(B370,4)),VALUE(MID(B370,6,2)),VALUE(RIGHT(B370,2))),
        DATE(VALUE(RIGHT(B370,4)),VALUE(MID(B370,4,2)),VALUE(LEFT(B370,2)))
      ),
      IF(ISNUMBER(SEARCH("/",B370)*1),
        DATE(VALUE(RIGHT(B370,4)),VALUE(LEFT(B370,2)),VALUE(MID(B370,4,2))),
        DATEVALUE(B370)
      )
    )
  ),
"INVALID_DATE")</f>
        <v>45844</v>
      </c>
      <c r="AA370" s="2">
        <f>IFERROR(
  IF(ISNUMBER(C370),C370,
    IF(ISNUMBER(SEARCH("-",C370)*1),
      IF(LEN(LEFT(C370,FIND("-",C370)-1))=4,
        DATE(VALUE(LEFT(C370,4)),VALUE(MID(C370,6,2)),VALUE(RIGHT(C370,2))),
        DATE(VALUE(RIGHT(C370,4)),VALUE(MID(C370,4,2)),VALUE(LEFT(C370,2)))
      ),
      IF(ISNUMBER(SEARCH("/",C370)*1),
        DATE(VALUE(RIGHT(C370,4)),VALUE(LEFT(C370,2)),VALUE(MID(C370,4,2))),
        DATEVALUE(C370)
      )
    )
  ),
"INVALID_DATE")</f>
        <v>45844</v>
      </c>
      <c r="AB370">
        <f t="shared" si="33"/>
        <v>0</v>
      </c>
      <c r="AC370" t="str">
        <f t="shared" si="34"/>
        <v>July</v>
      </c>
      <c r="AD370">
        <f t="shared" si="35"/>
        <v>2025</v>
      </c>
    </row>
    <row r="371" spans="1:30">
      <c r="A371" t="s">
        <v>1855</v>
      </c>
      <c r="B371" t="s">
        <v>1539</v>
      </c>
      <c r="C371" t="s">
        <v>198</v>
      </c>
      <c r="D371" t="s">
        <v>1856</v>
      </c>
      <c r="E371" t="s">
        <v>149</v>
      </c>
      <c r="F371" t="s">
        <v>33</v>
      </c>
      <c r="G371" t="s">
        <v>34</v>
      </c>
      <c r="H371" t="s">
        <v>514</v>
      </c>
      <c r="I371" t="s">
        <v>515</v>
      </c>
      <c r="J371" t="s">
        <v>37</v>
      </c>
      <c r="K371" t="s">
        <v>116</v>
      </c>
      <c r="L371" t="s">
        <v>1857</v>
      </c>
      <c r="M371" t="s">
        <v>74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41</v>
      </c>
      <c r="U371" t="s">
        <v>42</v>
      </c>
      <c r="V371">
        <f t="shared" si="30"/>
        <v>8945.6804999999986</v>
      </c>
      <c r="W371">
        <f t="shared" si="31"/>
        <v>2205.33</v>
      </c>
      <c r="X371">
        <f t="shared" si="32"/>
        <v>0.24652457946181844</v>
      </c>
      <c r="Y371" t="str">
        <f>_xlfn.TEXTJOIN(", ",TRUE,IF(G371="Unknown","Missing Region",""),IF(M371="Unknown","Missing Ship Mode",""),IF(P371&lt;0,"Negative Discount",""),IF(P371&gt;0.7,"High Discount",""),IF(C371&lt;B371,"Ship Before Order",""))</f>
        <v>Ship Before Order</v>
      </c>
      <c r="Z371" s="2">
        <f>IFERROR(
  IF(ISNUMBER(B371),B371,
    IF(ISNUMBER(SEARCH("-",B371)*1),
      IF(LEN(LEFT(B371,FIND("-",B371)-1))=4,
        DATE(VALUE(LEFT(B371,4)),VALUE(MID(B371,6,2)),VALUE(RIGHT(B371,2))),
        DATE(VALUE(RIGHT(B371,4)),VALUE(MID(B371,4,2)),VALUE(LEFT(B371,2)))
      ),
      IF(ISNUMBER(SEARCH("/",B371)*1),
        DATE(VALUE(RIGHT(B371,4)),VALUE(LEFT(B371,2)),VALUE(MID(B371,4,2))),
        DATEVALUE(B371)
      )
    )
  ),
"INVALID_DATE")</f>
        <v>45680</v>
      </c>
      <c r="AA371" s="2">
        <f>IFERROR(
  IF(ISNUMBER(C371),C371,
    IF(ISNUMBER(SEARCH("-",C371)*1),
      IF(LEN(LEFT(C371,FIND("-",C371)-1))=4,
        DATE(VALUE(LEFT(C371,4)),VALUE(MID(C371,6,2)),VALUE(RIGHT(C371,2))),
        DATE(VALUE(RIGHT(C371,4)),VALUE(MID(C371,4,2)),VALUE(LEFT(C371,2)))
      ),
      IF(ISNUMBER(SEARCH("/",C371)*1),
        DATE(VALUE(RIGHT(C371,4)),VALUE(LEFT(C371,2)),VALUE(MID(C371,4,2))),
        DATEVALUE(C371)
      )
    )
  ),
"INVALID_DATE")</f>
        <v>45687</v>
      </c>
      <c r="AB371">
        <f t="shared" si="33"/>
        <v>7</v>
      </c>
      <c r="AC371" t="str">
        <f t="shared" si="34"/>
        <v>January</v>
      </c>
      <c r="AD371">
        <f t="shared" si="35"/>
        <v>2025</v>
      </c>
    </row>
    <row r="372" spans="1:30">
      <c r="A372" t="s">
        <v>1858</v>
      </c>
      <c r="B372" t="s">
        <v>1859</v>
      </c>
      <c r="C372" t="s">
        <v>1634</v>
      </c>
      <c r="D372" t="s">
        <v>1860</v>
      </c>
      <c r="E372" t="s">
        <v>79</v>
      </c>
      <c r="F372" t="s">
        <v>48</v>
      </c>
      <c r="G372" t="s">
        <v>80</v>
      </c>
      <c r="H372" t="s">
        <v>35</v>
      </c>
      <c r="I372" t="s">
        <v>142</v>
      </c>
      <c r="J372" t="s">
        <v>93</v>
      </c>
      <c r="K372" t="s">
        <v>101</v>
      </c>
      <c r="L372" t="s">
        <v>1861</v>
      </c>
      <c r="M372" t="s">
        <v>63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41</v>
      </c>
      <c r="U372" t="s">
        <v>42</v>
      </c>
      <c r="V372">
        <f t="shared" si="30"/>
        <v>13069.335999999999</v>
      </c>
      <c r="W372">
        <f t="shared" si="31"/>
        <v>4300.75</v>
      </c>
      <c r="X372">
        <f t="shared" si="32"/>
        <v>0.32907170522765494</v>
      </c>
      <c r="Y372" t="str">
        <f>_xlfn.TEXTJOIN(", ",TRUE,IF(G372="Unknown","Missing Region",""),IF(M372="Unknown","Missing Ship Mode",""),IF(P372&lt;0,"Negative Discount",""),IF(P372&gt;0.7,"High Discount",""),IF(C372&lt;B372,"Ship Before Order",""))</f>
        <v/>
      </c>
      <c r="Z372" s="2">
        <f>IFERROR(
  IF(ISNUMBER(B372),B372,
    IF(ISNUMBER(SEARCH("-",B372)*1),
      IF(LEN(LEFT(B372,FIND("-",B372)-1))=4,
        DATE(VALUE(LEFT(B372,4)),VALUE(MID(B372,6,2)),VALUE(RIGHT(B372,2))),
        DATE(VALUE(RIGHT(B372,4)),VALUE(MID(B372,4,2)),VALUE(LEFT(B372,2)))
      ),
      IF(ISNUMBER(SEARCH("/",B372)*1),
        DATE(VALUE(RIGHT(B372,4)),VALUE(LEFT(B372,2)),VALUE(MID(B372,4,2))),
        DATEVALUE(B372)
      )
    )
  ),
"INVALID_DATE")</f>
        <v>45519</v>
      </c>
      <c r="AA372" s="2">
        <f>IFERROR(
  IF(ISNUMBER(C372),C372,
    IF(ISNUMBER(SEARCH("-",C372)*1),
      IF(LEN(LEFT(C372,FIND("-",C372)-1))=4,
        DATE(VALUE(LEFT(C372,4)),VALUE(MID(C372,6,2)),VALUE(RIGHT(C372,2))),
        DATE(VALUE(RIGHT(C372,4)),VALUE(MID(C372,4,2)),VALUE(LEFT(C372,2)))
      ),
      IF(ISNUMBER(SEARCH("/",C372)*1),
        DATE(VALUE(RIGHT(C372,4)),VALUE(LEFT(C372,2)),VALUE(MID(C372,4,2))),
        DATEVALUE(C372)
      )
    )
  ),
"INVALID_DATE")</f>
        <v>45525</v>
      </c>
      <c r="AB372">
        <f t="shared" si="33"/>
        <v>6</v>
      </c>
      <c r="AC372" t="str">
        <f t="shared" si="34"/>
        <v>August</v>
      </c>
      <c r="AD372">
        <f t="shared" si="35"/>
        <v>2024</v>
      </c>
    </row>
    <row r="373" spans="1:30">
      <c r="A373" t="s">
        <v>1862</v>
      </c>
      <c r="B373" t="s">
        <v>1066</v>
      </c>
      <c r="C373" t="s">
        <v>1863</v>
      </c>
      <c r="D373" t="s">
        <v>1864</v>
      </c>
      <c r="E373" t="s">
        <v>217</v>
      </c>
      <c r="F373" t="s">
        <v>122</v>
      </c>
      <c r="G373" t="s">
        <v>80</v>
      </c>
      <c r="H373" t="s">
        <v>81</v>
      </c>
      <c r="I373" t="s">
        <v>82</v>
      </c>
      <c r="J373" t="s">
        <v>37</v>
      </c>
      <c r="K373" t="s">
        <v>61</v>
      </c>
      <c r="L373" t="s">
        <v>1865</v>
      </c>
      <c r="M373" t="s">
        <v>74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131</v>
      </c>
      <c r="U373" t="s">
        <v>85</v>
      </c>
      <c r="V373">
        <f t="shared" si="30"/>
        <v>6156.36</v>
      </c>
      <c r="W373">
        <f t="shared" si="31"/>
        <v>1635.3300000000004</v>
      </c>
      <c r="X373">
        <f t="shared" si="32"/>
        <v>0.35417681876953261</v>
      </c>
      <c r="Y373" t="str">
        <f>_xlfn.TEXTJOIN(", ",TRUE,IF(G373="Unknown","Missing Region",""),IF(M373="Unknown","Missing Ship Mode",""),IF(P373&lt;0,"Negative Discount",""),IF(P373&gt;0.7,"High Discount",""),IF(C373&lt;B373,"Ship Before Order",""))</f>
        <v>Ship Before Order</v>
      </c>
      <c r="Z373" s="2">
        <f>IFERROR(
  IF(ISNUMBER(B373),B373,
    IF(ISNUMBER(SEARCH("-",B373)*1),
      IF(LEN(LEFT(B373,FIND("-",B373)-1))=4,
        DATE(VALUE(LEFT(B373,4)),VALUE(MID(B373,6,2)),VALUE(RIGHT(B373,2))),
        DATE(VALUE(RIGHT(B373,4)),VALUE(MID(B373,4,2)),VALUE(LEFT(B373,2)))
      ),
      IF(ISNUMBER(SEARCH("/",B373)*1),
        DATE(VALUE(RIGHT(B373,4)),VALUE(LEFT(B373,2)),VALUE(MID(B373,4,2))),
        DATEVALUE(B373)
      )
    )
  ),
"INVALID_DATE")</f>
        <v>45313</v>
      </c>
      <c r="AA373" s="2">
        <f>IFERROR(
  IF(ISNUMBER(C373),C373,
    IF(ISNUMBER(SEARCH("-",C373)*1),
      IF(LEN(LEFT(C373,FIND("-",C373)-1))=4,
        DATE(VALUE(LEFT(C373,4)),VALUE(MID(C373,6,2)),VALUE(RIGHT(C373,2))),
        DATE(VALUE(RIGHT(C373,4)),VALUE(MID(C373,4,2)),VALUE(LEFT(C373,2)))
      ),
      IF(ISNUMBER(SEARCH("/",C373)*1),
        DATE(VALUE(RIGHT(C373,4)),VALUE(LEFT(C373,2)),VALUE(MID(C373,4,2))),
        DATEVALUE(C373)
      )
    )
  ),
"INVALID_DATE")</f>
        <v>45315</v>
      </c>
      <c r="AB373">
        <f t="shared" si="33"/>
        <v>2</v>
      </c>
      <c r="AC373" t="str">
        <f t="shared" si="34"/>
        <v>January</v>
      </c>
      <c r="AD373">
        <f t="shared" si="35"/>
        <v>2024</v>
      </c>
    </row>
    <row r="374" spans="1:30">
      <c r="A374" t="s">
        <v>1866</v>
      </c>
      <c r="B374" t="s">
        <v>1867</v>
      </c>
      <c r="C374" t="s">
        <v>929</v>
      </c>
      <c r="D374" t="s">
        <v>978</v>
      </c>
      <c r="E374" t="s">
        <v>374</v>
      </c>
      <c r="F374" t="s">
        <v>33</v>
      </c>
      <c r="G374" t="s">
        <v>49</v>
      </c>
      <c r="H374" t="s">
        <v>319</v>
      </c>
      <c r="I374" t="s">
        <v>320</v>
      </c>
      <c r="J374" t="s">
        <v>52</v>
      </c>
      <c r="K374" t="s">
        <v>83</v>
      </c>
      <c r="L374" t="s">
        <v>1868</v>
      </c>
      <c r="M374" t="s">
        <v>55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41</v>
      </c>
      <c r="U374" t="s">
        <v>42</v>
      </c>
      <c r="V374">
        <f t="shared" si="30"/>
        <v>7651.7999999999993</v>
      </c>
      <c r="W374">
        <f t="shared" si="31"/>
        <v>2480.0200000000004</v>
      </c>
      <c r="X374">
        <f t="shared" si="32"/>
        <v>0.32410935988917638</v>
      </c>
      <c r="Y374" t="str">
        <f>_xlfn.TEXTJOIN(", ",TRUE,IF(G374="Unknown","Missing Region",""),IF(M374="Unknown","Missing Ship Mode",""),IF(P374&lt;0,"Negative Discount",""),IF(P374&gt;0.7,"High Discount",""),IF(C374&lt;B374,"Ship Before Order",""))</f>
        <v/>
      </c>
      <c r="Z374" s="2">
        <f>IFERROR(
  IF(ISNUMBER(B374),B374,
    IF(ISNUMBER(SEARCH("-",B374)*1),
      IF(LEN(LEFT(B374,FIND("-",B374)-1))=4,
        DATE(VALUE(LEFT(B374,4)),VALUE(MID(B374,6,2)),VALUE(RIGHT(B374,2))),
        DATE(VALUE(RIGHT(B374,4)),VALUE(MID(B374,4,2)),VALUE(LEFT(B374,2)))
      ),
      IF(ISNUMBER(SEARCH("/",B374)*1),
        DATE(VALUE(RIGHT(B374,4)),VALUE(LEFT(B374,2)),VALUE(MID(B374,4,2))),
        DATEVALUE(B374)
      )
    )
  ),
"INVALID_DATE")</f>
        <v>45885</v>
      </c>
      <c r="AA374" s="2">
        <f>IFERROR(
  IF(ISNUMBER(C374),C374,
    IF(ISNUMBER(SEARCH("-",C374)*1),
      IF(LEN(LEFT(C374,FIND("-",C374)-1))=4,
        DATE(VALUE(LEFT(C374,4)),VALUE(MID(C374,6,2)),VALUE(RIGHT(C374,2))),
        DATE(VALUE(RIGHT(C374,4)),VALUE(MID(C374,4,2)),VALUE(LEFT(C374,2)))
      ),
      IF(ISNUMBER(SEARCH("/",C374)*1),
        DATE(VALUE(RIGHT(C374,4)),VALUE(LEFT(C374,2)),VALUE(MID(C374,4,2))),
        DATEVALUE(C374)
      )
    )
  ),
"INVALID_DATE")</f>
        <v>45887</v>
      </c>
      <c r="AB374">
        <f t="shared" si="33"/>
        <v>2</v>
      </c>
      <c r="AC374" t="str">
        <f t="shared" si="34"/>
        <v>August</v>
      </c>
      <c r="AD374">
        <f t="shared" si="35"/>
        <v>2025</v>
      </c>
    </row>
    <row r="375" spans="1:30">
      <c r="A375" t="s">
        <v>1869</v>
      </c>
      <c r="B375" t="s">
        <v>1870</v>
      </c>
      <c r="C375" t="s">
        <v>1870</v>
      </c>
      <c r="D375" t="s">
        <v>1871</v>
      </c>
      <c r="E375" t="s">
        <v>175</v>
      </c>
      <c r="F375" t="s">
        <v>48</v>
      </c>
      <c r="G375" t="s">
        <v>34</v>
      </c>
      <c r="H375" t="s">
        <v>181</v>
      </c>
      <c r="I375" t="s">
        <v>182</v>
      </c>
      <c r="J375" t="s">
        <v>37</v>
      </c>
      <c r="K375" t="s">
        <v>163</v>
      </c>
      <c r="L375" t="s">
        <v>1872</v>
      </c>
      <c r="M375" t="s">
        <v>40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41</v>
      </c>
      <c r="U375" t="s">
        <v>42</v>
      </c>
      <c r="V375">
        <f t="shared" si="30"/>
        <v>10068.120000000001</v>
      </c>
      <c r="W375">
        <f t="shared" si="31"/>
        <v>1472.75</v>
      </c>
      <c r="X375">
        <f t="shared" si="32"/>
        <v>0.14627855051389932</v>
      </c>
      <c r="Y375" t="str">
        <f>_xlfn.TEXTJOIN(", ",TRUE,IF(G375="Unknown","Missing Region",""),IF(M375="Unknown","Missing Ship Mode",""),IF(P375&lt;0,"Negative Discount",""),IF(P375&gt;0.7,"High Discount",""),IF(C375&lt;B375,"Ship Before Order",""))</f>
        <v/>
      </c>
      <c r="Z375" s="2">
        <f>IFERROR(
  IF(ISNUMBER(B375),B375,
    IF(ISNUMBER(SEARCH("-",B375)*1),
      IF(LEN(LEFT(B375,FIND("-",B375)-1))=4,
        DATE(VALUE(LEFT(B375,4)),VALUE(MID(B375,6,2)),VALUE(RIGHT(B375,2))),
        DATE(VALUE(RIGHT(B375,4)),VALUE(MID(B375,4,2)),VALUE(LEFT(B375,2)))
      ),
      IF(ISNUMBER(SEARCH("/",B375)*1),
        DATE(VALUE(RIGHT(B375,4)),VALUE(LEFT(B375,2)),VALUE(MID(B375,4,2))),
        DATEVALUE(B375)
      )
    )
  ),
"INVALID_DATE")</f>
        <v>45760</v>
      </c>
      <c r="AA375" s="2">
        <f>IFERROR(
  IF(ISNUMBER(C375),C375,
    IF(ISNUMBER(SEARCH("-",C375)*1),
      IF(LEN(LEFT(C375,FIND("-",C375)-1))=4,
        DATE(VALUE(LEFT(C375,4)),VALUE(MID(C375,6,2)),VALUE(RIGHT(C375,2))),
        DATE(VALUE(RIGHT(C375,4)),VALUE(MID(C375,4,2)),VALUE(LEFT(C375,2)))
      ),
      IF(ISNUMBER(SEARCH("/",C375)*1),
        DATE(VALUE(RIGHT(C375,4)),VALUE(LEFT(C375,2)),VALUE(MID(C375,4,2))),
        DATEVALUE(C375)
      )
    )
  ),
"INVALID_DATE")</f>
        <v>45760</v>
      </c>
      <c r="AB375">
        <f t="shared" si="33"/>
        <v>0</v>
      </c>
      <c r="AC375" t="str">
        <f t="shared" si="34"/>
        <v>April</v>
      </c>
      <c r="AD375">
        <f t="shared" si="35"/>
        <v>2025</v>
      </c>
    </row>
    <row r="376" spans="1:30">
      <c r="A376" t="s">
        <v>1873</v>
      </c>
      <c r="B376" t="s">
        <v>1874</v>
      </c>
      <c r="C376" t="s">
        <v>1875</v>
      </c>
      <c r="D376" t="s">
        <v>1876</v>
      </c>
      <c r="E376" t="s">
        <v>114</v>
      </c>
      <c r="F376" t="s">
        <v>48</v>
      </c>
      <c r="G376" t="s">
        <v>34</v>
      </c>
      <c r="H376" t="s">
        <v>181</v>
      </c>
      <c r="I376" t="s">
        <v>182</v>
      </c>
      <c r="J376" t="s">
        <v>37</v>
      </c>
      <c r="K376" t="s">
        <v>116</v>
      </c>
      <c r="L376" t="s">
        <v>1877</v>
      </c>
      <c r="M376" t="s">
        <v>74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41</v>
      </c>
      <c r="U376" t="s">
        <v>42</v>
      </c>
      <c r="V376">
        <f t="shared" si="30"/>
        <v>14359.5</v>
      </c>
      <c r="W376">
        <f t="shared" si="31"/>
        <v>6241.79</v>
      </c>
      <c r="X376">
        <f t="shared" si="32"/>
        <v>0.43468017688638183</v>
      </c>
      <c r="Y376" t="str">
        <f>_xlfn.TEXTJOIN(", ",TRUE,IF(G376="Unknown","Missing Region",""),IF(M376="Unknown","Missing Ship Mode",""),IF(P376&lt;0,"Negative Discount",""),IF(P376&gt;0.7,"High Discount",""),IF(C376&lt;B376,"Ship Before Order",""))</f>
        <v/>
      </c>
      <c r="Z376" s="2">
        <f>IFERROR(
  IF(ISNUMBER(B376),B376,
    IF(ISNUMBER(SEARCH("-",B376)*1),
      IF(LEN(LEFT(B376,FIND("-",B376)-1))=4,
        DATE(VALUE(LEFT(B376,4)),VALUE(MID(B376,6,2)),VALUE(RIGHT(B376,2))),
        DATE(VALUE(RIGHT(B376,4)),VALUE(MID(B376,4,2)),VALUE(LEFT(B376,2)))
      ),
      IF(ISNUMBER(SEARCH("/",B376)*1),
        DATE(VALUE(RIGHT(B376,4)),VALUE(LEFT(B376,2)),VALUE(MID(B376,4,2))),
        DATEVALUE(B376)
      )
    )
  ),
"INVALID_DATE")</f>
        <v>45715</v>
      </c>
      <c r="AA376" s="2">
        <f>IFERROR(
  IF(ISNUMBER(C376),C376,
    IF(ISNUMBER(SEARCH("-",C376)*1),
      IF(LEN(LEFT(C376,FIND("-",C376)-1))=4,
        DATE(VALUE(LEFT(C376,4)),VALUE(MID(C376,6,2)),VALUE(RIGHT(C376,2))),
        DATE(VALUE(RIGHT(C376,4)),VALUE(MID(C376,4,2)),VALUE(LEFT(C376,2)))
      ),
      IF(ISNUMBER(SEARCH("/",C376)*1),
        DATE(VALUE(RIGHT(C376,4)),VALUE(LEFT(C376,2)),VALUE(MID(C376,4,2))),
        DATEVALUE(C376)
      )
    )
  ),
"INVALID_DATE")</f>
        <v>45716</v>
      </c>
      <c r="AB376">
        <f t="shared" si="33"/>
        <v>1</v>
      </c>
      <c r="AC376" t="str">
        <f t="shared" si="34"/>
        <v>February</v>
      </c>
      <c r="AD376">
        <f t="shared" si="35"/>
        <v>2025</v>
      </c>
    </row>
    <row r="377" spans="1:30">
      <c r="A377" t="s">
        <v>1878</v>
      </c>
      <c r="B377" t="s">
        <v>1879</v>
      </c>
      <c r="C377" t="s">
        <v>1880</v>
      </c>
      <c r="D377" t="s">
        <v>1881</v>
      </c>
      <c r="E377" t="s">
        <v>90</v>
      </c>
      <c r="F377" t="s">
        <v>33</v>
      </c>
      <c r="G377" t="s">
        <v>34</v>
      </c>
      <c r="H377" t="s">
        <v>514</v>
      </c>
      <c r="I377" t="s">
        <v>515</v>
      </c>
      <c r="J377" t="s">
        <v>52</v>
      </c>
      <c r="K377" t="s">
        <v>83</v>
      </c>
      <c r="L377" t="s">
        <v>1882</v>
      </c>
      <c r="M377" t="s">
        <v>55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41</v>
      </c>
      <c r="U377" t="s">
        <v>42</v>
      </c>
      <c r="V377">
        <f t="shared" si="30"/>
        <v>2624.8724999999999</v>
      </c>
      <c r="W377">
        <f t="shared" si="31"/>
        <v>370.98999999999978</v>
      </c>
      <c r="X377">
        <f t="shared" si="32"/>
        <v>0.14133652333258409</v>
      </c>
      <c r="Y377" t="str">
        <f>_xlfn.TEXTJOIN(", ",TRUE,IF(G377="Unknown","Missing Region",""),IF(M377="Unknown","Missing Ship Mode",""),IF(P377&lt;0,"Negative Discount",""),IF(P377&gt;0.7,"High Discount",""),IF(C377&lt;B377,"Ship Before Order",""))</f>
        <v>Ship Before Order</v>
      </c>
      <c r="Z377" s="2">
        <f>IFERROR(
  IF(ISNUMBER(B377),B377,
    IF(ISNUMBER(SEARCH("-",B377)*1),
      IF(LEN(LEFT(B377,FIND("-",B377)-1))=4,
        DATE(VALUE(LEFT(B377,4)),VALUE(MID(B377,6,2)),VALUE(RIGHT(B377,2))),
        DATE(VALUE(RIGHT(B377,4)),VALUE(MID(B377,4,2)),VALUE(LEFT(B377,2)))
      ),
      IF(ISNUMBER(SEARCH("/",B377)*1),
        DATE(VALUE(RIGHT(B377,4)),VALUE(LEFT(B377,2)),VALUE(MID(B377,4,2))),
        DATEVALUE(B377)
      )
    )
  ),
"INVALID_DATE")</f>
        <v>45657</v>
      </c>
      <c r="AA377" s="2">
        <f>IFERROR(
  IF(ISNUMBER(C377),C377,
    IF(ISNUMBER(SEARCH("-",C377)*1),
      IF(LEN(LEFT(C377,FIND("-",C377)-1))=4,
        DATE(VALUE(LEFT(C377,4)),VALUE(MID(C377,6,2)),VALUE(RIGHT(C377,2))),
        DATE(VALUE(RIGHT(C377,4)),VALUE(MID(C377,4,2)),VALUE(LEFT(C377,2)))
      ),
      IF(ISNUMBER(SEARCH("/",C377)*1),
        DATE(VALUE(RIGHT(C377,4)),VALUE(LEFT(C377,2)),VALUE(MID(C377,4,2))),
        DATEVALUE(C377)
      )
    )
  ),
"INVALID_DATE")</f>
        <v>45661</v>
      </c>
      <c r="AB377">
        <f t="shared" si="33"/>
        <v>4</v>
      </c>
      <c r="AC377" t="str">
        <f t="shared" si="34"/>
        <v>December</v>
      </c>
      <c r="AD377">
        <f t="shared" si="35"/>
        <v>2024</v>
      </c>
    </row>
    <row r="378" spans="1:30">
      <c r="A378" t="s">
        <v>1883</v>
      </c>
      <c r="B378" t="s">
        <v>1884</v>
      </c>
      <c r="C378" t="s">
        <v>1787</v>
      </c>
      <c r="D378" t="s">
        <v>1885</v>
      </c>
      <c r="E378" t="s">
        <v>60</v>
      </c>
      <c r="F378" t="s">
        <v>48</v>
      </c>
      <c r="G378" t="s">
        <v>49</v>
      </c>
      <c r="H378" t="s">
        <v>193</v>
      </c>
      <c r="I378" t="s">
        <v>194</v>
      </c>
      <c r="J378" t="s">
        <v>52</v>
      </c>
      <c r="K378" t="s">
        <v>83</v>
      </c>
      <c r="L378" t="s">
        <v>1886</v>
      </c>
      <c r="M378" t="s">
        <v>63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41</v>
      </c>
      <c r="U378" t="s">
        <v>42</v>
      </c>
      <c r="V378">
        <f t="shared" si="30"/>
        <v>8854.9439999999995</v>
      </c>
      <c r="W378">
        <f t="shared" si="31"/>
        <v>1420.9900000000007</v>
      </c>
      <c r="X378">
        <f t="shared" si="32"/>
        <v>0.16047426634172562</v>
      </c>
      <c r="Y378" t="str">
        <f>_xlfn.TEXTJOIN(", ",TRUE,IF(G378="Unknown","Missing Region",""),IF(M378="Unknown","Missing Ship Mode",""),IF(P378&lt;0,"Negative Discount",""),IF(P378&gt;0.7,"High Discount",""),IF(C378&lt;B378,"Ship Before Order",""))</f>
        <v>Ship Before Order</v>
      </c>
      <c r="Z378" s="2">
        <f>IFERROR(
  IF(ISNUMBER(B378),B378,
    IF(ISNUMBER(SEARCH("-",B378)*1),
      IF(LEN(LEFT(B378,FIND("-",B378)-1))=4,
        DATE(VALUE(LEFT(B378,4)),VALUE(MID(B378,6,2)),VALUE(RIGHT(B378,2))),
        DATE(VALUE(RIGHT(B378,4)),VALUE(MID(B378,4,2)),VALUE(LEFT(B378,2)))
      ),
      IF(ISNUMBER(SEARCH("/",B378)*1),
        DATE(VALUE(RIGHT(B378,4)),VALUE(LEFT(B378,2)),VALUE(MID(B378,4,2))),
        DATEVALUE(B378)
      )
    )
  ),
"INVALID_DATE")</f>
        <v>45655</v>
      </c>
      <c r="AA378" s="2">
        <f>IFERROR(
  IF(ISNUMBER(C378),C378,
    IF(ISNUMBER(SEARCH("-",C378)*1),
      IF(LEN(LEFT(C378,FIND("-",C378)-1))=4,
        DATE(VALUE(LEFT(C378,4)),VALUE(MID(C378,6,2)),VALUE(RIGHT(C378,2))),
        DATE(VALUE(RIGHT(C378,4)),VALUE(MID(C378,4,2)),VALUE(LEFT(C378,2)))
      ),
      IF(ISNUMBER(SEARCH("/",C378)*1),
        DATE(VALUE(RIGHT(C378,4)),VALUE(LEFT(C378,2)),VALUE(MID(C378,4,2))),
        DATEVALUE(C378)
      )
    )
  ),
"INVALID_DATE")</f>
        <v>45657</v>
      </c>
      <c r="AB378">
        <f t="shared" si="33"/>
        <v>2</v>
      </c>
      <c r="AC378" t="str">
        <f t="shared" si="34"/>
        <v>December</v>
      </c>
      <c r="AD378">
        <f t="shared" si="35"/>
        <v>2024</v>
      </c>
    </row>
    <row r="379" spans="1:30">
      <c r="A379" t="s">
        <v>1887</v>
      </c>
      <c r="B379" t="s">
        <v>1529</v>
      </c>
      <c r="C379" t="s">
        <v>1888</v>
      </c>
      <c r="D379" t="s">
        <v>1889</v>
      </c>
      <c r="E379" t="s">
        <v>374</v>
      </c>
      <c r="F379" t="s">
        <v>48</v>
      </c>
      <c r="G379" t="s">
        <v>49</v>
      </c>
      <c r="H379" t="s">
        <v>50</v>
      </c>
      <c r="I379" t="s">
        <v>51</v>
      </c>
      <c r="J379" t="s">
        <v>37</v>
      </c>
      <c r="K379" t="s">
        <v>1890</v>
      </c>
      <c r="L379" t="s">
        <v>1891</v>
      </c>
      <c r="M379" t="s">
        <v>55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41</v>
      </c>
      <c r="U379" t="s">
        <v>42</v>
      </c>
      <c r="V379">
        <f t="shared" si="30"/>
        <v>2564.7399999999998</v>
      </c>
      <c r="W379">
        <f t="shared" si="31"/>
        <v>810.15999999999985</v>
      </c>
      <c r="X379">
        <f t="shared" si="32"/>
        <v>0.31588387126960238</v>
      </c>
      <c r="Y379" t="str">
        <f>_xlfn.TEXTJOIN(", ",TRUE,IF(G379="Unknown","Missing Region",""),IF(M379="Unknown","Missing Ship Mode",""),IF(P379&lt;0,"Negative Discount",""),IF(P379&gt;0.7,"High Discount",""),IF(C379&lt;B379,"Ship Before Order",""))</f>
        <v/>
      </c>
      <c r="Z379" s="2">
        <f>IFERROR(
  IF(ISNUMBER(B379),B379,
    IF(ISNUMBER(SEARCH("-",B379)*1),
      IF(LEN(LEFT(B379,FIND("-",B379)-1))=4,
        DATE(VALUE(LEFT(B379,4)),VALUE(MID(B379,6,2)),VALUE(RIGHT(B379,2))),
        DATE(VALUE(RIGHT(B379,4)),VALUE(MID(B379,4,2)),VALUE(LEFT(B379,2)))
      ),
      IF(ISNUMBER(SEARCH("/",B379)*1),
        DATE(VALUE(RIGHT(B379,4)),VALUE(LEFT(B379,2)),VALUE(MID(B379,4,2))),
        DATEVALUE(B379)
      )
    )
  ),
"INVALID_DATE")</f>
        <v>45801</v>
      </c>
      <c r="AA379" s="2">
        <f>IFERROR(
  IF(ISNUMBER(C379),C379,
    IF(ISNUMBER(SEARCH("-",C379)*1),
      IF(LEN(LEFT(C379,FIND("-",C379)-1))=4,
        DATE(VALUE(LEFT(C379,4)),VALUE(MID(C379,6,2)),VALUE(RIGHT(C379,2))),
        DATE(VALUE(RIGHT(C379,4)),VALUE(MID(C379,4,2)),VALUE(LEFT(C379,2)))
      ),
      IF(ISNUMBER(SEARCH("/",C379)*1),
        DATE(VALUE(RIGHT(C379,4)),VALUE(LEFT(C379,2)),VALUE(MID(C379,4,2))),
        DATEVALUE(C379)
      )
    )
  ),
"INVALID_DATE")</f>
        <v>45807</v>
      </c>
      <c r="AB379">
        <f t="shared" si="33"/>
        <v>6</v>
      </c>
      <c r="AC379" t="str">
        <f t="shared" si="34"/>
        <v>May</v>
      </c>
      <c r="AD379">
        <f t="shared" si="35"/>
        <v>2025</v>
      </c>
    </row>
    <row r="380" spans="1:30">
      <c r="A380" t="s">
        <v>1892</v>
      </c>
      <c r="B380" t="s">
        <v>1893</v>
      </c>
      <c r="C380" t="s">
        <v>1893</v>
      </c>
      <c r="D380" t="s">
        <v>1894</v>
      </c>
      <c r="E380" t="s">
        <v>47</v>
      </c>
      <c r="F380" t="s">
        <v>33</v>
      </c>
      <c r="G380" t="s">
        <v>80</v>
      </c>
      <c r="H380" t="s">
        <v>256</v>
      </c>
      <c r="I380" t="s">
        <v>257</v>
      </c>
      <c r="J380" t="s">
        <v>93</v>
      </c>
      <c r="K380" t="s">
        <v>94</v>
      </c>
      <c r="L380" t="s">
        <v>1895</v>
      </c>
      <c r="M380" t="s">
        <v>74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41</v>
      </c>
      <c r="U380" t="s">
        <v>42</v>
      </c>
      <c r="V380">
        <f t="shared" si="30"/>
        <v>7821.22</v>
      </c>
      <c r="W380">
        <f t="shared" si="31"/>
        <v>2826.76</v>
      </c>
      <c r="X380">
        <f t="shared" si="32"/>
        <v>0.36142187535959863</v>
      </c>
      <c r="Y380" t="str">
        <f>_xlfn.TEXTJOIN(", ",TRUE,IF(G380="Unknown","Missing Region",""),IF(M380="Unknown","Missing Ship Mode",""),IF(P380&lt;0,"Negative Discount",""),IF(P380&gt;0.7,"High Discount",""),IF(C380&lt;B380,"Ship Before Order",""))</f>
        <v/>
      </c>
      <c r="Z380" s="2">
        <f>IFERROR(
  IF(ISNUMBER(B380),B380,
    IF(ISNUMBER(SEARCH("-",B380)*1),
      IF(LEN(LEFT(B380,FIND("-",B380)-1))=4,
        DATE(VALUE(LEFT(B380,4)),VALUE(MID(B380,6,2)),VALUE(RIGHT(B380,2))),
        DATE(VALUE(RIGHT(B380,4)),VALUE(MID(B380,4,2)),VALUE(LEFT(B380,2)))
      ),
      IF(ISNUMBER(SEARCH("/",B380)*1),
        DATE(VALUE(RIGHT(B380,4)),VALUE(LEFT(B380,2)),VALUE(MID(B380,4,2))),
        DATEVALUE(B380)
      )
    )
  ),
"INVALID_DATE")</f>
        <v>45799</v>
      </c>
      <c r="AA380" s="2">
        <f>IFERROR(
  IF(ISNUMBER(C380),C380,
    IF(ISNUMBER(SEARCH("-",C380)*1),
      IF(LEN(LEFT(C380,FIND("-",C380)-1))=4,
        DATE(VALUE(LEFT(C380,4)),VALUE(MID(C380,6,2)),VALUE(RIGHT(C380,2))),
        DATE(VALUE(RIGHT(C380,4)),VALUE(MID(C380,4,2)),VALUE(LEFT(C380,2)))
      ),
      IF(ISNUMBER(SEARCH("/",C380)*1),
        DATE(VALUE(RIGHT(C380,4)),VALUE(LEFT(C380,2)),VALUE(MID(C380,4,2))),
        DATEVALUE(C380)
      )
    )
  ),
"INVALID_DATE")</f>
        <v>45799</v>
      </c>
      <c r="AB380">
        <f t="shared" si="33"/>
        <v>0</v>
      </c>
      <c r="AC380" t="str">
        <f t="shared" si="34"/>
        <v>May</v>
      </c>
      <c r="AD380">
        <f t="shared" si="35"/>
        <v>2025</v>
      </c>
    </row>
    <row r="381" spans="1:30">
      <c r="A381" t="s">
        <v>1896</v>
      </c>
      <c r="B381" t="s">
        <v>1897</v>
      </c>
      <c r="C381" t="s">
        <v>1898</v>
      </c>
      <c r="D381" t="s">
        <v>1899</v>
      </c>
      <c r="E381" t="s">
        <v>47</v>
      </c>
      <c r="F381" t="s">
        <v>48</v>
      </c>
      <c r="G381" t="s">
        <v>69</v>
      </c>
      <c r="H381" t="s">
        <v>249</v>
      </c>
      <c r="I381" t="s">
        <v>250</v>
      </c>
      <c r="J381" t="s">
        <v>37</v>
      </c>
      <c r="K381" t="s">
        <v>38</v>
      </c>
      <c r="L381" t="s">
        <v>1900</v>
      </c>
      <c r="M381" t="s">
        <v>74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41</v>
      </c>
      <c r="U381" t="s">
        <v>42</v>
      </c>
      <c r="V381">
        <f t="shared" si="30"/>
        <v>7956.76</v>
      </c>
      <c r="W381">
        <f t="shared" si="31"/>
        <v>3157.2200000000003</v>
      </c>
      <c r="X381">
        <f t="shared" si="32"/>
        <v>0.39679718880549364</v>
      </c>
      <c r="Y381" t="str">
        <f>_xlfn.TEXTJOIN(", ",TRUE,IF(G381="Unknown","Missing Region",""),IF(M381="Unknown","Missing Ship Mode",""),IF(P381&lt;0,"Negative Discount",""),IF(P381&gt;0.7,"High Discount",""),IF(C381&lt;B381,"Ship Before Order",""))</f>
        <v/>
      </c>
      <c r="Z381" s="2">
        <f>IFERROR(
  IF(ISNUMBER(B381),B381,
    IF(ISNUMBER(SEARCH("-",B381)*1),
      IF(LEN(LEFT(B381,FIND("-",B381)-1))=4,
        DATE(VALUE(LEFT(B381,4)),VALUE(MID(B381,6,2)),VALUE(RIGHT(B381,2))),
        DATE(VALUE(RIGHT(B381,4)),VALUE(MID(B381,4,2)),VALUE(LEFT(B381,2)))
      ),
      IF(ISNUMBER(SEARCH("/",B381)*1),
        DATE(VALUE(RIGHT(B381,4)),VALUE(LEFT(B381,2)),VALUE(MID(B381,4,2))),
        DATEVALUE(B381)
      )
    )
  ),
"INVALID_DATE")</f>
        <v>45554</v>
      </c>
      <c r="AA381" s="2">
        <f>IFERROR(
  IF(ISNUMBER(C381),C381,
    IF(ISNUMBER(SEARCH("-",C381)*1),
      IF(LEN(LEFT(C381,FIND("-",C381)-1))=4,
        DATE(VALUE(LEFT(C381,4)),VALUE(MID(C381,6,2)),VALUE(RIGHT(C381,2))),
        DATE(VALUE(RIGHT(C381,4)),VALUE(MID(C381,4,2)),VALUE(LEFT(C381,2)))
      ),
      IF(ISNUMBER(SEARCH("/",C381)*1),
        DATE(VALUE(RIGHT(C381,4)),VALUE(LEFT(C381,2)),VALUE(MID(C381,4,2))),
        DATEVALUE(C381)
      )
    )
  ),
"INVALID_DATE")</f>
        <v>45558</v>
      </c>
      <c r="AB381">
        <f t="shared" si="33"/>
        <v>4</v>
      </c>
      <c r="AC381" t="str">
        <f t="shared" si="34"/>
        <v>September</v>
      </c>
      <c r="AD381">
        <f t="shared" si="35"/>
        <v>2024</v>
      </c>
    </row>
    <row r="382" spans="1:30">
      <c r="A382" t="s">
        <v>1901</v>
      </c>
      <c r="B382" t="s">
        <v>1902</v>
      </c>
      <c r="C382" t="s">
        <v>1428</v>
      </c>
      <c r="D382" t="s">
        <v>1903</v>
      </c>
      <c r="E382" t="s">
        <v>90</v>
      </c>
      <c r="F382" t="s">
        <v>33</v>
      </c>
      <c r="G382" t="s">
        <v>80</v>
      </c>
      <c r="H382" t="s">
        <v>81</v>
      </c>
      <c r="I382" t="s">
        <v>82</v>
      </c>
      <c r="J382" t="s">
        <v>52</v>
      </c>
      <c r="K382" t="s">
        <v>211</v>
      </c>
      <c r="L382" t="s">
        <v>1904</v>
      </c>
      <c r="M382" t="s">
        <v>55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41</v>
      </c>
      <c r="U382" t="s">
        <v>132</v>
      </c>
      <c r="V382">
        <f t="shared" si="30"/>
        <v>8384.4375</v>
      </c>
      <c r="W382">
        <f t="shared" si="31"/>
        <v>3618.4800000000005</v>
      </c>
      <c r="X382">
        <f t="shared" si="32"/>
        <v>0.43157086221620045</v>
      </c>
      <c r="Y382" t="str">
        <f>_xlfn.TEXTJOIN(", ",TRUE,IF(G382="Unknown","Missing Region",""),IF(M382="Unknown","Missing Ship Mode",""),IF(P382&lt;0,"Negative Discount",""),IF(P382&gt;0.7,"High Discount",""),IF(C382&lt;B382,"Ship Before Order",""))</f>
        <v/>
      </c>
      <c r="Z382" s="2">
        <f>IFERROR(
  IF(ISNUMBER(B382),B382,
    IF(ISNUMBER(SEARCH("-",B382)*1),
      IF(LEN(LEFT(B382,FIND("-",B382)-1))=4,
        DATE(VALUE(LEFT(B382,4)),VALUE(MID(B382,6,2)),VALUE(RIGHT(B382,2))),
        DATE(VALUE(RIGHT(B382,4)),VALUE(MID(B382,4,2)),VALUE(LEFT(B382,2)))
      ),
      IF(ISNUMBER(SEARCH("/",B382)*1),
        DATE(VALUE(RIGHT(B382,4)),VALUE(LEFT(B382,2)),VALUE(MID(B382,4,2))),
        DATEVALUE(B382)
      )
    )
  ),
"INVALID_DATE")</f>
        <v>45389</v>
      </c>
      <c r="AA382" s="2">
        <f>IFERROR(
  IF(ISNUMBER(C382),C382,
    IF(ISNUMBER(SEARCH("-",C382)*1),
      IF(LEN(LEFT(C382,FIND("-",C382)-1))=4,
        DATE(VALUE(LEFT(C382,4)),VALUE(MID(C382,6,2)),VALUE(RIGHT(C382,2))),
        DATE(VALUE(RIGHT(C382,4)),VALUE(MID(C382,4,2)),VALUE(LEFT(C382,2)))
      ),
      IF(ISNUMBER(SEARCH("/",C382)*1),
        DATE(VALUE(RIGHT(C382,4)),VALUE(LEFT(C382,2)),VALUE(MID(C382,4,2))),
        DATEVALUE(C382)
      )
    )
  ),
"INVALID_DATE")</f>
        <v>45396</v>
      </c>
      <c r="AB382">
        <f t="shared" si="33"/>
        <v>7</v>
      </c>
      <c r="AC382" t="str">
        <f t="shared" si="34"/>
        <v>April</v>
      </c>
      <c r="AD382">
        <f t="shared" si="35"/>
        <v>2024</v>
      </c>
    </row>
    <row r="383" spans="1:30">
      <c r="A383" t="s">
        <v>1905</v>
      </c>
      <c r="B383" t="s">
        <v>1906</v>
      </c>
      <c r="C383" t="s">
        <v>1907</v>
      </c>
      <c r="D383" t="s">
        <v>1908</v>
      </c>
      <c r="E383" t="s">
        <v>68</v>
      </c>
      <c r="F383" t="s">
        <v>1909</v>
      </c>
      <c r="G383" t="s">
        <v>34</v>
      </c>
      <c r="H383" t="s">
        <v>514</v>
      </c>
      <c r="I383" t="s">
        <v>515</v>
      </c>
      <c r="J383" t="s">
        <v>37</v>
      </c>
      <c r="K383" t="s">
        <v>205</v>
      </c>
      <c r="L383" t="s">
        <v>1910</v>
      </c>
      <c r="M383" t="s">
        <v>74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207</v>
      </c>
      <c r="U383" t="s">
        <v>85</v>
      </c>
      <c r="V383">
        <f t="shared" si="30"/>
        <v>16671.169999999998</v>
      </c>
      <c r="W383">
        <f t="shared" si="31"/>
        <v>5837.9799999999977</v>
      </c>
      <c r="X383">
        <f t="shared" si="32"/>
        <v>0.35018418023450065</v>
      </c>
      <c r="Y383" t="str">
        <f>_xlfn.TEXTJOIN(", ",TRUE,IF(G383="Unknown","Missing Region",""),IF(M383="Unknown","Missing Ship Mode",""),IF(P383&lt;0,"Negative Discount",""),IF(P383&gt;0.7,"High Discount",""),IF(C383&lt;B383,"Ship Before Order",""))</f>
        <v/>
      </c>
      <c r="Z383" s="2">
        <f>IFERROR(
  IF(ISNUMBER(B383),B383,
    IF(ISNUMBER(SEARCH("-",B383)*1),
      IF(LEN(LEFT(B383,FIND("-",B383)-1))=4,
        DATE(VALUE(LEFT(B383,4)),VALUE(MID(B383,6,2)),VALUE(RIGHT(B383,2))),
        DATE(VALUE(RIGHT(B383,4)),VALUE(MID(B383,4,2)),VALUE(LEFT(B383,2)))
      ),
      IF(ISNUMBER(SEARCH("/",B383)*1),
        DATE(VALUE(RIGHT(B383,4)),VALUE(LEFT(B383,2)),VALUE(MID(B383,4,2))),
        DATEVALUE(B383)
      )
    )
  ),
"INVALID_DATE")</f>
        <v>45919</v>
      </c>
      <c r="AA383" s="2">
        <f>IFERROR(
  IF(ISNUMBER(C383),C383,
    IF(ISNUMBER(SEARCH("-",C383)*1),
      IF(LEN(LEFT(C383,FIND("-",C383)-1))=4,
        DATE(VALUE(LEFT(C383,4)),VALUE(MID(C383,6,2)),VALUE(RIGHT(C383,2))),
        DATE(VALUE(RIGHT(C383,4)),VALUE(MID(C383,4,2)),VALUE(LEFT(C383,2)))
      ),
      IF(ISNUMBER(SEARCH("/",C383)*1),
        DATE(VALUE(RIGHT(C383,4)),VALUE(LEFT(C383,2)),VALUE(MID(C383,4,2))),
        DATEVALUE(C383)
      )
    )
  ),
"INVALID_DATE")</f>
        <v>45923</v>
      </c>
      <c r="AB383">
        <f t="shared" si="33"/>
        <v>4</v>
      </c>
      <c r="AC383" t="str">
        <f t="shared" si="34"/>
        <v>September</v>
      </c>
      <c r="AD383">
        <f t="shared" si="35"/>
        <v>2025</v>
      </c>
    </row>
    <row r="384" spans="1:30">
      <c r="A384" t="s">
        <v>1911</v>
      </c>
      <c r="B384" t="s">
        <v>1912</v>
      </c>
      <c r="C384" t="s">
        <v>563</v>
      </c>
      <c r="D384" t="s">
        <v>210</v>
      </c>
      <c r="E384" t="s">
        <v>68</v>
      </c>
      <c r="F384" t="s">
        <v>48</v>
      </c>
      <c r="G384" t="s">
        <v>49</v>
      </c>
      <c r="H384" t="s">
        <v>193</v>
      </c>
      <c r="I384" t="s">
        <v>194</v>
      </c>
      <c r="J384" t="s">
        <v>1913</v>
      </c>
      <c r="K384" t="s">
        <v>230</v>
      </c>
      <c r="L384" t="s">
        <v>1914</v>
      </c>
      <c r="M384" t="s">
        <v>63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41</v>
      </c>
      <c r="U384" t="s">
        <v>42</v>
      </c>
      <c r="V384">
        <f t="shared" si="30"/>
        <v>10468.440000000002</v>
      </c>
      <c r="W384">
        <f t="shared" si="31"/>
        <v>2068.5699999999997</v>
      </c>
      <c r="X384">
        <f t="shared" si="32"/>
        <v>0.19760059760575596</v>
      </c>
      <c r="Y384" t="str">
        <f>_xlfn.TEXTJOIN(", ",TRUE,IF(G384="Unknown","Missing Region",""),IF(M384="Unknown","Missing Ship Mode",""),IF(P384&lt;0,"Negative Discount",""),IF(P384&gt;0.7,"High Discount",""),IF(C384&lt;B384,"Ship Before Order",""))</f>
        <v>Ship Before Order</v>
      </c>
      <c r="Z384" s="2">
        <f>IFERROR(
  IF(ISNUMBER(B384),B384,
    IF(ISNUMBER(SEARCH("-",B384)*1),
      IF(LEN(LEFT(B384,FIND("-",B384)-1))=4,
        DATE(VALUE(LEFT(B384,4)),VALUE(MID(B384,6,2)),VALUE(RIGHT(B384,2))),
        DATE(VALUE(RIGHT(B384,4)),VALUE(MID(B384,4,2)),VALUE(LEFT(B384,2)))
      ),
      IF(ISNUMBER(SEARCH("/",B384)*1),
        DATE(VALUE(RIGHT(B384,4)),VALUE(LEFT(B384,2)),VALUE(MID(B384,4,2))),
        DATEVALUE(B384)
      )
    )
  ),
"INVALID_DATE")</f>
        <v>45720</v>
      </c>
      <c r="AA384" s="2">
        <f>IFERROR(
  IF(ISNUMBER(C384),C384,
    IF(ISNUMBER(SEARCH("-",C384)*1),
      IF(LEN(LEFT(C384,FIND("-",C384)-1))=4,
        DATE(VALUE(LEFT(C384,4)),VALUE(MID(C384,6,2)),VALUE(RIGHT(C384,2))),
        DATE(VALUE(RIGHT(C384,4)),VALUE(MID(C384,4,2)),VALUE(LEFT(C384,2)))
      ),
      IF(ISNUMBER(SEARCH("/",C384)*1),
        DATE(VALUE(RIGHT(C384,4)),VALUE(LEFT(C384,2)),VALUE(MID(C384,4,2))),
        DATEVALUE(C384)
      )
    )
  ),
"INVALID_DATE")</f>
        <v>45724</v>
      </c>
      <c r="AB384">
        <f t="shared" si="33"/>
        <v>4</v>
      </c>
      <c r="AC384" t="str">
        <f t="shared" si="34"/>
        <v>March</v>
      </c>
      <c r="AD384">
        <f t="shared" si="35"/>
        <v>2025</v>
      </c>
    </row>
    <row r="385" spans="1:30">
      <c r="A385" t="s">
        <v>1915</v>
      </c>
      <c r="B385" t="s">
        <v>1525</v>
      </c>
      <c r="C385" t="s">
        <v>1083</v>
      </c>
      <c r="D385" t="s">
        <v>1916</v>
      </c>
      <c r="E385" t="s">
        <v>90</v>
      </c>
      <c r="F385" t="s">
        <v>115</v>
      </c>
      <c r="G385" t="s">
        <v>49</v>
      </c>
      <c r="H385" t="s">
        <v>128</v>
      </c>
      <c r="I385" t="s">
        <v>129</v>
      </c>
      <c r="J385" t="s">
        <v>37</v>
      </c>
      <c r="K385" t="s">
        <v>61</v>
      </c>
      <c r="L385" t="s">
        <v>1917</v>
      </c>
      <c r="M385" t="s">
        <v>63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41</v>
      </c>
      <c r="U385" t="s">
        <v>85</v>
      </c>
      <c r="V385">
        <f t="shared" si="30"/>
        <v>4485.5</v>
      </c>
      <c r="W385">
        <f t="shared" si="31"/>
        <v>1353.6399999999999</v>
      </c>
      <c r="X385">
        <f t="shared" si="32"/>
        <v>0.30178129528480663</v>
      </c>
      <c r="Y385" t="str">
        <f>_xlfn.TEXTJOIN(", ",TRUE,IF(G385="Unknown","Missing Region",""),IF(M385="Unknown","Missing Ship Mode",""),IF(P385&lt;0,"Negative Discount",""),IF(P385&gt;0.7,"High Discount",""),IF(C385&lt;B385,"Ship Before Order",""))</f>
        <v>Ship Before Order</v>
      </c>
      <c r="Z385" s="2">
        <f>IFERROR(
  IF(ISNUMBER(B385),B385,
    IF(ISNUMBER(SEARCH("-",B385)*1),
      IF(LEN(LEFT(B385,FIND("-",B385)-1))=4,
        DATE(VALUE(LEFT(B385,4)),VALUE(MID(B385,6,2)),VALUE(RIGHT(B385,2))),
        DATE(VALUE(RIGHT(B385,4)),VALUE(MID(B385,4,2)),VALUE(LEFT(B385,2)))
      ),
      IF(ISNUMBER(SEARCH("/",B385)*1),
        DATE(VALUE(RIGHT(B385,4)),VALUE(LEFT(B385,2)),VALUE(MID(B385,4,2))),
        DATEVALUE(B385)
      )
    )
  ),
"INVALID_DATE")</f>
        <v>45836</v>
      </c>
      <c r="AA385" s="2">
        <f>IFERROR(
  IF(ISNUMBER(C385),C385,
    IF(ISNUMBER(SEARCH("-",C385)*1),
      IF(LEN(LEFT(C385,FIND("-",C385)-1))=4,
        DATE(VALUE(LEFT(C385,4)),VALUE(MID(C385,6,2)),VALUE(RIGHT(C385,2))),
        DATE(VALUE(RIGHT(C385,4)),VALUE(MID(C385,4,2)),VALUE(LEFT(C385,2)))
      ),
      IF(ISNUMBER(SEARCH("/",C385)*1),
        DATE(VALUE(RIGHT(C385,4)),VALUE(LEFT(C385,2)),VALUE(MID(C385,4,2))),
        DATEVALUE(C385)
      )
    )
  ),
"INVALID_DATE")</f>
        <v>45843</v>
      </c>
      <c r="AB385">
        <f t="shared" si="33"/>
        <v>7</v>
      </c>
      <c r="AC385" t="str">
        <f t="shared" si="34"/>
        <v>June</v>
      </c>
      <c r="AD385">
        <f t="shared" si="35"/>
        <v>2025</v>
      </c>
    </row>
    <row r="386" spans="1:30">
      <c r="A386" t="s">
        <v>1918</v>
      </c>
      <c r="B386" t="s">
        <v>1919</v>
      </c>
      <c r="C386" t="s">
        <v>1920</v>
      </c>
      <c r="D386" t="s">
        <v>1921</v>
      </c>
      <c r="E386" t="s">
        <v>187</v>
      </c>
      <c r="F386" t="s">
        <v>33</v>
      </c>
      <c r="G386" t="s">
        <v>49</v>
      </c>
      <c r="H386" t="s">
        <v>319</v>
      </c>
      <c r="I386" t="s">
        <v>320</v>
      </c>
      <c r="J386" t="s">
        <v>93</v>
      </c>
      <c r="K386" t="s">
        <v>101</v>
      </c>
      <c r="L386" t="s">
        <v>1922</v>
      </c>
      <c r="M386" t="s">
        <v>74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41</v>
      </c>
      <c r="U386" t="s">
        <v>132</v>
      </c>
      <c r="V386">
        <f t="shared" ref="V386:V449" si="36">O386*(1-P386)*N386</f>
        <v>2822.1000000000004</v>
      </c>
      <c r="W386">
        <f t="shared" ref="W386:W449" si="37">Q386-R386</f>
        <v>1197.53</v>
      </c>
      <c r="X386">
        <f t="shared" ref="X386:X449" si="38">IF(Q386=0,"",S386/Q386)</f>
        <v>0.42434003047376068</v>
      </c>
      <c r="Y386" t="str">
        <f>_xlfn.TEXTJOIN(", ",TRUE,IF(G386="Unknown","Missing Region",""),IF(M386="Unknown","Missing Ship Mode",""),IF(P386&lt;0,"Negative Discount",""),IF(P386&gt;0.7,"High Discount",""),IF(C386&lt;B386,"Ship Before Order",""))</f>
        <v/>
      </c>
      <c r="Z386" s="2">
        <f>IFERROR(
  IF(ISNUMBER(B386),B386,
    IF(ISNUMBER(SEARCH("-",B386)*1),
      IF(LEN(LEFT(B386,FIND("-",B386)-1))=4,
        DATE(VALUE(LEFT(B386,4)),VALUE(MID(B386,6,2)),VALUE(RIGHT(B386,2))),
        DATE(VALUE(RIGHT(B386,4)),VALUE(MID(B386,4,2)),VALUE(LEFT(B386,2)))
      ),
      IF(ISNUMBER(SEARCH("/",B386)*1),
        DATE(VALUE(RIGHT(B386,4)),VALUE(LEFT(B386,2)),VALUE(MID(B386,4,2))),
        DATEVALUE(B386)
      )
    )
  ),
"INVALID_DATE")</f>
        <v>45366</v>
      </c>
      <c r="AA386" s="2">
        <f>IFERROR(
  IF(ISNUMBER(C386),C386,
    IF(ISNUMBER(SEARCH("-",C386)*1),
      IF(LEN(LEFT(C386,FIND("-",C386)-1))=4,
        DATE(VALUE(LEFT(C386,4)),VALUE(MID(C386,6,2)),VALUE(RIGHT(C386,2))),
        DATE(VALUE(RIGHT(C386,4)),VALUE(MID(C386,4,2)),VALUE(LEFT(C386,2)))
      ),
      IF(ISNUMBER(SEARCH("/",C386)*1),
        DATE(VALUE(RIGHT(C386,4)),VALUE(LEFT(C386,2)),VALUE(MID(C386,4,2))),
        DATEVALUE(C386)
      )
    )
  ),
"INVALID_DATE")</f>
        <v>45371</v>
      </c>
      <c r="AB386">
        <f t="shared" si="33"/>
        <v>5</v>
      </c>
      <c r="AC386" t="str">
        <f t="shared" si="34"/>
        <v>March</v>
      </c>
      <c r="AD386">
        <f t="shared" si="35"/>
        <v>2024</v>
      </c>
    </row>
    <row r="387" spans="1:30">
      <c r="A387" t="s">
        <v>1923</v>
      </c>
      <c r="B387" t="s">
        <v>1004</v>
      </c>
      <c r="C387" t="s">
        <v>1924</v>
      </c>
      <c r="D387" t="s">
        <v>1925</v>
      </c>
      <c r="E387" t="s">
        <v>68</v>
      </c>
      <c r="F387" t="s">
        <v>33</v>
      </c>
      <c r="G387" t="s">
        <v>34</v>
      </c>
      <c r="H387" t="s">
        <v>331</v>
      </c>
      <c r="I387" t="s">
        <v>332</v>
      </c>
      <c r="J387" t="s">
        <v>37</v>
      </c>
      <c r="K387" t="s">
        <v>116</v>
      </c>
      <c r="L387" t="s">
        <v>1926</v>
      </c>
      <c r="M387" t="s">
        <v>74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41</v>
      </c>
      <c r="U387" t="s">
        <v>42</v>
      </c>
      <c r="V387">
        <f t="shared" si="36"/>
        <v>1975.1040000000003</v>
      </c>
      <c r="W387">
        <f t="shared" si="37"/>
        <v>859.75</v>
      </c>
      <c r="X387">
        <f t="shared" si="38"/>
        <v>0.43529441547263431</v>
      </c>
      <c r="Y387" t="str">
        <f>_xlfn.TEXTJOIN(", ",TRUE,IF(G387="Unknown","Missing Region",""),IF(M387="Unknown","Missing Ship Mode",""),IF(P387&lt;0,"Negative Discount",""),IF(P387&gt;0.7,"High Discount",""),IF(C387&lt;B387,"Ship Before Order",""))</f>
        <v/>
      </c>
      <c r="Z387" s="2">
        <f>IFERROR(
  IF(ISNUMBER(B387),B387,
    IF(ISNUMBER(SEARCH("-",B387)*1),
      IF(LEN(LEFT(B387,FIND("-",B387)-1))=4,
        DATE(VALUE(LEFT(B387,4)),VALUE(MID(B387,6,2)),VALUE(RIGHT(B387,2))),
        DATE(VALUE(RIGHT(B387,4)),VALUE(MID(B387,4,2)),VALUE(LEFT(B387,2)))
      ),
      IF(ISNUMBER(SEARCH("/",B387)*1),
        DATE(VALUE(RIGHT(B387,4)),VALUE(LEFT(B387,2)),VALUE(MID(B387,4,2))),
        DATEVALUE(B387)
      )
    )
  ),
"INVALID_DATE")</f>
        <v>45832</v>
      </c>
      <c r="AA387" s="2">
        <f>IFERROR(
  IF(ISNUMBER(C387),C387,
    IF(ISNUMBER(SEARCH("-",C387)*1),
      IF(LEN(LEFT(C387,FIND("-",C387)-1))=4,
        DATE(VALUE(LEFT(C387,4)),VALUE(MID(C387,6,2)),VALUE(RIGHT(C387,2))),
        DATE(VALUE(RIGHT(C387,4)),VALUE(MID(C387,4,2)),VALUE(LEFT(C387,2)))
      ),
      IF(ISNUMBER(SEARCH("/",C387)*1),
        DATE(VALUE(RIGHT(C387,4)),VALUE(LEFT(C387,2)),VALUE(MID(C387,4,2))),
        DATEVALUE(C387)
      )
    )
  ),
"INVALID_DATE")</f>
        <v>45838</v>
      </c>
      <c r="AB387">
        <f t="shared" ref="AB387:AB450" si="39">AA387-Z387</f>
        <v>6</v>
      </c>
      <c r="AC387" t="str">
        <f t="shared" ref="AC387:AC450" si="40">TEXT(Z387,"mmmm")</f>
        <v>June</v>
      </c>
      <c r="AD387">
        <f t="shared" ref="AD387:AD450" si="41">YEAR(Z387)</f>
        <v>2025</v>
      </c>
    </row>
    <row r="388" spans="1:30">
      <c r="A388" t="s">
        <v>1927</v>
      </c>
      <c r="B388" t="s">
        <v>1405</v>
      </c>
      <c r="C388" t="s">
        <v>1928</v>
      </c>
      <c r="D388" t="s">
        <v>1929</v>
      </c>
      <c r="E388" t="s">
        <v>175</v>
      </c>
      <c r="F388" t="s">
        <v>33</v>
      </c>
      <c r="G388" t="s">
        <v>80</v>
      </c>
      <c r="H388" t="s">
        <v>81</v>
      </c>
      <c r="I388" t="s">
        <v>82</v>
      </c>
      <c r="J388" t="s">
        <v>52</v>
      </c>
      <c r="K388" t="s">
        <v>72</v>
      </c>
      <c r="L388" t="s">
        <v>1930</v>
      </c>
      <c r="M388" t="s">
        <v>40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41</v>
      </c>
      <c r="U388" t="s">
        <v>42</v>
      </c>
      <c r="V388">
        <f t="shared" si="36"/>
        <v>20063.952000000001</v>
      </c>
      <c r="W388">
        <f t="shared" si="37"/>
        <v>5700.5700000000015</v>
      </c>
      <c r="X388">
        <f t="shared" si="38"/>
        <v>0.28412002621617377</v>
      </c>
      <c r="Y388" t="str">
        <f>_xlfn.TEXTJOIN(", ",TRUE,IF(G388="Unknown","Missing Region",""),IF(M388="Unknown","Missing Ship Mode",""),IF(P388&lt;0,"Negative Discount",""),IF(P388&gt;0.7,"High Discount",""),IF(C388&lt;B388,"Ship Before Order",""))</f>
        <v/>
      </c>
      <c r="Z388" s="2">
        <f>IFERROR(
  IF(ISNUMBER(B388),B388,
    IF(ISNUMBER(SEARCH("-",B388)*1),
      IF(LEN(LEFT(B388,FIND("-",B388)-1))=4,
        DATE(VALUE(LEFT(B388,4)),VALUE(MID(B388,6,2)),VALUE(RIGHT(B388,2))),
        DATE(VALUE(RIGHT(B388,4)),VALUE(MID(B388,4,2)),VALUE(LEFT(B388,2)))
      ),
      IF(ISNUMBER(SEARCH("/",B388)*1),
        DATE(VALUE(RIGHT(B388,4)),VALUE(LEFT(B388,2)),VALUE(MID(B388,4,2))),
        DATEVALUE(B388)
      )
    )
  ),
"INVALID_DATE")</f>
        <v>45700</v>
      </c>
      <c r="AA388" s="2">
        <f>IFERROR(
  IF(ISNUMBER(C388),C388,
    IF(ISNUMBER(SEARCH("-",C388)*1),
      IF(LEN(LEFT(C388,FIND("-",C388)-1))=4,
        DATE(VALUE(LEFT(C388,4)),VALUE(MID(C388,6,2)),VALUE(RIGHT(C388,2))),
        DATE(VALUE(RIGHT(C388,4)),VALUE(MID(C388,4,2)),VALUE(LEFT(C388,2)))
      ),
      IF(ISNUMBER(SEARCH("/",C388)*1),
        DATE(VALUE(RIGHT(C388,4)),VALUE(LEFT(C388,2)),VALUE(MID(C388,4,2))),
        DATEVALUE(C388)
      )
    )
  ),
"INVALID_DATE")</f>
        <v>45702</v>
      </c>
      <c r="AB388">
        <f t="shared" si="39"/>
        <v>2</v>
      </c>
      <c r="AC388" t="str">
        <f t="shared" si="40"/>
        <v>February</v>
      </c>
      <c r="AD388">
        <f t="shared" si="41"/>
        <v>2025</v>
      </c>
    </row>
    <row r="389" spans="1:30">
      <c r="A389" t="s">
        <v>1931</v>
      </c>
      <c r="B389" t="s">
        <v>952</v>
      </c>
      <c r="C389" t="s">
        <v>1126</v>
      </c>
      <c r="D389" t="s">
        <v>1932</v>
      </c>
      <c r="E389" t="s">
        <v>149</v>
      </c>
      <c r="F389" t="s">
        <v>48</v>
      </c>
      <c r="G389" t="s">
        <v>80</v>
      </c>
      <c r="H389" t="s">
        <v>91</v>
      </c>
      <c r="I389" t="s">
        <v>92</v>
      </c>
      <c r="J389" t="s">
        <v>52</v>
      </c>
      <c r="K389" t="s">
        <v>83</v>
      </c>
      <c r="L389" t="s">
        <v>1933</v>
      </c>
      <c r="M389" t="s">
        <v>74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144</v>
      </c>
      <c r="U389" t="s">
        <v>85</v>
      </c>
      <c r="V389">
        <f t="shared" si="36"/>
        <v>1764.3000000000002</v>
      </c>
      <c r="W389">
        <f t="shared" si="37"/>
        <v>431.80999999999995</v>
      </c>
      <c r="X389">
        <f t="shared" si="38"/>
        <v>0.24474862551720231</v>
      </c>
      <c r="Y389" t="str">
        <f>_xlfn.TEXTJOIN(", ",TRUE,IF(G389="Unknown","Missing Region",""),IF(M389="Unknown","Missing Ship Mode",""),IF(P389&lt;0,"Negative Discount",""),IF(P389&gt;0.7,"High Discount",""),IF(C389&lt;B389,"Ship Before Order",""))</f>
        <v>Ship Before Order</v>
      </c>
      <c r="Z389" s="2">
        <f>IFERROR(
  IF(ISNUMBER(B389),B389,
    IF(ISNUMBER(SEARCH("-",B389)*1),
      IF(LEN(LEFT(B389,FIND("-",B389)-1))=4,
        DATE(VALUE(LEFT(B389,4)),VALUE(MID(B389,6,2)),VALUE(RIGHT(B389,2))),
        DATE(VALUE(RIGHT(B389,4)),VALUE(MID(B389,4,2)),VALUE(LEFT(B389,2)))
      ),
      IF(ISNUMBER(SEARCH("/",B389)*1),
        DATE(VALUE(RIGHT(B389,4)),VALUE(LEFT(B389,2)),VALUE(MID(B389,4,2))),
        DATEVALUE(B389)
      )
    )
  ),
"INVALID_DATE")</f>
        <v>45879</v>
      </c>
      <c r="AA389" s="2">
        <f>IFERROR(
  IF(ISNUMBER(C389),C389,
    IF(ISNUMBER(SEARCH("-",C389)*1),
      IF(LEN(LEFT(C389,FIND("-",C389)-1))=4,
        DATE(VALUE(LEFT(C389,4)),VALUE(MID(C389,6,2)),VALUE(RIGHT(C389,2))),
        DATE(VALUE(RIGHT(C389,4)),VALUE(MID(C389,4,2)),VALUE(LEFT(C389,2)))
      ),
      IF(ISNUMBER(SEARCH("/",C389)*1),
        DATE(VALUE(RIGHT(C389,4)),VALUE(LEFT(C389,2)),VALUE(MID(C389,4,2))),
        DATEVALUE(C389)
      )
    )
  ),
"INVALID_DATE")</f>
        <v>45882</v>
      </c>
      <c r="AB389">
        <f t="shared" si="39"/>
        <v>3</v>
      </c>
      <c r="AC389" t="str">
        <f t="shared" si="40"/>
        <v>August</v>
      </c>
      <c r="AD389">
        <f t="shared" si="41"/>
        <v>2025</v>
      </c>
    </row>
    <row r="390" spans="1:30">
      <c r="A390" t="s">
        <v>1934</v>
      </c>
      <c r="B390" t="s">
        <v>1935</v>
      </c>
      <c r="C390" t="s">
        <v>1936</v>
      </c>
      <c r="D390" t="s">
        <v>1937</v>
      </c>
      <c r="E390" t="s">
        <v>60</v>
      </c>
      <c r="F390" t="s">
        <v>48</v>
      </c>
      <c r="G390" t="s">
        <v>80</v>
      </c>
      <c r="H390" t="s">
        <v>242</v>
      </c>
      <c r="I390" t="s">
        <v>243</v>
      </c>
      <c r="J390" t="s">
        <v>52</v>
      </c>
      <c r="K390" t="s">
        <v>83</v>
      </c>
      <c r="L390" t="s">
        <v>1938</v>
      </c>
      <c r="M390" t="s">
        <v>74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41</v>
      </c>
      <c r="U390" t="s">
        <v>42</v>
      </c>
      <c r="V390">
        <f t="shared" si="36"/>
        <v>9385.77</v>
      </c>
      <c r="W390">
        <f t="shared" si="37"/>
        <v>2513.3300000000008</v>
      </c>
      <c r="X390">
        <f t="shared" si="38"/>
        <v>0.29658301876138021</v>
      </c>
      <c r="Y390" t="str">
        <f>_xlfn.TEXTJOIN(", ",TRUE,IF(G390="Unknown","Missing Region",""),IF(M390="Unknown","Missing Ship Mode",""),IF(P390&lt;0,"Negative Discount",""),IF(P390&gt;0.7,"High Discount",""),IF(C390&lt;B390,"Ship Before Order",""))</f>
        <v>Ship Before Order</v>
      </c>
      <c r="Z390" s="2">
        <f>IFERROR(
  IF(ISNUMBER(B390),B390,
    IF(ISNUMBER(SEARCH("-",B390)*1),
      IF(LEN(LEFT(B390,FIND("-",B390)-1))=4,
        DATE(VALUE(LEFT(B390,4)),VALUE(MID(B390,6,2)),VALUE(RIGHT(B390,2))),
        DATE(VALUE(RIGHT(B390,4)),VALUE(MID(B390,4,2)),VALUE(LEFT(B390,2)))
      ),
      IF(ISNUMBER(SEARCH("/",B390)*1),
        DATE(VALUE(RIGHT(B390,4)),VALUE(LEFT(B390,2)),VALUE(MID(B390,4,2))),
        DATEVALUE(B390)
      )
    )
  ),
"INVALID_DATE")</f>
        <v>45425</v>
      </c>
      <c r="AA390" s="2">
        <f>IFERROR(
  IF(ISNUMBER(C390),C390,
    IF(ISNUMBER(SEARCH("-",C390)*1),
      IF(LEN(LEFT(C390,FIND("-",C390)-1))=4,
        DATE(VALUE(LEFT(C390,4)),VALUE(MID(C390,6,2)),VALUE(RIGHT(C390,2))),
        DATE(VALUE(RIGHT(C390,4)),VALUE(MID(C390,4,2)),VALUE(LEFT(C390,2)))
      ),
      IF(ISNUMBER(SEARCH("/",C390)*1),
        DATE(VALUE(RIGHT(C390,4)),VALUE(LEFT(C390,2)),VALUE(MID(C390,4,2))),
        DATEVALUE(C390)
      )
    )
  ),
"INVALID_DATE")</f>
        <v>45430</v>
      </c>
      <c r="AB390">
        <f t="shared" si="39"/>
        <v>5</v>
      </c>
      <c r="AC390" t="str">
        <f t="shared" si="40"/>
        <v>May</v>
      </c>
      <c r="AD390">
        <f t="shared" si="41"/>
        <v>2024</v>
      </c>
    </row>
    <row r="391" spans="1:30">
      <c r="A391" t="s">
        <v>1939</v>
      </c>
      <c r="B391" t="s">
        <v>1940</v>
      </c>
      <c r="C391" t="s">
        <v>357</v>
      </c>
      <c r="D391" t="s">
        <v>1941</v>
      </c>
      <c r="E391" t="s">
        <v>217</v>
      </c>
      <c r="F391" t="s">
        <v>115</v>
      </c>
      <c r="G391" t="s">
        <v>80</v>
      </c>
      <c r="H391" t="s">
        <v>242</v>
      </c>
      <c r="I391" t="s">
        <v>243</v>
      </c>
      <c r="J391" t="s">
        <v>93</v>
      </c>
      <c r="K391" t="s">
        <v>390</v>
      </c>
      <c r="L391" t="s">
        <v>1942</v>
      </c>
      <c r="M391" t="s">
        <v>40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144</v>
      </c>
      <c r="U391" t="s">
        <v>85</v>
      </c>
      <c r="V391">
        <f t="shared" si="36"/>
        <v>7750.1600000000008</v>
      </c>
      <c r="W391">
        <f t="shared" si="37"/>
        <v>2315.8599999999997</v>
      </c>
      <c r="X391">
        <f t="shared" si="38"/>
        <v>0.29881447608823564</v>
      </c>
      <c r="Y391" t="str">
        <f>_xlfn.TEXTJOIN(", ",TRUE,IF(G391="Unknown","Missing Region",""),IF(M391="Unknown","Missing Ship Mode",""),IF(P391&lt;0,"Negative Discount",""),IF(P391&gt;0.7,"High Discount",""),IF(C391&lt;B391,"Ship Before Order",""))</f>
        <v/>
      </c>
      <c r="Z391" s="2">
        <f>IFERROR(
  IF(ISNUMBER(B391),B391,
    IF(ISNUMBER(SEARCH("-",B391)*1),
      IF(LEN(LEFT(B391,FIND("-",B391)-1))=4,
        DATE(VALUE(LEFT(B391,4)),VALUE(MID(B391,6,2)),VALUE(RIGHT(B391,2))),
        DATE(VALUE(RIGHT(B391,4)),VALUE(MID(B391,4,2)),VALUE(LEFT(B391,2)))
      ),
      IF(ISNUMBER(SEARCH("/",B391)*1),
        DATE(VALUE(RIGHT(B391,4)),VALUE(LEFT(B391,2)),VALUE(MID(B391,4,2))),
        DATEVALUE(B391)
      )
    )
  ),
"INVALID_DATE")</f>
        <v>45387</v>
      </c>
      <c r="AA391" s="2">
        <f>IFERROR(
  IF(ISNUMBER(C391),C391,
    IF(ISNUMBER(SEARCH("-",C391)*1),
      IF(LEN(LEFT(C391,FIND("-",C391)-1))=4,
        DATE(VALUE(LEFT(C391,4)),VALUE(MID(C391,6,2)),VALUE(RIGHT(C391,2))),
        DATE(VALUE(RIGHT(C391,4)),VALUE(MID(C391,4,2)),VALUE(LEFT(C391,2)))
      ),
      IF(ISNUMBER(SEARCH("/",C391)*1),
        DATE(VALUE(RIGHT(C391,4)),VALUE(LEFT(C391,2)),VALUE(MID(C391,4,2))),
        DATEVALUE(C391)
      )
    )
  ),
"INVALID_DATE")</f>
        <v>45395</v>
      </c>
      <c r="AB391">
        <f t="shared" si="39"/>
        <v>8</v>
      </c>
      <c r="AC391" t="str">
        <f t="shared" si="40"/>
        <v>April</v>
      </c>
      <c r="AD391">
        <f t="shared" si="41"/>
        <v>2024</v>
      </c>
    </row>
    <row r="392" spans="1:30">
      <c r="A392" t="s">
        <v>1943</v>
      </c>
      <c r="B392" t="s">
        <v>1944</v>
      </c>
      <c r="C392" t="s">
        <v>492</v>
      </c>
      <c r="D392" t="s">
        <v>1945</v>
      </c>
      <c r="E392" t="s">
        <v>60</v>
      </c>
      <c r="F392" t="s">
        <v>33</v>
      </c>
      <c r="G392" t="s">
        <v>80</v>
      </c>
      <c r="H392" t="s">
        <v>242</v>
      </c>
      <c r="I392" t="s">
        <v>243</v>
      </c>
      <c r="J392" t="s">
        <v>52</v>
      </c>
      <c r="K392" t="s">
        <v>72</v>
      </c>
      <c r="L392" t="s">
        <v>1946</v>
      </c>
      <c r="M392" t="s">
        <v>74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41</v>
      </c>
      <c r="U392" t="s">
        <v>42</v>
      </c>
      <c r="V392">
        <f t="shared" si="36"/>
        <v>6135.232</v>
      </c>
      <c r="W392">
        <f t="shared" si="37"/>
        <v>2695.4399999999996</v>
      </c>
      <c r="X392">
        <f t="shared" si="38"/>
        <v>0.43933805252614822</v>
      </c>
      <c r="Y392" t="str">
        <f>_xlfn.TEXTJOIN(", ",TRUE,IF(G392="Unknown","Missing Region",""),IF(M392="Unknown","Missing Ship Mode",""),IF(P392&lt;0,"Negative Discount",""),IF(P392&gt;0.7,"High Discount",""),IF(C392&lt;B392,"Ship Before Order",""))</f>
        <v/>
      </c>
      <c r="Z392" s="2">
        <f>IFERROR(
  IF(ISNUMBER(B392),B392,
    IF(ISNUMBER(SEARCH("-",B392)*1),
      IF(LEN(LEFT(B392,FIND("-",B392)-1))=4,
        DATE(VALUE(LEFT(B392,4)),VALUE(MID(B392,6,2)),VALUE(RIGHT(B392,2))),
        DATE(VALUE(RIGHT(B392,4)),VALUE(MID(B392,4,2)),VALUE(LEFT(B392,2)))
      ),
      IF(ISNUMBER(SEARCH("/",B392)*1),
        DATE(VALUE(RIGHT(B392,4)),VALUE(LEFT(B392,2)),VALUE(MID(B392,4,2))),
        DATEVALUE(B392)
      )
    )
  ),
"INVALID_DATE")</f>
        <v>45602</v>
      </c>
      <c r="AA392" s="2">
        <f>IFERROR(
  IF(ISNUMBER(C392),C392,
    IF(ISNUMBER(SEARCH("-",C392)*1),
      IF(LEN(LEFT(C392,FIND("-",C392)-1))=4,
        DATE(VALUE(LEFT(C392,4)),VALUE(MID(C392,6,2)),VALUE(RIGHT(C392,2))),
        DATE(VALUE(RIGHT(C392,4)),VALUE(MID(C392,4,2)),VALUE(LEFT(C392,2)))
      ),
      IF(ISNUMBER(SEARCH("/",C392)*1),
        DATE(VALUE(RIGHT(C392,4)),VALUE(LEFT(C392,2)),VALUE(MID(C392,4,2))),
        DATEVALUE(C392)
      )
    )
  ),
"INVALID_DATE")</f>
        <v>45607</v>
      </c>
      <c r="AB392">
        <f t="shared" si="39"/>
        <v>5</v>
      </c>
      <c r="AC392" t="str">
        <f t="shared" si="40"/>
        <v>November</v>
      </c>
      <c r="AD392">
        <f t="shared" si="41"/>
        <v>2024</v>
      </c>
    </row>
    <row r="393" spans="1:30">
      <c r="A393" t="s">
        <v>1947</v>
      </c>
      <c r="B393" t="s">
        <v>1928</v>
      </c>
      <c r="C393" t="s">
        <v>1948</v>
      </c>
      <c r="D393" t="s">
        <v>1949</v>
      </c>
      <c r="E393" t="s">
        <v>217</v>
      </c>
      <c r="F393" t="s">
        <v>33</v>
      </c>
      <c r="G393" t="s">
        <v>69</v>
      </c>
      <c r="H393" t="s">
        <v>236</v>
      </c>
      <c r="I393" t="s">
        <v>237</v>
      </c>
      <c r="J393" t="s">
        <v>37</v>
      </c>
      <c r="K393" t="s">
        <v>163</v>
      </c>
      <c r="L393" t="s">
        <v>1950</v>
      </c>
      <c r="M393" t="s">
        <v>63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41</v>
      </c>
      <c r="U393" t="s">
        <v>42</v>
      </c>
      <c r="V393">
        <f t="shared" si="36"/>
        <v>714.43</v>
      </c>
      <c r="W393">
        <f t="shared" si="37"/>
        <v>148.9899999999999</v>
      </c>
      <c r="X393">
        <f t="shared" si="38"/>
        <v>0.20854387413742426</v>
      </c>
      <c r="Y393" t="str">
        <f>_xlfn.TEXTJOIN(", ",TRUE,IF(G393="Unknown","Missing Region",""),IF(M393="Unknown","Missing Ship Mode",""),IF(P393&lt;0,"Negative Discount",""),IF(P393&gt;0.7,"High Discount",""),IF(C393&lt;B393,"Ship Before Order",""))</f>
        <v>Ship Before Order</v>
      </c>
      <c r="Z393" s="2">
        <f>IFERROR(
  IF(ISNUMBER(B393),B393,
    IF(ISNUMBER(SEARCH("-",B393)*1),
      IF(LEN(LEFT(B393,FIND("-",B393)-1))=4,
        DATE(VALUE(LEFT(B393,4)),VALUE(MID(B393,6,2)),VALUE(RIGHT(B393,2))),
        DATE(VALUE(RIGHT(B393,4)),VALUE(MID(B393,4,2)),VALUE(LEFT(B393,2)))
      ),
      IF(ISNUMBER(SEARCH("/",B393)*1),
        DATE(VALUE(RIGHT(B393,4)),VALUE(LEFT(B393,2)),VALUE(MID(B393,4,2))),
        DATEVALUE(B393)
      )
    )
  ),
"INVALID_DATE")</f>
        <v>45702</v>
      </c>
      <c r="AA393" s="2">
        <f>IFERROR(
  IF(ISNUMBER(C393),C393,
    IF(ISNUMBER(SEARCH("-",C393)*1),
      IF(LEN(LEFT(C393,FIND("-",C393)-1))=4,
        DATE(VALUE(LEFT(C393,4)),VALUE(MID(C393,6,2)),VALUE(RIGHT(C393,2))),
        DATE(VALUE(RIGHT(C393,4)),VALUE(MID(C393,4,2)),VALUE(LEFT(C393,2)))
      ),
      IF(ISNUMBER(SEARCH("/",C393)*1),
        DATE(VALUE(RIGHT(C393,4)),VALUE(LEFT(C393,2)),VALUE(MID(C393,4,2))),
        DATEVALUE(C393)
      )
    )
  ),
"INVALID_DATE")</f>
        <v>45702</v>
      </c>
      <c r="AB393">
        <f t="shared" si="39"/>
        <v>0</v>
      </c>
      <c r="AC393" t="str">
        <f t="shared" si="40"/>
        <v>February</v>
      </c>
      <c r="AD393">
        <f t="shared" si="41"/>
        <v>2025</v>
      </c>
    </row>
    <row r="394" spans="1:30">
      <c r="A394" t="s">
        <v>1951</v>
      </c>
      <c r="B394" t="s">
        <v>1952</v>
      </c>
      <c r="C394" t="s">
        <v>1953</v>
      </c>
      <c r="D394" t="s">
        <v>1954</v>
      </c>
      <c r="E394" t="s">
        <v>114</v>
      </c>
      <c r="F394" t="s">
        <v>48</v>
      </c>
      <c r="G394" t="s">
        <v>69</v>
      </c>
      <c r="H394" t="s">
        <v>249</v>
      </c>
      <c r="I394" t="s">
        <v>250</v>
      </c>
      <c r="J394" t="s">
        <v>52</v>
      </c>
      <c r="K394" t="s">
        <v>72</v>
      </c>
      <c r="L394" t="s">
        <v>1955</v>
      </c>
      <c r="M394" t="s">
        <v>55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41</v>
      </c>
      <c r="U394" t="s">
        <v>42</v>
      </c>
      <c r="V394">
        <f t="shared" si="36"/>
        <v>36477.090000000004</v>
      </c>
      <c r="W394">
        <f t="shared" si="37"/>
        <v>11951.609999999997</v>
      </c>
      <c r="X394">
        <f t="shared" si="38"/>
        <v>0.32764702447481425</v>
      </c>
      <c r="Y394" t="str">
        <f>_xlfn.TEXTJOIN(", ",TRUE,IF(G394="Unknown","Missing Region",""),IF(M394="Unknown","Missing Ship Mode",""),IF(P394&lt;0,"Negative Discount",""),IF(P394&gt;0.7,"High Discount",""),IF(C394&lt;B394,"Ship Before Order",""))</f>
        <v/>
      </c>
      <c r="Z394" s="2">
        <f>IFERROR(
  IF(ISNUMBER(B394),B394,
    IF(ISNUMBER(SEARCH("-",B394)*1),
      IF(LEN(LEFT(B394,FIND("-",B394)-1))=4,
        DATE(VALUE(LEFT(B394,4)),VALUE(MID(B394,6,2)),VALUE(RIGHT(B394,2))),
        DATE(VALUE(RIGHT(B394,4)),VALUE(MID(B394,4,2)),VALUE(LEFT(B394,2)))
      ),
      IF(ISNUMBER(SEARCH("/",B394)*1),
        DATE(VALUE(RIGHT(B394,4)),VALUE(LEFT(B394,2)),VALUE(MID(B394,4,2))),
        DATEVALUE(B394)
      )
    )
  ),
"INVALID_DATE")</f>
        <v>45341</v>
      </c>
      <c r="AA394" s="2">
        <f>IFERROR(
  IF(ISNUMBER(C394),C394,
    IF(ISNUMBER(SEARCH("-",C394)*1),
      IF(LEN(LEFT(C394,FIND("-",C394)-1))=4,
        DATE(VALUE(LEFT(C394,4)),VALUE(MID(C394,6,2)),VALUE(RIGHT(C394,2))),
        DATE(VALUE(RIGHT(C394,4)),VALUE(MID(C394,4,2)),VALUE(LEFT(C394,2)))
      ),
      IF(ISNUMBER(SEARCH("/",C394)*1),
        DATE(VALUE(RIGHT(C394,4)),VALUE(LEFT(C394,2)),VALUE(MID(C394,4,2))),
        DATEVALUE(C394)
      )
    )
  ),
"INVALID_DATE")</f>
        <v>45344</v>
      </c>
      <c r="AB394">
        <f t="shared" si="39"/>
        <v>3</v>
      </c>
      <c r="AC394" t="str">
        <f t="shared" si="40"/>
        <v>February</v>
      </c>
      <c r="AD394">
        <f t="shared" si="41"/>
        <v>2024</v>
      </c>
    </row>
    <row r="395" spans="1:30">
      <c r="A395" t="s">
        <v>1956</v>
      </c>
      <c r="B395" t="s">
        <v>1957</v>
      </c>
      <c r="C395" t="s">
        <v>1958</v>
      </c>
      <c r="D395" t="s">
        <v>1959</v>
      </c>
      <c r="E395" t="s">
        <v>47</v>
      </c>
      <c r="F395" t="s">
        <v>115</v>
      </c>
      <c r="G395" t="s">
        <v>34</v>
      </c>
      <c r="H395" t="s">
        <v>181</v>
      </c>
      <c r="I395" t="s">
        <v>182</v>
      </c>
      <c r="J395" t="s">
        <v>37</v>
      </c>
      <c r="K395" t="s">
        <v>116</v>
      </c>
      <c r="L395" t="s">
        <v>1960</v>
      </c>
      <c r="M395" t="s">
        <v>55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41</v>
      </c>
      <c r="U395" t="s">
        <v>42</v>
      </c>
      <c r="V395">
        <f t="shared" si="36"/>
        <v>3680.1289999999999</v>
      </c>
      <c r="W395">
        <f t="shared" si="37"/>
        <v>712.67000000000007</v>
      </c>
      <c r="X395">
        <f t="shared" si="38"/>
        <v>0.19365348506710359</v>
      </c>
      <c r="Y395" t="str">
        <f>_xlfn.TEXTJOIN(", ",TRUE,IF(G395="Unknown","Missing Region",""),IF(M395="Unknown","Missing Ship Mode",""),IF(P395&lt;0,"Negative Discount",""),IF(P395&gt;0.7,"High Discount",""),IF(C395&lt;B395,"Ship Before Order",""))</f>
        <v>Ship Before Order</v>
      </c>
      <c r="Z395" s="2">
        <f>IFERROR(
  IF(ISNUMBER(B395),B395,
    IF(ISNUMBER(SEARCH("-",B395)*1),
      IF(LEN(LEFT(B395,FIND("-",B395)-1))=4,
        DATE(VALUE(LEFT(B395,4)),VALUE(MID(B395,6,2)),VALUE(RIGHT(B395,2))),
        DATE(VALUE(RIGHT(B395,4)),VALUE(MID(B395,4,2)),VALUE(LEFT(B395,2)))
      ),
      IF(ISNUMBER(SEARCH("/",B395)*1),
        DATE(VALUE(RIGHT(B395,4)),VALUE(LEFT(B395,2)),VALUE(MID(B395,4,2))),
        DATEVALUE(B395)
      )
    )
  ),
"INVALID_DATE")</f>
        <v>45527</v>
      </c>
      <c r="AA395" s="2">
        <f>IFERROR(
  IF(ISNUMBER(C395),C395,
    IF(ISNUMBER(SEARCH("-",C395)*1),
      IF(LEN(LEFT(C395,FIND("-",C395)-1))=4,
        DATE(VALUE(LEFT(C395,4)),VALUE(MID(C395,6,2)),VALUE(RIGHT(C395,2))),
        DATE(VALUE(RIGHT(C395,4)),VALUE(MID(C395,4,2)),VALUE(LEFT(C395,2)))
      ),
      IF(ISNUMBER(SEARCH("/",C395)*1),
        DATE(VALUE(RIGHT(C395,4)),VALUE(LEFT(C395,2)),VALUE(MID(C395,4,2))),
        DATEVALUE(C395)
      )
    )
  ),
"INVALID_DATE")</f>
        <v>45533</v>
      </c>
      <c r="AB395">
        <f t="shared" si="39"/>
        <v>6</v>
      </c>
      <c r="AC395" t="str">
        <f t="shared" si="40"/>
        <v>August</v>
      </c>
      <c r="AD395">
        <f t="shared" si="41"/>
        <v>2024</v>
      </c>
    </row>
    <row r="396" spans="1:30">
      <c r="A396" t="s">
        <v>1961</v>
      </c>
      <c r="B396" t="s">
        <v>1962</v>
      </c>
      <c r="C396" t="s">
        <v>1963</v>
      </c>
      <c r="D396" t="s">
        <v>1964</v>
      </c>
      <c r="E396" t="s">
        <v>374</v>
      </c>
      <c r="F396" t="s">
        <v>33</v>
      </c>
      <c r="G396" t="s">
        <v>80</v>
      </c>
      <c r="H396" t="s">
        <v>81</v>
      </c>
      <c r="I396" t="s">
        <v>82</v>
      </c>
      <c r="J396" t="s">
        <v>52</v>
      </c>
      <c r="K396" t="s">
        <v>72</v>
      </c>
      <c r="L396" t="s">
        <v>1965</v>
      </c>
      <c r="M396" t="s">
        <v>63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41</v>
      </c>
      <c r="U396" t="s">
        <v>42</v>
      </c>
      <c r="V396">
        <f t="shared" si="36"/>
        <v>27616.47</v>
      </c>
      <c r="W396">
        <f t="shared" si="37"/>
        <v>6391.2100000000028</v>
      </c>
      <c r="X396">
        <f t="shared" si="38"/>
        <v>0.23142747787823714</v>
      </c>
      <c r="Y396" t="str">
        <f>_xlfn.TEXTJOIN(", ",TRUE,IF(G396="Unknown","Missing Region",""),IF(M396="Unknown","Missing Ship Mode",""),IF(P396&lt;0,"Negative Discount",""),IF(P396&gt;0.7,"High Discount",""),IF(C396&lt;B396,"Ship Before Order",""))</f>
        <v/>
      </c>
      <c r="Z396" s="2">
        <f>IFERROR(
  IF(ISNUMBER(B396),B396,
    IF(ISNUMBER(SEARCH("-",B396)*1),
      IF(LEN(LEFT(B396,FIND("-",B396)-1))=4,
        DATE(VALUE(LEFT(B396,4)),VALUE(MID(B396,6,2)),VALUE(RIGHT(B396,2))),
        DATE(VALUE(RIGHT(B396,4)),VALUE(MID(B396,4,2)),VALUE(LEFT(B396,2)))
      ),
      IF(ISNUMBER(SEARCH("/",B396)*1),
        DATE(VALUE(RIGHT(B396,4)),VALUE(LEFT(B396,2)),VALUE(MID(B396,4,2))),
        DATEVALUE(B396)
      )
    )
  ),
"INVALID_DATE")</f>
        <v>45385</v>
      </c>
      <c r="AA396" s="2">
        <f>IFERROR(
  IF(ISNUMBER(C396),C396,
    IF(ISNUMBER(SEARCH("-",C396)*1),
      IF(LEN(LEFT(C396,FIND("-",C396)-1))=4,
        DATE(VALUE(LEFT(C396,4)),VALUE(MID(C396,6,2)),VALUE(RIGHT(C396,2))),
        DATE(VALUE(RIGHT(C396,4)),VALUE(MID(C396,4,2)),VALUE(LEFT(C396,2)))
      ),
      IF(ISNUMBER(SEARCH("/",C396)*1),
        DATE(VALUE(RIGHT(C396,4)),VALUE(LEFT(C396,2)),VALUE(MID(C396,4,2))),
        DATEVALUE(C396)
      )
    )
  ),
"INVALID_DATE")</f>
        <v>45386</v>
      </c>
      <c r="AB396">
        <f t="shared" si="39"/>
        <v>1</v>
      </c>
      <c r="AC396" t="str">
        <f t="shared" si="40"/>
        <v>April</v>
      </c>
      <c r="AD396">
        <f t="shared" si="41"/>
        <v>2024</v>
      </c>
    </row>
    <row r="397" spans="1:30">
      <c r="A397" t="s">
        <v>1966</v>
      </c>
      <c r="B397" t="s">
        <v>1075</v>
      </c>
      <c r="C397" t="s">
        <v>1762</v>
      </c>
      <c r="D397" t="s">
        <v>1967</v>
      </c>
      <c r="E397" t="s">
        <v>155</v>
      </c>
      <c r="F397" t="s">
        <v>122</v>
      </c>
      <c r="G397" t="s">
        <v>69</v>
      </c>
      <c r="H397" t="s">
        <v>347</v>
      </c>
      <c r="I397" t="s">
        <v>348</v>
      </c>
      <c r="J397" t="s">
        <v>52</v>
      </c>
      <c r="K397" t="s">
        <v>53</v>
      </c>
      <c r="L397" t="s">
        <v>1968</v>
      </c>
      <c r="M397" t="s">
        <v>55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41</v>
      </c>
      <c r="U397" t="s">
        <v>42</v>
      </c>
      <c r="V397">
        <f t="shared" si="36"/>
        <v>5731.7014999999992</v>
      </c>
      <c r="W397">
        <f t="shared" si="37"/>
        <v>1616.1399999999994</v>
      </c>
      <c r="X397">
        <f t="shared" si="38"/>
        <v>0.28196521101941835</v>
      </c>
      <c r="Y397" t="str">
        <f>_xlfn.TEXTJOIN(", ",TRUE,IF(G397="Unknown","Missing Region",""),IF(M397="Unknown","Missing Ship Mode",""),IF(P397&lt;0,"Negative Discount",""),IF(P397&gt;0.7,"High Discount",""),IF(C397&lt;B397,"Ship Before Order",""))</f>
        <v/>
      </c>
      <c r="Z397" s="2">
        <f>IFERROR(
  IF(ISNUMBER(B397),B397,
    IF(ISNUMBER(SEARCH("-",B397)*1),
      IF(LEN(LEFT(B397,FIND("-",B397)-1))=4,
        DATE(VALUE(LEFT(B397,4)),VALUE(MID(B397,6,2)),VALUE(RIGHT(B397,2))),
        DATE(VALUE(RIGHT(B397,4)),VALUE(MID(B397,4,2)),VALUE(LEFT(B397,2)))
      ),
      IF(ISNUMBER(SEARCH("/",B397)*1),
        DATE(VALUE(RIGHT(B397,4)),VALUE(LEFT(B397,2)),VALUE(MID(B397,4,2))),
        DATEVALUE(B397)
      )
    )
  ),
"INVALID_DATE")</f>
        <v>45449</v>
      </c>
      <c r="AA397" s="2">
        <f>IFERROR(
  IF(ISNUMBER(C397),C397,
    IF(ISNUMBER(SEARCH("-",C397)*1),
      IF(LEN(LEFT(C397,FIND("-",C397)-1))=4,
        DATE(VALUE(LEFT(C397,4)),VALUE(MID(C397,6,2)),VALUE(RIGHT(C397,2))),
        DATE(VALUE(RIGHT(C397,4)),VALUE(MID(C397,4,2)),VALUE(LEFT(C397,2)))
      ),
      IF(ISNUMBER(SEARCH("/",C397)*1),
        DATE(VALUE(RIGHT(C397,4)),VALUE(LEFT(C397,2)),VALUE(MID(C397,4,2))),
        DATEVALUE(C397)
      )
    )
  ),
"INVALID_DATE")</f>
        <v>45450</v>
      </c>
      <c r="AB397">
        <f t="shared" si="39"/>
        <v>1</v>
      </c>
      <c r="AC397" t="str">
        <f t="shared" si="40"/>
        <v>June</v>
      </c>
      <c r="AD397">
        <f t="shared" si="41"/>
        <v>2024</v>
      </c>
    </row>
    <row r="398" spans="1:30">
      <c r="A398" t="s">
        <v>1969</v>
      </c>
      <c r="B398" t="s">
        <v>1970</v>
      </c>
      <c r="C398" t="s">
        <v>1971</v>
      </c>
      <c r="D398" t="s">
        <v>1972</v>
      </c>
      <c r="E398" t="s">
        <v>114</v>
      </c>
      <c r="F398" t="s">
        <v>48</v>
      </c>
      <c r="G398" t="s">
        <v>69</v>
      </c>
      <c r="H398" t="s">
        <v>236</v>
      </c>
      <c r="I398" t="s">
        <v>237</v>
      </c>
      <c r="J398" t="s">
        <v>93</v>
      </c>
      <c r="K398" t="s">
        <v>390</v>
      </c>
      <c r="L398" t="s">
        <v>1973</v>
      </c>
      <c r="M398" t="s">
        <v>74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41</v>
      </c>
      <c r="U398" t="s">
        <v>42</v>
      </c>
      <c r="V398">
        <f t="shared" si="36"/>
        <v>1213.587</v>
      </c>
      <c r="W398">
        <f t="shared" si="37"/>
        <v>257.36999999999989</v>
      </c>
      <c r="X398">
        <f t="shared" si="38"/>
        <v>0.2120732702148172</v>
      </c>
      <c r="Y398" t="str">
        <f>_xlfn.TEXTJOIN(", ",TRUE,IF(G398="Unknown","Missing Region",""),IF(M398="Unknown","Missing Ship Mode",""),IF(P398&lt;0,"Negative Discount",""),IF(P398&gt;0.7,"High Discount",""),IF(C398&lt;B398,"Ship Before Order",""))</f>
        <v/>
      </c>
      <c r="Z398" s="2">
        <f>IFERROR(
  IF(ISNUMBER(B398),B398,
    IF(ISNUMBER(SEARCH("-",B398)*1),
      IF(LEN(LEFT(B398,FIND("-",B398)-1))=4,
        DATE(VALUE(LEFT(B398,4)),VALUE(MID(B398,6,2)),VALUE(RIGHT(B398,2))),
        DATE(VALUE(RIGHT(B398,4)),VALUE(MID(B398,4,2)),VALUE(LEFT(B398,2)))
      ),
      IF(ISNUMBER(SEARCH("/",B398)*1),
        DATE(VALUE(RIGHT(B398,4)),VALUE(LEFT(B398,2)),VALUE(MID(B398,4,2))),
        DATEVALUE(B398)
      )
    )
  ),
"INVALID_DATE")</f>
        <v>45761</v>
      </c>
      <c r="AA398" s="2">
        <f>IFERROR(
  IF(ISNUMBER(C398),C398,
    IF(ISNUMBER(SEARCH("-",C398)*1),
      IF(LEN(LEFT(C398,FIND("-",C398)-1))=4,
        DATE(VALUE(LEFT(C398,4)),VALUE(MID(C398,6,2)),VALUE(RIGHT(C398,2))),
        DATE(VALUE(RIGHT(C398,4)),VALUE(MID(C398,4,2)),VALUE(LEFT(C398,2)))
      ),
      IF(ISNUMBER(SEARCH("/",C398)*1),
        DATE(VALUE(RIGHT(C398,4)),VALUE(LEFT(C398,2)),VALUE(MID(C398,4,2))),
        DATEVALUE(C398)
      )
    )
  ),
"INVALID_DATE")</f>
        <v>45769</v>
      </c>
      <c r="AB398">
        <f t="shared" si="39"/>
        <v>8</v>
      </c>
      <c r="AC398" t="str">
        <f t="shared" si="40"/>
        <v>April</v>
      </c>
      <c r="AD398">
        <f t="shared" si="41"/>
        <v>2025</v>
      </c>
    </row>
    <row r="399" spans="1:30">
      <c r="A399" t="s">
        <v>1974</v>
      </c>
      <c r="B399" t="s">
        <v>1975</v>
      </c>
      <c r="C399" t="s">
        <v>1976</v>
      </c>
      <c r="D399" t="s">
        <v>1977</v>
      </c>
      <c r="E399" t="s">
        <v>175</v>
      </c>
      <c r="F399" t="s">
        <v>48</v>
      </c>
      <c r="G399" t="s">
        <v>34</v>
      </c>
      <c r="H399" t="s">
        <v>181</v>
      </c>
      <c r="I399" t="s">
        <v>182</v>
      </c>
      <c r="J399" t="s">
        <v>52</v>
      </c>
      <c r="K399" t="s">
        <v>53</v>
      </c>
      <c r="L399" t="s">
        <v>1978</v>
      </c>
      <c r="M399" t="s">
        <v>40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41</v>
      </c>
      <c r="U399" t="s">
        <v>42</v>
      </c>
      <c r="V399">
        <f t="shared" si="36"/>
        <v>3463.76</v>
      </c>
      <c r="W399">
        <f t="shared" si="37"/>
        <v>1320.0200000000004</v>
      </c>
      <c r="X399">
        <f t="shared" si="38"/>
        <v>0.38109453310852942</v>
      </c>
      <c r="Y399" t="str">
        <f>_xlfn.TEXTJOIN(", ",TRUE,IF(G399="Unknown","Missing Region",""),IF(M399="Unknown","Missing Ship Mode",""),IF(P399&lt;0,"Negative Discount",""),IF(P399&gt;0.7,"High Discount",""),IF(C399&lt;B399,"Ship Before Order",""))</f>
        <v/>
      </c>
      <c r="Z399" s="2">
        <f>IFERROR(
  IF(ISNUMBER(B399),B399,
    IF(ISNUMBER(SEARCH("-",B399)*1),
      IF(LEN(LEFT(B399,FIND("-",B399)-1))=4,
        DATE(VALUE(LEFT(B399,4)),VALUE(MID(B399,6,2)),VALUE(RIGHT(B399,2))),
        DATE(VALUE(RIGHT(B399,4)),VALUE(MID(B399,4,2)),VALUE(LEFT(B399,2)))
      ),
      IF(ISNUMBER(SEARCH("/",B399)*1),
        DATE(VALUE(RIGHT(B399,4)),VALUE(LEFT(B399,2)),VALUE(MID(B399,4,2))),
        DATEVALUE(B399)
      )
    )
  ),
"INVALID_DATE")</f>
        <v>45817</v>
      </c>
      <c r="AA399" s="2">
        <f>IFERROR(
  IF(ISNUMBER(C399),C399,
    IF(ISNUMBER(SEARCH("-",C399)*1),
      IF(LEN(LEFT(C399,FIND("-",C399)-1))=4,
        DATE(VALUE(LEFT(C399,4)),VALUE(MID(C399,6,2)),VALUE(RIGHT(C399,2))),
        DATE(VALUE(RIGHT(C399,4)),VALUE(MID(C399,4,2)),VALUE(LEFT(C399,2)))
      ),
      IF(ISNUMBER(SEARCH("/",C399)*1),
        DATE(VALUE(RIGHT(C399,4)),VALUE(LEFT(C399,2)),VALUE(MID(C399,4,2))),
        DATEVALUE(C399)
      )
    )
  ),
"INVALID_DATE")</f>
        <v>45818</v>
      </c>
      <c r="AB399">
        <f t="shared" si="39"/>
        <v>1</v>
      </c>
      <c r="AC399" t="str">
        <f t="shared" si="40"/>
        <v>June</v>
      </c>
      <c r="AD399">
        <f t="shared" si="41"/>
        <v>2025</v>
      </c>
    </row>
    <row r="400" spans="1:30">
      <c r="A400" t="s">
        <v>1979</v>
      </c>
      <c r="B400" t="s">
        <v>1980</v>
      </c>
      <c r="C400" t="s">
        <v>1981</v>
      </c>
      <c r="D400" t="s">
        <v>1982</v>
      </c>
      <c r="E400" t="s">
        <v>90</v>
      </c>
      <c r="F400" t="s">
        <v>115</v>
      </c>
      <c r="G400" t="s">
        <v>34</v>
      </c>
      <c r="H400" t="s">
        <v>161</v>
      </c>
      <c r="I400" t="s">
        <v>162</v>
      </c>
      <c r="J400" t="s">
        <v>93</v>
      </c>
      <c r="K400" t="s">
        <v>390</v>
      </c>
      <c r="L400" t="s">
        <v>1983</v>
      </c>
      <c r="M400" t="s">
        <v>55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41</v>
      </c>
      <c r="U400" t="s">
        <v>42</v>
      </c>
      <c r="V400">
        <f t="shared" si="36"/>
        <v>2021.8400000000001</v>
      </c>
      <c r="W400">
        <f t="shared" si="37"/>
        <v>666.61999999999989</v>
      </c>
      <c r="X400">
        <f t="shared" si="38"/>
        <v>0.32970957147944446</v>
      </c>
      <c r="Y400" t="str">
        <f>_xlfn.TEXTJOIN(", ",TRUE,IF(G400="Unknown","Missing Region",""),IF(M400="Unknown","Missing Ship Mode",""),IF(P400&lt;0,"Negative Discount",""),IF(P400&gt;0.7,"High Discount",""),IF(C400&lt;B400,"Ship Before Order",""))</f>
        <v/>
      </c>
      <c r="Z400" s="2">
        <f>IFERROR(
  IF(ISNUMBER(B400),B400,
    IF(ISNUMBER(SEARCH("-",B400)*1),
      IF(LEN(LEFT(B400,FIND("-",B400)-1))=4,
        DATE(VALUE(LEFT(B400,4)),VALUE(MID(B400,6,2)),VALUE(RIGHT(B400,2))),
        DATE(VALUE(RIGHT(B400,4)),VALUE(MID(B400,4,2)),VALUE(LEFT(B400,2)))
      ),
      IF(ISNUMBER(SEARCH("/",B400)*1),
        DATE(VALUE(RIGHT(B400,4)),VALUE(LEFT(B400,2)),VALUE(MID(B400,4,2))),
        DATEVALUE(B400)
      )
    )
  ),
"INVALID_DATE")</f>
        <v>45492</v>
      </c>
      <c r="AA400" s="2">
        <f>IFERROR(
  IF(ISNUMBER(C400),C400,
    IF(ISNUMBER(SEARCH("-",C400)*1),
      IF(LEN(LEFT(C400,FIND("-",C400)-1))=4,
        DATE(VALUE(LEFT(C400,4)),VALUE(MID(C400,6,2)),VALUE(RIGHT(C400,2))),
        DATE(VALUE(RIGHT(C400,4)),VALUE(MID(C400,4,2)),VALUE(LEFT(C400,2)))
      ),
      IF(ISNUMBER(SEARCH("/",C400)*1),
        DATE(VALUE(RIGHT(C400,4)),VALUE(LEFT(C400,2)),VALUE(MID(C400,4,2))),
        DATEVALUE(C400)
      )
    )
  ),
"INVALID_DATE")</f>
        <v>45499</v>
      </c>
      <c r="AB400">
        <f t="shared" si="39"/>
        <v>7</v>
      </c>
      <c r="AC400" t="str">
        <f t="shared" si="40"/>
        <v>July</v>
      </c>
      <c r="AD400">
        <f t="shared" si="41"/>
        <v>2024</v>
      </c>
    </row>
    <row r="401" spans="1:30">
      <c r="A401" t="s">
        <v>1984</v>
      </c>
      <c r="B401" t="s">
        <v>1985</v>
      </c>
      <c r="C401" t="s">
        <v>1986</v>
      </c>
      <c r="D401" t="s">
        <v>1987</v>
      </c>
      <c r="E401" t="s">
        <v>217</v>
      </c>
      <c r="F401" t="s">
        <v>48</v>
      </c>
      <c r="G401" t="s">
        <v>69</v>
      </c>
      <c r="H401" t="s">
        <v>107</v>
      </c>
      <c r="I401" t="s">
        <v>108</v>
      </c>
      <c r="J401" t="s">
        <v>37</v>
      </c>
      <c r="K401" t="s">
        <v>38</v>
      </c>
      <c r="L401" t="s">
        <v>1988</v>
      </c>
      <c r="M401" t="s">
        <v>55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41</v>
      </c>
      <c r="U401" t="s">
        <v>42</v>
      </c>
      <c r="V401">
        <f t="shared" si="36"/>
        <v>3268.875</v>
      </c>
      <c r="W401">
        <f t="shared" si="37"/>
        <v>1275.1400000000001</v>
      </c>
      <c r="X401">
        <f t="shared" si="38"/>
        <v>0.39008467732067253</v>
      </c>
      <c r="Y401" t="str">
        <f>_xlfn.TEXTJOIN(", ",TRUE,IF(G401="Unknown","Missing Region",""),IF(M401="Unknown","Missing Ship Mode",""),IF(P401&lt;0,"Negative Discount",""),IF(P401&gt;0.7,"High Discount",""),IF(C401&lt;B401,"Ship Before Order",""))</f>
        <v/>
      </c>
      <c r="Z401" s="2">
        <f>IFERROR(
  IF(ISNUMBER(B401),B401,
    IF(ISNUMBER(SEARCH("-",B401)*1),
      IF(LEN(LEFT(B401,FIND("-",B401)-1))=4,
        DATE(VALUE(LEFT(B401,4)),VALUE(MID(B401,6,2)),VALUE(RIGHT(B401,2))),
        DATE(VALUE(RIGHT(B401,4)),VALUE(MID(B401,4,2)),VALUE(LEFT(B401,2)))
      ),
      IF(ISNUMBER(SEARCH("/",B401)*1),
        DATE(VALUE(RIGHT(B401,4)),VALUE(LEFT(B401,2)),VALUE(MID(B401,4,2))),
        DATEVALUE(B401)
      )
    )
  ),
"INVALID_DATE")</f>
        <v>45771</v>
      </c>
      <c r="AA401" s="2">
        <f>IFERROR(
  IF(ISNUMBER(C401),C401,
    IF(ISNUMBER(SEARCH("-",C401)*1),
      IF(LEN(LEFT(C401,FIND("-",C401)-1))=4,
        DATE(VALUE(LEFT(C401,4)),VALUE(MID(C401,6,2)),VALUE(RIGHT(C401,2))),
        DATE(VALUE(RIGHT(C401,4)),VALUE(MID(C401,4,2)),VALUE(LEFT(C401,2)))
      ),
      IF(ISNUMBER(SEARCH("/",C401)*1),
        DATE(VALUE(RIGHT(C401,4)),VALUE(LEFT(C401,2)),VALUE(MID(C401,4,2))),
        DATEVALUE(C401)
      )
    )
  ),
"INVALID_DATE")</f>
        <v>45776</v>
      </c>
      <c r="AB401">
        <f t="shared" si="39"/>
        <v>5</v>
      </c>
      <c r="AC401" t="str">
        <f t="shared" si="40"/>
        <v>April</v>
      </c>
      <c r="AD401">
        <f t="shared" si="41"/>
        <v>2025</v>
      </c>
    </row>
    <row r="402" spans="1:30">
      <c r="A402" t="s">
        <v>1989</v>
      </c>
      <c r="B402" t="s">
        <v>1990</v>
      </c>
      <c r="C402" t="s">
        <v>1991</v>
      </c>
      <c r="D402" t="s">
        <v>1992</v>
      </c>
      <c r="E402" t="s">
        <v>175</v>
      </c>
      <c r="F402" t="s">
        <v>48</v>
      </c>
      <c r="G402" t="s">
        <v>34</v>
      </c>
      <c r="H402" t="s">
        <v>181</v>
      </c>
      <c r="I402" t="s">
        <v>182</v>
      </c>
      <c r="J402" t="s">
        <v>37</v>
      </c>
      <c r="K402" t="s">
        <v>38</v>
      </c>
      <c r="L402" t="s">
        <v>1993</v>
      </c>
      <c r="M402" t="s">
        <v>55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41</v>
      </c>
      <c r="U402" t="s">
        <v>42</v>
      </c>
      <c r="V402">
        <f t="shared" si="36"/>
        <v>6761.2930000000006</v>
      </c>
      <c r="W402">
        <f t="shared" si="37"/>
        <v>961.92000000000007</v>
      </c>
      <c r="X402">
        <f t="shared" si="38"/>
        <v>0.16473207404997173</v>
      </c>
      <c r="Y402" t="str">
        <f>_xlfn.TEXTJOIN(", ",TRUE,IF(G402="Unknown","Missing Region",""),IF(M402="Unknown","Missing Ship Mode",""),IF(P402&lt;0,"Negative Discount",""),IF(P402&gt;0.7,"High Discount",""),IF(C402&lt;B402,"Ship Before Order",""))</f>
        <v>Negative Discount</v>
      </c>
      <c r="Z402" s="2">
        <f>IFERROR(
  IF(ISNUMBER(B402),B402,
    IF(ISNUMBER(SEARCH("-",B402)*1),
      IF(LEN(LEFT(B402,FIND("-",B402)-1))=4,
        DATE(VALUE(LEFT(B402,4)),VALUE(MID(B402,6,2)),VALUE(RIGHT(B402,2))),
        DATE(VALUE(RIGHT(B402,4)),VALUE(MID(B402,4,2)),VALUE(LEFT(B402,2)))
      ),
      IF(ISNUMBER(SEARCH("/",B402)*1),
        DATE(VALUE(RIGHT(B402,4)),VALUE(LEFT(B402,2)),VALUE(MID(B402,4,2))),
        DATEVALUE(B402)
      )
    )
  ),
"INVALID_DATE")</f>
        <v>45814</v>
      </c>
      <c r="AA402" s="2">
        <f>IFERROR(
  IF(ISNUMBER(C402),C402,
    IF(ISNUMBER(SEARCH("-",C402)*1),
      IF(LEN(LEFT(C402,FIND("-",C402)-1))=4,
        DATE(VALUE(LEFT(C402,4)),VALUE(MID(C402,6,2)),VALUE(RIGHT(C402,2))),
        DATE(VALUE(RIGHT(C402,4)),VALUE(MID(C402,4,2)),VALUE(LEFT(C402,2)))
      ),
      IF(ISNUMBER(SEARCH("/",C402)*1),
        DATE(VALUE(RIGHT(C402,4)),VALUE(LEFT(C402,2)),VALUE(MID(C402,4,2))),
        DATEVALUE(C402)
      )
    )
  ),
"INVALID_DATE")</f>
        <v>45819</v>
      </c>
      <c r="AB402">
        <f t="shared" si="39"/>
        <v>5</v>
      </c>
      <c r="AC402" t="str">
        <f t="shared" si="40"/>
        <v>June</v>
      </c>
      <c r="AD402">
        <f t="shared" si="41"/>
        <v>2025</v>
      </c>
    </row>
    <row r="403" spans="1:30">
      <c r="A403" t="s">
        <v>1994</v>
      </c>
      <c r="B403" t="s">
        <v>1995</v>
      </c>
      <c r="C403" t="s">
        <v>1996</v>
      </c>
      <c r="D403" t="s">
        <v>1997</v>
      </c>
      <c r="E403" t="s">
        <v>68</v>
      </c>
      <c r="F403" t="s">
        <v>48</v>
      </c>
      <c r="G403" t="s">
        <v>49</v>
      </c>
      <c r="H403" t="s">
        <v>319</v>
      </c>
      <c r="I403" t="s">
        <v>320</v>
      </c>
      <c r="J403" t="s">
        <v>52</v>
      </c>
      <c r="K403" t="s">
        <v>53</v>
      </c>
      <c r="L403" t="s">
        <v>1998</v>
      </c>
      <c r="M403" t="s">
        <v>55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41</v>
      </c>
      <c r="U403" t="s">
        <v>42</v>
      </c>
      <c r="V403">
        <f t="shared" si="36"/>
        <v>7877.5499999999993</v>
      </c>
      <c r="W403">
        <f t="shared" si="37"/>
        <v>2314.7799999999997</v>
      </c>
      <c r="X403">
        <f t="shared" si="38"/>
        <v>0.29384516759652429</v>
      </c>
      <c r="Y403" t="str">
        <f>_xlfn.TEXTJOIN(", ",TRUE,IF(G403="Unknown","Missing Region",""),IF(M403="Unknown","Missing Ship Mode",""),IF(P403&lt;0,"Negative Discount",""),IF(P403&gt;0.7,"High Discount",""),IF(C403&lt;B403,"Ship Before Order",""))</f>
        <v/>
      </c>
      <c r="Z403" s="2">
        <f>IFERROR(
  IF(ISNUMBER(B403),B403,
    IF(ISNUMBER(SEARCH("-",B403)*1),
      IF(LEN(LEFT(B403,FIND("-",B403)-1))=4,
        DATE(VALUE(LEFT(B403,4)),VALUE(MID(B403,6,2)),VALUE(RIGHT(B403,2))),
        DATE(VALUE(RIGHT(B403,4)),VALUE(MID(B403,4,2)),VALUE(LEFT(B403,2)))
      ),
      IF(ISNUMBER(SEARCH("/",B403)*1),
        DATE(VALUE(RIGHT(B403,4)),VALUE(LEFT(B403,2)),VALUE(MID(B403,4,2))),
        DATEVALUE(B403)
      )
    )
  ),
"INVALID_DATE")</f>
        <v>45725</v>
      </c>
      <c r="AA403" s="2">
        <f>IFERROR(
  IF(ISNUMBER(C403),C403,
    IF(ISNUMBER(SEARCH("-",C403)*1),
      IF(LEN(LEFT(C403,FIND("-",C403)-1))=4,
        DATE(VALUE(LEFT(C403,4)),VALUE(MID(C403,6,2)),VALUE(RIGHT(C403,2))),
        DATE(VALUE(RIGHT(C403,4)),VALUE(MID(C403,4,2)),VALUE(LEFT(C403,2)))
      ),
      IF(ISNUMBER(SEARCH("/",C403)*1),
        DATE(VALUE(RIGHT(C403,4)),VALUE(LEFT(C403,2)),VALUE(MID(C403,4,2))),
        DATEVALUE(C403)
      )
    )
  ),
"INVALID_DATE")</f>
        <v>45732</v>
      </c>
      <c r="AB403">
        <f t="shared" si="39"/>
        <v>7</v>
      </c>
      <c r="AC403" t="str">
        <f t="shared" si="40"/>
        <v>March</v>
      </c>
      <c r="AD403">
        <f t="shared" si="41"/>
        <v>2025</v>
      </c>
    </row>
    <row r="404" spans="1:30">
      <c r="A404" t="s">
        <v>1999</v>
      </c>
      <c r="B404" t="s">
        <v>2000</v>
      </c>
      <c r="C404" t="s">
        <v>2001</v>
      </c>
      <c r="D404" t="s">
        <v>2002</v>
      </c>
      <c r="E404" t="s">
        <v>149</v>
      </c>
      <c r="F404" t="s">
        <v>48</v>
      </c>
      <c r="G404" t="s">
        <v>69</v>
      </c>
      <c r="H404" t="s">
        <v>236</v>
      </c>
      <c r="I404" t="s">
        <v>237</v>
      </c>
      <c r="J404" t="s">
        <v>52</v>
      </c>
      <c r="K404" t="s">
        <v>53</v>
      </c>
      <c r="L404" t="s">
        <v>2003</v>
      </c>
      <c r="M404" t="s">
        <v>279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41</v>
      </c>
      <c r="U404" t="s">
        <v>42</v>
      </c>
      <c r="V404">
        <f t="shared" si="36"/>
        <v>4095.7799999999997</v>
      </c>
      <c r="W404">
        <f t="shared" si="37"/>
        <v>1288.0100000000002</v>
      </c>
      <c r="X404">
        <f t="shared" si="38"/>
        <v>0.31447245701673426</v>
      </c>
      <c r="Y404" t="str">
        <f>_xlfn.TEXTJOIN(", ",TRUE,IF(G404="Unknown","Missing Region",""),IF(M404="Unknown","Missing Ship Mode",""),IF(P404&lt;0,"Negative Discount",""),IF(P404&gt;0.7,"High Discount",""),IF(C404&lt;B404,"Ship Before Order",""))</f>
        <v>Missing Ship Mode, Ship Before Order</v>
      </c>
      <c r="Z404" s="2">
        <f>IFERROR(
  IF(ISNUMBER(B404),B404,
    IF(ISNUMBER(SEARCH("-",B404)*1),
      IF(LEN(LEFT(B404,FIND("-",B404)-1))=4,
        DATE(VALUE(LEFT(B404,4)),VALUE(MID(B404,6,2)),VALUE(RIGHT(B404,2))),
        DATE(VALUE(RIGHT(B404,4)),VALUE(MID(B404,4,2)),VALUE(LEFT(B404,2)))
      ),
      IF(ISNUMBER(SEARCH("/",B404)*1),
        DATE(VALUE(RIGHT(B404,4)),VALUE(LEFT(B404,2)),VALUE(MID(B404,4,2))),
        DATEVALUE(B404)
      )
    )
  ),
"INVALID_DATE")</f>
        <v>45373</v>
      </c>
      <c r="AA404" s="2">
        <f>IFERROR(
  IF(ISNUMBER(C404),C404,
    IF(ISNUMBER(SEARCH("-",C404)*1),
      IF(LEN(LEFT(C404,FIND("-",C404)-1))=4,
        DATE(VALUE(LEFT(C404,4)),VALUE(MID(C404,6,2)),VALUE(RIGHT(C404,2))),
        DATE(VALUE(RIGHT(C404,4)),VALUE(MID(C404,4,2)),VALUE(LEFT(C404,2)))
      ),
      IF(ISNUMBER(SEARCH("/",C404)*1),
        DATE(VALUE(RIGHT(C404,4)),VALUE(LEFT(C404,2)),VALUE(MID(C404,4,2))),
        DATEVALUE(C404)
      )
    )
  ),
"INVALID_DATE")</f>
        <v>45373</v>
      </c>
      <c r="AB404">
        <f t="shared" si="39"/>
        <v>0</v>
      </c>
      <c r="AC404" t="str">
        <f t="shared" si="40"/>
        <v>March</v>
      </c>
      <c r="AD404">
        <f t="shared" si="41"/>
        <v>2024</v>
      </c>
    </row>
    <row r="405" spans="1:30">
      <c r="A405" t="s">
        <v>2004</v>
      </c>
      <c r="B405" t="s">
        <v>2005</v>
      </c>
      <c r="C405" t="s">
        <v>2006</v>
      </c>
      <c r="D405" t="s">
        <v>2007</v>
      </c>
      <c r="E405" t="s">
        <v>68</v>
      </c>
      <c r="F405" t="s">
        <v>48</v>
      </c>
      <c r="G405" t="s">
        <v>69</v>
      </c>
      <c r="H405" t="s">
        <v>249</v>
      </c>
      <c r="I405" t="s">
        <v>250</v>
      </c>
      <c r="J405" t="s">
        <v>37</v>
      </c>
      <c r="K405" t="s">
        <v>2008</v>
      </c>
      <c r="L405" t="s">
        <v>2009</v>
      </c>
      <c r="M405" t="s">
        <v>55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41</v>
      </c>
      <c r="U405" t="s">
        <v>132</v>
      </c>
      <c r="V405">
        <f t="shared" si="36"/>
        <v>16683.1875</v>
      </c>
      <c r="W405">
        <f t="shared" si="37"/>
        <v>6382.0299999999988</v>
      </c>
      <c r="X405">
        <f t="shared" si="38"/>
        <v>0.38254254731858839</v>
      </c>
      <c r="Y405" t="str">
        <f>_xlfn.TEXTJOIN(", ",TRUE,IF(G405="Unknown","Missing Region",""),IF(M405="Unknown","Missing Ship Mode",""),IF(P405&lt;0,"Negative Discount",""),IF(P405&gt;0.7,"High Discount",""),IF(C405&lt;B405,"Ship Before Order",""))</f>
        <v>Ship Before Order</v>
      </c>
      <c r="Z405" s="2">
        <f>IFERROR(
  IF(ISNUMBER(B405),B405,
    IF(ISNUMBER(SEARCH("-",B405)*1),
      IF(LEN(LEFT(B405,FIND("-",B405)-1))=4,
        DATE(VALUE(LEFT(B405,4)),VALUE(MID(B405,6,2)),VALUE(RIGHT(B405,2))),
        DATE(VALUE(RIGHT(B405,4)),VALUE(MID(B405,4,2)),VALUE(LEFT(B405,2)))
      ),
      IF(ISNUMBER(SEARCH("/",B405)*1),
        DATE(VALUE(RIGHT(B405,4)),VALUE(LEFT(B405,2)),VALUE(MID(B405,4,2))),
        DATEVALUE(B405)
      )
    )
  ),
"INVALID_DATE")</f>
        <v>45565</v>
      </c>
      <c r="AA405" s="2">
        <f>IFERROR(
  IF(ISNUMBER(C405),C405,
    IF(ISNUMBER(SEARCH("-",C405)*1),
      IF(LEN(LEFT(C405,FIND("-",C405)-1))=4,
        DATE(VALUE(LEFT(C405,4)),VALUE(MID(C405,6,2)),VALUE(RIGHT(C405,2))),
        DATE(VALUE(RIGHT(C405,4)),VALUE(MID(C405,4,2)),VALUE(LEFT(C405,2)))
      ),
      IF(ISNUMBER(SEARCH("/",C405)*1),
        DATE(VALUE(RIGHT(C405,4)),VALUE(LEFT(C405,2)),VALUE(MID(C405,4,2))),
        DATEVALUE(C405)
      )
    )
  ),
"INVALID_DATE")</f>
        <v>45569</v>
      </c>
      <c r="AB405">
        <f t="shared" si="39"/>
        <v>4</v>
      </c>
      <c r="AC405" t="str">
        <f t="shared" si="40"/>
        <v>September</v>
      </c>
      <c r="AD405">
        <f t="shared" si="41"/>
        <v>2024</v>
      </c>
    </row>
    <row r="406" spans="1:30">
      <c r="A406" t="s">
        <v>2010</v>
      </c>
      <c r="B406" t="s">
        <v>2011</v>
      </c>
      <c r="C406" t="s">
        <v>2012</v>
      </c>
      <c r="D406" t="s">
        <v>2013</v>
      </c>
      <c r="E406" t="s">
        <v>114</v>
      </c>
      <c r="F406" t="s">
        <v>115</v>
      </c>
      <c r="G406" t="s">
        <v>80</v>
      </c>
      <c r="H406" t="s">
        <v>35</v>
      </c>
      <c r="I406" t="s">
        <v>142</v>
      </c>
      <c r="J406" t="s">
        <v>52</v>
      </c>
      <c r="K406" t="s">
        <v>83</v>
      </c>
      <c r="L406" t="s">
        <v>2014</v>
      </c>
      <c r="M406" t="s">
        <v>55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41</v>
      </c>
      <c r="U406" t="s">
        <v>42</v>
      </c>
      <c r="V406">
        <f t="shared" si="36"/>
        <v>1078.83</v>
      </c>
      <c r="W406">
        <f t="shared" si="37"/>
        <v>152.4799999999999</v>
      </c>
      <c r="X406">
        <f t="shared" si="38"/>
        <v>0.14133830167867042</v>
      </c>
      <c r="Y406" t="str">
        <f>_xlfn.TEXTJOIN(", ",TRUE,IF(G406="Unknown","Missing Region",""),IF(M406="Unknown","Missing Ship Mode",""),IF(P406&lt;0,"Negative Discount",""),IF(P406&gt;0.7,"High Discount",""),IF(C406&lt;B406,"Ship Before Order",""))</f>
        <v>Ship Before Order</v>
      </c>
      <c r="Z406" s="2">
        <f>IFERROR(
  IF(ISNUMBER(B406),B406,
    IF(ISNUMBER(SEARCH("-",B406)*1),
      IF(LEN(LEFT(B406,FIND("-",B406)-1))=4,
        DATE(VALUE(LEFT(B406,4)),VALUE(MID(B406,6,2)),VALUE(RIGHT(B406,2))),
        DATE(VALUE(RIGHT(B406,4)),VALUE(MID(B406,4,2)),VALUE(LEFT(B406,2)))
      ),
      IF(ISNUMBER(SEARCH("/",B406)*1),
        DATE(VALUE(RIGHT(B406,4)),VALUE(LEFT(B406,2)),VALUE(MID(B406,4,2))),
        DATEVALUE(B406)
      )
    )
  ),
"INVALID_DATE")</f>
        <v>45318</v>
      </c>
      <c r="AA406" s="2">
        <f>IFERROR(
  IF(ISNUMBER(C406),C406,
    IF(ISNUMBER(SEARCH("-",C406)*1),
      IF(LEN(LEFT(C406,FIND("-",C406)-1))=4,
        DATE(VALUE(LEFT(C406,4)),VALUE(MID(C406,6,2)),VALUE(RIGHT(C406,2))),
        DATE(VALUE(RIGHT(C406,4)),VALUE(MID(C406,4,2)),VALUE(LEFT(C406,2)))
      ),
      IF(ISNUMBER(SEARCH("/",C406)*1),
        DATE(VALUE(RIGHT(C406,4)),VALUE(LEFT(C406,2)),VALUE(MID(C406,4,2))),
        DATEVALUE(C406)
      )
    )
  ),
"INVALID_DATE")</f>
        <v>45325</v>
      </c>
      <c r="AB406">
        <f t="shared" si="39"/>
        <v>7</v>
      </c>
      <c r="AC406" t="str">
        <f t="shared" si="40"/>
        <v>January</v>
      </c>
      <c r="AD406">
        <f t="shared" si="41"/>
        <v>2024</v>
      </c>
    </row>
    <row r="407" spans="1:30">
      <c r="A407" t="s">
        <v>2015</v>
      </c>
      <c r="B407" t="s">
        <v>2016</v>
      </c>
      <c r="C407" t="s">
        <v>2017</v>
      </c>
      <c r="D407" t="s">
        <v>2018</v>
      </c>
      <c r="E407" t="s">
        <v>114</v>
      </c>
      <c r="F407" t="s">
        <v>122</v>
      </c>
      <c r="G407" t="s">
        <v>80</v>
      </c>
      <c r="H407" t="s">
        <v>242</v>
      </c>
      <c r="I407" t="s">
        <v>243</v>
      </c>
      <c r="J407" t="s">
        <v>52</v>
      </c>
      <c r="K407" t="s">
        <v>211</v>
      </c>
      <c r="L407" t="s">
        <v>2019</v>
      </c>
      <c r="M407" t="s">
        <v>279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41</v>
      </c>
      <c r="U407" t="s">
        <v>42</v>
      </c>
      <c r="V407">
        <f t="shared" si="36"/>
        <v>24431.463000000003</v>
      </c>
      <c r="W407">
        <f t="shared" si="37"/>
        <v>6229.0999999999985</v>
      </c>
      <c r="X407">
        <f t="shared" si="38"/>
        <v>0.25496224949307167</v>
      </c>
      <c r="Y407" t="str">
        <f>_xlfn.TEXTJOIN(", ",TRUE,IF(G407="Unknown","Missing Region",""),IF(M407="Unknown","Missing Ship Mode",""),IF(P407&lt;0,"Negative Discount",""),IF(P407&gt;0.7,"High Discount",""),IF(C407&lt;B407,"Ship Before Order",""))</f>
        <v>Missing Ship Mode</v>
      </c>
      <c r="Z407" s="2">
        <f>IFERROR(
  IF(ISNUMBER(B407),B407,
    IF(ISNUMBER(SEARCH("-",B407)*1),
      IF(LEN(LEFT(B407,FIND("-",B407)-1))=4,
        DATE(VALUE(LEFT(B407,4)),VALUE(MID(B407,6,2)),VALUE(RIGHT(B407,2))),
        DATE(VALUE(RIGHT(B407,4)),VALUE(MID(B407,4,2)),VALUE(LEFT(B407,2)))
      ),
      IF(ISNUMBER(SEARCH("/",B407)*1),
        DATE(VALUE(RIGHT(B407,4)),VALUE(LEFT(B407,2)),VALUE(MID(B407,4,2))),
        DATEVALUE(B407)
      )
    )
  ),
"INVALID_DATE")</f>
        <v>45558</v>
      </c>
      <c r="AA407" s="2">
        <f>IFERROR(
  IF(ISNUMBER(C407),C407,
    IF(ISNUMBER(SEARCH("-",C407)*1),
      IF(LEN(LEFT(C407,FIND("-",C407)-1))=4,
        DATE(VALUE(LEFT(C407,4)),VALUE(MID(C407,6,2)),VALUE(RIGHT(C407,2))),
        DATE(VALUE(RIGHT(C407,4)),VALUE(MID(C407,4,2)),VALUE(LEFT(C407,2)))
      ),
      IF(ISNUMBER(SEARCH("/",C407)*1),
        DATE(VALUE(RIGHT(C407,4)),VALUE(LEFT(C407,2)),VALUE(MID(C407,4,2))),
        DATEVALUE(C407)
      )
    )
  ),
"INVALID_DATE")</f>
        <v>45559</v>
      </c>
      <c r="AB407">
        <f t="shared" si="39"/>
        <v>1</v>
      </c>
      <c r="AC407" t="str">
        <f t="shared" si="40"/>
        <v>September</v>
      </c>
      <c r="AD407">
        <f t="shared" si="41"/>
        <v>2024</v>
      </c>
    </row>
    <row r="408" spans="1:30">
      <c r="A408" t="s">
        <v>2020</v>
      </c>
      <c r="B408" t="s">
        <v>2021</v>
      </c>
      <c r="C408" t="s">
        <v>2021</v>
      </c>
      <c r="D408" t="s">
        <v>2022</v>
      </c>
      <c r="E408" t="s">
        <v>374</v>
      </c>
      <c r="F408" t="s">
        <v>48</v>
      </c>
      <c r="G408" t="s">
        <v>80</v>
      </c>
      <c r="H408" t="s">
        <v>256</v>
      </c>
      <c r="I408" t="s">
        <v>257</v>
      </c>
      <c r="J408" t="s">
        <v>52</v>
      </c>
      <c r="K408" t="s">
        <v>72</v>
      </c>
      <c r="L408" t="s">
        <v>2023</v>
      </c>
      <c r="M408" t="s">
        <v>74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144</v>
      </c>
      <c r="U408" t="s">
        <v>132</v>
      </c>
      <c r="V408">
        <f t="shared" si="36"/>
        <v>5886.2999999999993</v>
      </c>
      <c r="W408">
        <f t="shared" si="37"/>
        <v>2264.54</v>
      </c>
      <c r="X408">
        <f t="shared" si="38"/>
        <v>0.3847136571360617</v>
      </c>
      <c r="Y408" t="str">
        <f>_xlfn.TEXTJOIN(", ",TRUE,IF(G408="Unknown","Missing Region",""),IF(M408="Unknown","Missing Ship Mode",""),IF(P408&lt;0,"Negative Discount",""),IF(P408&gt;0.7,"High Discount",""),IF(C408&lt;B408,"Ship Before Order",""))</f>
        <v/>
      </c>
      <c r="Z408" s="2">
        <f>IFERROR(
  IF(ISNUMBER(B408),B408,
    IF(ISNUMBER(SEARCH("-",B408)*1),
      IF(LEN(LEFT(B408,FIND("-",B408)-1))=4,
        DATE(VALUE(LEFT(B408,4)),VALUE(MID(B408,6,2)),VALUE(RIGHT(B408,2))),
        DATE(VALUE(RIGHT(B408,4)),VALUE(MID(B408,4,2)),VALUE(LEFT(B408,2)))
      ),
      IF(ISNUMBER(SEARCH("/",B408)*1),
        DATE(VALUE(RIGHT(B408,4)),VALUE(LEFT(B408,2)),VALUE(MID(B408,4,2))),
        DATEVALUE(B408)
      )
    )
  ),
"INVALID_DATE")</f>
        <v>45713</v>
      </c>
      <c r="AA408" s="2">
        <f>IFERROR(
  IF(ISNUMBER(C408),C408,
    IF(ISNUMBER(SEARCH("-",C408)*1),
      IF(LEN(LEFT(C408,FIND("-",C408)-1))=4,
        DATE(VALUE(LEFT(C408,4)),VALUE(MID(C408,6,2)),VALUE(RIGHT(C408,2))),
        DATE(VALUE(RIGHT(C408,4)),VALUE(MID(C408,4,2)),VALUE(LEFT(C408,2)))
      ),
      IF(ISNUMBER(SEARCH("/",C408)*1),
        DATE(VALUE(RIGHT(C408,4)),VALUE(LEFT(C408,2)),VALUE(MID(C408,4,2))),
        DATEVALUE(C408)
      )
    )
  ),
"INVALID_DATE")</f>
        <v>45713</v>
      </c>
      <c r="AB408">
        <f t="shared" si="39"/>
        <v>0</v>
      </c>
      <c r="AC408" t="str">
        <f t="shared" si="40"/>
        <v>February</v>
      </c>
      <c r="AD408">
        <f t="shared" si="41"/>
        <v>2025</v>
      </c>
    </row>
    <row r="409" spans="1:30">
      <c r="A409" t="s">
        <v>2024</v>
      </c>
      <c r="B409" t="s">
        <v>2025</v>
      </c>
      <c r="C409" t="s">
        <v>2026</v>
      </c>
      <c r="D409" t="s">
        <v>2027</v>
      </c>
      <c r="E409" t="s">
        <v>155</v>
      </c>
      <c r="F409" t="s">
        <v>115</v>
      </c>
      <c r="G409" t="s">
        <v>80</v>
      </c>
      <c r="H409" t="s">
        <v>256</v>
      </c>
      <c r="I409" t="s">
        <v>257</v>
      </c>
      <c r="J409" t="s">
        <v>37</v>
      </c>
      <c r="K409" t="s">
        <v>116</v>
      </c>
      <c r="L409" t="s">
        <v>2028</v>
      </c>
      <c r="M409" t="s">
        <v>40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41</v>
      </c>
      <c r="U409" t="s">
        <v>42</v>
      </c>
      <c r="V409">
        <f t="shared" si="36"/>
        <v>7933.6500000000005</v>
      </c>
      <c r="W409">
        <f t="shared" si="37"/>
        <v>2235.2299999999996</v>
      </c>
      <c r="X409">
        <f t="shared" si="38"/>
        <v>0.2817404347305465</v>
      </c>
      <c r="Y409" t="str">
        <f>_xlfn.TEXTJOIN(", ",TRUE,IF(G409="Unknown","Missing Region",""),IF(M409="Unknown","Missing Ship Mode",""),IF(P409&lt;0,"Negative Discount",""),IF(P409&gt;0.7,"High Discount",""),IF(C409&lt;B409,"Ship Before Order",""))</f>
        <v/>
      </c>
      <c r="Z409" s="2">
        <f>IFERROR(
  IF(ISNUMBER(B409),B409,
    IF(ISNUMBER(SEARCH("-",B409)*1),
      IF(LEN(LEFT(B409,FIND("-",B409)-1))=4,
        DATE(VALUE(LEFT(B409,4)),VALUE(MID(B409,6,2)),VALUE(RIGHT(B409,2))),
        DATE(VALUE(RIGHT(B409,4)),VALUE(MID(B409,4,2)),VALUE(LEFT(B409,2)))
      ),
      IF(ISNUMBER(SEARCH("/",B409)*1),
        DATE(VALUE(RIGHT(B409,4)),VALUE(LEFT(B409,2)),VALUE(MID(B409,4,2))),
        DATEVALUE(B409)
      )
    )
  ),
"INVALID_DATE")</f>
        <v>45424</v>
      </c>
      <c r="AA409" s="2">
        <f>IFERROR(
  IF(ISNUMBER(C409),C409,
    IF(ISNUMBER(SEARCH("-",C409)*1),
      IF(LEN(LEFT(C409,FIND("-",C409)-1))=4,
        DATE(VALUE(LEFT(C409,4)),VALUE(MID(C409,6,2)),VALUE(RIGHT(C409,2))),
        DATE(VALUE(RIGHT(C409,4)),VALUE(MID(C409,4,2)),VALUE(LEFT(C409,2)))
      ),
      IF(ISNUMBER(SEARCH("/",C409)*1),
        DATE(VALUE(RIGHT(C409,4)),VALUE(LEFT(C409,2)),VALUE(MID(C409,4,2))),
        DATEVALUE(C409)
      )
    )
  ),
"INVALID_DATE")</f>
        <v>45425</v>
      </c>
      <c r="AB409">
        <f t="shared" si="39"/>
        <v>1</v>
      </c>
      <c r="AC409" t="str">
        <f t="shared" si="40"/>
        <v>May</v>
      </c>
      <c r="AD409">
        <f t="shared" si="41"/>
        <v>2024</v>
      </c>
    </row>
    <row r="410" spans="1:30">
      <c r="A410" t="s">
        <v>2029</v>
      </c>
      <c r="B410" t="s">
        <v>828</v>
      </c>
      <c r="C410" t="s">
        <v>1088</v>
      </c>
      <c r="D410" t="s">
        <v>2030</v>
      </c>
      <c r="E410" t="s">
        <v>175</v>
      </c>
      <c r="F410" t="s">
        <v>33</v>
      </c>
      <c r="G410" t="s">
        <v>80</v>
      </c>
      <c r="H410" t="s">
        <v>81</v>
      </c>
      <c r="I410" t="s">
        <v>82</v>
      </c>
      <c r="J410" t="s">
        <v>52</v>
      </c>
      <c r="K410" t="s">
        <v>83</v>
      </c>
      <c r="L410" t="s">
        <v>2031</v>
      </c>
      <c r="M410" t="s">
        <v>63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207</v>
      </c>
      <c r="U410" t="s">
        <v>132</v>
      </c>
      <c r="V410">
        <f t="shared" si="36"/>
        <v>7093.84</v>
      </c>
      <c r="W410">
        <f t="shared" si="37"/>
        <v>2506.3500000000004</v>
      </c>
      <c r="X410">
        <f t="shared" si="38"/>
        <v>0.35331357910525185</v>
      </c>
      <c r="Y410" t="str">
        <f>_xlfn.TEXTJOIN(", ",TRUE,IF(G410="Unknown","Missing Region",""),IF(M410="Unknown","Missing Ship Mode",""),IF(P410&lt;0,"Negative Discount",""),IF(P410&gt;0.7,"High Discount",""),IF(C410&lt;B410,"Ship Before Order",""))</f>
        <v/>
      </c>
      <c r="Z410" s="2">
        <f>IFERROR(
  IF(ISNUMBER(B410),B410,
    IF(ISNUMBER(SEARCH("-",B410)*1),
      IF(LEN(LEFT(B410,FIND("-",B410)-1))=4,
        DATE(VALUE(LEFT(B410,4)),VALUE(MID(B410,6,2)),VALUE(RIGHT(B410,2))),
        DATE(VALUE(RIGHT(B410,4)),VALUE(MID(B410,4,2)),VALUE(LEFT(B410,2)))
      ),
      IF(ISNUMBER(SEARCH("/",B410)*1),
        DATE(VALUE(RIGHT(B410,4)),VALUE(LEFT(B410,2)),VALUE(MID(B410,4,2))),
        DATEVALUE(B410)
      )
    )
  ),
"INVALID_DATE")</f>
        <v>45870</v>
      </c>
      <c r="AA410" s="2">
        <f>IFERROR(
  IF(ISNUMBER(C410),C410,
    IF(ISNUMBER(SEARCH("-",C410)*1),
      IF(LEN(LEFT(C410,FIND("-",C410)-1))=4,
        DATE(VALUE(LEFT(C410,4)),VALUE(MID(C410,6,2)),VALUE(RIGHT(C410,2))),
        DATE(VALUE(RIGHT(C410,4)),VALUE(MID(C410,4,2)),VALUE(LEFT(C410,2)))
      ),
      IF(ISNUMBER(SEARCH("/",C410)*1),
        DATE(VALUE(RIGHT(C410,4)),VALUE(LEFT(C410,2)),VALUE(MID(C410,4,2))),
        DATEVALUE(C410)
      )
    )
  ),
"INVALID_DATE")</f>
        <v>45872</v>
      </c>
      <c r="AB410">
        <f t="shared" si="39"/>
        <v>2</v>
      </c>
      <c r="AC410" t="str">
        <f t="shared" si="40"/>
        <v>August</v>
      </c>
      <c r="AD410">
        <f t="shared" si="41"/>
        <v>2025</v>
      </c>
    </row>
    <row r="411" spans="1:30">
      <c r="A411" t="s">
        <v>2032</v>
      </c>
      <c r="B411" t="s">
        <v>838</v>
      </c>
      <c r="C411" t="s">
        <v>779</v>
      </c>
      <c r="D411" t="s">
        <v>2033</v>
      </c>
      <c r="E411" t="s">
        <v>32</v>
      </c>
      <c r="F411" t="s">
        <v>33</v>
      </c>
      <c r="G411" t="s">
        <v>49</v>
      </c>
      <c r="H411" t="s">
        <v>223</v>
      </c>
      <c r="I411" t="s">
        <v>224</v>
      </c>
      <c r="J411" t="s">
        <v>93</v>
      </c>
      <c r="K411" t="s">
        <v>94</v>
      </c>
      <c r="L411" t="s">
        <v>2034</v>
      </c>
      <c r="M411" t="s">
        <v>55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131</v>
      </c>
      <c r="U411" t="s">
        <v>132</v>
      </c>
      <c r="V411">
        <f t="shared" si="36"/>
        <v>2269.0950000000003</v>
      </c>
      <c r="W411">
        <f t="shared" si="37"/>
        <v>675.51</v>
      </c>
      <c r="X411">
        <f t="shared" si="38"/>
        <v>0.29769952844740205</v>
      </c>
      <c r="Y411" t="str">
        <f>_xlfn.TEXTJOIN(", ",TRUE,IF(G411="Unknown","Missing Region",""),IF(M411="Unknown","Missing Ship Mode",""),IF(P411&lt;0,"Negative Discount",""),IF(P411&gt;0.7,"High Discount",""),IF(C411&lt;B411,"Ship Before Order",""))</f>
        <v/>
      </c>
      <c r="Z411" s="2">
        <f>IFERROR(
  IF(ISNUMBER(B411),B411,
    IF(ISNUMBER(SEARCH("-",B411)*1),
      IF(LEN(LEFT(B411,FIND("-",B411)-1))=4,
        DATE(VALUE(LEFT(B411,4)),VALUE(MID(B411,6,2)),VALUE(RIGHT(B411,2))),
        DATE(VALUE(RIGHT(B411,4)),VALUE(MID(B411,4,2)),VALUE(LEFT(B411,2)))
      ),
      IF(ISNUMBER(SEARCH("/",B411)*1),
        DATE(VALUE(RIGHT(B411,4)),VALUE(LEFT(B411,2)),VALUE(MID(B411,4,2))),
        DATEVALUE(B411)
      )
    )
  ),
"INVALID_DATE")</f>
        <v>45701</v>
      </c>
      <c r="AA411" s="2">
        <f>IFERROR(
  IF(ISNUMBER(C411),C411,
    IF(ISNUMBER(SEARCH("-",C411)*1),
      IF(LEN(LEFT(C411,FIND("-",C411)-1))=4,
        DATE(VALUE(LEFT(C411,4)),VALUE(MID(C411,6,2)),VALUE(RIGHT(C411,2))),
        DATE(VALUE(RIGHT(C411,4)),VALUE(MID(C411,4,2)),VALUE(LEFT(C411,2)))
      ),
      IF(ISNUMBER(SEARCH("/",C411)*1),
        DATE(VALUE(RIGHT(C411,4)),VALUE(LEFT(C411,2)),VALUE(MID(C411,4,2))),
        DATEVALUE(C411)
      )
    )
  ),
"INVALID_DATE")</f>
        <v>45703</v>
      </c>
      <c r="AB411">
        <f t="shared" si="39"/>
        <v>2</v>
      </c>
      <c r="AC411" t="str">
        <f t="shared" si="40"/>
        <v>February</v>
      </c>
      <c r="AD411">
        <f t="shared" si="41"/>
        <v>2025</v>
      </c>
    </row>
    <row r="412" spans="1:30">
      <c r="A412" t="s">
        <v>2035</v>
      </c>
      <c r="B412" t="s">
        <v>2036</v>
      </c>
      <c r="C412" t="s">
        <v>2037</v>
      </c>
      <c r="D412" t="s">
        <v>2038</v>
      </c>
      <c r="E412" t="s">
        <v>217</v>
      </c>
      <c r="F412" t="s">
        <v>33</v>
      </c>
      <c r="G412" t="s">
        <v>80</v>
      </c>
      <c r="H412" t="s">
        <v>256</v>
      </c>
      <c r="I412" t="s">
        <v>257</v>
      </c>
      <c r="J412" t="s">
        <v>52</v>
      </c>
      <c r="K412" t="s">
        <v>53</v>
      </c>
      <c r="L412" t="s">
        <v>2039</v>
      </c>
      <c r="M412" t="s">
        <v>63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41</v>
      </c>
      <c r="U412" t="s">
        <v>42</v>
      </c>
      <c r="V412">
        <f t="shared" si="36"/>
        <v>9378.7919999999995</v>
      </c>
      <c r="W412">
        <f t="shared" si="37"/>
        <v>2604.3100000000013</v>
      </c>
      <c r="X412">
        <f t="shared" si="38"/>
        <v>0.27768080957138391</v>
      </c>
      <c r="Y412" t="str">
        <f>_xlfn.TEXTJOIN(", ",TRUE,IF(G412="Unknown","Missing Region",""),IF(M412="Unknown","Missing Ship Mode",""),IF(P412&lt;0,"Negative Discount",""),IF(P412&gt;0.7,"High Discount",""),IF(C412&lt;B412,"Ship Before Order",""))</f>
        <v>Ship Before Order</v>
      </c>
      <c r="Z412" s="2">
        <f>IFERROR(
  IF(ISNUMBER(B412),B412,
    IF(ISNUMBER(SEARCH("-",B412)*1),
      IF(LEN(LEFT(B412,FIND("-",B412)-1))=4,
        DATE(VALUE(LEFT(B412,4)),VALUE(MID(B412,6,2)),VALUE(RIGHT(B412,2))),
        DATE(VALUE(RIGHT(B412,4)),VALUE(MID(B412,4,2)),VALUE(LEFT(B412,2)))
      ),
      IF(ISNUMBER(SEARCH("/",B412)*1),
        DATE(VALUE(RIGHT(B412,4)),VALUE(LEFT(B412,2)),VALUE(MID(B412,4,2))),
        DATEVALUE(B412)
      )
    )
  ),
"INVALID_DATE")</f>
        <v>45394</v>
      </c>
      <c r="AA412" s="2">
        <f>IFERROR(
  IF(ISNUMBER(C412),C412,
    IF(ISNUMBER(SEARCH("-",C412)*1),
      IF(LEN(LEFT(C412,FIND("-",C412)-1))=4,
        DATE(VALUE(LEFT(C412,4)),VALUE(MID(C412,6,2)),VALUE(RIGHT(C412,2))),
        DATE(VALUE(RIGHT(C412,4)),VALUE(MID(C412,4,2)),VALUE(LEFT(C412,2)))
      ),
      IF(ISNUMBER(SEARCH("/",C412)*1),
        DATE(VALUE(RIGHT(C412,4)),VALUE(LEFT(C412,2)),VALUE(MID(C412,4,2))),
        DATEVALUE(C412)
      )
    )
  ),
"INVALID_DATE")</f>
        <v>45402</v>
      </c>
      <c r="AB412">
        <f t="shared" si="39"/>
        <v>8</v>
      </c>
      <c r="AC412" t="str">
        <f t="shared" si="40"/>
        <v>April</v>
      </c>
      <c r="AD412">
        <f t="shared" si="41"/>
        <v>2024</v>
      </c>
    </row>
    <row r="413" spans="1:30">
      <c r="A413" t="s">
        <v>2040</v>
      </c>
      <c r="B413" t="s">
        <v>2041</v>
      </c>
      <c r="C413" t="s">
        <v>2042</v>
      </c>
      <c r="D413" t="s">
        <v>2043</v>
      </c>
      <c r="E413" t="s">
        <v>68</v>
      </c>
      <c r="F413" t="s">
        <v>122</v>
      </c>
      <c r="G413" t="s">
        <v>80</v>
      </c>
      <c r="H413" t="s">
        <v>35</v>
      </c>
      <c r="I413" t="s">
        <v>142</v>
      </c>
      <c r="J413" t="s">
        <v>52</v>
      </c>
      <c r="K413" t="s">
        <v>53</v>
      </c>
      <c r="L413" t="s">
        <v>2044</v>
      </c>
      <c r="M413" t="s">
        <v>63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207</v>
      </c>
      <c r="U413" t="s">
        <v>132</v>
      </c>
      <c r="V413">
        <f t="shared" si="36"/>
        <v>3334.2480000000005</v>
      </c>
      <c r="W413">
        <f t="shared" si="37"/>
        <v>565.48</v>
      </c>
      <c r="X413">
        <f t="shared" si="38"/>
        <v>0.16959736072580042</v>
      </c>
      <c r="Y413" t="str">
        <f>_xlfn.TEXTJOIN(", ",TRUE,IF(G413="Unknown","Missing Region",""),IF(M413="Unknown","Missing Ship Mode",""),IF(P413&lt;0,"Negative Discount",""),IF(P413&gt;0.7,"High Discount",""),IF(C413&lt;B413,"Ship Before Order",""))</f>
        <v/>
      </c>
      <c r="Z413" s="2">
        <f>IFERROR(
  IF(ISNUMBER(B413),B413,
    IF(ISNUMBER(SEARCH("-",B413)*1),
      IF(LEN(LEFT(B413,FIND("-",B413)-1))=4,
        DATE(VALUE(LEFT(B413,4)),VALUE(MID(B413,6,2)),VALUE(RIGHT(B413,2))),
        DATE(VALUE(RIGHT(B413,4)),VALUE(MID(B413,4,2)),VALUE(LEFT(B413,2)))
      ),
      IF(ISNUMBER(SEARCH("/",B413)*1),
        DATE(VALUE(RIGHT(B413,4)),VALUE(LEFT(B413,2)),VALUE(MID(B413,4,2))),
        DATEVALUE(B413)
      )
    )
  ),
"INVALID_DATE")</f>
        <v>45892</v>
      </c>
      <c r="AA413" s="2">
        <f>IFERROR(
  IF(ISNUMBER(C413),C413,
    IF(ISNUMBER(SEARCH("-",C413)*1),
      IF(LEN(LEFT(C413,FIND("-",C413)-1))=4,
        DATE(VALUE(LEFT(C413,4)),VALUE(MID(C413,6,2)),VALUE(RIGHT(C413,2))),
        DATE(VALUE(RIGHT(C413,4)),VALUE(MID(C413,4,2)),VALUE(LEFT(C413,2)))
      ),
      IF(ISNUMBER(SEARCH("/",C413)*1),
        DATE(VALUE(RIGHT(C413,4)),VALUE(LEFT(C413,2)),VALUE(MID(C413,4,2))),
        DATEVALUE(C413)
      )
    )
  ),
"INVALID_DATE")</f>
        <v>45897</v>
      </c>
      <c r="AB413">
        <f t="shared" si="39"/>
        <v>5</v>
      </c>
      <c r="AC413" t="str">
        <f t="shared" si="40"/>
        <v>August</v>
      </c>
      <c r="AD413">
        <f t="shared" si="41"/>
        <v>2025</v>
      </c>
    </row>
    <row r="414" spans="1:30">
      <c r="A414" t="s">
        <v>2045</v>
      </c>
      <c r="B414" t="s">
        <v>2046</v>
      </c>
      <c r="C414" t="s">
        <v>842</v>
      </c>
      <c r="D414" t="s">
        <v>2047</v>
      </c>
      <c r="E414" t="s">
        <v>60</v>
      </c>
      <c r="F414" t="s">
        <v>115</v>
      </c>
      <c r="G414" t="s">
        <v>69</v>
      </c>
      <c r="H414" t="s">
        <v>236</v>
      </c>
      <c r="I414" t="s">
        <v>237</v>
      </c>
      <c r="J414" t="s">
        <v>52</v>
      </c>
      <c r="K414" t="s">
        <v>83</v>
      </c>
      <c r="L414" t="s">
        <v>2048</v>
      </c>
      <c r="M414" t="s">
        <v>55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41</v>
      </c>
      <c r="U414" t="s">
        <v>42</v>
      </c>
      <c r="V414">
        <f t="shared" si="36"/>
        <v>1583.5425</v>
      </c>
      <c r="W414">
        <f t="shared" si="37"/>
        <v>569.34999999999991</v>
      </c>
      <c r="X414">
        <f t="shared" si="38"/>
        <v>0.35954254392058305</v>
      </c>
      <c r="Y414" t="str">
        <f>_xlfn.TEXTJOIN(", ",TRUE,IF(G414="Unknown","Missing Region",""),IF(M414="Unknown","Missing Ship Mode",""),IF(P414&lt;0,"Negative Discount",""),IF(P414&gt;0.7,"High Discount",""),IF(C414&lt;B414,"Ship Before Order",""))</f>
        <v/>
      </c>
      <c r="Z414" s="2">
        <f>IFERROR(
  IF(ISNUMBER(B414),B414,
    IF(ISNUMBER(SEARCH("-",B414)*1),
      IF(LEN(LEFT(B414,FIND("-",B414)-1))=4,
        DATE(VALUE(LEFT(B414,4)),VALUE(MID(B414,6,2)),VALUE(RIGHT(B414,2))),
        DATE(VALUE(RIGHT(B414,4)),VALUE(MID(B414,4,2)),VALUE(LEFT(B414,2)))
      ),
      IF(ISNUMBER(SEARCH("/",B414)*1),
        DATE(VALUE(RIGHT(B414,4)),VALUE(LEFT(B414,2)),VALUE(MID(B414,4,2))),
        DATEVALUE(B414)
      )
    )
  ),
"INVALID_DATE")</f>
        <v>45313</v>
      </c>
      <c r="AA414" s="2">
        <f>IFERROR(
  IF(ISNUMBER(C414),C414,
    IF(ISNUMBER(SEARCH("-",C414)*1),
      IF(LEN(LEFT(C414,FIND("-",C414)-1))=4,
        DATE(VALUE(LEFT(C414,4)),VALUE(MID(C414,6,2)),VALUE(RIGHT(C414,2))),
        DATE(VALUE(RIGHT(C414,4)),VALUE(MID(C414,4,2)),VALUE(LEFT(C414,2)))
      ),
      IF(ISNUMBER(SEARCH("/",C414)*1),
        DATE(VALUE(RIGHT(C414,4)),VALUE(LEFT(C414,2)),VALUE(MID(C414,4,2))),
        DATEVALUE(C414)
      )
    )
  ),
"INVALID_DATE")</f>
        <v>45321</v>
      </c>
      <c r="AB414">
        <f t="shared" si="39"/>
        <v>8</v>
      </c>
      <c r="AC414" t="str">
        <f t="shared" si="40"/>
        <v>January</v>
      </c>
      <c r="AD414">
        <f t="shared" si="41"/>
        <v>2024</v>
      </c>
    </row>
    <row r="415" spans="1:30">
      <c r="A415" t="s">
        <v>2049</v>
      </c>
      <c r="B415" t="s">
        <v>247</v>
      </c>
      <c r="C415" t="s">
        <v>2050</v>
      </c>
      <c r="D415" t="s">
        <v>2051</v>
      </c>
      <c r="E415" t="s">
        <v>100</v>
      </c>
      <c r="F415" t="s">
        <v>122</v>
      </c>
      <c r="G415" t="s">
        <v>80</v>
      </c>
      <c r="H415" t="s">
        <v>91</v>
      </c>
      <c r="I415" t="s">
        <v>92</v>
      </c>
      <c r="J415" t="s">
        <v>93</v>
      </c>
      <c r="K415" t="s">
        <v>94</v>
      </c>
      <c r="L415" t="s">
        <v>2052</v>
      </c>
      <c r="M415" t="s">
        <v>40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144</v>
      </c>
      <c r="U415" t="s">
        <v>85</v>
      </c>
      <c r="V415">
        <f t="shared" si="36"/>
        <v>15345.84</v>
      </c>
      <c r="W415">
        <f t="shared" si="37"/>
        <v>4610.51</v>
      </c>
      <c r="X415">
        <f t="shared" si="38"/>
        <v>0.30044037993358463</v>
      </c>
      <c r="Y415" t="str">
        <f>_xlfn.TEXTJOIN(", ",TRUE,IF(G415="Unknown","Missing Region",""),IF(M415="Unknown","Missing Ship Mode",""),IF(P415&lt;0,"Negative Discount",""),IF(P415&gt;0.7,"High Discount",""),IF(C415&lt;B415,"Ship Before Order",""))</f>
        <v/>
      </c>
      <c r="Z415" s="2">
        <f>IFERROR(
  IF(ISNUMBER(B415),B415,
    IF(ISNUMBER(SEARCH("-",B415)*1),
      IF(LEN(LEFT(B415,FIND("-",B415)-1))=4,
        DATE(VALUE(LEFT(B415,4)),VALUE(MID(B415,6,2)),VALUE(RIGHT(B415,2))),
        DATE(VALUE(RIGHT(B415,4)),VALUE(MID(B415,4,2)),VALUE(LEFT(B415,2)))
      ),
      IF(ISNUMBER(SEARCH("/",B415)*1),
        DATE(VALUE(RIGHT(B415,4)),VALUE(LEFT(B415,2)),VALUE(MID(B415,4,2))),
        DATEVALUE(B415)
      )
    )
  ),
"INVALID_DATE")</f>
        <v>45882</v>
      </c>
      <c r="AA415" s="2">
        <f>IFERROR(
  IF(ISNUMBER(C415),C415,
    IF(ISNUMBER(SEARCH("-",C415)*1),
      IF(LEN(LEFT(C415,FIND("-",C415)-1))=4,
        DATE(VALUE(LEFT(C415,4)),VALUE(MID(C415,6,2)),VALUE(RIGHT(C415,2))),
        DATE(VALUE(RIGHT(C415,4)),VALUE(MID(C415,4,2)),VALUE(LEFT(C415,2)))
      ),
      IF(ISNUMBER(SEARCH("/",C415)*1),
        DATE(VALUE(RIGHT(C415,4)),VALUE(LEFT(C415,2)),VALUE(MID(C415,4,2))),
        DATEVALUE(C415)
      )
    )
  ),
"INVALID_DATE")</f>
        <v>45886</v>
      </c>
      <c r="AB415">
        <f t="shared" si="39"/>
        <v>4</v>
      </c>
      <c r="AC415" t="str">
        <f t="shared" si="40"/>
        <v>August</v>
      </c>
      <c r="AD415">
        <f t="shared" si="41"/>
        <v>2025</v>
      </c>
    </row>
    <row r="416" spans="1:30">
      <c r="A416" t="s">
        <v>2053</v>
      </c>
      <c r="B416" t="s">
        <v>2054</v>
      </c>
      <c r="C416" t="s">
        <v>2055</v>
      </c>
      <c r="D416" t="s">
        <v>2056</v>
      </c>
      <c r="E416" t="s">
        <v>68</v>
      </c>
      <c r="F416" t="s">
        <v>122</v>
      </c>
      <c r="G416" t="s">
        <v>49</v>
      </c>
      <c r="H416" t="s">
        <v>223</v>
      </c>
      <c r="I416" t="s">
        <v>224</v>
      </c>
      <c r="J416" t="s">
        <v>37</v>
      </c>
      <c r="K416" t="s">
        <v>163</v>
      </c>
      <c r="L416" t="s">
        <v>2057</v>
      </c>
      <c r="M416" t="s">
        <v>63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41</v>
      </c>
      <c r="U416" t="s">
        <v>42</v>
      </c>
      <c r="V416">
        <f t="shared" si="36"/>
        <v>9439.503999999999</v>
      </c>
      <c r="W416">
        <f t="shared" si="37"/>
        <v>3920.1099999999997</v>
      </c>
      <c r="X416">
        <f t="shared" si="38"/>
        <v>0.4152878860109116</v>
      </c>
      <c r="Y416" t="str">
        <f>_xlfn.TEXTJOIN(", ",TRUE,IF(G416="Unknown","Missing Region",""),IF(M416="Unknown","Missing Ship Mode",""),IF(P416&lt;0,"Negative Discount",""),IF(P416&gt;0.7,"High Discount",""),IF(C416&lt;B416,"Ship Before Order",""))</f>
        <v>Ship Before Order</v>
      </c>
      <c r="Z416" s="2">
        <f>IFERROR(
  IF(ISNUMBER(B416),B416,
    IF(ISNUMBER(SEARCH("-",B416)*1),
      IF(LEN(LEFT(B416,FIND("-",B416)-1))=4,
        DATE(VALUE(LEFT(B416,4)),VALUE(MID(B416,6,2)),VALUE(RIGHT(B416,2))),
        DATE(VALUE(RIGHT(B416,4)),VALUE(MID(B416,4,2)),VALUE(LEFT(B416,2)))
      ),
      IF(ISNUMBER(SEARCH("/",B416)*1),
        DATE(VALUE(RIGHT(B416,4)),VALUE(LEFT(B416,2)),VALUE(MID(B416,4,2))),
        DATEVALUE(B416)
      )
    )
  ),
"INVALID_DATE")</f>
        <v>45533</v>
      </c>
      <c r="AA416" s="2">
        <f>IFERROR(
  IF(ISNUMBER(C416),C416,
    IF(ISNUMBER(SEARCH("-",C416)*1),
      IF(LEN(LEFT(C416,FIND("-",C416)-1))=4,
        DATE(VALUE(LEFT(C416,4)),VALUE(MID(C416,6,2)),VALUE(RIGHT(C416,2))),
        DATE(VALUE(RIGHT(C416,4)),VALUE(MID(C416,4,2)),VALUE(LEFT(C416,2)))
      ),
      IF(ISNUMBER(SEARCH("/",C416)*1),
        DATE(VALUE(RIGHT(C416,4)),VALUE(LEFT(C416,2)),VALUE(MID(C416,4,2))),
        DATEVALUE(C416)
      )
    )
  ),
"INVALID_DATE")</f>
        <v>45534</v>
      </c>
      <c r="AB416">
        <f t="shared" si="39"/>
        <v>1</v>
      </c>
      <c r="AC416" t="str">
        <f t="shared" si="40"/>
        <v>August</v>
      </c>
      <c r="AD416">
        <f t="shared" si="41"/>
        <v>2024</v>
      </c>
    </row>
    <row r="417" spans="1:30">
      <c r="A417" t="s">
        <v>2058</v>
      </c>
      <c r="B417" t="s">
        <v>2059</v>
      </c>
      <c r="C417" t="s">
        <v>2011</v>
      </c>
      <c r="D417" t="s">
        <v>2060</v>
      </c>
      <c r="E417" t="s">
        <v>169</v>
      </c>
      <c r="F417" t="s">
        <v>115</v>
      </c>
      <c r="G417" t="s">
        <v>69</v>
      </c>
      <c r="H417" t="s">
        <v>236</v>
      </c>
      <c r="I417" t="s">
        <v>237</v>
      </c>
      <c r="J417" t="s">
        <v>37</v>
      </c>
      <c r="K417" t="s">
        <v>163</v>
      </c>
      <c r="L417" t="s">
        <v>2061</v>
      </c>
      <c r="M417" t="s">
        <v>55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41</v>
      </c>
      <c r="U417" t="s">
        <v>132</v>
      </c>
      <c r="V417">
        <f t="shared" si="36"/>
        <v>10277.197</v>
      </c>
      <c r="W417">
        <f t="shared" si="37"/>
        <v>2370.7000000000007</v>
      </c>
      <c r="X417">
        <f t="shared" si="38"/>
        <v>0.2306756704160666</v>
      </c>
      <c r="Y417" t="str">
        <f>_xlfn.TEXTJOIN(", ",TRUE,IF(G417="Unknown","Missing Region",""),IF(M417="Unknown","Missing Ship Mode",""),IF(P417&lt;0,"Negative Discount",""),IF(P417&gt;0.7,"High Discount",""),IF(C417&lt;B417,"Ship Before Order",""))</f>
        <v/>
      </c>
      <c r="Z417" s="2">
        <f>IFERROR(
  IF(ISNUMBER(B417),B417,
    IF(ISNUMBER(SEARCH("-",B417)*1),
      IF(LEN(LEFT(B417,FIND("-",B417)-1))=4,
        DATE(VALUE(LEFT(B417,4)),VALUE(MID(B417,6,2)),VALUE(RIGHT(B417,2))),
        DATE(VALUE(RIGHT(B417,4)),VALUE(MID(B417,4,2)),VALUE(LEFT(B417,2)))
      ),
      IF(ISNUMBER(SEARCH("/",B417)*1),
        DATE(VALUE(RIGHT(B417,4)),VALUE(LEFT(B417,2)),VALUE(MID(B417,4,2))),
        DATEVALUE(B417)
      )
    )
  ),
"INVALID_DATE")</f>
        <v>45316</v>
      </c>
      <c r="AA417" s="2">
        <f>IFERROR(
  IF(ISNUMBER(C417),C417,
    IF(ISNUMBER(SEARCH("-",C417)*1),
      IF(LEN(LEFT(C417,FIND("-",C417)-1))=4,
        DATE(VALUE(LEFT(C417,4)),VALUE(MID(C417,6,2)),VALUE(RIGHT(C417,2))),
        DATE(VALUE(RIGHT(C417,4)),VALUE(MID(C417,4,2)),VALUE(LEFT(C417,2)))
      ),
      IF(ISNUMBER(SEARCH("/",C417)*1),
        DATE(VALUE(RIGHT(C417,4)),VALUE(LEFT(C417,2)),VALUE(MID(C417,4,2))),
        DATEVALUE(C417)
      )
    )
  ),
"INVALID_DATE")</f>
        <v>45318</v>
      </c>
      <c r="AB417">
        <f t="shared" si="39"/>
        <v>2</v>
      </c>
      <c r="AC417" t="str">
        <f t="shared" si="40"/>
        <v>January</v>
      </c>
      <c r="AD417">
        <f t="shared" si="41"/>
        <v>2024</v>
      </c>
    </row>
    <row r="418" spans="1:30">
      <c r="A418" t="s">
        <v>2062</v>
      </c>
      <c r="B418" t="s">
        <v>2063</v>
      </c>
      <c r="C418" t="s">
        <v>2064</v>
      </c>
      <c r="D418" t="s">
        <v>2065</v>
      </c>
      <c r="E418" t="s">
        <v>100</v>
      </c>
      <c r="F418" t="s">
        <v>33</v>
      </c>
      <c r="G418" t="s">
        <v>69</v>
      </c>
      <c r="H418" t="s">
        <v>70</v>
      </c>
      <c r="I418" t="s">
        <v>71</v>
      </c>
      <c r="J418" t="s">
        <v>52</v>
      </c>
      <c r="K418" t="s">
        <v>72</v>
      </c>
      <c r="L418" t="s">
        <v>2066</v>
      </c>
      <c r="M418" t="s">
        <v>63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41</v>
      </c>
      <c r="U418" t="s">
        <v>42</v>
      </c>
      <c r="V418">
        <f t="shared" si="36"/>
        <v>3833.7000000000003</v>
      </c>
      <c r="W418">
        <f t="shared" si="37"/>
        <v>947.34999999999991</v>
      </c>
      <c r="X418">
        <f t="shared" si="38"/>
        <v>0.2471111458903931</v>
      </c>
      <c r="Y418" t="str">
        <f>_xlfn.TEXTJOIN(", ",TRUE,IF(G418="Unknown","Missing Region",""),IF(M418="Unknown","Missing Ship Mode",""),IF(P418&lt;0,"Negative Discount",""),IF(P418&gt;0.7,"High Discount",""),IF(C418&lt;B418,"Ship Before Order",""))</f>
        <v>Ship Before Order</v>
      </c>
      <c r="Z418" s="2">
        <f>IFERROR(
  IF(ISNUMBER(B418),B418,
    IF(ISNUMBER(SEARCH("-",B418)*1),
      IF(LEN(LEFT(B418,FIND("-",B418)-1))=4,
        DATE(VALUE(LEFT(B418,4)),VALUE(MID(B418,6,2)),VALUE(RIGHT(B418,2))),
        DATE(VALUE(RIGHT(B418,4)),VALUE(MID(B418,4,2)),VALUE(LEFT(B418,2)))
      ),
      IF(ISNUMBER(SEARCH("/",B418)*1),
        DATE(VALUE(RIGHT(B418,4)),VALUE(LEFT(B418,2)),VALUE(MID(B418,4,2))),
        DATEVALUE(B418)
      )
    )
  ),
"INVALID_DATE")</f>
        <v>45665</v>
      </c>
      <c r="AA418" s="2">
        <f>IFERROR(
  IF(ISNUMBER(C418),C418,
    IF(ISNUMBER(SEARCH("-",C418)*1),
      IF(LEN(LEFT(C418,FIND("-",C418)-1))=4,
        DATE(VALUE(LEFT(C418,4)),VALUE(MID(C418,6,2)),VALUE(RIGHT(C418,2))),
        DATE(VALUE(RIGHT(C418,4)),VALUE(MID(C418,4,2)),VALUE(LEFT(C418,2)))
      ),
      IF(ISNUMBER(SEARCH("/",C418)*1),
        DATE(VALUE(RIGHT(C418,4)),VALUE(LEFT(C418,2)),VALUE(MID(C418,4,2))),
        DATEVALUE(C418)
      )
    )
  ),
"INVALID_DATE")</f>
        <v>45673</v>
      </c>
      <c r="AB418">
        <f t="shared" si="39"/>
        <v>8</v>
      </c>
      <c r="AC418" t="str">
        <f t="shared" si="40"/>
        <v>January</v>
      </c>
      <c r="AD418">
        <f t="shared" si="41"/>
        <v>2025</v>
      </c>
    </row>
    <row r="419" spans="1:30">
      <c r="A419" t="s">
        <v>2067</v>
      </c>
      <c r="B419" t="s">
        <v>1802</v>
      </c>
      <c r="C419" t="s">
        <v>2068</v>
      </c>
      <c r="D419" t="s">
        <v>2069</v>
      </c>
      <c r="E419" t="s">
        <v>47</v>
      </c>
      <c r="F419" t="s">
        <v>33</v>
      </c>
      <c r="G419" t="s">
        <v>80</v>
      </c>
      <c r="H419" t="s">
        <v>242</v>
      </c>
      <c r="I419" t="s">
        <v>243</v>
      </c>
      <c r="J419" t="s">
        <v>37</v>
      </c>
      <c r="K419" t="s">
        <v>61</v>
      </c>
      <c r="L419" t="s">
        <v>2070</v>
      </c>
      <c r="M419" t="s">
        <v>63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41</v>
      </c>
      <c r="U419" t="s">
        <v>42</v>
      </c>
      <c r="V419">
        <f t="shared" si="36"/>
        <v>18542.400000000001</v>
      </c>
      <c r="W419">
        <f t="shared" si="37"/>
        <v>7348.6500000000015</v>
      </c>
      <c r="X419">
        <f t="shared" si="38"/>
        <v>0.39631601087237894</v>
      </c>
      <c r="Y419" t="str">
        <f>_xlfn.TEXTJOIN(", ",TRUE,IF(G419="Unknown","Missing Region",""),IF(M419="Unknown","Missing Ship Mode",""),IF(P419&lt;0,"Negative Discount",""),IF(P419&gt;0.7,"High Discount",""),IF(C419&lt;B419,"Ship Before Order",""))</f>
        <v/>
      </c>
      <c r="Z419" s="2">
        <f>IFERROR(
  IF(ISNUMBER(B419),B419,
    IF(ISNUMBER(SEARCH("-",B419)*1),
      IF(LEN(LEFT(B419,FIND("-",B419)-1))=4,
        DATE(VALUE(LEFT(B419,4)),VALUE(MID(B419,6,2)),VALUE(RIGHT(B419,2))),
        DATE(VALUE(RIGHT(B419,4)),VALUE(MID(B419,4,2)),VALUE(LEFT(B419,2)))
      ),
      IF(ISNUMBER(SEARCH("/",B419)*1),
        DATE(VALUE(RIGHT(B419,4)),VALUE(LEFT(B419,2)),VALUE(MID(B419,4,2))),
        DATEVALUE(B419)
      )
    )
  ),
"INVALID_DATE")</f>
        <v>45686</v>
      </c>
      <c r="AA419" s="2">
        <f>IFERROR(
  IF(ISNUMBER(C419),C419,
    IF(ISNUMBER(SEARCH("-",C419)*1),
      IF(LEN(LEFT(C419,FIND("-",C419)-1))=4,
        DATE(VALUE(LEFT(C419,4)),VALUE(MID(C419,6,2)),VALUE(RIGHT(C419,2))),
        DATE(VALUE(RIGHT(C419,4)),VALUE(MID(C419,4,2)),VALUE(LEFT(C419,2)))
      ),
      IF(ISNUMBER(SEARCH("/",C419)*1),
        DATE(VALUE(RIGHT(C419,4)),VALUE(LEFT(C419,2)),VALUE(MID(C419,4,2))),
        DATEVALUE(C419)
      )
    )
  ),
"INVALID_DATE")</f>
        <v>45693</v>
      </c>
      <c r="AB419">
        <f t="shared" si="39"/>
        <v>7</v>
      </c>
      <c r="AC419" t="str">
        <f t="shared" si="40"/>
        <v>January</v>
      </c>
      <c r="AD419">
        <f t="shared" si="41"/>
        <v>2025</v>
      </c>
    </row>
    <row r="420" spans="1:30">
      <c r="A420" t="s">
        <v>2071</v>
      </c>
      <c r="B420" t="s">
        <v>2072</v>
      </c>
      <c r="C420" t="s">
        <v>2073</v>
      </c>
      <c r="D420" t="s">
        <v>2074</v>
      </c>
      <c r="E420" t="s">
        <v>175</v>
      </c>
      <c r="F420" t="s">
        <v>115</v>
      </c>
      <c r="G420" t="s">
        <v>49</v>
      </c>
      <c r="H420" t="s">
        <v>50</v>
      </c>
      <c r="I420" t="s">
        <v>51</v>
      </c>
      <c r="J420" t="s">
        <v>93</v>
      </c>
      <c r="K420" t="s">
        <v>101</v>
      </c>
      <c r="L420" t="s">
        <v>2075</v>
      </c>
      <c r="M420" t="s">
        <v>74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207</v>
      </c>
      <c r="U420" t="s">
        <v>85</v>
      </c>
      <c r="V420">
        <f t="shared" si="36"/>
        <v>21962.400000000001</v>
      </c>
      <c r="W420">
        <f t="shared" si="37"/>
        <v>6630.4100000000017</v>
      </c>
      <c r="X420">
        <f t="shared" si="38"/>
        <v>0.30189824427202855</v>
      </c>
      <c r="Y420" t="str">
        <f>_xlfn.TEXTJOIN(", ",TRUE,IF(G420="Unknown","Missing Region",""),IF(M420="Unknown","Missing Ship Mode",""),IF(P420&lt;0,"Negative Discount",""),IF(P420&gt;0.7,"High Discount",""),IF(C420&lt;B420,"Ship Before Order",""))</f>
        <v/>
      </c>
      <c r="Z420" s="2">
        <f>IFERROR(
  IF(ISNUMBER(B420),B420,
    IF(ISNUMBER(SEARCH("-",B420)*1),
      IF(LEN(LEFT(B420,FIND("-",B420)-1))=4,
        DATE(VALUE(LEFT(B420,4)),VALUE(MID(B420,6,2)),VALUE(RIGHT(B420,2))),
        DATE(VALUE(RIGHT(B420,4)),VALUE(MID(B420,4,2)),VALUE(LEFT(B420,2)))
      ),
      IF(ISNUMBER(SEARCH("/",B420)*1),
        DATE(VALUE(RIGHT(B420,4)),VALUE(LEFT(B420,2)),VALUE(MID(B420,4,2))),
        DATEVALUE(B420)
      )
    )
  ),
"INVALID_DATE")</f>
        <v>45605</v>
      </c>
      <c r="AA420" s="2">
        <f>IFERROR(
  IF(ISNUMBER(C420),C420,
    IF(ISNUMBER(SEARCH("-",C420)*1),
      IF(LEN(LEFT(C420,FIND("-",C420)-1))=4,
        DATE(VALUE(LEFT(C420,4)),VALUE(MID(C420,6,2)),VALUE(RIGHT(C420,2))),
        DATE(VALUE(RIGHT(C420,4)),VALUE(MID(C420,4,2)),VALUE(LEFT(C420,2)))
      ),
      IF(ISNUMBER(SEARCH("/",C420)*1),
        DATE(VALUE(RIGHT(C420,4)),VALUE(LEFT(C420,2)),VALUE(MID(C420,4,2))),
        DATEVALUE(C420)
      )
    )
  ),
"INVALID_DATE")</f>
        <v>45613</v>
      </c>
      <c r="AB420">
        <f t="shared" si="39"/>
        <v>8</v>
      </c>
      <c r="AC420" t="str">
        <f t="shared" si="40"/>
        <v>November</v>
      </c>
      <c r="AD420">
        <f t="shared" si="41"/>
        <v>2024</v>
      </c>
    </row>
    <row r="421" spans="1:30">
      <c r="A421" t="s">
        <v>2076</v>
      </c>
      <c r="B421" t="s">
        <v>2077</v>
      </c>
      <c r="C421" t="s">
        <v>2078</v>
      </c>
      <c r="D421" t="s">
        <v>2079</v>
      </c>
      <c r="E421" t="s">
        <v>175</v>
      </c>
      <c r="F421" t="s">
        <v>122</v>
      </c>
      <c r="G421" t="s">
        <v>34</v>
      </c>
      <c r="H421" t="s">
        <v>331</v>
      </c>
      <c r="I421" t="s">
        <v>332</v>
      </c>
      <c r="J421" t="s">
        <v>93</v>
      </c>
      <c r="K421" t="s">
        <v>230</v>
      </c>
      <c r="L421" t="s">
        <v>2080</v>
      </c>
      <c r="M421" t="s">
        <v>55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41</v>
      </c>
      <c r="U421" t="s">
        <v>42</v>
      </c>
      <c r="V421">
        <f t="shared" si="36"/>
        <v>1308.777</v>
      </c>
      <c r="W421">
        <f t="shared" si="37"/>
        <v>465.78</v>
      </c>
      <c r="X421">
        <f t="shared" si="38"/>
        <v>0.35588869023059644</v>
      </c>
      <c r="Y421" t="str">
        <f>_xlfn.TEXTJOIN(", ",TRUE,IF(G421="Unknown","Missing Region",""),IF(M421="Unknown","Missing Ship Mode",""),IF(P421&lt;0,"Negative Discount",""),IF(P421&gt;0.7,"High Discount",""),IF(C421&lt;B421,"Ship Before Order",""))</f>
        <v>Ship Before Order</v>
      </c>
      <c r="Z421" s="2">
        <f>IFERROR(
  IF(ISNUMBER(B421),B421,
    IF(ISNUMBER(SEARCH("-",B421)*1),
      IF(LEN(LEFT(B421,FIND("-",B421)-1))=4,
        DATE(VALUE(LEFT(B421,4)),VALUE(MID(B421,6,2)),VALUE(RIGHT(B421,2))),
        DATE(VALUE(RIGHT(B421,4)),VALUE(MID(B421,4,2)),VALUE(LEFT(B421,2)))
      ),
      IF(ISNUMBER(SEARCH("/",B421)*1),
        DATE(VALUE(RIGHT(B421,4)),VALUE(LEFT(B421,2)),VALUE(MID(B421,4,2))),
        DATEVALUE(B421)
      )
    )
  ),
"INVALID_DATE")</f>
        <v>45926</v>
      </c>
      <c r="AA421" s="2">
        <f>IFERROR(
  IF(ISNUMBER(C421),C421,
    IF(ISNUMBER(SEARCH("-",C421)*1),
      IF(LEN(LEFT(C421,FIND("-",C421)-1))=4,
        DATE(VALUE(LEFT(C421,4)),VALUE(MID(C421,6,2)),VALUE(RIGHT(C421,2))),
        DATE(VALUE(RIGHT(C421,4)),VALUE(MID(C421,4,2)),VALUE(LEFT(C421,2)))
      ),
      IF(ISNUMBER(SEARCH("/",C421)*1),
        DATE(VALUE(RIGHT(C421,4)),VALUE(LEFT(C421,2)),VALUE(MID(C421,4,2))),
        DATEVALUE(C421)
      )
    )
  ),
"INVALID_DATE")</f>
        <v>45930</v>
      </c>
      <c r="AB421">
        <f t="shared" si="39"/>
        <v>4</v>
      </c>
      <c r="AC421" t="str">
        <f t="shared" si="40"/>
        <v>September</v>
      </c>
      <c r="AD421">
        <f t="shared" si="41"/>
        <v>2025</v>
      </c>
    </row>
    <row r="422" spans="1:30">
      <c r="A422" t="s">
        <v>2081</v>
      </c>
      <c r="B422" t="s">
        <v>971</v>
      </c>
      <c r="C422" t="s">
        <v>2082</v>
      </c>
      <c r="D422" t="s">
        <v>2083</v>
      </c>
      <c r="E422" t="s">
        <v>60</v>
      </c>
      <c r="F422" t="s">
        <v>115</v>
      </c>
      <c r="G422" t="s">
        <v>69</v>
      </c>
      <c r="H422" t="s">
        <v>347</v>
      </c>
      <c r="I422" t="s">
        <v>348</v>
      </c>
      <c r="J422" t="s">
        <v>93</v>
      </c>
      <c r="K422" t="s">
        <v>390</v>
      </c>
      <c r="L422" t="s">
        <v>2084</v>
      </c>
      <c r="M422" t="s">
        <v>74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144</v>
      </c>
      <c r="U422" t="s">
        <v>85</v>
      </c>
      <c r="V422">
        <f t="shared" si="36"/>
        <v>1814.9850000000001</v>
      </c>
      <c r="W422">
        <f t="shared" si="37"/>
        <v>694.93000000000006</v>
      </c>
      <c r="X422">
        <f t="shared" si="38"/>
        <v>0.38288365225152754</v>
      </c>
      <c r="Y422" t="str">
        <f>_xlfn.TEXTJOIN(", ",TRUE,IF(G422="Unknown","Missing Region",""),IF(M422="Unknown","Missing Ship Mode",""),IF(P422&lt;0,"Negative Discount",""),IF(P422&gt;0.7,"High Discount",""),IF(C422&lt;B422,"Ship Before Order",""))</f>
        <v/>
      </c>
      <c r="Z422" s="2">
        <f>IFERROR(
  IF(ISNUMBER(B422),B422,
    IF(ISNUMBER(SEARCH("-",B422)*1),
      IF(LEN(LEFT(B422,FIND("-",B422)-1))=4,
        DATE(VALUE(LEFT(B422,4)),VALUE(MID(B422,6,2)),VALUE(RIGHT(B422,2))),
        DATE(VALUE(RIGHT(B422,4)),VALUE(MID(B422,4,2)),VALUE(LEFT(B422,2)))
      ),
      IF(ISNUMBER(SEARCH("/",B422)*1),
        DATE(VALUE(RIGHT(B422,4)),VALUE(LEFT(B422,2)),VALUE(MID(B422,4,2))),
        DATEVALUE(B422)
      )
    )
  ),
"INVALID_DATE")</f>
        <v>45734</v>
      </c>
      <c r="AA422" s="2">
        <f>IFERROR(
  IF(ISNUMBER(C422),C422,
    IF(ISNUMBER(SEARCH("-",C422)*1),
      IF(LEN(LEFT(C422,FIND("-",C422)-1))=4,
        DATE(VALUE(LEFT(C422,4)),VALUE(MID(C422,6,2)),VALUE(RIGHT(C422,2))),
        DATE(VALUE(RIGHT(C422,4)),VALUE(MID(C422,4,2)),VALUE(LEFT(C422,2)))
      ),
      IF(ISNUMBER(SEARCH("/",C422)*1),
        DATE(VALUE(RIGHT(C422,4)),VALUE(LEFT(C422,2)),VALUE(MID(C422,4,2))),
        DATEVALUE(C422)
      )
    )
  ),
"INVALID_DATE")</f>
        <v>45735</v>
      </c>
      <c r="AB422">
        <f t="shared" si="39"/>
        <v>1</v>
      </c>
      <c r="AC422" t="str">
        <f t="shared" si="40"/>
        <v>March</v>
      </c>
      <c r="AD422">
        <f t="shared" si="41"/>
        <v>2025</v>
      </c>
    </row>
    <row r="423" spans="1:30">
      <c r="A423" t="s">
        <v>2085</v>
      </c>
      <c r="B423" t="s">
        <v>2086</v>
      </c>
      <c r="C423" t="s">
        <v>2087</v>
      </c>
      <c r="D423" t="s">
        <v>2088</v>
      </c>
      <c r="E423" t="s">
        <v>187</v>
      </c>
      <c r="F423" t="s">
        <v>48</v>
      </c>
      <c r="G423" t="s">
        <v>34</v>
      </c>
      <c r="H423" t="s">
        <v>514</v>
      </c>
      <c r="I423" t="s">
        <v>515</v>
      </c>
      <c r="J423" t="s">
        <v>37</v>
      </c>
      <c r="K423" t="s">
        <v>205</v>
      </c>
      <c r="L423" t="s">
        <v>2089</v>
      </c>
      <c r="M423" t="s">
        <v>55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144</v>
      </c>
      <c r="U423" t="s">
        <v>132</v>
      </c>
      <c r="V423">
        <f t="shared" si="36"/>
        <v>2489.88</v>
      </c>
      <c r="W423">
        <f t="shared" si="37"/>
        <v>782.36000000000013</v>
      </c>
      <c r="X423">
        <f t="shared" si="38"/>
        <v>0.31421594615001525</v>
      </c>
      <c r="Y423" t="str">
        <f>_xlfn.TEXTJOIN(", ",TRUE,IF(G423="Unknown","Missing Region",""),IF(M423="Unknown","Missing Ship Mode",""),IF(P423&lt;0,"Negative Discount",""),IF(P423&gt;0.7,"High Discount",""),IF(C423&lt;B423,"Ship Before Order",""))</f>
        <v/>
      </c>
      <c r="Z423" s="2">
        <f>IFERROR(
  IF(ISNUMBER(B423),B423,
    IF(ISNUMBER(SEARCH("-",B423)*1),
      IF(LEN(LEFT(B423,FIND("-",B423)-1))=4,
        DATE(VALUE(LEFT(B423,4)),VALUE(MID(B423,6,2)),VALUE(RIGHT(B423,2))),
        DATE(VALUE(RIGHT(B423,4)),VALUE(MID(B423,4,2)),VALUE(LEFT(B423,2)))
      ),
      IF(ISNUMBER(SEARCH("/",B423)*1),
        DATE(VALUE(RIGHT(B423,4)),VALUE(LEFT(B423,2)),VALUE(MID(B423,4,2))),
        DATEVALUE(B423)
      )
    )
  ),
"INVALID_DATE")</f>
        <v>45822</v>
      </c>
      <c r="AA423" s="2">
        <f>IFERROR(
  IF(ISNUMBER(C423),C423,
    IF(ISNUMBER(SEARCH("-",C423)*1),
      IF(LEN(LEFT(C423,FIND("-",C423)-1))=4,
        DATE(VALUE(LEFT(C423,4)),VALUE(MID(C423,6,2)),VALUE(RIGHT(C423,2))),
        DATE(VALUE(RIGHT(C423,4)),VALUE(MID(C423,4,2)),VALUE(LEFT(C423,2)))
      ),
      IF(ISNUMBER(SEARCH("/",C423)*1),
        DATE(VALUE(RIGHT(C423,4)),VALUE(LEFT(C423,2)),VALUE(MID(C423,4,2))),
        DATEVALUE(C423)
      )
    )
  ),
"INVALID_DATE")</f>
        <v>45827</v>
      </c>
      <c r="AB423">
        <f t="shared" si="39"/>
        <v>5</v>
      </c>
      <c r="AC423" t="str">
        <f t="shared" si="40"/>
        <v>June</v>
      </c>
      <c r="AD423">
        <f t="shared" si="41"/>
        <v>2025</v>
      </c>
    </row>
    <row r="424" spans="1:30">
      <c r="A424" t="s">
        <v>2090</v>
      </c>
      <c r="B424" t="s">
        <v>2091</v>
      </c>
      <c r="C424" t="s">
        <v>2092</v>
      </c>
      <c r="D424" t="s">
        <v>2093</v>
      </c>
      <c r="E424" t="s">
        <v>374</v>
      </c>
      <c r="F424" t="s">
        <v>33</v>
      </c>
      <c r="G424" t="s">
        <v>80</v>
      </c>
      <c r="H424" t="s">
        <v>91</v>
      </c>
      <c r="I424" t="s">
        <v>92</v>
      </c>
      <c r="J424" t="s">
        <v>93</v>
      </c>
      <c r="K424" t="s">
        <v>101</v>
      </c>
      <c r="L424" t="s">
        <v>2094</v>
      </c>
      <c r="M424" t="s">
        <v>55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41</v>
      </c>
      <c r="U424" t="s">
        <v>42</v>
      </c>
      <c r="V424">
        <f t="shared" si="36"/>
        <v>4098.6575000000003</v>
      </c>
      <c r="W424">
        <f t="shared" si="37"/>
        <v>1420.6</v>
      </c>
      <c r="X424">
        <f t="shared" si="38"/>
        <v>0.34660108425680586</v>
      </c>
      <c r="Y424" t="str">
        <f>_xlfn.TEXTJOIN(", ",TRUE,IF(G424="Unknown","Missing Region",""),IF(M424="Unknown","Missing Ship Mode",""),IF(P424&lt;0,"Negative Discount",""),IF(P424&gt;0.7,"High Discount",""),IF(C424&lt;B424,"Ship Before Order",""))</f>
        <v>Ship Before Order</v>
      </c>
      <c r="Z424" s="2">
        <f>IFERROR(
  IF(ISNUMBER(B424),B424,
    IF(ISNUMBER(SEARCH("-",B424)*1),
      IF(LEN(LEFT(B424,FIND("-",B424)-1))=4,
        DATE(VALUE(LEFT(B424,4)),VALUE(MID(B424,6,2)),VALUE(RIGHT(B424,2))),
        DATE(VALUE(RIGHT(B424,4)),VALUE(MID(B424,4,2)),VALUE(LEFT(B424,2)))
      ),
      IF(ISNUMBER(SEARCH("/",B424)*1),
        DATE(VALUE(RIGHT(B424,4)),VALUE(LEFT(B424,2)),VALUE(MID(B424,4,2))),
        DATEVALUE(B424)
      )
    )
  ),
"INVALID_DATE")</f>
        <v>45903</v>
      </c>
      <c r="AA424" s="2">
        <f>IFERROR(
  IF(ISNUMBER(C424),C424,
    IF(ISNUMBER(SEARCH("-",C424)*1),
      IF(LEN(LEFT(C424,FIND("-",C424)-1))=4,
        DATE(VALUE(LEFT(C424,4)),VALUE(MID(C424,6,2)),VALUE(RIGHT(C424,2))),
        DATE(VALUE(RIGHT(C424,4)),VALUE(MID(C424,4,2)),VALUE(LEFT(C424,2)))
      ),
      IF(ISNUMBER(SEARCH("/",C424)*1),
        DATE(VALUE(RIGHT(C424,4)),VALUE(LEFT(C424,2)),VALUE(MID(C424,4,2))),
        DATEVALUE(C424)
      )
    )
  ),
"INVALID_DATE")</f>
        <v>45906</v>
      </c>
      <c r="AB424">
        <f t="shared" si="39"/>
        <v>3</v>
      </c>
      <c r="AC424" t="str">
        <f t="shared" si="40"/>
        <v>September</v>
      </c>
      <c r="AD424">
        <f t="shared" si="41"/>
        <v>2025</v>
      </c>
    </row>
    <row r="425" spans="1:30">
      <c r="A425" t="s">
        <v>2095</v>
      </c>
      <c r="B425" t="s">
        <v>2096</v>
      </c>
      <c r="C425" t="s">
        <v>2097</v>
      </c>
      <c r="D425" t="s">
        <v>2098</v>
      </c>
      <c r="E425" t="s">
        <v>217</v>
      </c>
      <c r="F425" t="s">
        <v>33</v>
      </c>
      <c r="G425" t="s">
        <v>69</v>
      </c>
      <c r="H425" t="s">
        <v>249</v>
      </c>
      <c r="I425" t="s">
        <v>250</v>
      </c>
      <c r="J425" t="s">
        <v>93</v>
      </c>
      <c r="K425" t="s">
        <v>94</v>
      </c>
      <c r="L425" t="s">
        <v>2099</v>
      </c>
      <c r="M425" t="s">
        <v>2100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41</v>
      </c>
      <c r="U425" t="s">
        <v>42</v>
      </c>
      <c r="V425">
        <f t="shared" si="36"/>
        <v>27211.032000000003</v>
      </c>
      <c r="W425">
        <f t="shared" si="37"/>
        <v>9270.5999999999985</v>
      </c>
      <c r="X425">
        <f t="shared" si="38"/>
        <v>0.34069272644218174</v>
      </c>
      <c r="Y425" t="str">
        <f>_xlfn.TEXTJOIN(", ",TRUE,IF(G425="Unknown","Missing Region",""),IF(M425="Unknown","Missing Ship Mode",""),IF(P425&lt;0,"Negative Discount",""),IF(P425&gt;0.7,"High Discount",""),IF(C425&lt;B425,"Ship Before Order",""))</f>
        <v/>
      </c>
      <c r="Z425" s="2">
        <f>IFERROR(
  IF(ISNUMBER(B425),B425,
    IF(ISNUMBER(SEARCH("-",B425)*1),
      IF(LEN(LEFT(B425,FIND("-",B425)-1))=4,
        DATE(VALUE(LEFT(B425,4)),VALUE(MID(B425,6,2)),VALUE(RIGHT(B425,2))),
        DATE(VALUE(RIGHT(B425,4)),VALUE(MID(B425,4,2)),VALUE(LEFT(B425,2)))
      ),
      IF(ISNUMBER(SEARCH("/",B425)*1),
        DATE(VALUE(RIGHT(B425,4)),VALUE(LEFT(B425,2)),VALUE(MID(B425,4,2))),
        DATEVALUE(B425)
      )
    )
  ),
"INVALID_DATE")</f>
        <v>45342</v>
      </c>
      <c r="AA425" s="2">
        <f>IFERROR(
  IF(ISNUMBER(C425),C425,
    IF(ISNUMBER(SEARCH("-",C425)*1),
      IF(LEN(LEFT(C425,FIND("-",C425)-1))=4,
        DATE(VALUE(LEFT(C425,4)),VALUE(MID(C425,6,2)),VALUE(RIGHT(C425,2))),
        DATE(VALUE(RIGHT(C425,4)),VALUE(MID(C425,4,2)),VALUE(LEFT(C425,2)))
      ),
      IF(ISNUMBER(SEARCH("/",C425)*1),
        DATE(VALUE(RIGHT(C425,4)),VALUE(LEFT(C425,2)),VALUE(MID(C425,4,2))),
        DATEVALUE(C425)
      )
    )
  ),
"INVALID_DATE")</f>
        <v>45349</v>
      </c>
      <c r="AB425">
        <f t="shared" si="39"/>
        <v>7</v>
      </c>
      <c r="AC425" t="str">
        <f t="shared" si="40"/>
        <v>February</v>
      </c>
      <c r="AD425">
        <f t="shared" si="41"/>
        <v>2024</v>
      </c>
    </row>
    <row r="426" spans="1:30">
      <c r="A426" t="s">
        <v>2101</v>
      </c>
      <c r="B426" t="s">
        <v>2102</v>
      </c>
      <c r="C426" t="s">
        <v>2103</v>
      </c>
      <c r="D426" t="s">
        <v>2104</v>
      </c>
      <c r="E426" t="s">
        <v>100</v>
      </c>
      <c r="F426" t="s">
        <v>115</v>
      </c>
      <c r="G426" t="s">
        <v>34</v>
      </c>
      <c r="H426" t="s">
        <v>161</v>
      </c>
      <c r="I426" t="s">
        <v>162</v>
      </c>
      <c r="J426" t="s">
        <v>93</v>
      </c>
      <c r="K426" t="s">
        <v>230</v>
      </c>
      <c r="L426" t="s">
        <v>2105</v>
      </c>
      <c r="M426" t="s">
        <v>74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41</v>
      </c>
      <c r="U426" t="s">
        <v>42</v>
      </c>
      <c r="V426">
        <f t="shared" si="36"/>
        <v>6436.16</v>
      </c>
      <c r="W426">
        <f t="shared" si="37"/>
        <v>2172.33</v>
      </c>
      <c r="X426">
        <f t="shared" si="38"/>
        <v>0.33751957689056827</v>
      </c>
      <c r="Y426" t="str">
        <f>_xlfn.TEXTJOIN(", ",TRUE,IF(G426="Unknown","Missing Region",""),IF(M426="Unknown","Missing Ship Mode",""),IF(P426&lt;0,"Negative Discount",""),IF(P426&gt;0.7,"High Discount",""),IF(C426&lt;B426,"Ship Before Order",""))</f>
        <v/>
      </c>
      <c r="Z426" s="2">
        <f>IFERROR(
  IF(ISNUMBER(B426),B426,
    IF(ISNUMBER(SEARCH("-",B426)*1),
      IF(LEN(LEFT(B426,FIND("-",B426)-1))=4,
        DATE(VALUE(LEFT(B426,4)),VALUE(MID(B426,6,2)),VALUE(RIGHT(B426,2))),
        DATE(VALUE(RIGHT(B426,4)),VALUE(MID(B426,4,2)),VALUE(LEFT(B426,2)))
      ),
      IF(ISNUMBER(SEARCH("/",B426)*1),
        DATE(VALUE(RIGHT(B426,4)),VALUE(LEFT(B426,2)),VALUE(MID(B426,4,2))),
        DATEVALUE(B426)
      )
    )
  ),
"INVALID_DATE")</f>
        <v>45469</v>
      </c>
      <c r="AA426" s="2">
        <f>IFERROR(
  IF(ISNUMBER(C426),C426,
    IF(ISNUMBER(SEARCH("-",C426)*1),
      IF(LEN(LEFT(C426,FIND("-",C426)-1))=4,
        DATE(VALUE(LEFT(C426,4)),VALUE(MID(C426,6,2)),VALUE(RIGHT(C426,2))),
        DATE(VALUE(RIGHT(C426,4)),VALUE(MID(C426,4,2)),VALUE(LEFT(C426,2)))
      ),
      IF(ISNUMBER(SEARCH("/",C426)*1),
        DATE(VALUE(RIGHT(C426,4)),VALUE(LEFT(C426,2)),VALUE(MID(C426,4,2))),
        DATEVALUE(C426)
      )
    )
  ),
"INVALID_DATE")</f>
        <v>45472</v>
      </c>
      <c r="AB426">
        <f t="shared" si="39"/>
        <v>3</v>
      </c>
      <c r="AC426" t="str">
        <f t="shared" si="40"/>
        <v>June</v>
      </c>
      <c r="AD426">
        <f t="shared" si="41"/>
        <v>2024</v>
      </c>
    </row>
    <row r="427" spans="1:30">
      <c r="A427" t="s">
        <v>2106</v>
      </c>
      <c r="B427" t="s">
        <v>2107</v>
      </c>
      <c r="C427" t="s">
        <v>2108</v>
      </c>
      <c r="D427" t="s">
        <v>2109</v>
      </c>
      <c r="E427" t="s">
        <v>60</v>
      </c>
      <c r="F427" t="s">
        <v>122</v>
      </c>
      <c r="G427" t="s">
        <v>34</v>
      </c>
      <c r="H427" t="s">
        <v>514</v>
      </c>
      <c r="I427" t="s">
        <v>515</v>
      </c>
      <c r="J427" t="s">
        <v>37</v>
      </c>
      <c r="K427" t="s">
        <v>116</v>
      </c>
      <c r="L427" t="s">
        <v>2110</v>
      </c>
      <c r="M427" t="s">
        <v>63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131</v>
      </c>
      <c r="U427" t="s">
        <v>85</v>
      </c>
      <c r="V427">
        <f t="shared" si="36"/>
        <v>1918.2420000000002</v>
      </c>
      <c r="W427">
        <f t="shared" si="37"/>
        <v>544.72</v>
      </c>
      <c r="X427">
        <f t="shared" si="38"/>
        <v>0.28396863791809157</v>
      </c>
      <c r="Y427" t="str">
        <f>_xlfn.TEXTJOIN(", ",TRUE,IF(G427="Unknown","Missing Region",""),IF(M427="Unknown","Missing Ship Mode",""),IF(P427&lt;0,"Negative Discount",""),IF(P427&gt;0.7,"High Discount",""),IF(C427&lt;B427,"Ship Before Order",""))</f>
        <v>Ship Before Order</v>
      </c>
      <c r="Z427" s="2">
        <f>IFERROR(
  IF(ISNUMBER(B427),B427,
    IF(ISNUMBER(SEARCH("-",B427)*1),
      IF(LEN(LEFT(B427,FIND("-",B427)-1))=4,
        DATE(VALUE(LEFT(B427,4)),VALUE(MID(B427,6,2)),VALUE(RIGHT(B427,2))),
        DATE(VALUE(RIGHT(B427,4)),VALUE(MID(B427,4,2)),VALUE(LEFT(B427,2)))
      ),
      IF(ISNUMBER(SEARCH("/",B427)*1),
        DATE(VALUE(RIGHT(B427,4)),VALUE(LEFT(B427,2)),VALUE(MID(B427,4,2))),
        DATEVALUE(B427)
      )
    )
  ),
"INVALID_DATE")</f>
        <v>45561</v>
      </c>
      <c r="AA427" s="2">
        <f>IFERROR(
  IF(ISNUMBER(C427),C427,
    IF(ISNUMBER(SEARCH("-",C427)*1),
      IF(LEN(LEFT(C427,FIND("-",C427)-1))=4,
        DATE(VALUE(LEFT(C427,4)),VALUE(MID(C427,6,2)),VALUE(RIGHT(C427,2))),
        DATE(VALUE(RIGHT(C427,4)),VALUE(MID(C427,4,2)),VALUE(LEFT(C427,2)))
      ),
      IF(ISNUMBER(SEARCH("/",C427)*1),
        DATE(VALUE(RIGHT(C427,4)),VALUE(LEFT(C427,2)),VALUE(MID(C427,4,2))),
        DATEVALUE(C427)
      )
    )
  ),
"INVALID_DATE")</f>
        <v>45562</v>
      </c>
      <c r="AB427">
        <f t="shared" si="39"/>
        <v>1</v>
      </c>
      <c r="AC427" t="str">
        <f t="shared" si="40"/>
        <v>September</v>
      </c>
      <c r="AD427">
        <f t="shared" si="41"/>
        <v>2024</v>
      </c>
    </row>
    <row r="428" spans="1:30">
      <c r="A428" t="s">
        <v>2111</v>
      </c>
      <c r="B428" t="s">
        <v>2112</v>
      </c>
      <c r="C428" t="s">
        <v>2113</v>
      </c>
      <c r="D428" t="s">
        <v>2114</v>
      </c>
      <c r="E428" t="s">
        <v>114</v>
      </c>
      <c r="F428" t="s">
        <v>33</v>
      </c>
      <c r="G428" t="s">
        <v>34</v>
      </c>
      <c r="H428" t="s">
        <v>331</v>
      </c>
      <c r="I428" t="s">
        <v>332</v>
      </c>
      <c r="J428" t="s">
        <v>93</v>
      </c>
      <c r="K428" t="s">
        <v>101</v>
      </c>
      <c r="L428" t="s">
        <v>2115</v>
      </c>
      <c r="M428" t="s">
        <v>55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41</v>
      </c>
      <c r="U428" t="s">
        <v>42</v>
      </c>
      <c r="V428">
        <f t="shared" si="36"/>
        <v>27047.952000000001</v>
      </c>
      <c r="W428">
        <f t="shared" si="37"/>
        <v>8616.619999999999</v>
      </c>
      <c r="X428">
        <f t="shared" si="38"/>
        <v>0.3185683203348128</v>
      </c>
      <c r="Y428" t="str">
        <f>_xlfn.TEXTJOIN(", ",TRUE,IF(G428="Unknown","Missing Region",""),IF(M428="Unknown","Missing Ship Mode",""),IF(P428&lt;0,"Negative Discount",""),IF(P428&gt;0.7,"High Discount",""),IF(C428&lt;B428,"Ship Before Order",""))</f>
        <v>Ship Before Order</v>
      </c>
      <c r="Z428" s="2">
        <f>IFERROR(
  IF(ISNUMBER(B428),B428,
    IF(ISNUMBER(SEARCH("-",B428)*1),
      IF(LEN(LEFT(B428,FIND("-",B428)-1))=4,
        DATE(VALUE(LEFT(B428,4)),VALUE(MID(B428,6,2)),VALUE(RIGHT(B428,2))),
        DATE(VALUE(RIGHT(B428,4)),VALUE(MID(B428,4,2)),VALUE(LEFT(B428,2)))
      ),
      IF(ISNUMBER(SEARCH("/",B428)*1),
        DATE(VALUE(RIGHT(B428,4)),VALUE(LEFT(B428,2)),VALUE(MID(B428,4,2))),
        DATEVALUE(B428)
      )
    )
  ),
"INVALID_DATE")</f>
        <v>45473</v>
      </c>
      <c r="AA428" s="2">
        <f>IFERROR(
  IF(ISNUMBER(C428),C428,
    IF(ISNUMBER(SEARCH("-",C428)*1),
      IF(LEN(LEFT(C428,FIND("-",C428)-1))=4,
        DATE(VALUE(LEFT(C428,4)),VALUE(MID(C428,6,2)),VALUE(RIGHT(C428,2))),
        DATE(VALUE(RIGHT(C428,4)),VALUE(MID(C428,4,2)),VALUE(LEFT(C428,2)))
      ),
      IF(ISNUMBER(SEARCH("/",C428)*1),
        DATE(VALUE(RIGHT(C428,4)),VALUE(LEFT(C428,2)),VALUE(MID(C428,4,2))),
        DATEVALUE(C428)
      )
    )
  ),
"INVALID_DATE")</f>
        <v>45474</v>
      </c>
      <c r="AB428">
        <f t="shared" si="39"/>
        <v>1</v>
      </c>
      <c r="AC428" t="str">
        <f t="shared" si="40"/>
        <v>June</v>
      </c>
      <c r="AD428">
        <f t="shared" si="41"/>
        <v>2024</v>
      </c>
    </row>
    <row r="429" spans="1:30">
      <c r="A429" t="s">
        <v>2116</v>
      </c>
      <c r="B429" t="s">
        <v>2117</v>
      </c>
      <c r="C429" t="s">
        <v>2118</v>
      </c>
      <c r="D429" t="s">
        <v>2119</v>
      </c>
      <c r="E429" t="s">
        <v>60</v>
      </c>
      <c r="F429" t="s">
        <v>115</v>
      </c>
      <c r="G429" t="s">
        <v>279</v>
      </c>
      <c r="H429" t="s">
        <v>319</v>
      </c>
      <c r="I429" t="s">
        <v>320</v>
      </c>
      <c r="J429" t="s">
        <v>93</v>
      </c>
      <c r="K429" t="s">
        <v>94</v>
      </c>
      <c r="L429" t="s">
        <v>2120</v>
      </c>
      <c r="M429" t="s">
        <v>294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41</v>
      </c>
      <c r="U429" t="s">
        <v>42</v>
      </c>
      <c r="V429">
        <f t="shared" si="36"/>
        <v>26454.959999999999</v>
      </c>
      <c r="W429">
        <f t="shared" si="37"/>
        <v>8824.7099999999991</v>
      </c>
      <c r="X429">
        <f t="shared" si="38"/>
        <v>0.33357487594008833</v>
      </c>
      <c r="Y429" t="str">
        <f>_xlfn.TEXTJOIN(", ",TRUE,IF(G429="Unknown","Missing Region",""),IF(M429="Unknown","Missing Ship Mode",""),IF(P429&lt;0,"Negative Discount",""),IF(P429&gt;0.7,"High Discount",""),IF(C429&lt;B429,"Ship Before Order",""))</f>
        <v>Missing Region</v>
      </c>
      <c r="Z429" s="2">
        <f>IFERROR(
  IF(ISNUMBER(B429),B429,
    IF(ISNUMBER(SEARCH("-",B429)*1),
      IF(LEN(LEFT(B429,FIND("-",B429)-1))=4,
        DATE(VALUE(LEFT(B429,4)),VALUE(MID(B429,6,2)),VALUE(RIGHT(B429,2))),
        DATE(VALUE(RIGHT(B429,4)),VALUE(MID(B429,4,2)),VALUE(LEFT(B429,2)))
      ),
      IF(ISNUMBER(SEARCH("/",B429)*1),
        DATE(VALUE(RIGHT(B429,4)),VALUE(LEFT(B429,2)),VALUE(MID(B429,4,2))),
        DATEVALUE(B429)
      )
    )
  ),
"INVALID_DATE")</f>
        <v>45769</v>
      </c>
      <c r="AA429" s="2">
        <f>IFERROR(
  IF(ISNUMBER(C429),C429,
    IF(ISNUMBER(SEARCH("-",C429)*1),
      IF(LEN(LEFT(C429,FIND("-",C429)-1))=4,
        DATE(VALUE(LEFT(C429,4)),VALUE(MID(C429,6,2)),VALUE(RIGHT(C429,2))),
        DATE(VALUE(RIGHT(C429,4)),VALUE(MID(C429,4,2)),VALUE(LEFT(C429,2)))
      ),
      IF(ISNUMBER(SEARCH("/",C429)*1),
        DATE(VALUE(RIGHT(C429,4)),VALUE(LEFT(C429,2)),VALUE(MID(C429,4,2))),
        DATEVALUE(C429)
      )
    )
  ),
"INVALID_DATE")</f>
        <v>45771</v>
      </c>
      <c r="AB429">
        <f t="shared" si="39"/>
        <v>2</v>
      </c>
      <c r="AC429" t="str">
        <f t="shared" si="40"/>
        <v>April</v>
      </c>
      <c r="AD429">
        <f t="shared" si="41"/>
        <v>2025</v>
      </c>
    </row>
    <row r="430" spans="1:30">
      <c r="A430" t="s">
        <v>2121</v>
      </c>
      <c r="B430" t="s">
        <v>2122</v>
      </c>
      <c r="C430" t="s">
        <v>2123</v>
      </c>
      <c r="D430" t="s">
        <v>2124</v>
      </c>
      <c r="E430" t="s">
        <v>32</v>
      </c>
      <c r="F430" t="s">
        <v>48</v>
      </c>
      <c r="G430" t="s">
        <v>49</v>
      </c>
      <c r="H430" t="s">
        <v>128</v>
      </c>
      <c r="I430" t="s">
        <v>129</v>
      </c>
      <c r="J430" t="s">
        <v>93</v>
      </c>
      <c r="K430" t="s">
        <v>230</v>
      </c>
      <c r="L430" t="s">
        <v>2125</v>
      </c>
      <c r="M430" t="s">
        <v>55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144</v>
      </c>
      <c r="U430" t="s">
        <v>85</v>
      </c>
      <c r="V430">
        <f t="shared" si="36"/>
        <v>1853.895</v>
      </c>
      <c r="W430">
        <f t="shared" si="37"/>
        <v>752.66000000000008</v>
      </c>
      <c r="X430">
        <f t="shared" si="38"/>
        <v>0.40598956788158946</v>
      </c>
      <c r="Y430" t="str">
        <f>_xlfn.TEXTJOIN(", ",TRUE,IF(G430="Unknown","Missing Region",""),IF(M430="Unknown","Missing Ship Mode",""),IF(P430&lt;0,"Negative Discount",""),IF(P430&gt;0.7,"High Discount",""),IF(C430&lt;B430,"Ship Before Order",""))</f>
        <v/>
      </c>
      <c r="Z430" s="2">
        <f>IFERROR(
  IF(ISNUMBER(B430),B430,
    IF(ISNUMBER(SEARCH("-",B430)*1),
      IF(LEN(LEFT(B430,FIND("-",B430)-1))=4,
        DATE(VALUE(LEFT(B430,4)),VALUE(MID(B430,6,2)),VALUE(RIGHT(B430,2))),
        DATE(VALUE(RIGHT(B430,4)),VALUE(MID(B430,4,2)),VALUE(LEFT(B430,2)))
      ),
      IF(ISNUMBER(SEARCH("/",B430)*1),
        DATE(VALUE(RIGHT(B430,4)),VALUE(LEFT(B430,2)),VALUE(MID(B430,4,2))),
        DATEVALUE(B430)
      )
    )
  ),
"INVALID_DATE")</f>
        <v>45731</v>
      </c>
      <c r="AA430" s="2">
        <f>IFERROR(
  IF(ISNUMBER(C430),C430,
    IF(ISNUMBER(SEARCH("-",C430)*1),
      IF(LEN(LEFT(C430,FIND("-",C430)-1))=4,
        DATE(VALUE(LEFT(C430,4)),VALUE(MID(C430,6,2)),VALUE(RIGHT(C430,2))),
        DATE(VALUE(RIGHT(C430,4)),VALUE(MID(C430,4,2)),VALUE(LEFT(C430,2)))
      ),
      IF(ISNUMBER(SEARCH("/",C430)*1),
        DATE(VALUE(RIGHT(C430,4)),VALUE(LEFT(C430,2)),VALUE(MID(C430,4,2))),
        DATEVALUE(C430)
      )
    )
  ),
"INVALID_DATE")</f>
        <v>45738</v>
      </c>
      <c r="AB430">
        <f t="shared" si="39"/>
        <v>7</v>
      </c>
      <c r="AC430" t="str">
        <f t="shared" si="40"/>
        <v>March</v>
      </c>
      <c r="AD430">
        <f t="shared" si="41"/>
        <v>2025</v>
      </c>
    </row>
    <row r="431" spans="1:30">
      <c r="A431" t="s">
        <v>2126</v>
      </c>
      <c r="B431" t="s">
        <v>2127</v>
      </c>
      <c r="C431" t="s">
        <v>2128</v>
      </c>
      <c r="D431" t="s">
        <v>2129</v>
      </c>
      <c r="E431" t="s">
        <v>100</v>
      </c>
      <c r="F431" t="s">
        <v>122</v>
      </c>
      <c r="G431" t="s">
        <v>34</v>
      </c>
      <c r="H431" t="s">
        <v>35</v>
      </c>
      <c r="I431" t="s">
        <v>36</v>
      </c>
      <c r="J431" t="s">
        <v>93</v>
      </c>
      <c r="K431" t="s">
        <v>101</v>
      </c>
      <c r="L431" t="s">
        <v>2130</v>
      </c>
      <c r="M431" t="s">
        <v>55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41</v>
      </c>
      <c r="U431" t="s">
        <v>42</v>
      </c>
      <c r="V431">
        <f t="shared" si="36"/>
        <v>17658.599999999999</v>
      </c>
      <c r="W431">
        <f t="shared" si="37"/>
        <v>3816.119999999999</v>
      </c>
      <c r="X431">
        <f t="shared" si="38"/>
        <v>0.21610546702456596</v>
      </c>
      <c r="Y431" t="str">
        <f>_xlfn.TEXTJOIN(", ",TRUE,IF(G431="Unknown","Missing Region",""),IF(M431="Unknown","Missing Ship Mode",""),IF(P431&lt;0,"Negative Discount",""),IF(P431&gt;0.7,"High Discount",""),IF(C431&lt;B431,"Ship Before Order",""))</f>
        <v/>
      </c>
      <c r="Z431" s="2">
        <f>IFERROR(
  IF(ISNUMBER(B431),B431,
    IF(ISNUMBER(SEARCH("-",B431)*1),
      IF(LEN(LEFT(B431,FIND("-",B431)-1))=4,
        DATE(VALUE(LEFT(B431,4)),VALUE(MID(B431,6,2)),VALUE(RIGHT(B431,2))),
        DATE(VALUE(RIGHT(B431,4)),VALUE(MID(B431,4,2)),VALUE(LEFT(B431,2)))
      ),
      IF(ISNUMBER(SEARCH("/",B431)*1),
        DATE(VALUE(RIGHT(B431,4)),VALUE(LEFT(B431,2)),VALUE(MID(B431,4,2))),
        DATEVALUE(B431)
      )
    )
  ),
"INVALID_DATE")</f>
        <v>45717</v>
      </c>
      <c r="AA431" s="2">
        <f>IFERROR(
  IF(ISNUMBER(C431),C431,
    IF(ISNUMBER(SEARCH("-",C431)*1),
      IF(LEN(LEFT(C431,FIND("-",C431)-1))=4,
        DATE(VALUE(LEFT(C431,4)),VALUE(MID(C431,6,2)),VALUE(RIGHT(C431,2))),
        DATE(VALUE(RIGHT(C431,4)),VALUE(MID(C431,4,2)),VALUE(LEFT(C431,2)))
      ),
      IF(ISNUMBER(SEARCH("/",C431)*1),
        DATE(VALUE(RIGHT(C431,4)),VALUE(LEFT(C431,2)),VALUE(MID(C431,4,2))),
        DATEVALUE(C431)
      )
    )
  ),
"INVALID_DATE")</f>
        <v>45724</v>
      </c>
      <c r="AB431">
        <f t="shared" si="39"/>
        <v>7</v>
      </c>
      <c r="AC431" t="str">
        <f t="shared" si="40"/>
        <v>March</v>
      </c>
      <c r="AD431">
        <f t="shared" si="41"/>
        <v>2025</v>
      </c>
    </row>
    <row r="432" spans="1:30">
      <c r="A432" t="s">
        <v>2131</v>
      </c>
      <c r="B432" t="s">
        <v>2132</v>
      </c>
      <c r="C432" t="s">
        <v>2133</v>
      </c>
      <c r="D432" t="s">
        <v>2134</v>
      </c>
      <c r="E432" t="s">
        <v>100</v>
      </c>
      <c r="F432" t="s">
        <v>48</v>
      </c>
      <c r="G432" t="s">
        <v>34</v>
      </c>
      <c r="H432" t="s">
        <v>331</v>
      </c>
      <c r="I432" t="s">
        <v>332</v>
      </c>
      <c r="J432" t="s">
        <v>37</v>
      </c>
      <c r="K432" t="s">
        <v>38</v>
      </c>
      <c r="L432" t="s">
        <v>2135</v>
      </c>
      <c r="M432" t="s">
        <v>40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41</v>
      </c>
      <c r="U432" t="s">
        <v>42</v>
      </c>
      <c r="V432">
        <f t="shared" si="36"/>
        <v>3672.7139999999999</v>
      </c>
      <c r="W432">
        <f t="shared" si="37"/>
        <v>958.48</v>
      </c>
      <c r="X432">
        <f t="shared" si="38"/>
        <v>0.20785196762063979</v>
      </c>
      <c r="Y432" t="str">
        <f>_xlfn.TEXTJOIN(", ",TRUE,IF(G432="Unknown","Missing Region",""),IF(M432="Unknown","Missing Ship Mode",""),IF(P432&lt;0,"Negative Discount",""),IF(P432&gt;0.7,"High Discount",""),IF(C432&lt;B432,"Ship Before Order",""))</f>
        <v>Ship Before Order</v>
      </c>
      <c r="Z432" s="2">
        <f>IFERROR(
  IF(ISNUMBER(B432),B432,
    IF(ISNUMBER(SEARCH("-",B432)*1),
      IF(LEN(LEFT(B432,FIND("-",B432)-1))=4,
        DATE(VALUE(LEFT(B432,4)),VALUE(MID(B432,6,2)),VALUE(RIGHT(B432,2))),
        DATE(VALUE(RIGHT(B432,4)),VALUE(MID(B432,4,2)),VALUE(LEFT(B432,2)))
      ),
      IF(ISNUMBER(SEARCH("/",B432)*1),
        DATE(VALUE(RIGHT(B432,4)),VALUE(LEFT(B432,2)),VALUE(MID(B432,4,2))),
        DATEVALUE(B432)
      )
    )
  ),
"INVALID_DATE")</f>
        <v>45534</v>
      </c>
      <c r="AA432" s="2">
        <f>IFERROR(
  IF(ISNUMBER(C432),C432,
    IF(ISNUMBER(SEARCH("-",C432)*1),
      IF(LEN(LEFT(C432,FIND("-",C432)-1))=4,
        DATE(VALUE(LEFT(C432,4)),VALUE(MID(C432,6,2)),VALUE(RIGHT(C432,2))),
        DATE(VALUE(RIGHT(C432,4)),VALUE(MID(C432,4,2)),VALUE(LEFT(C432,2)))
      ),
      IF(ISNUMBER(SEARCH("/",C432)*1),
        DATE(VALUE(RIGHT(C432,4)),VALUE(LEFT(C432,2)),VALUE(MID(C432,4,2))),
        DATEVALUE(C432)
      )
    )
  ),
"INVALID_DATE")</f>
        <v>45537</v>
      </c>
      <c r="AB432">
        <f t="shared" si="39"/>
        <v>3</v>
      </c>
      <c r="AC432" t="str">
        <f t="shared" si="40"/>
        <v>August</v>
      </c>
      <c r="AD432">
        <f t="shared" si="41"/>
        <v>2024</v>
      </c>
    </row>
    <row r="433" spans="1:30">
      <c r="A433" t="s">
        <v>2136</v>
      </c>
      <c r="B433" t="s">
        <v>2137</v>
      </c>
      <c r="C433" t="s">
        <v>2138</v>
      </c>
      <c r="D433" t="s">
        <v>2139</v>
      </c>
      <c r="E433" t="s">
        <v>32</v>
      </c>
      <c r="F433" t="s">
        <v>122</v>
      </c>
      <c r="G433" t="s">
        <v>80</v>
      </c>
      <c r="H433" t="s">
        <v>256</v>
      </c>
      <c r="I433" t="s">
        <v>257</v>
      </c>
      <c r="J433" t="s">
        <v>93</v>
      </c>
      <c r="K433" t="s">
        <v>390</v>
      </c>
      <c r="L433" t="s">
        <v>2140</v>
      </c>
      <c r="M433" t="s">
        <v>55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41</v>
      </c>
      <c r="U433" t="s">
        <v>42</v>
      </c>
      <c r="V433">
        <f t="shared" si="36"/>
        <v>6177.6749999999993</v>
      </c>
      <c r="W433">
        <f t="shared" si="37"/>
        <v>1656.92</v>
      </c>
      <c r="X433">
        <f t="shared" si="38"/>
        <v>0.26821115404351481</v>
      </c>
      <c r="Y433" t="str">
        <f>_xlfn.TEXTJOIN(", ",TRUE,IF(G433="Unknown","Missing Region",""),IF(M433="Unknown","Missing Ship Mode",""),IF(P433&lt;0,"Negative Discount",""),IF(P433&gt;0.7,"High Discount",""),IF(C433&lt;B433,"Ship Before Order",""))</f>
        <v>Ship Before Order</v>
      </c>
      <c r="Z433" s="2">
        <f>IFERROR(
  IF(ISNUMBER(B433),B433,
    IF(ISNUMBER(SEARCH("-",B433)*1),
      IF(LEN(LEFT(B433,FIND("-",B433)-1))=4,
        DATE(VALUE(LEFT(B433,4)),VALUE(MID(B433,6,2)),VALUE(RIGHT(B433,2))),
        DATE(VALUE(RIGHT(B433,4)),VALUE(MID(B433,4,2)),VALUE(LEFT(B433,2)))
      ),
      IF(ISNUMBER(SEARCH("/",B433)*1),
        DATE(VALUE(RIGHT(B433,4)),VALUE(LEFT(B433,2)),VALUE(MID(B433,4,2))),
        DATEVALUE(B433)
      )
    )
  ),
"INVALID_DATE")</f>
        <v>45332</v>
      </c>
      <c r="AA433" s="2">
        <f>IFERROR(
  IF(ISNUMBER(C433),C433,
    IF(ISNUMBER(SEARCH("-",C433)*1),
      IF(LEN(LEFT(C433,FIND("-",C433)-1))=4,
        DATE(VALUE(LEFT(C433,4)),VALUE(MID(C433,6,2)),VALUE(RIGHT(C433,2))),
        DATE(VALUE(RIGHT(C433,4)),VALUE(MID(C433,4,2)),VALUE(LEFT(C433,2)))
      ),
      IF(ISNUMBER(SEARCH("/",C433)*1),
        DATE(VALUE(RIGHT(C433,4)),VALUE(LEFT(C433,2)),VALUE(MID(C433,4,2))),
        DATEVALUE(C433)
      )
    )
  ),
"INVALID_DATE")</f>
        <v>45335</v>
      </c>
      <c r="AB433">
        <f t="shared" si="39"/>
        <v>3</v>
      </c>
      <c r="AC433" t="str">
        <f t="shared" si="40"/>
        <v>February</v>
      </c>
      <c r="AD433">
        <f t="shared" si="41"/>
        <v>2024</v>
      </c>
    </row>
    <row r="434" spans="1:30">
      <c r="A434" t="s">
        <v>2141</v>
      </c>
      <c r="B434" t="s">
        <v>1958</v>
      </c>
      <c r="C434" t="s">
        <v>2133</v>
      </c>
      <c r="D434" t="s">
        <v>2142</v>
      </c>
      <c r="E434" t="s">
        <v>149</v>
      </c>
      <c r="F434" t="s">
        <v>48</v>
      </c>
      <c r="G434" t="s">
        <v>80</v>
      </c>
      <c r="H434" t="s">
        <v>81</v>
      </c>
      <c r="I434" t="s">
        <v>82</v>
      </c>
      <c r="J434" t="s">
        <v>52</v>
      </c>
      <c r="K434" t="s">
        <v>211</v>
      </c>
      <c r="L434" t="s">
        <v>2143</v>
      </c>
      <c r="M434" t="s">
        <v>74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41</v>
      </c>
      <c r="U434" t="s">
        <v>42</v>
      </c>
      <c r="V434">
        <f t="shared" si="36"/>
        <v>985.07399999999984</v>
      </c>
      <c r="W434">
        <f t="shared" si="37"/>
        <v>140.59000000000003</v>
      </c>
      <c r="X434">
        <f t="shared" si="38"/>
        <v>0.14272082187052695</v>
      </c>
      <c r="Y434" t="str">
        <f>_xlfn.TEXTJOIN(", ",TRUE,IF(G434="Unknown","Missing Region",""),IF(M434="Unknown","Missing Ship Mode",""),IF(P434&lt;0,"Negative Discount",""),IF(P434&gt;0.7,"High Discount",""),IF(C434&lt;B434,"Ship Before Order",""))</f>
        <v>Ship Before Order</v>
      </c>
      <c r="Z434" s="2">
        <f>IFERROR(
  IF(ISNUMBER(B434),B434,
    IF(ISNUMBER(SEARCH("-",B434)*1),
      IF(LEN(LEFT(B434,FIND("-",B434)-1))=4,
        DATE(VALUE(LEFT(B434,4)),VALUE(MID(B434,6,2)),VALUE(RIGHT(B434,2))),
        DATE(VALUE(RIGHT(B434,4)),VALUE(MID(B434,4,2)),VALUE(LEFT(B434,2)))
      ),
      IF(ISNUMBER(SEARCH("/",B434)*1),
        DATE(VALUE(RIGHT(B434,4)),VALUE(LEFT(B434,2)),VALUE(MID(B434,4,2))),
        DATEVALUE(B434)
      )
    )
  ),
"INVALID_DATE")</f>
        <v>45533</v>
      </c>
      <c r="AA434" s="2">
        <f>IFERROR(
  IF(ISNUMBER(C434),C434,
    IF(ISNUMBER(SEARCH("-",C434)*1),
      IF(LEN(LEFT(C434,FIND("-",C434)-1))=4,
        DATE(VALUE(LEFT(C434,4)),VALUE(MID(C434,6,2)),VALUE(RIGHT(C434,2))),
        DATE(VALUE(RIGHT(C434,4)),VALUE(MID(C434,4,2)),VALUE(LEFT(C434,2)))
      ),
      IF(ISNUMBER(SEARCH("/",C434)*1),
        DATE(VALUE(RIGHT(C434,4)),VALUE(LEFT(C434,2)),VALUE(MID(C434,4,2))),
        DATEVALUE(C434)
      )
    )
  ),
"INVALID_DATE")</f>
        <v>45537</v>
      </c>
      <c r="AB434">
        <f t="shared" si="39"/>
        <v>4</v>
      </c>
      <c r="AC434" t="str">
        <f t="shared" si="40"/>
        <v>August</v>
      </c>
      <c r="AD434">
        <f t="shared" si="41"/>
        <v>2024</v>
      </c>
    </row>
    <row r="435" spans="1:30">
      <c r="A435" t="s">
        <v>2144</v>
      </c>
      <c r="B435" t="s">
        <v>2145</v>
      </c>
      <c r="C435" t="s">
        <v>2146</v>
      </c>
      <c r="D435" t="s">
        <v>2147</v>
      </c>
      <c r="E435" t="s">
        <v>149</v>
      </c>
      <c r="F435" t="s">
        <v>115</v>
      </c>
      <c r="G435" t="s">
        <v>69</v>
      </c>
      <c r="H435" t="s">
        <v>249</v>
      </c>
      <c r="I435" t="s">
        <v>250</v>
      </c>
      <c r="J435" t="s">
        <v>37</v>
      </c>
      <c r="K435" t="s">
        <v>61</v>
      </c>
      <c r="L435" t="s">
        <v>2148</v>
      </c>
      <c r="M435" t="s">
        <v>40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131</v>
      </c>
      <c r="U435" t="s">
        <v>132</v>
      </c>
      <c r="V435">
        <f t="shared" si="36"/>
        <v>6160.88</v>
      </c>
      <c r="W435">
        <f t="shared" si="37"/>
        <v>1222.1800000000003</v>
      </c>
      <c r="X435">
        <f t="shared" si="38"/>
        <v>0.1983775045123424</v>
      </c>
      <c r="Y435" t="str">
        <f>_xlfn.TEXTJOIN(", ",TRUE,IF(G435="Unknown","Missing Region",""),IF(M435="Unknown","Missing Ship Mode",""),IF(P435&lt;0,"Negative Discount",""),IF(P435&gt;0.7,"High Discount",""),IF(C435&lt;B435,"Ship Before Order",""))</f>
        <v/>
      </c>
      <c r="Z435" s="2">
        <f>IFERROR(
  IF(ISNUMBER(B435),B435,
    IF(ISNUMBER(SEARCH("-",B435)*1),
      IF(LEN(LEFT(B435,FIND("-",B435)-1))=4,
        DATE(VALUE(LEFT(B435,4)),VALUE(MID(B435,6,2)),VALUE(RIGHT(B435,2))),
        DATE(VALUE(RIGHT(B435,4)),VALUE(MID(B435,4,2)),VALUE(LEFT(B435,2)))
      ),
      IF(ISNUMBER(SEARCH("/",B435)*1),
        DATE(VALUE(RIGHT(B435,4)),VALUE(LEFT(B435,2)),VALUE(MID(B435,4,2))),
        DATEVALUE(B435)
      )
    )
  ),
"INVALID_DATE")</f>
        <v>45401</v>
      </c>
      <c r="AA435" s="2">
        <f>IFERROR(
  IF(ISNUMBER(C435),C435,
    IF(ISNUMBER(SEARCH("-",C435)*1),
      IF(LEN(LEFT(C435,FIND("-",C435)-1))=4,
        DATE(VALUE(LEFT(C435,4)),VALUE(MID(C435,6,2)),VALUE(RIGHT(C435,2))),
        DATE(VALUE(RIGHT(C435,4)),VALUE(MID(C435,4,2)),VALUE(LEFT(C435,2)))
      ),
      IF(ISNUMBER(SEARCH("/",C435)*1),
        DATE(VALUE(RIGHT(C435,4)),VALUE(LEFT(C435,2)),VALUE(MID(C435,4,2))),
        DATEVALUE(C435)
      )
    )
  ),
"INVALID_DATE")</f>
        <v>45402</v>
      </c>
      <c r="AB435">
        <f t="shared" si="39"/>
        <v>1</v>
      </c>
      <c r="AC435" t="str">
        <f t="shared" si="40"/>
        <v>April</v>
      </c>
      <c r="AD435">
        <f t="shared" si="41"/>
        <v>2024</v>
      </c>
    </row>
    <row r="436" spans="1:30">
      <c r="A436" t="s">
        <v>2149</v>
      </c>
      <c r="B436" t="s">
        <v>2150</v>
      </c>
      <c r="C436" t="s">
        <v>2151</v>
      </c>
      <c r="D436" t="s">
        <v>2152</v>
      </c>
      <c r="E436" t="s">
        <v>47</v>
      </c>
      <c r="F436" t="s">
        <v>122</v>
      </c>
      <c r="G436" t="s">
        <v>34</v>
      </c>
      <c r="H436" t="s">
        <v>181</v>
      </c>
      <c r="I436" t="s">
        <v>182</v>
      </c>
      <c r="J436" t="s">
        <v>93</v>
      </c>
      <c r="K436" t="s">
        <v>94</v>
      </c>
      <c r="L436" t="s">
        <v>2153</v>
      </c>
      <c r="M436" t="s">
        <v>40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41</v>
      </c>
      <c r="U436" t="s">
        <v>42</v>
      </c>
      <c r="V436">
        <f t="shared" si="36"/>
        <v>3263.8999999999996</v>
      </c>
      <c r="W436">
        <f t="shared" si="37"/>
        <v>1195.46</v>
      </c>
      <c r="X436">
        <f t="shared" si="38"/>
        <v>0.36626734887711021</v>
      </c>
      <c r="Y436" t="str">
        <f>_xlfn.TEXTJOIN(", ",TRUE,IF(G436="Unknown","Missing Region",""),IF(M436="Unknown","Missing Ship Mode",""),IF(P436&lt;0,"Negative Discount",""),IF(P436&gt;0.7,"High Discount",""),IF(C436&lt;B436,"Ship Before Order",""))</f>
        <v/>
      </c>
      <c r="Z436" s="2">
        <f>IFERROR(
  IF(ISNUMBER(B436),B436,
    IF(ISNUMBER(SEARCH("-",B436)*1),
      IF(LEN(LEFT(B436,FIND("-",B436)-1))=4,
        DATE(VALUE(LEFT(B436,4)),VALUE(MID(B436,6,2)),VALUE(RIGHT(B436,2))),
        DATE(VALUE(RIGHT(B436,4)),VALUE(MID(B436,4,2)),VALUE(LEFT(B436,2)))
      ),
      IF(ISNUMBER(SEARCH("/",B436)*1),
        DATE(VALUE(RIGHT(B436,4)),VALUE(LEFT(B436,2)),VALUE(MID(B436,4,2))),
        DATEVALUE(B436)
      )
    )
  ),
"INVALID_DATE")</f>
        <v>45758</v>
      </c>
      <c r="AA436" s="2">
        <f>IFERROR(
  IF(ISNUMBER(C436),C436,
    IF(ISNUMBER(SEARCH("-",C436)*1),
      IF(LEN(LEFT(C436,FIND("-",C436)-1))=4,
        DATE(VALUE(LEFT(C436,4)),VALUE(MID(C436,6,2)),VALUE(RIGHT(C436,2))),
        DATE(VALUE(RIGHT(C436,4)),VALUE(MID(C436,4,2)),VALUE(LEFT(C436,2)))
      ),
      IF(ISNUMBER(SEARCH("/",C436)*1),
        DATE(VALUE(RIGHT(C436,4)),VALUE(LEFT(C436,2)),VALUE(MID(C436,4,2))),
        DATEVALUE(C436)
      )
    )
  ),
"INVALID_DATE")</f>
        <v>45762</v>
      </c>
      <c r="AB436">
        <f t="shared" si="39"/>
        <v>4</v>
      </c>
      <c r="AC436" t="str">
        <f t="shared" si="40"/>
        <v>April</v>
      </c>
      <c r="AD436">
        <f t="shared" si="41"/>
        <v>2025</v>
      </c>
    </row>
    <row r="437" spans="1:30">
      <c r="A437" t="s">
        <v>2154</v>
      </c>
      <c r="B437" t="s">
        <v>2155</v>
      </c>
      <c r="C437" t="s">
        <v>1036</v>
      </c>
      <c r="D437" t="s">
        <v>2156</v>
      </c>
      <c r="E437" t="s">
        <v>374</v>
      </c>
      <c r="F437" t="s">
        <v>122</v>
      </c>
      <c r="G437" t="s">
        <v>34</v>
      </c>
      <c r="H437" t="s">
        <v>514</v>
      </c>
      <c r="I437" t="s">
        <v>515</v>
      </c>
      <c r="J437" t="s">
        <v>93</v>
      </c>
      <c r="K437" t="s">
        <v>390</v>
      </c>
      <c r="L437" t="s">
        <v>2157</v>
      </c>
      <c r="M437" t="s">
        <v>74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41</v>
      </c>
      <c r="U437" t="s">
        <v>85</v>
      </c>
      <c r="V437">
        <f t="shared" si="36"/>
        <v>2327.0535</v>
      </c>
      <c r="W437">
        <f t="shared" si="37"/>
        <v>407.63000000000011</v>
      </c>
      <c r="X437">
        <f t="shared" si="38"/>
        <v>0.17517027996820006</v>
      </c>
      <c r="Y437" t="str">
        <f>_xlfn.TEXTJOIN(", ",TRUE,IF(G437="Unknown","Missing Region",""),IF(M437="Unknown","Missing Ship Mode",""),IF(P437&lt;0,"Negative Discount",""),IF(P437&gt;0.7,"High Discount",""),IF(C437&lt;B437,"Ship Before Order",""))</f>
        <v>Ship Before Order</v>
      </c>
      <c r="Z437" s="2">
        <f>IFERROR(
  IF(ISNUMBER(B437),B437,
    IF(ISNUMBER(SEARCH("-",B437)*1),
      IF(LEN(LEFT(B437,FIND("-",B437)-1))=4,
        DATE(VALUE(LEFT(B437,4)),VALUE(MID(B437,6,2)),VALUE(RIGHT(B437,2))),
        DATE(VALUE(RIGHT(B437,4)),VALUE(MID(B437,4,2)),VALUE(LEFT(B437,2)))
      ),
      IF(ISNUMBER(SEARCH("/",B437)*1),
        DATE(VALUE(RIGHT(B437,4)),VALUE(LEFT(B437,2)),VALUE(MID(B437,4,2))),
        DATEVALUE(B437)
      )
    )
  ),
"INVALID_DATE")</f>
        <v>45759</v>
      </c>
      <c r="AA437" s="2">
        <f>IFERROR(
  IF(ISNUMBER(C437),C437,
    IF(ISNUMBER(SEARCH("-",C437)*1),
      IF(LEN(LEFT(C437,FIND("-",C437)-1))=4,
        DATE(VALUE(LEFT(C437,4)),VALUE(MID(C437,6,2)),VALUE(RIGHT(C437,2))),
        DATE(VALUE(RIGHT(C437,4)),VALUE(MID(C437,4,2)),VALUE(LEFT(C437,2)))
      ),
      IF(ISNUMBER(SEARCH("/",C437)*1),
        DATE(VALUE(RIGHT(C437,4)),VALUE(LEFT(C437,2)),VALUE(MID(C437,4,2))),
        DATEVALUE(C437)
      )
    )
  ),
"INVALID_DATE")</f>
        <v>45767</v>
      </c>
      <c r="AB437">
        <f t="shared" si="39"/>
        <v>8</v>
      </c>
      <c r="AC437" t="str">
        <f t="shared" si="40"/>
        <v>April</v>
      </c>
      <c r="AD437">
        <f t="shared" si="41"/>
        <v>2025</v>
      </c>
    </row>
    <row r="438" spans="1:30">
      <c r="A438" t="s">
        <v>2158</v>
      </c>
      <c r="B438" t="s">
        <v>2159</v>
      </c>
      <c r="C438" t="s">
        <v>2160</v>
      </c>
      <c r="D438" t="s">
        <v>2161</v>
      </c>
      <c r="E438" t="s">
        <v>100</v>
      </c>
      <c r="F438" t="s">
        <v>33</v>
      </c>
      <c r="G438" t="s">
        <v>69</v>
      </c>
      <c r="H438" t="s">
        <v>249</v>
      </c>
      <c r="I438" t="s">
        <v>250</v>
      </c>
      <c r="J438" t="s">
        <v>52</v>
      </c>
      <c r="K438" t="s">
        <v>72</v>
      </c>
      <c r="L438" t="s">
        <v>2162</v>
      </c>
      <c r="M438" t="s">
        <v>55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41</v>
      </c>
      <c r="U438" t="s">
        <v>132</v>
      </c>
      <c r="V438">
        <f t="shared" si="36"/>
        <v>6593.6460000000006</v>
      </c>
      <c r="W438">
        <f t="shared" si="37"/>
        <v>2234.2599999999993</v>
      </c>
      <c r="X438">
        <f t="shared" si="38"/>
        <v>0.33885025744466274</v>
      </c>
      <c r="Y438" t="str">
        <f>_xlfn.TEXTJOIN(", ",TRUE,IF(G438="Unknown","Missing Region",""),IF(M438="Unknown","Missing Ship Mode",""),IF(P438&lt;0,"Negative Discount",""),IF(P438&gt;0.7,"High Discount",""),IF(C438&lt;B438,"Ship Before Order",""))</f>
        <v/>
      </c>
      <c r="Z438" s="2">
        <f>IFERROR(
  IF(ISNUMBER(B438),B438,
    IF(ISNUMBER(SEARCH("-",B438)*1),
      IF(LEN(LEFT(B438,FIND("-",B438)-1))=4,
        DATE(VALUE(LEFT(B438,4)),VALUE(MID(B438,6,2)),VALUE(RIGHT(B438,2))),
        DATE(VALUE(RIGHT(B438,4)),VALUE(MID(B438,4,2)),VALUE(LEFT(B438,2)))
      ),
      IF(ISNUMBER(SEARCH("/",B438)*1),
        DATE(VALUE(RIGHT(B438,4)),VALUE(LEFT(B438,2)),VALUE(MID(B438,4,2))),
        DATEVALUE(B438)
      )
    )
  ),
"INVALID_DATE")</f>
        <v>45459</v>
      </c>
      <c r="AA438" s="2">
        <f>IFERROR(
  IF(ISNUMBER(C438),C438,
    IF(ISNUMBER(SEARCH("-",C438)*1),
      IF(LEN(LEFT(C438,FIND("-",C438)-1))=4,
        DATE(VALUE(LEFT(C438,4)),VALUE(MID(C438,6,2)),VALUE(RIGHT(C438,2))),
        DATE(VALUE(RIGHT(C438,4)),VALUE(MID(C438,4,2)),VALUE(LEFT(C438,2)))
      ),
      IF(ISNUMBER(SEARCH("/",C438)*1),
        DATE(VALUE(RIGHT(C438,4)),VALUE(LEFT(C438,2)),VALUE(MID(C438,4,2))),
        DATEVALUE(C438)
      )
    )
  ),
"INVALID_DATE")</f>
        <v>45464</v>
      </c>
      <c r="AB438">
        <f t="shared" si="39"/>
        <v>5</v>
      </c>
      <c r="AC438" t="str">
        <f t="shared" si="40"/>
        <v>June</v>
      </c>
      <c r="AD438">
        <f t="shared" si="41"/>
        <v>2024</v>
      </c>
    </row>
    <row r="439" spans="1:30">
      <c r="A439" t="s">
        <v>2163</v>
      </c>
      <c r="B439" t="s">
        <v>2164</v>
      </c>
      <c r="C439" t="s">
        <v>2165</v>
      </c>
      <c r="D439" t="s">
        <v>2166</v>
      </c>
      <c r="E439" t="s">
        <v>114</v>
      </c>
      <c r="F439" t="s">
        <v>48</v>
      </c>
      <c r="G439" t="s">
        <v>69</v>
      </c>
      <c r="H439" t="s">
        <v>249</v>
      </c>
      <c r="I439" t="s">
        <v>250</v>
      </c>
      <c r="J439" t="s">
        <v>93</v>
      </c>
      <c r="K439" t="s">
        <v>94</v>
      </c>
      <c r="L439" t="s">
        <v>2167</v>
      </c>
      <c r="M439" t="s">
        <v>55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207</v>
      </c>
      <c r="U439" t="s">
        <v>132</v>
      </c>
      <c r="V439">
        <f t="shared" si="36"/>
        <v>2886.6319999999996</v>
      </c>
      <c r="W439">
        <f t="shared" si="37"/>
        <v>1298.4000000000001</v>
      </c>
      <c r="X439">
        <f t="shared" si="38"/>
        <v>0.44979786117375625</v>
      </c>
      <c r="Y439" t="str">
        <f>_xlfn.TEXTJOIN(", ",TRUE,IF(G439="Unknown","Missing Region",""),IF(M439="Unknown","Missing Ship Mode",""),IF(P439&lt;0,"Negative Discount",""),IF(P439&gt;0.7,"High Discount",""),IF(C439&lt;B439,"Ship Before Order",""))</f>
        <v/>
      </c>
      <c r="Z439" s="2">
        <f>IFERROR(
  IF(ISNUMBER(B439),B439,
    IF(ISNUMBER(SEARCH("-",B439)*1),
      IF(LEN(LEFT(B439,FIND("-",B439)-1))=4,
        DATE(VALUE(LEFT(B439,4)),VALUE(MID(B439,6,2)),VALUE(RIGHT(B439,2))),
        DATE(VALUE(RIGHT(B439,4)),VALUE(MID(B439,4,2)),VALUE(LEFT(B439,2)))
      ),
      IF(ISNUMBER(SEARCH("/",B439)*1),
        DATE(VALUE(RIGHT(B439,4)),VALUE(LEFT(B439,2)),VALUE(MID(B439,4,2))),
        DATEVALUE(B439)
      )
    )
  ),
"INVALID_DATE")</f>
        <v>45337</v>
      </c>
      <c r="AA439" s="2">
        <f>IFERROR(
  IF(ISNUMBER(C439),C439,
    IF(ISNUMBER(SEARCH("-",C439)*1),
      IF(LEN(LEFT(C439,FIND("-",C439)-1))=4,
        DATE(VALUE(LEFT(C439,4)),VALUE(MID(C439,6,2)),VALUE(RIGHT(C439,2))),
        DATE(VALUE(RIGHT(C439,4)),VALUE(MID(C439,4,2)),VALUE(LEFT(C439,2)))
      ),
      IF(ISNUMBER(SEARCH("/",C439)*1),
        DATE(VALUE(RIGHT(C439,4)),VALUE(LEFT(C439,2)),VALUE(MID(C439,4,2))),
        DATEVALUE(C439)
      )
    )
  ),
"INVALID_DATE")</f>
        <v>45340</v>
      </c>
      <c r="AB439">
        <f t="shared" si="39"/>
        <v>3</v>
      </c>
      <c r="AC439" t="str">
        <f t="shared" si="40"/>
        <v>February</v>
      </c>
      <c r="AD439">
        <f t="shared" si="41"/>
        <v>2024</v>
      </c>
    </row>
    <row r="440" spans="1:30">
      <c r="A440" t="s">
        <v>2168</v>
      </c>
      <c r="B440" t="s">
        <v>1031</v>
      </c>
      <c r="C440" t="s">
        <v>2169</v>
      </c>
      <c r="D440" t="s">
        <v>2170</v>
      </c>
      <c r="E440" t="s">
        <v>100</v>
      </c>
      <c r="F440" t="s">
        <v>115</v>
      </c>
      <c r="G440" t="s">
        <v>49</v>
      </c>
      <c r="H440" t="s">
        <v>319</v>
      </c>
      <c r="I440" t="s">
        <v>320</v>
      </c>
      <c r="J440" t="s">
        <v>93</v>
      </c>
      <c r="K440" t="s">
        <v>230</v>
      </c>
      <c r="L440" t="s">
        <v>2171</v>
      </c>
      <c r="M440" t="s">
        <v>74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41</v>
      </c>
      <c r="U440" t="s">
        <v>42</v>
      </c>
      <c r="V440">
        <f t="shared" si="36"/>
        <v>1813.1759999999999</v>
      </c>
      <c r="W440">
        <f t="shared" si="37"/>
        <v>449.53999999999996</v>
      </c>
      <c r="X440">
        <f t="shared" si="38"/>
        <v>0.24792905282431971</v>
      </c>
      <c r="Y440" t="str">
        <f>_xlfn.TEXTJOIN(", ",TRUE,IF(G440="Unknown","Missing Region",""),IF(M440="Unknown","Missing Ship Mode",""),IF(P440&lt;0,"Negative Discount",""),IF(P440&gt;0.7,"High Discount",""),IF(C440&lt;B440,"Ship Before Order",""))</f>
        <v>Ship Before Order</v>
      </c>
      <c r="Z440" s="2">
        <f>IFERROR(
  IF(ISNUMBER(B440),B440,
    IF(ISNUMBER(SEARCH("-",B440)*1),
      IF(LEN(LEFT(B440,FIND("-",B440)-1))=4,
        DATE(VALUE(LEFT(B440,4)),VALUE(MID(B440,6,2)),VALUE(RIGHT(B440,2))),
        DATE(VALUE(RIGHT(B440,4)),VALUE(MID(B440,4,2)),VALUE(LEFT(B440,2)))
      ),
      IF(ISNUMBER(SEARCH("/",B440)*1),
        DATE(VALUE(RIGHT(B440,4)),VALUE(LEFT(B440,2)),VALUE(MID(B440,4,2))),
        DATEVALUE(B440)
      )
    )
  ),
"INVALID_DATE")</f>
        <v>45784</v>
      </c>
      <c r="AA440" s="2">
        <f>IFERROR(
  IF(ISNUMBER(C440),C440,
    IF(ISNUMBER(SEARCH("-",C440)*1),
      IF(LEN(LEFT(C440,FIND("-",C440)-1))=4,
        DATE(VALUE(LEFT(C440,4)),VALUE(MID(C440,6,2)),VALUE(RIGHT(C440,2))),
        DATE(VALUE(RIGHT(C440,4)),VALUE(MID(C440,4,2)),VALUE(LEFT(C440,2)))
      ),
      IF(ISNUMBER(SEARCH("/",C440)*1),
        DATE(VALUE(RIGHT(C440,4)),VALUE(LEFT(C440,2)),VALUE(MID(C440,4,2))),
        DATEVALUE(C440)
      )
    )
  ),
"INVALID_DATE")</f>
        <v>45782</v>
      </c>
      <c r="AB440">
        <f t="shared" si="39"/>
        <v>-2</v>
      </c>
      <c r="AC440" t="str">
        <f t="shared" si="40"/>
        <v>May</v>
      </c>
      <c r="AD440">
        <f t="shared" si="41"/>
        <v>2025</v>
      </c>
    </row>
    <row r="441" spans="1:30">
      <c r="A441" t="s">
        <v>2172</v>
      </c>
      <c r="B441" t="s">
        <v>2173</v>
      </c>
      <c r="C441" t="s">
        <v>2174</v>
      </c>
      <c r="D441" t="s">
        <v>2175</v>
      </c>
      <c r="E441" t="s">
        <v>169</v>
      </c>
      <c r="F441" t="s">
        <v>122</v>
      </c>
      <c r="G441" t="s">
        <v>80</v>
      </c>
      <c r="H441" t="s">
        <v>256</v>
      </c>
      <c r="I441" t="s">
        <v>257</v>
      </c>
      <c r="J441" t="s">
        <v>37</v>
      </c>
      <c r="K441" t="s">
        <v>163</v>
      </c>
      <c r="L441" t="s">
        <v>2176</v>
      </c>
      <c r="M441" t="s">
        <v>55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131</v>
      </c>
      <c r="U441" t="s">
        <v>132</v>
      </c>
      <c r="V441">
        <f t="shared" si="36"/>
        <v>3326.25</v>
      </c>
      <c r="W441">
        <f t="shared" si="37"/>
        <v>636.88999999999987</v>
      </c>
      <c r="X441">
        <f t="shared" si="38"/>
        <v>0.19147388199924839</v>
      </c>
      <c r="Y441" t="str">
        <f>_xlfn.TEXTJOIN(", ",TRUE,IF(G441="Unknown","Missing Region",""),IF(M441="Unknown","Missing Ship Mode",""),IF(P441&lt;0,"Negative Discount",""),IF(P441&gt;0.7,"High Discount",""),IF(C441&lt;B441,"Ship Before Order",""))</f>
        <v>Ship Before Order</v>
      </c>
      <c r="Z441" s="2">
        <f>IFERROR(
  IF(ISNUMBER(B441),B441,
    IF(ISNUMBER(SEARCH("-",B441)*1),
      IF(LEN(LEFT(B441,FIND("-",B441)-1))=4,
        DATE(VALUE(LEFT(B441,4)),VALUE(MID(B441,6,2)),VALUE(RIGHT(B441,2))),
        DATE(VALUE(RIGHT(B441,4)),VALUE(MID(B441,4,2)),VALUE(LEFT(B441,2)))
      ),
      IF(ISNUMBER(SEARCH("/",B441)*1),
        DATE(VALUE(RIGHT(B441,4)),VALUE(LEFT(B441,2)),VALUE(MID(B441,4,2))),
        DATEVALUE(B441)
      )
    )
  ),
"INVALID_DATE")</f>
        <v>45838</v>
      </c>
      <c r="AA441" s="2">
        <f>IFERROR(
  IF(ISNUMBER(C441),C441,
    IF(ISNUMBER(SEARCH("-",C441)*1),
      IF(LEN(LEFT(C441,FIND("-",C441)-1))=4,
        DATE(VALUE(LEFT(C441,4)),VALUE(MID(C441,6,2)),VALUE(RIGHT(C441,2))),
        DATE(VALUE(RIGHT(C441,4)),VALUE(MID(C441,4,2)),VALUE(LEFT(C441,2)))
      ),
      IF(ISNUMBER(SEARCH("/",C441)*1),
        DATE(VALUE(RIGHT(C441,4)),VALUE(LEFT(C441,2)),VALUE(MID(C441,4,2))),
        DATEVALUE(C441)
      )
    )
  ),
"INVALID_DATE")</f>
        <v>45841</v>
      </c>
      <c r="AB441">
        <f t="shared" si="39"/>
        <v>3</v>
      </c>
      <c r="AC441" t="str">
        <f t="shared" si="40"/>
        <v>June</v>
      </c>
      <c r="AD441">
        <f t="shared" si="41"/>
        <v>2025</v>
      </c>
    </row>
    <row r="442" spans="1:30">
      <c r="A442" t="s">
        <v>2177</v>
      </c>
      <c r="B442" t="s">
        <v>2178</v>
      </c>
      <c r="C442" t="s">
        <v>2179</v>
      </c>
      <c r="D442" t="s">
        <v>384</v>
      </c>
      <c r="E442" t="s">
        <v>90</v>
      </c>
      <c r="F442" t="s">
        <v>115</v>
      </c>
      <c r="G442" t="s">
        <v>49</v>
      </c>
      <c r="H442" t="s">
        <v>50</v>
      </c>
      <c r="I442" t="s">
        <v>51</v>
      </c>
      <c r="J442" t="s">
        <v>93</v>
      </c>
      <c r="K442" t="s">
        <v>390</v>
      </c>
      <c r="L442" t="s">
        <v>2180</v>
      </c>
      <c r="M442" t="s">
        <v>40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41</v>
      </c>
      <c r="U442" t="s">
        <v>42</v>
      </c>
      <c r="V442">
        <f t="shared" si="36"/>
        <v>17869.632000000001</v>
      </c>
      <c r="W442">
        <f t="shared" si="37"/>
        <v>5705.8300000000017</v>
      </c>
      <c r="X442">
        <f t="shared" si="38"/>
        <v>0.31930319765994031</v>
      </c>
      <c r="Y442" t="str">
        <f>_xlfn.TEXTJOIN(", ",TRUE,IF(G442="Unknown","Missing Region",""),IF(M442="Unknown","Missing Ship Mode",""),IF(P442&lt;0,"Negative Discount",""),IF(P442&gt;0.7,"High Discount",""),IF(C442&lt;B442,"Ship Before Order",""))</f>
        <v/>
      </c>
      <c r="Z442" s="2">
        <f>IFERROR(
  IF(ISNUMBER(B442),B442,
    IF(ISNUMBER(SEARCH("-",B442)*1),
      IF(LEN(LEFT(B442,FIND("-",B442)-1))=4,
        DATE(VALUE(LEFT(B442,4)),VALUE(MID(B442,6,2)),VALUE(RIGHT(B442,2))),
        DATE(VALUE(RIGHT(B442,4)),VALUE(MID(B442,4,2)),VALUE(LEFT(B442,2)))
      ),
      IF(ISNUMBER(SEARCH("/",B442)*1),
        DATE(VALUE(RIGHT(B442,4)),VALUE(LEFT(B442,2)),VALUE(MID(B442,4,2))),
        DATEVALUE(B442)
      )
    )
  ),
"INVALID_DATE")</f>
        <v>45384</v>
      </c>
      <c r="AA442" s="2">
        <f>IFERROR(
  IF(ISNUMBER(C442),C442,
    IF(ISNUMBER(SEARCH("-",C442)*1),
      IF(LEN(LEFT(C442,FIND("-",C442)-1))=4,
        DATE(VALUE(LEFT(C442,4)),VALUE(MID(C442,6,2)),VALUE(RIGHT(C442,2))),
        DATE(VALUE(RIGHT(C442,4)),VALUE(MID(C442,4,2)),VALUE(LEFT(C442,2)))
      ),
      IF(ISNUMBER(SEARCH("/",C442)*1),
        DATE(VALUE(RIGHT(C442,4)),VALUE(LEFT(C442,2)),VALUE(MID(C442,4,2))),
        DATEVALUE(C442)
      )
    )
  ),
"INVALID_DATE")</f>
        <v>45390</v>
      </c>
      <c r="AB442">
        <f t="shared" si="39"/>
        <v>6</v>
      </c>
      <c r="AC442" t="str">
        <f t="shared" si="40"/>
        <v>April</v>
      </c>
      <c r="AD442">
        <f t="shared" si="41"/>
        <v>2024</v>
      </c>
    </row>
    <row r="443" spans="1:30">
      <c r="A443" t="s">
        <v>2181</v>
      </c>
      <c r="B443" t="s">
        <v>2182</v>
      </c>
      <c r="C443" t="s">
        <v>533</v>
      </c>
      <c r="D443" t="s">
        <v>2183</v>
      </c>
      <c r="E443" t="s">
        <v>32</v>
      </c>
      <c r="F443" t="s">
        <v>33</v>
      </c>
      <c r="G443" t="s">
        <v>49</v>
      </c>
      <c r="H443" t="s">
        <v>193</v>
      </c>
      <c r="I443" t="s">
        <v>194</v>
      </c>
      <c r="J443" t="s">
        <v>52</v>
      </c>
      <c r="K443" t="s">
        <v>211</v>
      </c>
      <c r="L443" t="s">
        <v>2184</v>
      </c>
      <c r="M443" t="s">
        <v>74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41</v>
      </c>
      <c r="U443" t="s">
        <v>85</v>
      </c>
      <c r="V443">
        <f t="shared" si="36"/>
        <v>25304.94</v>
      </c>
      <c r="W443">
        <f t="shared" si="37"/>
        <v>4532.989999999998</v>
      </c>
      <c r="X443">
        <f t="shared" si="38"/>
        <v>0.17913458795002082</v>
      </c>
      <c r="Y443" t="str">
        <f>_xlfn.TEXTJOIN(", ",TRUE,IF(G443="Unknown","Missing Region",""),IF(M443="Unknown","Missing Ship Mode",""),IF(P443&lt;0,"Negative Discount",""),IF(P443&gt;0.7,"High Discount",""),IF(C443&lt;B443,"Ship Before Order",""))</f>
        <v/>
      </c>
      <c r="Z443" s="2">
        <f>IFERROR(
  IF(ISNUMBER(B443),B443,
    IF(ISNUMBER(SEARCH("-",B443)*1),
      IF(LEN(LEFT(B443,FIND("-",B443)-1))=4,
        DATE(VALUE(LEFT(B443,4)),VALUE(MID(B443,6,2)),VALUE(RIGHT(B443,2))),
        DATE(VALUE(RIGHT(B443,4)),VALUE(MID(B443,4,2)),VALUE(LEFT(B443,2)))
      ),
      IF(ISNUMBER(SEARCH("/",B443)*1),
        DATE(VALUE(RIGHT(B443,4)),VALUE(LEFT(B443,2)),VALUE(MID(B443,4,2))),
        DATEVALUE(B443)
      )
    )
  ),
"INVALID_DATE")</f>
        <v>45568</v>
      </c>
      <c r="AA443" s="2">
        <f>IFERROR(
  IF(ISNUMBER(C443),C443,
    IF(ISNUMBER(SEARCH("-",C443)*1),
      IF(LEN(LEFT(C443,FIND("-",C443)-1))=4,
        DATE(VALUE(LEFT(C443,4)),VALUE(MID(C443,6,2)),VALUE(RIGHT(C443,2))),
        DATE(VALUE(RIGHT(C443,4)),VALUE(MID(C443,4,2)),VALUE(LEFT(C443,2)))
      ),
      IF(ISNUMBER(SEARCH("/",C443)*1),
        DATE(VALUE(RIGHT(C443,4)),VALUE(LEFT(C443,2)),VALUE(MID(C443,4,2))),
        DATEVALUE(C443)
      )
    )
  ),
"INVALID_DATE")</f>
        <v>45568</v>
      </c>
      <c r="AB443">
        <f t="shared" si="39"/>
        <v>0</v>
      </c>
      <c r="AC443" t="str">
        <f t="shared" si="40"/>
        <v>October</v>
      </c>
      <c r="AD443">
        <f t="shared" si="41"/>
        <v>2024</v>
      </c>
    </row>
    <row r="444" spans="1:30">
      <c r="A444" t="s">
        <v>2185</v>
      </c>
      <c r="B444" t="s">
        <v>2186</v>
      </c>
      <c r="C444" t="s">
        <v>2187</v>
      </c>
      <c r="D444" t="s">
        <v>2188</v>
      </c>
      <c r="E444" t="s">
        <v>169</v>
      </c>
      <c r="F444" t="s">
        <v>33</v>
      </c>
      <c r="G444" t="s">
        <v>49</v>
      </c>
      <c r="H444" t="s">
        <v>319</v>
      </c>
      <c r="I444" t="s">
        <v>320</v>
      </c>
      <c r="J444" t="s">
        <v>52</v>
      </c>
      <c r="K444" t="s">
        <v>53</v>
      </c>
      <c r="L444" t="s">
        <v>2189</v>
      </c>
      <c r="M444" t="s">
        <v>63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41</v>
      </c>
      <c r="U444" t="s">
        <v>42</v>
      </c>
      <c r="V444">
        <f t="shared" si="36"/>
        <v>1842.31</v>
      </c>
      <c r="W444">
        <f t="shared" si="37"/>
        <v>823.14</v>
      </c>
      <c r="X444">
        <f t="shared" si="38"/>
        <v>0.44679777019068451</v>
      </c>
      <c r="Y444" t="str">
        <f>_xlfn.TEXTJOIN(", ",TRUE,IF(G444="Unknown","Missing Region",""),IF(M444="Unknown","Missing Ship Mode",""),IF(P444&lt;0,"Negative Discount",""),IF(P444&gt;0.7,"High Discount",""),IF(C444&lt;B444,"Ship Before Order",""))</f>
        <v/>
      </c>
      <c r="Z444" s="2">
        <f>IFERROR(
  IF(ISNUMBER(B444),B444,
    IF(ISNUMBER(SEARCH("-",B444)*1),
      IF(LEN(LEFT(B444,FIND("-",B444)-1))=4,
        DATE(VALUE(LEFT(B444,4)),VALUE(MID(B444,6,2)),VALUE(RIGHT(B444,2))),
        DATE(VALUE(RIGHT(B444,4)),VALUE(MID(B444,4,2)),VALUE(LEFT(B444,2)))
      ),
      IF(ISNUMBER(SEARCH("/",B444)*1),
        DATE(VALUE(RIGHT(B444,4)),VALUE(LEFT(B444,2)),VALUE(MID(B444,4,2))),
        DATEVALUE(B444)
      )
    )
  ),
"INVALID_DATE")</f>
        <v>45669</v>
      </c>
      <c r="AA444" s="2">
        <f>IFERROR(
  IF(ISNUMBER(C444),C444,
    IF(ISNUMBER(SEARCH("-",C444)*1),
      IF(LEN(LEFT(C444,FIND("-",C444)-1))=4,
        DATE(VALUE(LEFT(C444,4)),VALUE(MID(C444,6,2)),VALUE(RIGHT(C444,2))),
        DATE(VALUE(RIGHT(C444,4)),VALUE(MID(C444,4,2)),VALUE(LEFT(C444,2)))
      ),
      IF(ISNUMBER(SEARCH("/",C444)*1),
        DATE(VALUE(RIGHT(C444,4)),VALUE(LEFT(C444,2)),VALUE(MID(C444,4,2))),
        DATEVALUE(C444)
      )
    )
  ),
"INVALID_DATE")</f>
        <v>45676</v>
      </c>
      <c r="AB444">
        <f t="shared" si="39"/>
        <v>7</v>
      </c>
      <c r="AC444" t="str">
        <f t="shared" si="40"/>
        <v>January</v>
      </c>
      <c r="AD444">
        <f t="shared" si="41"/>
        <v>2025</v>
      </c>
    </row>
    <row r="445" spans="1:30">
      <c r="A445" t="s">
        <v>2190</v>
      </c>
      <c r="B445" t="s">
        <v>2191</v>
      </c>
      <c r="C445" t="s">
        <v>1902</v>
      </c>
      <c r="D445" t="s">
        <v>2192</v>
      </c>
      <c r="E445" t="s">
        <v>187</v>
      </c>
      <c r="F445" t="s">
        <v>122</v>
      </c>
      <c r="G445" t="s">
        <v>49</v>
      </c>
      <c r="H445" t="s">
        <v>50</v>
      </c>
      <c r="I445" t="s">
        <v>51</v>
      </c>
      <c r="J445" t="s">
        <v>52</v>
      </c>
      <c r="K445" t="s">
        <v>72</v>
      </c>
      <c r="L445" t="s">
        <v>2193</v>
      </c>
      <c r="M445" t="s">
        <v>63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41</v>
      </c>
      <c r="U445" t="s">
        <v>42</v>
      </c>
      <c r="V445">
        <f t="shared" si="36"/>
        <v>3315.375</v>
      </c>
      <c r="W445">
        <f t="shared" si="37"/>
        <v>967.70000000000027</v>
      </c>
      <c r="X445">
        <f t="shared" si="38"/>
        <v>0.29188207686600026</v>
      </c>
      <c r="Y445" t="str">
        <f>_xlfn.TEXTJOIN(", ",TRUE,IF(G445="Unknown","Missing Region",""),IF(M445="Unknown","Missing Ship Mode",""),IF(P445&lt;0,"Negative Discount",""),IF(P445&gt;0.7,"High Discount",""),IF(C445&lt;B445,"Ship Before Order",""))</f>
        <v/>
      </c>
      <c r="Z445" s="2">
        <f>IFERROR(
  IF(ISNUMBER(B445),B445,
    IF(ISNUMBER(SEARCH("-",B445)*1),
      IF(LEN(LEFT(B445,FIND("-",B445)-1))=4,
        DATE(VALUE(LEFT(B445,4)),VALUE(MID(B445,6,2)),VALUE(RIGHT(B445,2))),
        DATE(VALUE(RIGHT(B445,4)),VALUE(MID(B445,4,2)),VALUE(LEFT(B445,2)))
      ),
      IF(ISNUMBER(SEARCH("/",B445)*1),
        DATE(VALUE(RIGHT(B445,4)),VALUE(LEFT(B445,2)),VALUE(MID(B445,4,2))),
        DATEVALUE(B445)
      )
    )
  ),
"INVALID_DATE")</f>
        <v>45386</v>
      </c>
      <c r="AA445" s="2">
        <f>IFERROR(
  IF(ISNUMBER(C445),C445,
    IF(ISNUMBER(SEARCH("-",C445)*1),
      IF(LEN(LEFT(C445,FIND("-",C445)-1))=4,
        DATE(VALUE(LEFT(C445,4)),VALUE(MID(C445,6,2)),VALUE(RIGHT(C445,2))),
        DATE(VALUE(RIGHT(C445,4)),VALUE(MID(C445,4,2)),VALUE(LEFT(C445,2)))
      ),
      IF(ISNUMBER(SEARCH("/",C445)*1),
        DATE(VALUE(RIGHT(C445,4)),VALUE(LEFT(C445,2)),VALUE(MID(C445,4,2))),
        DATEVALUE(C445)
      )
    )
  ),
"INVALID_DATE")</f>
        <v>45389</v>
      </c>
      <c r="AB445">
        <f t="shared" si="39"/>
        <v>3</v>
      </c>
      <c r="AC445" t="str">
        <f t="shared" si="40"/>
        <v>April</v>
      </c>
      <c r="AD445">
        <f t="shared" si="41"/>
        <v>2024</v>
      </c>
    </row>
    <row r="446" spans="1:30">
      <c r="A446" t="s">
        <v>2194</v>
      </c>
      <c r="B446" t="s">
        <v>2195</v>
      </c>
      <c r="C446" t="s">
        <v>1867</v>
      </c>
      <c r="D446" t="s">
        <v>2196</v>
      </c>
      <c r="E446" t="s">
        <v>79</v>
      </c>
      <c r="F446" t="s">
        <v>33</v>
      </c>
      <c r="G446" t="s">
        <v>49</v>
      </c>
      <c r="H446" t="s">
        <v>223</v>
      </c>
      <c r="I446" t="s">
        <v>224</v>
      </c>
      <c r="J446" t="s">
        <v>93</v>
      </c>
      <c r="K446" t="s">
        <v>94</v>
      </c>
      <c r="L446" t="s">
        <v>2197</v>
      </c>
      <c r="M446" t="s">
        <v>55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41</v>
      </c>
      <c r="U446" t="s">
        <v>42</v>
      </c>
      <c r="V446">
        <f t="shared" si="36"/>
        <v>20342.501999999997</v>
      </c>
      <c r="W446">
        <f t="shared" si="37"/>
        <v>7934.99</v>
      </c>
      <c r="X446">
        <f t="shared" si="38"/>
        <v>0.39006955880545657</v>
      </c>
      <c r="Y446" t="str">
        <f>_xlfn.TEXTJOIN(", ",TRUE,IF(G446="Unknown","Missing Region",""),IF(M446="Unknown","Missing Ship Mode",""),IF(P446&lt;0,"Negative Discount",""),IF(P446&gt;0.7,"High Discount",""),IF(C446&lt;B446,"Ship Before Order",""))</f>
        <v/>
      </c>
      <c r="Z446" s="2">
        <f>IFERROR(
  IF(ISNUMBER(B446),B446,
    IF(ISNUMBER(SEARCH("-",B446)*1),
      IF(LEN(LEFT(B446,FIND("-",B446)-1))=4,
        DATE(VALUE(LEFT(B446,4)),VALUE(MID(B446,6,2)),VALUE(RIGHT(B446,2))),
        DATE(VALUE(RIGHT(B446,4)),VALUE(MID(B446,4,2)),VALUE(LEFT(B446,2)))
      ),
      IF(ISNUMBER(SEARCH("/",B446)*1),
        DATE(VALUE(RIGHT(B446,4)),VALUE(LEFT(B446,2)),VALUE(MID(B446,4,2))),
        DATEVALUE(B446)
      )
    )
  ),
"INVALID_DATE")</f>
        <v>45881</v>
      </c>
      <c r="AA446" s="2">
        <f>IFERROR(
  IF(ISNUMBER(C446),C446,
    IF(ISNUMBER(SEARCH("-",C446)*1),
      IF(LEN(LEFT(C446,FIND("-",C446)-1))=4,
        DATE(VALUE(LEFT(C446,4)),VALUE(MID(C446,6,2)),VALUE(RIGHT(C446,2))),
        DATE(VALUE(RIGHT(C446,4)),VALUE(MID(C446,4,2)),VALUE(LEFT(C446,2)))
      ),
      IF(ISNUMBER(SEARCH("/",C446)*1),
        DATE(VALUE(RIGHT(C446,4)),VALUE(LEFT(C446,2)),VALUE(MID(C446,4,2))),
        DATEVALUE(C446)
      )
    )
  ),
"INVALID_DATE")</f>
        <v>45885</v>
      </c>
      <c r="AB446">
        <f t="shared" si="39"/>
        <v>4</v>
      </c>
      <c r="AC446" t="str">
        <f t="shared" si="40"/>
        <v>August</v>
      </c>
      <c r="AD446">
        <f t="shared" si="41"/>
        <v>2025</v>
      </c>
    </row>
    <row r="447" spans="1:30">
      <c r="A447" t="s">
        <v>2198</v>
      </c>
      <c r="B447" t="s">
        <v>2199</v>
      </c>
      <c r="C447" t="s">
        <v>2200</v>
      </c>
      <c r="D447" t="s">
        <v>2201</v>
      </c>
      <c r="E447" t="s">
        <v>68</v>
      </c>
      <c r="F447" t="s">
        <v>33</v>
      </c>
      <c r="G447" t="s">
        <v>49</v>
      </c>
      <c r="H447" t="s">
        <v>223</v>
      </c>
      <c r="I447" t="s">
        <v>224</v>
      </c>
      <c r="J447" t="s">
        <v>52</v>
      </c>
      <c r="K447" t="s">
        <v>211</v>
      </c>
      <c r="L447" t="s">
        <v>2202</v>
      </c>
      <c r="M447" t="s">
        <v>55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41</v>
      </c>
      <c r="U447" t="s">
        <v>42</v>
      </c>
      <c r="V447">
        <f t="shared" si="36"/>
        <v>3377.9680000000003</v>
      </c>
      <c r="W447">
        <f t="shared" si="37"/>
        <v>881.67999999999984</v>
      </c>
      <c r="X447">
        <f t="shared" si="38"/>
        <v>0.26100883074746073</v>
      </c>
      <c r="Y447" t="str">
        <f>_xlfn.TEXTJOIN(", ",TRUE,IF(G447="Unknown","Missing Region",""),IF(M447="Unknown","Missing Ship Mode",""),IF(P447&lt;0,"Negative Discount",""),IF(P447&gt;0.7,"High Discount",""),IF(C447&lt;B447,"Ship Before Order",""))</f>
        <v/>
      </c>
      <c r="Z447" s="2">
        <f>IFERROR(
  IF(ISNUMBER(B447),B447,
    IF(ISNUMBER(SEARCH("-",B447)*1),
      IF(LEN(LEFT(B447,FIND("-",B447)-1))=4,
        DATE(VALUE(LEFT(B447,4)),VALUE(MID(B447,6,2)),VALUE(RIGHT(B447,2))),
        DATE(VALUE(RIGHT(B447,4)),VALUE(MID(B447,4,2)),VALUE(LEFT(B447,2)))
      ),
      IF(ISNUMBER(SEARCH("/",B447)*1),
        DATE(VALUE(RIGHT(B447,4)),VALUE(LEFT(B447,2)),VALUE(MID(B447,4,2))),
        DATEVALUE(B447)
      )
    )
  ),
"INVALID_DATE")</f>
        <v>45421</v>
      </c>
      <c r="AA447" s="2">
        <f>IFERROR(
  IF(ISNUMBER(C447),C447,
    IF(ISNUMBER(SEARCH("-",C447)*1),
      IF(LEN(LEFT(C447,FIND("-",C447)-1))=4,
        DATE(VALUE(LEFT(C447,4)),VALUE(MID(C447,6,2)),VALUE(RIGHT(C447,2))),
        DATE(VALUE(RIGHT(C447,4)),VALUE(MID(C447,4,2)),VALUE(LEFT(C447,2)))
      ),
      IF(ISNUMBER(SEARCH("/",C447)*1),
        DATE(VALUE(RIGHT(C447,4)),VALUE(LEFT(C447,2)),VALUE(MID(C447,4,2))),
        DATEVALUE(C447)
      )
    )
  ),
"INVALID_DATE")</f>
        <v>45417</v>
      </c>
      <c r="AB447">
        <f t="shared" si="39"/>
        <v>-4</v>
      </c>
      <c r="AC447" t="str">
        <f t="shared" si="40"/>
        <v>May</v>
      </c>
      <c r="AD447">
        <f t="shared" si="41"/>
        <v>2024</v>
      </c>
    </row>
    <row r="448" spans="1:30">
      <c r="A448" t="s">
        <v>2203</v>
      </c>
      <c r="B448" t="s">
        <v>2204</v>
      </c>
      <c r="C448" t="s">
        <v>2205</v>
      </c>
      <c r="D448" t="s">
        <v>2206</v>
      </c>
      <c r="E448" t="s">
        <v>175</v>
      </c>
      <c r="F448" t="s">
        <v>122</v>
      </c>
      <c r="G448" t="s">
        <v>69</v>
      </c>
      <c r="H448" t="s">
        <v>107</v>
      </c>
      <c r="I448" t="s">
        <v>108</v>
      </c>
      <c r="J448" t="s">
        <v>37</v>
      </c>
      <c r="K448" t="s">
        <v>163</v>
      </c>
      <c r="L448" t="s">
        <v>2207</v>
      </c>
      <c r="M448" t="s">
        <v>55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41</v>
      </c>
      <c r="U448" t="s">
        <v>42</v>
      </c>
      <c r="V448">
        <f t="shared" si="36"/>
        <v>33940.080000000002</v>
      </c>
      <c r="W448">
        <f t="shared" si="37"/>
        <v>10185.890000000003</v>
      </c>
      <c r="X448">
        <f t="shared" si="38"/>
        <v>0.30011390662603032</v>
      </c>
      <c r="Y448" t="str">
        <f>_xlfn.TEXTJOIN(", ",TRUE,IF(G448="Unknown","Missing Region",""),IF(M448="Unknown","Missing Ship Mode",""),IF(P448&lt;0,"Negative Discount",""),IF(P448&gt;0.7,"High Discount",""),IF(C448&lt;B448,"Ship Before Order",""))</f>
        <v/>
      </c>
      <c r="Z448" s="2">
        <f>IFERROR(
  IF(ISNUMBER(B448),B448,
    IF(ISNUMBER(SEARCH("-",B448)*1),
      IF(LEN(LEFT(B448,FIND("-",B448)-1))=4,
        DATE(VALUE(LEFT(B448,4)),VALUE(MID(B448,6,2)),VALUE(RIGHT(B448,2))),
        DATE(VALUE(RIGHT(B448,4)),VALUE(MID(B448,4,2)),VALUE(LEFT(B448,2)))
      ),
      IF(ISNUMBER(SEARCH("/",B448)*1),
        DATE(VALUE(RIGHT(B448,4)),VALUE(LEFT(B448,2)),VALUE(MID(B448,4,2))),
        DATEVALUE(B448)
      )
    )
  ),
"INVALID_DATE")</f>
        <v>45918</v>
      </c>
      <c r="AA448" s="2">
        <f>IFERROR(
  IF(ISNUMBER(C448),C448,
    IF(ISNUMBER(SEARCH("-",C448)*1),
      IF(LEN(LEFT(C448,FIND("-",C448)-1))=4,
        DATE(VALUE(LEFT(C448,4)),VALUE(MID(C448,6,2)),VALUE(RIGHT(C448,2))),
        DATE(VALUE(RIGHT(C448,4)),VALUE(MID(C448,4,2)),VALUE(LEFT(C448,2)))
      ),
      IF(ISNUMBER(SEARCH("/",C448)*1),
        DATE(VALUE(RIGHT(C448,4)),VALUE(LEFT(C448,2)),VALUE(MID(C448,4,2))),
        DATEVALUE(C448)
      )
    )
  ),
"INVALID_DATE")</f>
        <v>45919</v>
      </c>
      <c r="AB448">
        <f t="shared" si="39"/>
        <v>1</v>
      </c>
      <c r="AC448" t="str">
        <f t="shared" si="40"/>
        <v>September</v>
      </c>
      <c r="AD448">
        <f t="shared" si="41"/>
        <v>2025</v>
      </c>
    </row>
    <row r="449" spans="1:30">
      <c r="A449" t="s">
        <v>2208</v>
      </c>
      <c r="B449" t="s">
        <v>952</v>
      </c>
      <c r="C449" t="s">
        <v>2209</v>
      </c>
      <c r="D449" t="s">
        <v>2210</v>
      </c>
      <c r="E449" t="s">
        <v>187</v>
      </c>
      <c r="F449" t="s">
        <v>122</v>
      </c>
      <c r="G449" t="s">
        <v>69</v>
      </c>
      <c r="H449" t="s">
        <v>70</v>
      </c>
      <c r="I449" t="s">
        <v>71</v>
      </c>
      <c r="J449" t="s">
        <v>52</v>
      </c>
      <c r="K449" t="s">
        <v>211</v>
      </c>
      <c r="L449" t="s">
        <v>2211</v>
      </c>
      <c r="M449" t="s">
        <v>74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144</v>
      </c>
      <c r="U449" t="s">
        <v>132</v>
      </c>
      <c r="V449">
        <f t="shared" si="36"/>
        <v>21872.369999999995</v>
      </c>
      <c r="W449">
        <f t="shared" si="37"/>
        <v>8042.869999999999</v>
      </c>
      <c r="X449">
        <f t="shared" si="38"/>
        <v>0.36771826738483304</v>
      </c>
      <c r="Y449" t="str">
        <f>_xlfn.TEXTJOIN(", ",TRUE,IF(G449="Unknown","Missing Region",""),IF(M449="Unknown","Missing Ship Mode",""),IF(P449&lt;0,"Negative Discount",""),IF(P449&gt;0.7,"High Discount",""),IF(C449&lt;B449,"Ship Before Order",""))</f>
        <v>Ship Before Order</v>
      </c>
      <c r="Z449" s="2">
        <f>IFERROR(
  IF(ISNUMBER(B449),B449,
    IF(ISNUMBER(SEARCH("-",B449)*1),
      IF(LEN(LEFT(B449,FIND("-",B449)-1))=4,
        DATE(VALUE(LEFT(B449,4)),VALUE(MID(B449,6,2)),VALUE(RIGHT(B449,2))),
        DATE(VALUE(RIGHT(B449,4)),VALUE(MID(B449,4,2)),VALUE(LEFT(B449,2)))
      ),
      IF(ISNUMBER(SEARCH("/",B449)*1),
        DATE(VALUE(RIGHT(B449,4)),VALUE(LEFT(B449,2)),VALUE(MID(B449,4,2))),
        DATEVALUE(B449)
      )
    )
  ),
"INVALID_DATE")</f>
        <v>45879</v>
      </c>
      <c r="AA449" s="2">
        <f>IFERROR(
  IF(ISNUMBER(C449),C449,
    IF(ISNUMBER(SEARCH("-",C449)*1),
      IF(LEN(LEFT(C449,FIND("-",C449)-1))=4,
        DATE(VALUE(LEFT(C449,4)),VALUE(MID(C449,6,2)),VALUE(RIGHT(C449,2))),
        DATE(VALUE(RIGHT(C449,4)),VALUE(MID(C449,4,2)),VALUE(LEFT(C449,2)))
      ),
      IF(ISNUMBER(SEARCH("/",C449)*1),
        DATE(VALUE(RIGHT(C449,4)),VALUE(LEFT(C449,2)),VALUE(MID(C449,4,2))),
        DATEVALUE(C449)
      )
    )
  ),
"INVALID_DATE")</f>
        <v>45879</v>
      </c>
      <c r="AB449">
        <f t="shared" si="39"/>
        <v>0</v>
      </c>
      <c r="AC449" t="str">
        <f t="shared" si="40"/>
        <v>August</v>
      </c>
      <c r="AD449">
        <f t="shared" si="41"/>
        <v>2025</v>
      </c>
    </row>
    <row r="450" spans="1:30">
      <c r="A450" t="s">
        <v>2212</v>
      </c>
      <c r="B450" t="s">
        <v>2213</v>
      </c>
      <c r="C450" t="s">
        <v>335</v>
      </c>
      <c r="D450" t="s">
        <v>2214</v>
      </c>
      <c r="E450" t="s">
        <v>47</v>
      </c>
      <c r="F450" t="s">
        <v>48</v>
      </c>
      <c r="G450" t="s">
        <v>69</v>
      </c>
      <c r="H450" t="s">
        <v>107</v>
      </c>
      <c r="I450" t="s">
        <v>108</v>
      </c>
      <c r="J450" t="s">
        <v>52</v>
      </c>
      <c r="K450" t="s">
        <v>83</v>
      </c>
      <c r="L450" t="s">
        <v>2215</v>
      </c>
      <c r="M450" t="s">
        <v>63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41</v>
      </c>
      <c r="U450" t="s">
        <v>42</v>
      </c>
      <c r="V450">
        <f t="shared" ref="V450:V513" si="42">O450*(1-P450)*N450</f>
        <v>342.05700000000002</v>
      </c>
      <c r="W450">
        <f t="shared" ref="W450:W513" si="43">Q450-R450</f>
        <v>97.490000000000009</v>
      </c>
      <c r="X450">
        <f t="shared" ref="X450:X513" si="44">IF(Q450=0,"",S450/Q450)</f>
        <v>0.28500847804478746</v>
      </c>
      <c r="Y450" t="str">
        <f>_xlfn.TEXTJOIN(", ",TRUE,IF(G450="Unknown","Missing Region",""),IF(M450="Unknown","Missing Ship Mode",""),IF(P450&lt;0,"Negative Discount",""),IF(P450&gt;0.7,"High Discount",""),IF(C450&lt;B450,"Ship Before Order",""))</f>
        <v/>
      </c>
      <c r="Z450" s="2">
        <f>IFERROR(
  IF(ISNUMBER(B450),B450,
    IF(ISNUMBER(SEARCH("-",B450)*1),
      IF(LEN(LEFT(B450,FIND("-",B450)-1))=4,
        DATE(VALUE(LEFT(B450,4)),VALUE(MID(B450,6,2)),VALUE(RIGHT(B450,2))),
        DATE(VALUE(RIGHT(B450,4)),VALUE(MID(B450,4,2)),VALUE(LEFT(B450,2)))
      ),
      IF(ISNUMBER(SEARCH("/",B450)*1),
        DATE(VALUE(RIGHT(B450,4)),VALUE(LEFT(B450,2)),VALUE(MID(B450,4,2))),
        DATEVALUE(B450)
      )
    )
  ),
"INVALID_DATE")</f>
        <v>45306</v>
      </c>
      <c r="AA450" s="2">
        <f>IFERROR(
  IF(ISNUMBER(C450),C450,
    IF(ISNUMBER(SEARCH("-",C450)*1),
      IF(LEN(LEFT(C450,FIND("-",C450)-1))=4,
        DATE(VALUE(LEFT(C450,4)),VALUE(MID(C450,6,2)),VALUE(RIGHT(C450,2))),
        DATE(VALUE(RIGHT(C450,4)),VALUE(MID(C450,4,2)),VALUE(LEFT(C450,2)))
      ),
      IF(ISNUMBER(SEARCH("/",C450)*1),
        DATE(VALUE(RIGHT(C450,4)),VALUE(LEFT(C450,2)),VALUE(MID(C450,4,2))),
        DATEVALUE(C450)
      )
    )
  ),
"INVALID_DATE")</f>
        <v>45309</v>
      </c>
      <c r="AB450">
        <f t="shared" si="39"/>
        <v>3</v>
      </c>
      <c r="AC450" t="str">
        <f t="shared" si="40"/>
        <v>January</v>
      </c>
      <c r="AD450">
        <f t="shared" si="41"/>
        <v>2024</v>
      </c>
    </row>
    <row r="451" spans="1:30">
      <c r="A451" t="s">
        <v>2216</v>
      </c>
      <c r="B451" t="s">
        <v>2217</v>
      </c>
      <c r="C451" t="s">
        <v>2218</v>
      </c>
      <c r="D451" t="s">
        <v>2051</v>
      </c>
      <c r="E451" t="s">
        <v>114</v>
      </c>
      <c r="F451" t="s">
        <v>115</v>
      </c>
      <c r="G451" t="s">
        <v>49</v>
      </c>
      <c r="H451" t="s">
        <v>223</v>
      </c>
      <c r="I451" t="s">
        <v>224</v>
      </c>
      <c r="J451" t="s">
        <v>93</v>
      </c>
      <c r="K451" t="s">
        <v>390</v>
      </c>
      <c r="L451" t="s">
        <v>2219</v>
      </c>
      <c r="M451" t="s">
        <v>40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41</v>
      </c>
      <c r="U451" t="s">
        <v>42</v>
      </c>
      <c r="V451">
        <f t="shared" si="42"/>
        <v>19622.16</v>
      </c>
      <c r="W451">
        <f t="shared" si="43"/>
        <v>5350.8899999999994</v>
      </c>
      <c r="X451">
        <f t="shared" si="44"/>
        <v>0.27269627808559305</v>
      </c>
      <c r="Y451" t="str">
        <f>_xlfn.TEXTJOIN(", ",TRUE,IF(G451="Unknown","Missing Region",""),IF(M451="Unknown","Missing Ship Mode",""),IF(P451&lt;0,"Negative Discount",""),IF(P451&gt;0.7,"High Discount",""),IF(C451&lt;B451,"Ship Before Order",""))</f>
        <v/>
      </c>
      <c r="Z451" s="2">
        <f>IFERROR(
  IF(ISNUMBER(B451),B451,
    IF(ISNUMBER(SEARCH("-",B451)*1),
      IF(LEN(LEFT(B451,FIND("-",B451)-1))=4,
        DATE(VALUE(LEFT(B451,4)),VALUE(MID(B451,6,2)),VALUE(RIGHT(B451,2))),
        DATE(VALUE(RIGHT(B451,4)),VALUE(MID(B451,4,2)),VALUE(LEFT(B451,2)))
      ),
      IF(ISNUMBER(SEARCH("/",B451)*1),
        DATE(VALUE(RIGHT(B451,4)),VALUE(LEFT(B451,2)),VALUE(MID(B451,4,2))),
        DATEVALUE(B451)
      )
    )
  ),
"INVALID_DATE")</f>
        <v>45449</v>
      </c>
      <c r="AA451" s="2">
        <f>IFERROR(
  IF(ISNUMBER(C451),C451,
    IF(ISNUMBER(SEARCH("-",C451)*1),
      IF(LEN(LEFT(C451,FIND("-",C451)-1))=4,
        DATE(VALUE(LEFT(C451,4)),VALUE(MID(C451,6,2)),VALUE(RIGHT(C451,2))),
        DATE(VALUE(RIGHT(C451,4)),VALUE(MID(C451,4,2)),VALUE(LEFT(C451,2)))
      ),
      IF(ISNUMBER(SEARCH("/",C451)*1),
        DATE(VALUE(RIGHT(C451,4)),VALUE(LEFT(C451,2)),VALUE(MID(C451,4,2))),
        DATEVALUE(C451)
      )
    )
  ),
"INVALID_DATE")</f>
        <v>45456</v>
      </c>
      <c r="AB451">
        <f t="shared" ref="AB451:AB514" si="45">AA451-Z451</f>
        <v>7</v>
      </c>
      <c r="AC451" t="str">
        <f t="shared" ref="AC451:AC514" si="46">TEXT(Z451,"mmmm")</f>
        <v>June</v>
      </c>
      <c r="AD451">
        <f t="shared" ref="AD451:AD514" si="47">YEAR(Z451)</f>
        <v>2024</v>
      </c>
    </row>
    <row r="452" spans="1:30">
      <c r="A452" t="s">
        <v>2220</v>
      </c>
      <c r="B452" t="s">
        <v>2221</v>
      </c>
      <c r="C452" t="s">
        <v>1585</v>
      </c>
      <c r="D452" t="s">
        <v>2222</v>
      </c>
      <c r="E452" t="s">
        <v>79</v>
      </c>
      <c r="F452" t="s">
        <v>115</v>
      </c>
      <c r="G452" t="s">
        <v>34</v>
      </c>
      <c r="H452" t="s">
        <v>514</v>
      </c>
      <c r="I452" t="s">
        <v>515</v>
      </c>
      <c r="J452" t="s">
        <v>52</v>
      </c>
      <c r="K452" t="s">
        <v>83</v>
      </c>
      <c r="L452" t="s">
        <v>2223</v>
      </c>
      <c r="M452" t="s">
        <v>74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41</v>
      </c>
      <c r="U452" t="s">
        <v>42</v>
      </c>
      <c r="V452">
        <f t="shared" si="42"/>
        <v>15380.347500000002</v>
      </c>
      <c r="W452">
        <f t="shared" si="43"/>
        <v>5472.98</v>
      </c>
      <c r="X452">
        <f t="shared" si="44"/>
        <v>0.35584235729355962</v>
      </c>
      <c r="Y452" t="str">
        <f>_xlfn.TEXTJOIN(", ",TRUE,IF(G452="Unknown","Missing Region",""),IF(M452="Unknown","Missing Ship Mode",""),IF(P452&lt;0,"Negative Discount",""),IF(P452&gt;0.7,"High Discount",""),IF(C452&lt;B452,"Ship Before Order",""))</f>
        <v/>
      </c>
      <c r="Z452" s="2">
        <f>IFERROR(
  IF(ISNUMBER(B452),B452,
    IF(ISNUMBER(SEARCH("-",B452)*1),
      IF(LEN(LEFT(B452,FIND("-",B452)-1))=4,
        DATE(VALUE(LEFT(B452,4)),VALUE(MID(B452,6,2)),VALUE(RIGHT(B452,2))),
        DATE(VALUE(RIGHT(B452,4)),VALUE(MID(B452,4,2)),VALUE(LEFT(B452,2)))
      ),
      IF(ISNUMBER(SEARCH("/",B452)*1),
        DATE(VALUE(RIGHT(B452,4)),VALUE(LEFT(B452,2)),VALUE(MID(B452,4,2))),
        DATEVALUE(B452)
      )
    )
  ),
"INVALID_DATE")</f>
        <v>45820</v>
      </c>
      <c r="AA452" s="2">
        <f>IFERROR(
  IF(ISNUMBER(C452),C452,
    IF(ISNUMBER(SEARCH("-",C452)*1),
      IF(LEN(LEFT(C452,FIND("-",C452)-1))=4,
        DATE(VALUE(LEFT(C452,4)),VALUE(MID(C452,6,2)),VALUE(RIGHT(C452,2))),
        DATE(VALUE(RIGHT(C452,4)),VALUE(MID(C452,4,2)),VALUE(LEFT(C452,2)))
      ),
      IF(ISNUMBER(SEARCH("/",C452)*1),
        DATE(VALUE(RIGHT(C452,4)),VALUE(LEFT(C452,2)),VALUE(MID(C452,4,2))),
        DATEVALUE(C452)
      )
    )
  ),
"INVALID_DATE")</f>
        <v>45827</v>
      </c>
      <c r="AB452">
        <f t="shared" si="45"/>
        <v>7</v>
      </c>
      <c r="AC452" t="str">
        <f t="shared" si="46"/>
        <v>June</v>
      </c>
      <c r="AD452">
        <f t="shared" si="47"/>
        <v>2025</v>
      </c>
    </row>
    <row r="453" spans="1:30">
      <c r="A453" t="s">
        <v>2224</v>
      </c>
      <c r="B453" t="s">
        <v>2225</v>
      </c>
      <c r="C453" t="s">
        <v>2226</v>
      </c>
      <c r="D453" t="s">
        <v>2227</v>
      </c>
      <c r="E453" t="s">
        <v>187</v>
      </c>
      <c r="F453" t="s">
        <v>48</v>
      </c>
      <c r="G453" t="s">
        <v>34</v>
      </c>
      <c r="H453" t="s">
        <v>331</v>
      </c>
      <c r="I453" t="s">
        <v>332</v>
      </c>
      <c r="J453" t="s">
        <v>37</v>
      </c>
      <c r="K453" t="s">
        <v>38</v>
      </c>
      <c r="L453" t="s">
        <v>2228</v>
      </c>
      <c r="M453" t="s">
        <v>40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41</v>
      </c>
      <c r="U453" t="s">
        <v>85</v>
      </c>
      <c r="V453">
        <f t="shared" si="42"/>
        <v>13039.952000000001</v>
      </c>
      <c r="W453">
        <f t="shared" si="43"/>
        <v>1912.130000000001</v>
      </c>
      <c r="X453">
        <f t="shared" si="44"/>
        <v>0.14663629845206461</v>
      </c>
      <c r="Y453" t="str">
        <f>_xlfn.TEXTJOIN(", ",TRUE,IF(G453="Unknown","Missing Region",""),IF(M453="Unknown","Missing Ship Mode",""),IF(P453&lt;0,"Negative Discount",""),IF(P453&gt;0.7,"High Discount",""),IF(C453&lt;B453,"Ship Before Order",""))</f>
        <v/>
      </c>
      <c r="Z453" s="2">
        <f>IFERROR(
  IF(ISNUMBER(B453),B453,
    IF(ISNUMBER(SEARCH("-",B453)*1),
      IF(LEN(LEFT(B453,FIND("-",B453)-1))=4,
        DATE(VALUE(LEFT(B453,4)),VALUE(MID(B453,6,2)),VALUE(RIGHT(B453,2))),
        DATE(VALUE(RIGHT(B453,4)),VALUE(MID(B453,4,2)),VALUE(LEFT(B453,2)))
      ),
      IF(ISNUMBER(SEARCH("/",B453)*1),
        DATE(VALUE(RIGHT(B453,4)),VALUE(LEFT(B453,2)),VALUE(MID(B453,4,2))),
        DATEVALUE(B453)
      )
    )
  ),
"INVALID_DATE")</f>
        <v>45375</v>
      </c>
      <c r="AA453" s="2">
        <f>IFERROR(
  IF(ISNUMBER(C453),C453,
    IF(ISNUMBER(SEARCH("-",C453)*1),
      IF(LEN(LEFT(C453,FIND("-",C453)-1))=4,
        DATE(VALUE(LEFT(C453,4)),VALUE(MID(C453,6,2)),VALUE(RIGHT(C453,2))),
        DATE(VALUE(RIGHT(C453,4)),VALUE(MID(C453,4,2)),VALUE(LEFT(C453,2)))
      ),
      IF(ISNUMBER(SEARCH("/",C453)*1),
        DATE(VALUE(RIGHT(C453,4)),VALUE(LEFT(C453,2)),VALUE(MID(C453,4,2))),
        DATEVALUE(C453)
      )
    )
  ),
"INVALID_DATE")</f>
        <v>45377</v>
      </c>
      <c r="AB453">
        <f t="shared" si="45"/>
        <v>2</v>
      </c>
      <c r="AC453" t="str">
        <f t="shared" si="46"/>
        <v>March</v>
      </c>
      <c r="AD453">
        <f t="shared" si="47"/>
        <v>2024</v>
      </c>
    </row>
    <row r="454" spans="1:30">
      <c r="A454" t="s">
        <v>2229</v>
      </c>
      <c r="B454" t="s">
        <v>2230</v>
      </c>
      <c r="C454" t="s">
        <v>1383</v>
      </c>
      <c r="D454" t="s">
        <v>2231</v>
      </c>
      <c r="E454" t="s">
        <v>217</v>
      </c>
      <c r="F454" t="s">
        <v>122</v>
      </c>
      <c r="G454" t="s">
        <v>49</v>
      </c>
      <c r="H454" t="s">
        <v>319</v>
      </c>
      <c r="I454" t="s">
        <v>320</v>
      </c>
      <c r="J454" t="s">
        <v>93</v>
      </c>
      <c r="K454" t="s">
        <v>94</v>
      </c>
      <c r="L454" t="s">
        <v>2232</v>
      </c>
      <c r="M454" t="s">
        <v>40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41</v>
      </c>
      <c r="U454" t="s">
        <v>42</v>
      </c>
      <c r="V454">
        <f t="shared" si="42"/>
        <v>9663.9840000000004</v>
      </c>
      <c r="W454">
        <f t="shared" si="43"/>
        <v>4035.0499999999993</v>
      </c>
      <c r="X454">
        <f t="shared" si="44"/>
        <v>0.41753501145490785</v>
      </c>
      <c r="Y454" t="str">
        <f>_xlfn.TEXTJOIN(", ",TRUE,IF(G454="Unknown","Missing Region",""),IF(M454="Unknown","Missing Ship Mode",""),IF(P454&lt;0,"Negative Discount",""),IF(P454&gt;0.7,"High Discount",""),IF(C454&lt;B454,"Ship Before Order",""))</f>
        <v/>
      </c>
      <c r="Z454" s="2">
        <f>IFERROR(
  IF(ISNUMBER(B454),B454,
    IF(ISNUMBER(SEARCH("-",B454)*1),
      IF(LEN(LEFT(B454,FIND("-",B454)-1))=4,
        DATE(VALUE(LEFT(B454,4)),VALUE(MID(B454,6,2)),VALUE(RIGHT(B454,2))),
        DATE(VALUE(RIGHT(B454,4)),VALUE(MID(B454,4,2)),VALUE(LEFT(B454,2)))
      ),
      IF(ISNUMBER(SEARCH("/",B454)*1),
        DATE(VALUE(RIGHT(B454,4)),VALUE(LEFT(B454,2)),VALUE(MID(B454,4,2))),
        DATEVALUE(B454)
      )
    )
  ),
"INVALID_DATE")</f>
        <v>45422</v>
      </c>
      <c r="AA454" s="2">
        <f>IFERROR(
  IF(ISNUMBER(C454),C454,
    IF(ISNUMBER(SEARCH("-",C454)*1),
      IF(LEN(LEFT(C454,FIND("-",C454)-1))=4,
        DATE(VALUE(LEFT(C454,4)),VALUE(MID(C454,6,2)),VALUE(RIGHT(C454,2))),
        DATE(VALUE(RIGHT(C454,4)),VALUE(MID(C454,4,2)),VALUE(LEFT(C454,2)))
      ),
      IF(ISNUMBER(SEARCH("/",C454)*1),
        DATE(VALUE(RIGHT(C454,4)),VALUE(LEFT(C454,2)),VALUE(MID(C454,4,2))),
        DATEVALUE(C454)
      )
    )
  ),
"INVALID_DATE")</f>
        <v>45428</v>
      </c>
      <c r="AB454">
        <f t="shared" si="45"/>
        <v>6</v>
      </c>
      <c r="AC454" t="str">
        <f t="shared" si="46"/>
        <v>May</v>
      </c>
      <c r="AD454">
        <f t="shared" si="47"/>
        <v>2024</v>
      </c>
    </row>
    <row r="455" spans="1:30">
      <c r="A455" t="s">
        <v>2233</v>
      </c>
      <c r="B455" t="s">
        <v>2234</v>
      </c>
      <c r="C455" t="s">
        <v>2235</v>
      </c>
      <c r="D455" t="s">
        <v>2236</v>
      </c>
      <c r="E455" t="s">
        <v>187</v>
      </c>
      <c r="F455" t="s">
        <v>48</v>
      </c>
      <c r="G455" t="s">
        <v>80</v>
      </c>
      <c r="H455" t="s">
        <v>91</v>
      </c>
      <c r="I455" t="s">
        <v>92</v>
      </c>
      <c r="J455" t="s">
        <v>37</v>
      </c>
      <c r="K455" t="s">
        <v>116</v>
      </c>
      <c r="L455" t="s">
        <v>2237</v>
      </c>
      <c r="M455" t="s">
        <v>55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41</v>
      </c>
      <c r="U455" t="s">
        <v>42</v>
      </c>
      <c r="V455">
        <f t="shared" si="42"/>
        <v>7417.6</v>
      </c>
      <c r="W455">
        <f t="shared" si="43"/>
        <v>2461.7400000000007</v>
      </c>
      <c r="X455">
        <f t="shared" si="44"/>
        <v>0.33187823554788604</v>
      </c>
      <c r="Y455" t="str">
        <f>_xlfn.TEXTJOIN(", ",TRUE,IF(G455="Unknown","Missing Region",""),IF(M455="Unknown","Missing Ship Mode",""),IF(P455&lt;0,"Negative Discount",""),IF(P455&gt;0.7,"High Discount",""),IF(C455&lt;B455,"Ship Before Order",""))</f>
        <v/>
      </c>
      <c r="Z455" s="2">
        <f>IFERROR(
  IF(ISNUMBER(B455),B455,
    IF(ISNUMBER(SEARCH("-",B455)*1),
      IF(LEN(LEFT(B455,FIND("-",B455)-1))=4,
        DATE(VALUE(LEFT(B455,4)),VALUE(MID(B455,6,2)),VALUE(RIGHT(B455,2))),
        DATE(VALUE(RIGHT(B455,4)),VALUE(MID(B455,4,2)),VALUE(LEFT(B455,2)))
      ),
      IF(ISNUMBER(SEARCH("/",B455)*1),
        DATE(VALUE(RIGHT(B455,4)),VALUE(LEFT(B455,2)),VALUE(MID(B455,4,2))),
        DATEVALUE(B455)
      )
    )
  ),
"INVALID_DATE")</f>
        <v>45780</v>
      </c>
      <c r="AA455" s="2">
        <f>IFERROR(
  IF(ISNUMBER(C455),C455,
    IF(ISNUMBER(SEARCH("-",C455)*1),
      IF(LEN(LEFT(C455,FIND("-",C455)-1))=4,
        DATE(VALUE(LEFT(C455,4)),VALUE(MID(C455,6,2)),VALUE(RIGHT(C455,2))),
        DATE(VALUE(RIGHT(C455,4)),VALUE(MID(C455,4,2)),VALUE(LEFT(C455,2)))
      ),
      IF(ISNUMBER(SEARCH("/",C455)*1),
        DATE(VALUE(RIGHT(C455,4)),VALUE(LEFT(C455,2)),VALUE(MID(C455,4,2))),
        DATEVALUE(C455)
      )
    )
  ),
"INVALID_DATE")</f>
        <v>45788</v>
      </c>
      <c r="AB455">
        <f t="shared" si="45"/>
        <v>8</v>
      </c>
      <c r="AC455" t="str">
        <f t="shared" si="46"/>
        <v>May</v>
      </c>
      <c r="AD455">
        <f t="shared" si="47"/>
        <v>2025</v>
      </c>
    </row>
    <row r="456" spans="1:30">
      <c r="A456" t="s">
        <v>2238</v>
      </c>
      <c r="B456" t="s">
        <v>2239</v>
      </c>
      <c r="C456" t="s">
        <v>2240</v>
      </c>
      <c r="D456" t="s">
        <v>2241</v>
      </c>
      <c r="E456" t="s">
        <v>90</v>
      </c>
      <c r="F456" t="s">
        <v>48</v>
      </c>
      <c r="G456" t="s">
        <v>34</v>
      </c>
      <c r="H456" t="s">
        <v>35</v>
      </c>
      <c r="I456" t="s">
        <v>36</v>
      </c>
      <c r="J456" t="s">
        <v>52</v>
      </c>
      <c r="K456" t="s">
        <v>72</v>
      </c>
      <c r="L456" t="s">
        <v>2242</v>
      </c>
      <c r="M456" t="s">
        <v>74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41</v>
      </c>
      <c r="U456" t="s">
        <v>42</v>
      </c>
      <c r="V456">
        <f t="shared" si="42"/>
        <v>25229.699999999997</v>
      </c>
      <c r="W456">
        <f t="shared" si="43"/>
        <v>5059.2700000000004</v>
      </c>
      <c r="X456">
        <f t="shared" si="44"/>
        <v>0.20052834556098567</v>
      </c>
      <c r="Y456" t="str">
        <f>_xlfn.TEXTJOIN(", ",TRUE,IF(G456="Unknown","Missing Region",""),IF(M456="Unknown","Missing Ship Mode",""),IF(P456&lt;0,"Negative Discount",""),IF(P456&gt;0.7,"High Discount",""),IF(C456&lt;B456,"Ship Before Order",""))</f>
        <v/>
      </c>
      <c r="Z456" s="2">
        <f>IFERROR(
  IF(ISNUMBER(B456),B456,
    IF(ISNUMBER(SEARCH("-",B456)*1),
      IF(LEN(LEFT(B456,FIND("-",B456)-1))=4,
        DATE(VALUE(LEFT(B456,4)),VALUE(MID(B456,6,2)),VALUE(RIGHT(B456,2))),
        DATE(VALUE(RIGHT(B456,4)),VALUE(MID(B456,4,2)),VALUE(LEFT(B456,2)))
      ),
      IF(ISNUMBER(SEARCH("/",B456)*1),
        DATE(VALUE(RIGHT(B456,4)),VALUE(LEFT(B456,2)),VALUE(MID(B456,4,2))),
        DATEVALUE(B456)
      )
    )
  ),
"INVALID_DATE")</f>
        <v>45739</v>
      </c>
      <c r="AA456" s="2">
        <f>IFERROR(
  IF(ISNUMBER(C456),C456,
    IF(ISNUMBER(SEARCH("-",C456)*1),
      IF(LEN(LEFT(C456,FIND("-",C456)-1))=4,
        DATE(VALUE(LEFT(C456,4)),VALUE(MID(C456,6,2)),VALUE(RIGHT(C456,2))),
        DATE(VALUE(RIGHT(C456,4)),VALUE(MID(C456,4,2)),VALUE(LEFT(C456,2)))
      ),
      IF(ISNUMBER(SEARCH("/",C456)*1),
        DATE(VALUE(RIGHT(C456,4)),VALUE(LEFT(C456,2)),VALUE(MID(C456,4,2))),
        DATEVALUE(C456)
      )
    )
  ),
"INVALID_DATE")</f>
        <v>45744</v>
      </c>
      <c r="AB456">
        <f t="shared" si="45"/>
        <v>5</v>
      </c>
      <c r="AC456" t="str">
        <f t="shared" si="46"/>
        <v>March</v>
      </c>
      <c r="AD456">
        <f t="shared" si="47"/>
        <v>2025</v>
      </c>
    </row>
    <row r="457" spans="1:30">
      <c r="A457" t="s">
        <v>2243</v>
      </c>
      <c r="B457" t="s">
        <v>2244</v>
      </c>
      <c r="C457" t="s">
        <v>2245</v>
      </c>
      <c r="D457" t="s">
        <v>2246</v>
      </c>
      <c r="E457" t="s">
        <v>100</v>
      </c>
      <c r="F457" t="s">
        <v>48</v>
      </c>
      <c r="G457" t="s">
        <v>69</v>
      </c>
      <c r="H457" t="s">
        <v>70</v>
      </c>
      <c r="I457" t="s">
        <v>71</v>
      </c>
      <c r="J457" t="s">
        <v>37</v>
      </c>
      <c r="K457" t="s">
        <v>61</v>
      </c>
      <c r="L457" t="s">
        <v>2247</v>
      </c>
      <c r="M457" t="s">
        <v>74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41</v>
      </c>
      <c r="U457" t="s">
        <v>42</v>
      </c>
      <c r="V457">
        <f t="shared" si="42"/>
        <v>3235.08</v>
      </c>
      <c r="W457">
        <f t="shared" si="43"/>
        <v>1386.48</v>
      </c>
      <c r="X457">
        <f t="shared" si="44"/>
        <v>0.42857672762342819</v>
      </c>
      <c r="Y457" t="str">
        <f>_xlfn.TEXTJOIN(", ",TRUE,IF(G457="Unknown","Missing Region",""),IF(M457="Unknown","Missing Ship Mode",""),IF(P457&lt;0,"Negative Discount",""),IF(P457&gt;0.7,"High Discount",""),IF(C457&lt;B457,"Ship Before Order",""))</f>
        <v/>
      </c>
      <c r="Z457" s="2">
        <f>IFERROR(
  IF(ISNUMBER(B457),B457,
    IF(ISNUMBER(SEARCH("-",B457)*1),
      IF(LEN(LEFT(B457,FIND("-",B457)-1))=4,
        DATE(VALUE(LEFT(B457,4)),VALUE(MID(B457,6,2)),VALUE(RIGHT(B457,2))),
        DATE(VALUE(RIGHT(B457,4)),VALUE(MID(B457,4,2)),VALUE(LEFT(B457,2)))
      ),
      IF(ISNUMBER(SEARCH("/",B457)*1),
        DATE(VALUE(RIGHT(B457,4)),VALUE(LEFT(B457,2)),VALUE(MID(B457,4,2))),
        DATEVALUE(B457)
      )
    )
  ),
"INVALID_DATE")</f>
        <v>45491</v>
      </c>
      <c r="AA457" s="2">
        <f>IFERROR(
  IF(ISNUMBER(C457),C457,
    IF(ISNUMBER(SEARCH("-",C457)*1),
      IF(LEN(LEFT(C457,FIND("-",C457)-1))=4,
        DATE(VALUE(LEFT(C457,4)),VALUE(MID(C457,6,2)),VALUE(RIGHT(C457,2))),
        DATE(VALUE(RIGHT(C457,4)),VALUE(MID(C457,4,2)),VALUE(LEFT(C457,2)))
      ),
      IF(ISNUMBER(SEARCH("/",C457)*1),
        DATE(VALUE(RIGHT(C457,4)),VALUE(LEFT(C457,2)),VALUE(MID(C457,4,2))),
        DATEVALUE(C457)
      )
    )
  ),
"INVALID_DATE")</f>
        <v>45495</v>
      </c>
      <c r="AB457">
        <f t="shared" si="45"/>
        <v>4</v>
      </c>
      <c r="AC457" t="str">
        <f t="shared" si="46"/>
        <v>July</v>
      </c>
      <c r="AD457">
        <f t="shared" si="47"/>
        <v>2024</v>
      </c>
    </row>
    <row r="458" spans="1:30">
      <c r="A458" t="s">
        <v>2248</v>
      </c>
      <c r="B458" t="s">
        <v>2096</v>
      </c>
      <c r="C458" t="s">
        <v>2096</v>
      </c>
      <c r="D458" t="s">
        <v>2249</v>
      </c>
      <c r="E458" t="s">
        <v>100</v>
      </c>
      <c r="F458" t="s">
        <v>115</v>
      </c>
      <c r="G458" t="s">
        <v>34</v>
      </c>
      <c r="H458" t="s">
        <v>181</v>
      </c>
      <c r="I458" t="s">
        <v>182</v>
      </c>
      <c r="J458" t="s">
        <v>93</v>
      </c>
      <c r="K458" t="s">
        <v>94</v>
      </c>
      <c r="L458" t="s">
        <v>2250</v>
      </c>
      <c r="M458" t="s">
        <v>55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41</v>
      </c>
      <c r="U458" t="s">
        <v>132</v>
      </c>
      <c r="V458">
        <f t="shared" si="42"/>
        <v>11070.8675</v>
      </c>
      <c r="W458">
        <f t="shared" si="43"/>
        <v>4447.2600000000011</v>
      </c>
      <c r="X458">
        <f t="shared" si="44"/>
        <v>0.40170826682997812</v>
      </c>
      <c r="Y458" t="str">
        <f>_xlfn.TEXTJOIN(", ",TRUE,IF(G458="Unknown","Missing Region",""),IF(M458="Unknown","Missing Ship Mode",""),IF(P458&lt;0,"Negative Discount",""),IF(P458&gt;0.7,"High Discount",""),IF(C458&lt;B458,"Ship Before Order",""))</f>
        <v/>
      </c>
      <c r="Z458" s="2">
        <f>IFERROR(
  IF(ISNUMBER(B458),B458,
    IF(ISNUMBER(SEARCH("-",B458)*1),
      IF(LEN(LEFT(B458,FIND("-",B458)-1))=4,
        DATE(VALUE(LEFT(B458,4)),VALUE(MID(B458,6,2)),VALUE(RIGHT(B458,2))),
        DATE(VALUE(RIGHT(B458,4)),VALUE(MID(B458,4,2)),VALUE(LEFT(B458,2)))
      ),
      IF(ISNUMBER(SEARCH("/",B458)*1),
        DATE(VALUE(RIGHT(B458,4)),VALUE(LEFT(B458,2)),VALUE(MID(B458,4,2))),
        DATEVALUE(B458)
      )
    )
  ),
"INVALID_DATE")</f>
        <v>45342</v>
      </c>
      <c r="AA458" s="2">
        <f>IFERROR(
  IF(ISNUMBER(C458),C458,
    IF(ISNUMBER(SEARCH("-",C458)*1),
      IF(LEN(LEFT(C458,FIND("-",C458)-1))=4,
        DATE(VALUE(LEFT(C458,4)),VALUE(MID(C458,6,2)),VALUE(RIGHT(C458,2))),
        DATE(VALUE(RIGHT(C458,4)),VALUE(MID(C458,4,2)),VALUE(LEFT(C458,2)))
      ),
      IF(ISNUMBER(SEARCH("/",C458)*1),
        DATE(VALUE(RIGHT(C458,4)),VALUE(LEFT(C458,2)),VALUE(MID(C458,4,2))),
        DATEVALUE(C458)
      )
    )
  ),
"INVALID_DATE")</f>
        <v>45342</v>
      </c>
      <c r="AB458">
        <f t="shared" si="45"/>
        <v>0</v>
      </c>
      <c r="AC458" t="str">
        <f t="shared" si="46"/>
        <v>February</v>
      </c>
      <c r="AD458">
        <f t="shared" si="47"/>
        <v>2024</v>
      </c>
    </row>
    <row r="459" spans="1:30">
      <c r="A459" t="s">
        <v>2251</v>
      </c>
      <c r="B459" t="s">
        <v>2252</v>
      </c>
      <c r="C459" t="s">
        <v>2253</v>
      </c>
      <c r="D459" t="s">
        <v>2254</v>
      </c>
      <c r="E459" t="s">
        <v>47</v>
      </c>
      <c r="F459" t="s">
        <v>48</v>
      </c>
      <c r="G459" t="s">
        <v>80</v>
      </c>
      <c r="H459" t="s">
        <v>256</v>
      </c>
      <c r="I459" t="s">
        <v>257</v>
      </c>
      <c r="J459" t="s">
        <v>52</v>
      </c>
      <c r="K459" t="s">
        <v>53</v>
      </c>
      <c r="L459" t="s">
        <v>2255</v>
      </c>
      <c r="M459" t="s">
        <v>74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41</v>
      </c>
      <c r="U459" t="s">
        <v>42</v>
      </c>
      <c r="V459">
        <f t="shared" si="42"/>
        <v>19960.57</v>
      </c>
      <c r="W459">
        <f t="shared" si="43"/>
        <v>3356.9700000000012</v>
      </c>
      <c r="X459">
        <f t="shared" si="44"/>
        <v>0.16818006700209462</v>
      </c>
      <c r="Y459" t="str">
        <f>_xlfn.TEXTJOIN(", ",TRUE,IF(G459="Unknown","Missing Region",""),IF(M459="Unknown","Missing Ship Mode",""),IF(P459&lt;0,"Negative Discount",""),IF(P459&gt;0.7,"High Discount",""),IF(C459&lt;B459,"Ship Before Order",""))</f>
        <v/>
      </c>
      <c r="Z459" s="2">
        <f>IFERROR(
  IF(ISNUMBER(B459),B459,
    IF(ISNUMBER(SEARCH("-",B459)*1),
      IF(LEN(LEFT(B459,FIND("-",B459)-1))=4,
        DATE(VALUE(LEFT(B459,4)),VALUE(MID(B459,6,2)),VALUE(RIGHT(B459,2))),
        DATE(VALUE(RIGHT(B459,4)),VALUE(MID(B459,4,2)),VALUE(LEFT(B459,2)))
      ),
      IF(ISNUMBER(SEARCH("/",B459)*1),
        DATE(VALUE(RIGHT(B459,4)),VALUE(LEFT(B459,2)),VALUE(MID(B459,4,2))),
        DATEVALUE(B459)
      )
    )
  ),
"INVALID_DATE")</f>
        <v>45416</v>
      </c>
      <c r="AA459" s="2">
        <f>IFERROR(
  IF(ISNUMBER(C459),C459,
    IF(ISNUMBER(SEARCH("-",C459)*1),
      IF(LEN(LEFT(C459,FIND("-",C459)-1))=4,
        DATE(VALUE(LEFT(C459,4)),VALUE(MID(C459,6,2)),VALUE(RIGHT(C459,2))),
        DATE(VALUE(RIGHT(C459,4)),VALUE(MID(C459,4,2)),VALUE(LEFT(C459,2)))
      ),
      IF(ISNUMBER(SEARCH("/",C459)*1),
        DATE(VALUE(RIGHT(C459,4)),VALUE(LEFT(C459,2)),VALUE(MID(C459,4,2))),
        DATEVALUE(C459)
      )
    )
  ),
"INVALID_DATE")</f>
        <v>45416</v>
      </c>
      <c r="AB459">
        <f t="shared" si="45"/>
        <v>0</v>
      </c>
      <c r="AC459" t="str">
        <f t="shared" si="46"/>
        <v>May</v>
      </c>
      <c r="AD459">
        <f t="shared" si="47"/>
        <v>2024</v>
      </c>
    </row>
    <row r="460" spans="1:30">
      <c r="A460" t="s">
        <v>2256</v>
      </c>
      <c r="B460" t="s">
        <v>2257</v>
      </c>
      <c r="C460" t="s">
        <v>868</v>
      </c>
      <c r="D460" t="s">
        <v>2258</v>
      </c>
      <c r="E460" t="s">
        <v>32</v>
      </c>
      <c r="F460" t="s">
        <v>115</v>
      </c>
      <c r="G460" t="s">
        <v>34</v>
      </c>
      <c r="H460" t="s">
        <v>35</v>
      </c>
      <c r="I460" t="s">
        <v>36</v>
      </c>
      <c r="J460" t="s">
        <v>93</v>
      </c>
      <c r="K460" t="s">
        <v>230</v>
      </c>
      <c r="L460" t="s">
        <v>2259</v>
      </c>
      <c r="M460" t="s">
        <v>40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41</v>
      </c>
      <c r="U460" t="s">
        <v>42</v>
      </c>
      <c r="V460">
        <f t="shared" si="42"/>
        <v>8596.0439999999999</v>
      </c>
      <c r="W460">
        <f t="shared" si="43"/>
        <v>3217.880000000001</v>
      </c>
      <c r="X460">
        <f t="shared" si="44"/>
        <v>0.37434446559113266</v>
      </c>
      <c r="Y460" t="str">
        <f>_xlfn.TEXTJOIN(", ",TRUE,IF(G460="Unknown","Missing Region",""),IF(M460="Unknown","Missing Ship Mode",""),IF(P460&lt;0,"Negative Discount",""),IF(P460&gt;0.7,"High Discount",""),IF(C460&lt;B460,"Ship Before Order",""))</f>
        <v>Ship Before Order</v>
      </c>
      <c r="Z460" s="2">
        <f>IFERROR(
  IF(ISNUMBER(B460),B460,
    IF(ISNUMBER(SEARCH("-",B460)*1),
      IF(LEN(LEFT(B460,FIND("-",B460)-1))=4,
        DATE(VALUE(LEFT(B460,4)),VALUE(MID(B460,6,2)),VALUE(RIGHT(B460,2))),
        DATE(VALUE(RIGHT(B460,4)),VALUE(MID(B460,4,2)),VALUE(LEFT(B460,2)))
      ),
      IF(ISNUMBER(SEARCH("/",B460)*1),
        DATE(VALUE(RIGHT(B460,4)),VALUE(LEFT(B460,2)),VALUE(MID(B460,4,2))),
        DATEVALUE(B460)
      )
    )
  ),
"INVALID_DATE")</f>
        <v>45332</v>
      </c>
      <c r="AA460" s="2">
        <f>IFERROR(
  IF(ISNUMBER(C460),C460,
    IF(ISNUMBER(SEARCH("-",C460)*1),
      IF(LEN(LEFT(C460,FIND("-",C460)-1))=4,
        DATE(VALUE(LEFT(C460,4)),VALUE(MID(C460,6,2)),VALUE(RIGHT(C460,2))),
        DATE(VALUE(RIGHT(C460,4)),VALUE(MID(C460,4,2)),VALUE(LEFT(C460,2)))
      ),
      IF(ISNUMBER(SEARCH("/",C460)*1),
        DATE(VALUE(RIGHT(C460,4)),VALUE(LEFT(C460,2)),VALUE(MID(C460,4,2))),
        DATEVALUE(C460)
      )
    )
  ),
"INVALID_DATE")</f>
        <v>45333</v>
      </c>
      <c r="AB460">
        <f t="shared" si="45"/>
        <v>1</v>
      </c>
      <c r="AC460" t="str">
        <f t="shared" si="46"/>
        <v>February</v>
      </c>
      <c r="AD460">
        <f t="shared" si="47"/>
        <v>2024</v>
      </c>
    </row>
    <row r="461" spans="1:30">
      <c r="A461" t="s">
        <v>2260</v>
      </c>
      <c r="B461" t="s">
        <v>2261</v>
      </c>
      <c r="C461" t="s">
        <v>2191</v>
      </c>
      <c r="D461" t="s">
        <v>2262</v>
      </c>
      <c r="E461" t="s">
        <v>79</v>
      </c>
      <c r="F461" t="s">
        <v>122</v>
      </c>
      <c r="G461" t="s">
        <v>80</v>
      </c>
      <c r="H461" t="s">
        <v>256</v>
      </c>
      <c r="I461" t="s">
        <v>257</v>
      </c>
      <c r="J461" t="s">
        <v>37</v>
      </c>
      <c r="K461" t="s">
        <v>38</v>
      </c>
      <c r="L461" t="s">
        <v>2263</v>
      </c>
      <c r="M461" t="s">
        <v>63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41</v>
      </c>
      <c r="U461" t="s">
        <v>42</v>
      </c>
      <c r="V461">
        <f t="shared" si="42"/>
        <v>3452.76</v>
      </c>
      <c r="W461">
        <f t="shared" si="43"/>
        <v>1374.8000000000002</v>
      </c>
      <c r="X461">
        <f t="shared" si="44"/>
        <v>0.39817421425178695</v>
      </c>
      <c r="Y461" t="str">
        <f>_xlfn.TEXTJOIN(", ",TRUE,IF(G461="Unknown","Missing Region",""),IF(M461="Unknown","Missing Ship Mode",""),IF(P461&lt;0,"Negative Discount",""),IF(P461&gt;0.7,"High Discount",""),IF(C461&lt;B461,"Ship Before Order",""))</f>
        <v/>
      </c>
      <c r="Z461" s="2">
        <f>IFERROR(
  IF(ISNUMBER(B461),B461,
    IF(ISNUMBER(SEARCH("-",B461)*1),
      IF(LEN(LEFT(B461,FIND("-",B461)-1))=4,
        DATE(VALUE(LEFT(B461,4)),VALUE(MID(B461,6,2)),VALUE(RIGHT(B461,2))),
        DATE(VALUE(RIGHT(B461,4)),VALUE(MID(B461,4,2)),VALUE(LEFT(B461,2)))
      ),
      IF(ISNUMBER(SEARCH("/",B461)*1),
        DATE(VALUE(RIGHT(B461,4)),VALUE(LEFT(B461,2)),VALUE(MID(B461,4,2))),
        DATEVALUE(B461)
      )
    )
  ),
"INVALID_DATE")</f>
        <v>45379</v>
      </c>
      <c r="AA461" s="2">
        <f>IFERROR(
  IF(ISNUMBER(C461),C461,
    IF(ISNUMBER(SEARCH("-",C461)*1),
      IF(LEN(LEFT(C461,FIND("-",C461)-1))=4,
        DATE(VALUE(LEFT(C461,4)),VALUE(MID(C461,6,2)),VALUE(RIGHT(C461,2))),
        DATE(VALUE(RIGHT(C461,4)),VALUE(MID(C461,4,2)),VALUE(LEFT(C461,2)))
      ),
      IF(ISNUMBER(SEARCH("/",C461)*1),
        DATE(VALUE(RIGHT(C461,4)),VALUE(LEFT(C461,2)),VALUE(MID(C461,4,2))),
        DATEVALUE(C461)
      )
    )
  ),
"INVALID_DATE")</f>
        <v>45386</v>
      </c>
      <c r="AB461">
        <f t="shared" si="45"/>
        <v>7</v>
      </c>
      <c r="AC461" t="str">
        <f t="shared" si="46"/>
        <v>March</v>
      </c>
      <c r="AD461">
        <f t="shared" si="47"/>
        <v>2024</v>
      </c>
    </row>
    <row r="462" spans="1:30">
      <c r="A462" t="s">
        <v>2264</v>
      </c>
      <c r="B462" t="s">
        <v>2265</v>
      </c>
      <c r="C462" t="s">
        <v>2266</v>
      </c>
      <c r="D462" t="s">
        <v>2267</v>
      </c>
      <c r="E462" t="s">
        <v>169</v>
      </c>
      <c r="F462" t="s">
        <v>115</v>
      </c>
      <c r="G462" t="s">
        <v>279</v>
      </c>
      <c r="H462" t="s">
        <v>35</v>
      </c>
      <c r="I462" t="s">
        <v>36</v>
      </c>
      <c r="J462" t="s">
        <v>93</v>
      </c>
      <c r="K462" t="s">
        <v>101</v>
      </c>
      <c r="L462" t="s">
        <v>2268</v>
      </c>
      <c r="M462" t="s">
        <v>40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41</v>
      </c>
      <c r="U462" t="s">
        <v>42</v>
      </c>
      <c r="V462">
        <f t="shared" si="42"/>
        <v>11626.974</v>
      </c>
      <c r="W462">
        <f t="shared" si="43"/>
        <v>4232.8999999999996</v>
      </c>
      <c r="X462">
        <f t="shared" si="44"/>
        <v>0.36405873585293502</v>
      </c>
      <c r="Y462" t="str">
        <f>_xlfn.TEXTJOIN(", ",TRUE,IF(G462="Unknown","Missing Region",""),IF(M462="Unknown","Missing Ship Mode",""),IF(P462&lt;0,"Negative Discount",""),IF(P462&gt;0.7,"High Discount",""),IF(C462&lt;B462,"Ship Before Order",""))</f>
        <v>Missing Region, Ship Before Order</v>
      </c>
      <c r="Z462" s="2">
        <f>IFERROR(
  IF(ISNUMBER(B462),B462,
    IF(ISNUMBER(SEARCH("-",B462)*1),
      IF(LEN(LEFT(B462,FIND("-",B462)-1))=4,
        DATE(VALUE(LEFT(B462,4)),VALUE(MID(B462,6,2)),VALUE(RIGHT(B462,2))),
        DATE(VALUE(RIGHT(B462,4)),VALUE(MID(B462,4,2)),VALUE(LEFT(B462,2)))
      ),
      IF(ISNUMBER(SEARCH("/",B462)*1),
        DATE(VALUE(RIGHT(B462,4)),VALUE(LEFT(B462,2)),VALUE(MID(B462,4,2))),
        DATEVALUE(B462)
      )
    )
  ),
"INVALID_DATE")</f>
        <v>45930</v>
      </c>
      <c r="AA462" s="2">
        <f>IFERROR(
  IF(ISNUMBER(C462),C462,
    IF(ISNUMBER(SEARCH("-",C462)*1),
      IF(LEN(LEFT(C462,FIND("-",C462)-1))=4,
        DATE(VALUE(LEFT(C462,4)),VALUE(MID(C462,6,2)),VALUE(RIGHT(C462,2))),
        DATE(VALUE(RIGHT(C462,4)),VALUE(MID(C462,4,2)),VALUE(LEFT(C462,2)))
      ),
      IF(ISNUMBER(SEARCH("/",C462)*1),
        DATE(VALUE(RIGHT(C462,4)),VALUE(LEFT(C462,2)),VALUE(MID(C462,4,2))),
        DATEVALUE(C462)
      )
    )
  ),
"INVALID_DATE")</f>
        <v>45936</v>
      </c>
      <c r="AB462">
        <f t="shared" si="45"/>
        <v>6</v>
      </c>
      <c r="AC462" t="str">
        <f t="shared" si="46"/>
        <v>September</v>
      </c>
      <c r="AD462">
        <f t="shared" si="47"/>
        <v>2025</v>
      </c>
    </row>
    <row r="463" spans="1:30">
      <c r="A463" t="s">
        <v>2269</v>
      </c>
      <c r="B463" t="s">
        <v>2270</v>
      </c>
      <c r="C463" t="s">
        <v>1530</v>
      </c>
      <c r="D463" t="s">
        <v>2271</v>
      </c>
      <c r="E463" t="s">
        <v>100</v>
      </c>
      <c r="F463" t="s">
        <v>115</v>
      </c>
      <c r="G463" t="s">
        <v>69</v>
      </c>
      <c r="H463" t="s">
        <v>107</v>
      </c>
      <c r="I463" t="s">
        <v>108</v>
      </c>
      <c r="J463" t="s">
        <v>37</v>
      </c>
      <c r="K463" t="s">
        <v>38</v>
      </c>
      <c r="L463" t="s">
        <v>2272</v>
      </c>
      <c r="M463" t="s">
        <v>74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41</v>
      </c>
      <c r="U463" t="s">
        <v>42</v>
      </c>
      <c r="V463">
        <f t="shared" si="42"/>
        <v>8614.2824999999993</v>
      </c>
      <c r="W463">
        <f t="shared" si="43"/>
        <v>1562.2000000000007</v>
      </c>
      <c r="X463">
        <f t="shared" si="44"/>
        <v>0.18135003737979261</v>
      </c>
      <c r="Y463" t="str">
        <f>_xlfn.TEXTJOIN(", ",TRUE,IF(G463="Unknown","Missing Region",""),IF(M463="Unknown","Missing Ship Mode",""),IF(P463&lt;0,"Negative Discount",""),IF(P463&gt;0.7,"High Discount",""),IF(C463&lt;B463,"Ship Before Order",""))</f>
        <v/>
      </c>
      <c r="Z463" s="2">
        <f>IFERROR(
  IF(ISNUMBER(B463),B463,
    IF(ISNUMBER(SEARCH("-",B463)*1),
      IF(LEN(LEFT(B463,FIND("-",B463)-1))=4,
        DATE(VALUE(LEFT(B463,4)),VALUE(MID(B463,6,2)),VALUE(RIGHT(B463,2))),
        DATE(VALUE(RIGHT(B463,4)),VALUE(MID(B463,4,2)),VALUE(LEFT(B463,2)))
      ),
      IF(ISNUMBER(SEARCH("/",B463)*1),
        DATE(VALUE(RIGHT(B463,4)),VALUE(LEFT(B463,2)),VALUE(MID(B463,4,2))),
        DATEVALUE(B463)
      )
    )
  ),
"INVALID_DATE")</f>
        <v>45802</v>
      </c>
      <c r="AA463" s="2">
        <f>IFERROR(
  IF(ISNUMBER(C463),C463,
    IF(ISNUMBER(SEARCH("-",C463)*1),
      IF(LEN(LEFT(C463,FIND("-",C463)-1))=4,
        DATE(VALUE(LEFT(C463,4)),VALUE(MID(C463,6,2)),VALUE(RIGHT(C463,2))),
        DATE(VALUE(RIGHT(C463,4)),VALUE(MID(C463,4,2)),VALUE(LEFT(C463,2)))
      ),
      IF(ISNUMBER(SEARCH("/",C463)*1),
        DATE(VALUE(RIGHT(C463,4)),VALUE(LEFT(C463,2)),VALUE(MID(C463,4,2))),
        DATEVALUE(C463)
      )
    )
  ),
"INVALID_DATE")</f>
        <v>45803</v>
      </c>
      <c r="AB463">
        <f t="shared" si="45"/>
        <v>1</v>
      </c>
      <c r="AC463" t="str">
        <f t="shared" si="46"/>
        <v>May</v>
      </c>
      <c r="AD463">
        <f t="shared" si="47"/>
        <v>2025</v>
      </c>
    </row>
    <row r="464" spans="1:30">
      <c r="A464" t="s">
        <v>2273</v>
      </c>
      <c r="B464" t="s">
        <v>2016</v>
      </c>
      <c r="C464" t="s">
        <v>2274</v>
      </c>
      <c r="D464" t="s">
        <v>2275</v>
      </c>
      <c r="E464" t="s">
        <v>169</v>
      </c>
      <c r="F464" t="s">
        <v>122</v>
      </c>
      <c r="G464" t="s">
        <v>34</v>
      </c>
      <c r="H464" t="s">
        <v>514</v>
      </c>
      <c r="I464" t="s">
        <v>515</v>
      </c>
      <c r="J464" t="s">
        <v>37</v>
      </c>
      <c r="K464" t="s">
        <v>205</v>
      </c>
      <c r="L464" t="s">
        <v>2276</v>
      </c>
      <c r="M464" t="s">
        <v>63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41</v>
      </c>
      <c r="U464" t="s">
        <v>42</v>
      </c>
      <c r="V464">
        <f t="shared" si="42"/>
        <v>2040.2240000000002</v>
      </c>
      <c r="W464">
        <f t="shared" si="43"/>
        <v>644.51</v>
      </c>
      <c r="X464">
        <f t="shared" si="44"/>
        <v>0.31590220662477575</v>
      </c>
      <c r="Y464" t="str">
        <f>_xlfn.TEXTJOIN(", ",TRUE,IF(G464="Unknown","Missing Region",""),IF(M464="Unknown","Missing Ship Mode",""),IF(P464&lt;0,"Negative Discount",""),IF(P464&gt;0.7,"High Discount",""),IF(C464&lt;B464,"Ship Before Order",""))</f>
        <v/>
      </c>
      <c r="Z464" s="2">
        <f>IFERROR(
  IF(ISNUMBER(B464),B464,
    IF(ISNUMBER(SEARCH("-",B464)*1),
      IF(LEN(LEFT(B464,FIND("-",B464)-1))=4,
        DATE(VALUE(LEFT(B464,4)),VALUE(MID(B464,6,2)),VALUE(RIGHT(B464,2))),
        DATE(VALUE(RIGHT(B464,4)),VALUE(MID(B464,4,2)),VALUE(LEFT(B464,2)))
      ),
      IF(ISNUMBER(SEARCH("/",B464)*1),
        DATE(VALUE(RIGHT(B464,4)),VALUE(LEFT(B464,2)),VALUE(MID(B464,4,2))),
        DATEVALUE(B464)
      )
    )
  ),
"INVALID_DATE")</f>
        <v>45558</v>
      </c>
      <c r="AA464" s="2">
        <f>IFERROR(
  IF(ISNUMBER(C464),C464,
    IF(ISNUMBER(SEARCH("-",C464)*1),
      IF(LEN(LEFT(C464,FIND("-",C464)-1))=4,
        DATE(VALUE(LEFT(C464,4)),VALUE(MID(C464,6,2)),VALUE(RIGHT(C464,2))),
        DATE(VALUE(RIGHT(C464,4)),VALUE(MID(C464,4,2)),VALUE(LEFT(C464,2)))
      ),
      IF(ISNUMBER(SEARCH("/",C464)*1),
        DATE(VALUE(RIGHT(C464,4)),VALUE(LEFT(C464,2)),VALUE(MID(C464,4,2))),
        DATEVALUE(C464)
      )
    )
  ),
"INVALID_DATE")</f>
        <v>45560</v>
      </c>
      <c r="AB464">
        <f t="shared" si="45"/>
        <v>2</v>
      </c>
      <c r="AC464" t="str">
        <f t="shared" si="46"/>
        <v>September</v>
      </c>
      <c r="AD464">
        <f t="shared" si="47"/>
        <v>2024</v>
      </c>
    </row>
    <row r="465" spans="1:30">
      <c r="A465" t="s">
        <v>2277</v>
      </c>
      <c r="B465" t="s">
        <v>449</v>
      </c>
      <c r="C465" t="s">
        <v>2278</v>
      </c>
      <c r="D465" t="s">
        <v>2279</v>
      </c>
      <c r="E465" t="s">
        <v>68</v>
      </c>
      <c r="F465" t="s">
        <v>115</v>
      </c>
      <c r="G465" t="s">
        <v>80</v>
      </c>
      <c r="H465" t="s">
        <v>91</v>
      </c>
      <c r="I465" t="s">
        <v>92</v>
      </c>
      <c r="J465" t="s">
        <v>93</v>
      </c>
      <c r="K465" t="s">
        <v>230</v>
      </c>
      <c r="L465" t="s">
        <v>2280</v>
      </c>
      <c r="M465" t="s">
        <v>74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41</v>
      </c>
      <c r="U465" t="s">
        <v>42</v>
      </c>
      <c r="V465">
        <f t="shared" si="42"/>
        <v>2846.4</v>
      </c>
      <c r="W465">
        <f t="shared" si="43"/>
        <v>714.0300000000002</v>
      </c>
      <c r="X465">
        <f t="shared" si="44"/>
        <v>0.25085370994940975</v>
      </c>
      <c r="Y465" t="str">
        <f>_xlfn.TEXTJOIN(", ",TRUE,IF(G465="Unknown","Missing Region",""),IF(M465="Unknown","Missing Ship Mode",""),IF(P465&lt;0,"Negative Discount",""),IF(P465&gt;0.7,"High Discount",""),IF(C465&lt;B465,"Ship Before Order",""))</f>
        <v/>
      </c>
      <c r="Z465" s="2">
        <f>IFERROR(
  IF(ISNUMBER(B465),B465,
    IF(ISNUMBER(SEARCH("-",B465)*1),
      IF(LEN(LEFT(B465,FIND("-",B465)-1))=4,
        DATE(VALUE(LEFT(B465,4)),VALUE(MID(B465,6,2)),VALUE(RIGHT(B465,2))),
        DATE(VALUE(RIGHT(B465,4)),VALUE(MID(B465,4,2)),VALUE(LEFT(B465,2)))
      ),
      IF(ISNUMBER(SEARCH("/",B465)*1),
        DATE(VALUE(RIGHT(B465,4)),VALUE(LEFT(B465,2)),VALUE(MID(B465,4,2))),
        DATEVALUE(B465)
      )
    )
  ),
"INVALID_DATE")</f>
        <v>45695</v>
      </c>
      <c r="AA465" s="2">
        <f>IFERROR(
  IF(ISNUMBER(C465),C465,
    IF(ISNUMBER(SEARCH("-",C465)*1),
      IF(LEN(LEFT(C465,FIND("-",C465)-1))=4,
        DATE(VALUE(LEFT(C465,4)),VALUE(MID(C465,6,2)),VALUE(RIGHT(C465,2))),
        DATE(VALUE(RIGHT(C465,4)),VALUE(MID(C465,4,2)),VALUE(LEFT(C465,2)))
      ),
      IF(ISNUMBER(SEARCH("/",C465)*1),
        DATE(VALUE(RIGHT(C465,4)),VALUE(LEFT(C465,2)),VALUE(MID(C465,4,2))),
        DATEVALUE(C465)
      )
    )
  ),
"INVALID_DATE")</f>
        <v>45696</v>
      </c>
      <c r="AB465">
        <f t="shared" si="45"/>
        <v>1</v>
      </c>
      <c r="AC465" t="str">
        <f t="shared" si="46"/>
        <v>February</v>
      </c>
      <c r="AD465">
        <f t="shared" si="47"/>
        <v>2025</v>
      </c>
    </row>
    <row r="466" spans="1:30">
      <c r="A466" t="s">
        <v>2281</v>
      </c>
      <c r="B466" t="s">
        <v>2282</v>
      </c>
      <c r="C466" t="s">
        <v>2283</v>
      </c>
      <c r="D466" t="s">
        <v>2284</v>
      </c>
      <c r="E466" t="s">
        <v>68</v>
      </c>
      <c r="F466" t="s">
        <v>115</v>
      </c>
      <c r="G466" t="s">
        <v>49</v>
      </c>
      <c r="H466" t="s">
        <v>193</v>
      </c>
      <c r="I466" t="s">
        <v>194</v>
      </c>
      <c r="J466" t="s">
        <v>37</v>
      </c>
      <c r="K466" t="s">
        <v>38</v>
      </c>
      <c r="L466" t="s">
        <v>2285</v>
      </c>
      <c r="M466" t="s">
        <v>55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144</v>
      </c>
      <c r="U466" t="s">
        <v>85</v>
      </c>
      <c r="V466">
        <f t="shared" si="42"/>
        <v>10331.477999999999</v>
      </c>
      <c r="W466">
        <f t="shared" si="43"/>
        <v>3199.5699999999997</v>
      </c>
      <c r="X466">
        <f t="shared" si="44"/>
        <v>0.30969135109393819</v>
      </c>
      <c r="Y466" t="str">
        <f>_xlfn.TEXTJOIN(", ",TRUE,IF(G466="Unknown","Missing Region",""),IF(M466="Unknown","Missing Ship Mode",""),IF(P466&lt;0,"Negative Discount",""),IF(P466&gt;0.7,"High Discount",""),IF(C466&lt;B466,"Ship Before Order",""))</f>
        <v>Ship Before Order</v>
      </c>
      <c r="Z466" s="2">
        <f>IFERROR(
  IF(ISNUMBER(B466),B466,
    IF(ISNUMBER(SEARCH("-",B466)*1),
      IF(LEN(LEFT(B466,FIND("-",B466)-1))=4,
        DATE(VALUE(LEFT(B466,4)),VALUE(MID(B466,6,2)),VALUE(RIGHT(B466,2))),
        DATE(VALUE(RIGHT(B466,4)),VALUE(MID(B466,4,2)),VALUE(LEFT(B466,2)))
      ),
      IF(ISNUMBER(SEARCH("/",B466)*1),
        DATE(VALUE(RIGHT(B466,4)),VALUE(LEFT(B466,2)),VALUE(MID(B466,4,2))),
        DATEVALUE(B466)
      )
    )
  ),
"INVALID_DATE")</f>
        <v>45727</v>
      </c>
      <c r="AA466" s="2">
        <f>IFERROR(
  IF(ISNUMBER(C466),C466,
    IF(ISNUMBER(SEARCH("-",C466)*1),
      IF(LEN(LEFT(C466,FIND("-",C466)-1))=4,
        DATE(VALUE(LEFT(C466,4)),VALUE(MID(C466,6,2)),VALUE(RIGHT(C466,2))),
        DATE(VALUE(RIGHT(C466,4)),VALUE(MID(C466,4,2)),VALUE(LEFT(C466,2)))
      ),
      IF(ISNUMBER(SEARCH("/",C466)*1),
        DATE(VALUE(RIGHT(C466,4)),VALUE(LEFT(C466,2)),VALUE(MID(C466,4,2))),
        DATEVALUE(C466)
      )
    )
  ),
"INVALID_DATE")</f>
        <v>45731</v>
      </c>
      <c r="AB466">
        <f t="shared" si="45"/>
        <v>4</v>
      </c>
      <c r="AC466" t="str">
        <f t="shared" si="46"/>
        <v>March</v>
      </c>
      <c r="AD466">
        <f t="shared" si="47"/>
        <v>2025</v>
      </c>
    </row>
    <row r="467" spans="1:30">
      <c r="A467" t="s">
        <v>2286</v>
      </c>
      <c r="B467" t="s">
        <v>2287</v>
      </c>
      <c r="C467" t="s">
        <v>2288</v>
      </c>
      <c r="D467" t="s">
        <v>2289</v>
      </c>
      <c r="E467" t="s">
        <v>169</v>
      </c>
      <c r="F467" t="s">
        <v>48</v>
      </c>
      <c r="G467" t="s">
        <v>80</v>
      </c>
      <c r="H467" t="s">
        <v>91</v>
      </c>
      <c r="I467" t="s">
        <v>92</v>
      </c>
      <c r="J467" t="s">
        <v>37</v>
      </c>
      <c r="K467" t="s">
        <v>116</v>
      </c>
      <c r="L467" t="s">
        <v>2290</v>
      </c>
      <c r="M467" t="s">
        <v>74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41</v>
      </c>
      <c r="U467" t="s">
        <v>42</v>
      </c>
      <c r="V467">
        <f t="shared" si="42"/>
        <v>2517.8000000000002</v>
      </c>
      <c r="W467">
        <f t="shared" si="43"/>
        <v>1039.2600000000002</v>
      </c>
      <c r="X467">
        <f t="shared" si="44"/>
        <v>0.41276511239971403</v>
      </c>
      <c r="Y467" t="str">
        <f>_xlfn.TEXTJOIN(", ",TRUE,IF(G467="Unknown","Missing Region",""),IF(M467="Unknown","Missing Ship Mode",""),IF(P467&lt;0,"Negative Discount",""),IF(P467&gt;0.7,"High Discount",""),IF(C467&lt;B467,"Ship Before Order",""))</f>
        <v>Ship Before Order</v>
      </c>
      <c r="Z467" s="2">
        <f>IFERROR(
  IF(ISNUMBER(B467),B467,
    IF(ISNUMBER(SEARCH("-",B467)*1),
      IF(LEN(LEFT(B467,FIND("-",B467)-1))=4,
        DATE(VALUE(LEFT(B467,4)),VALUE(MID(B467,6,2)),VALUE(RIGHT(B467,2))),
        DATE(VALUE(RIGHT(B467,4)),VALUE(MID(B467,4,2)),VALUE(LEFT(B467,2)))
      ),
      IF(ISNUMBER(SEARCH("/",B467)*1),
        DATE(VALUE(RIGHT(B467,4)),VALUE(LEFT(B467,2)),VALUE(MID(B467,4,2))),
        DATEVALUE(B467)
      )
    )
  ),
"INVALID_DATE")</f>
        <v>45320</v>
      </c>
      <c r="AA467" s="2">
        <f>IFERROR(
  IF(ISNUMBER(C467),C467,
    IF(ISNUMBER(SEARCH("-",C467)*1),
      IF(LEN(LEFT(C467,FIND("-",C467)-1))=4,
        DATE(VALUE(LEFT(C467,4)),VALUE(MID(C467,6,2)),VALUE(RIGHT(C467,2))),
        DATE(VALUE(RIGHT(C467,4)),VALUE(MID(C467,4,2)),VALUE(LEFT(C467,2)))
      ),
      IF(ISNUMBER(SEARCH("/",C467)*1),
        DATE(VALUE(RIGHT(C467,4)),VALUE(LEFT(C467,2)),VALUE(MID(C467,4,2))),
        DATEVALUE(C467)
      )
    )
  ),
"INVALID_DATE")</f>
        <v>45328</v>
      </c>
      <c r="AB467">
        <f t="shared" si="45"/>
        <v>8</v>
      </c>
      <c r="AC467" t="str">
        <f t="shared" si="46"/>
        <v>January</v>
      </c>
      <c r="AD467">
        <f t="shared" si="47"/>
        <v>2024</v>
      </c>
    </row>
    <row r="468" spans="1:30">
      <c r="A468" t="s">
        <v>2291</v>
      </c>
      <c r="B468" t="s">
        <v>2292</v>
      </c>
      <c r="C468" t="s">
        <v>2293</v>
      </c>
      <c r="D468" t="s">
        <v>2294</v>
      </c>
      <c r="E468" t="s">
        <v>47</v>
      </c>
      <c r="F468" t="s">
        <v>48</v>
      </c>
      <c r="G468" t="s">
        <v>49</v>
      </c>
      <c r="H468" t="s">
        <v>193</v>
      </c>
      <c r="I468" t="s">
        <v>194</v>
      </c>
      <c r="J468" t="s">
        <v>93</v>
      </c>
      <c r="K468" t="s">
        <v>94</v>
      </c>
      <c r="L468" t="s">
        <v>2295</v>
      </c>
      <c r="M468" t="s">
        <v>55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41</v>
      </c>
      <c r="U468" t="s">
        <v>42</v>
      </c>
      <c r="V468">
        <f t="shared" si="42"/>
        <v>11462.112000000001</v>
      </c>
      <c r="W468">
        <f t="shared" si="43"/>
        <v>4356.630000000001</v>
      </c>
      <c r="X468">
        <f t="shared" si="44"/>
        <v>0.38008970425166044</v>
      </c>
      <c r="Y468" t="str">
        <f>_xlfn.TEXTJOIN(", ",TRUE,IF(G468="Unknown","Missing Region",""),IF(M468="Unknown","Missing Ship Mode",""),IF(P468&lt;0,"Negative Discount",""),IF(P468&gt;0.7,"High Discount",""),IF(C468&lt;B468,"Ship Before Order",""))</f>
        <v>Ship Before Order</v>
      </c>
      <c r="Z468" s="2">
        <f>IFERROR(
  IF(ISNUMBER(B468),B468,
    IF(ISNUMBER(SEARCH("-",B468)*1),
      IF(LEN(LEFT(B468,FIND("-",B468)-1))=4,
        DATE(VALUE(LEFT(B468,4)),VALUE(MID(B468,6,2)),VALUE(RIGHT(B468,2))),
        DATE(VALUE(RIGHT(B468,4)),VALUE(MID(B468,4,2)),VALUE(LEFT(B468,2)))
      ),
      IF(ISNUMBER(SEARCH("/",B468)*1),
        DATE(VALUE(RIGHT(B468,4)),VALUE(LEFT(B468,2)),VALUE(MID(B468,4,2))),
        DATEVALUE(B468)
      )
    )
  ),
"INVALID_DATE")</f>
        <v>45295</v>
      </c>
      <c r="AA468" s="2">
        <f>IFERROR(
  IF(ISNUMBER(C468),C468,
    IF(ISNUMBER(SEARCH("-",C468)*1),
      IF(LEN(LEFT(C468,FIND("-",C468)-1))=4,
        DATE(VALUE(LEFT(C468,4)),VALUE(MID(C468,6,2)),VALUE(RIGHT(C468,2))),
        DATE(VALUE(RIGHT(C468,4)),VALUE(MID(C468,4,2)),VALUE(LEFT(C468,2)))
      ),
      IF(ISNUMBER(SEARCH("/",C468)*1),
        DATE(VALUE(RIGHT(C468,4)),VALUE(LEFT(C468,2)),VALUE(MID(C468,4,2))),
        DATEVALUE(C468)
      )
    )
  ),
"INVALID_DATE")</f>
        <v>45299</v>
      </c>
      <c r="AB468">
        <f t="shared" si="45"/>
        <v>4</v>
      </c>
      <c r="AC468" t="str">
        <f t="shared" si="46"/>
        <v>January</v>
      </c>
      <c r="AD468">
        <f t="shared" si="47"/>
        <v>2024</v>
      </c>
    </row>
    <row r="469" spans="1:30">
      <c r="A469" t="s">
        <v>2296</v>
      </c>
      <c r="B469" t="s">
        <v>2297</v>
      </c>
      <c r="C469" t="s">
        <v>1634</v>
      </c>
      <c r="D469" t="s">
        <v>2298</v>
      </c>
      <c r="E469" t="s">
        <v>114</v>
      </c>
      <c r="F469" t="s">
        <v>115</v>
      </c>
      <c r="G469" t="s">
        <v>49</v>
      </c>
      <c r="H469" t="s">
        <v>50</v>
      </c>
      <c r="I469" t="s">
        <v>51</v>
      </c>
      <c r="J469" t="s">
        <v>93</v>
      </c>
      <c r="K469" t="s">
        <v>101</v>
      </c>
      <c r="L469" t="s">
        <v>2299</v>
      </c>
      <c r="M469" t="s">
        <v>63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131</v>
      </c>
      <c r="U469" t="s">
        <v>85</v>
      </c>
      <c r="V469">
        <f t="shared" si="42"/>
        <v>19297.485000000001</v>
      </c>
      <c r="W469">
        <f t="shared" si="43"/>
        <v>3845.8300000000017</v>
      </c>
      <c r="X469">
        <f t="shared" si="44"/>
        <v>0.19929172135858081</v>
      </c>
      <c r="Y469" t="str">
        <f>_xlfn.TEXTJOIN(", ",TRUE,IF(G469="Unknown","Missing Region",""),IF(M469="Unknown","Missing Ship Mode",""),IF(P469&lt;0,"Negative Discount",""),IF(P469&gt;0.7,"High Discount",""),IF(C469&lt;B469,"Ship Before Order",""))</f>
        <v/>
      </c>
      <c r="Z469" s="2">
        <f>IFERROR(
  IF(ISNUMBER(B469),B469,
    IF(ISNUMBER(SEARCH("-",B469)*1),
      IF(LEN(LEFT(B469,FIND("-",B469)-1))=4,
        DATE(VALUE(LEFT(B469,4)),VALUE(MID(B469,6,2)),VALUE(RIGHT(B469,2))),
        DATE(VALUE(RIGHT(B469,4)),VALUE(MID(B469,4,2)),VALUE(LEFT(B469,2)))
      ),
      IF(ISNUMBER(SEARCH("/",B469)*1),
        DATE(VALUE(RIGHT(B469,4)),VALUE(LEFT(B469,2)),VALUE(MID(B469,4,2))),
        DATEVALUE(B469)
      )
    )
  ),
"INVALID_DATE")</f>
        <v>45524</v>
      </c>
      <c r="AA469" s="2">
        <f>IFERROR(
  IF(ISNUMBER(C469),C469,
    IF(ISNUMBER(SEARCH("-",C469)*1),
      IF(LEN(LEFT(C469,FIND("-",C469)-1))=4,
        DATE(VALUE(LEFT(C469,4)),VALUE(MID(C469,6,2)),VALUE(RIGHT(C469,2))),
        DATE(VALUE(RIGHT(C469,4)),VALUE(MID(C469,4,2)),VALUE(LEFT(C469,2)))
      ),
      IF(ISNUMBER(SEARCH("/",C469)*1),
        DATE(VALUE(RIGHT(C469,4)),VALUE(LEFT(C469,2)),VALUE(MID(C469,4,2))),
        DATEVALUE(C469)
      )
    )
  ),
"INVALID_DATE")</f>
        <v>45525</v>
      </c>
      <c r="AB469">
        <f t="shared" si="45"/>
        <v>1</v>
      </c>
      <c r="AC469" t="str">
        <f t="shared" si="46"/>
        <v>August</v>
      </c>
      <c r="AD469">
        <f t="shared" si="47"/>
        <v>2024</v>
      </c>
    </row>
    <row r="470" spans="1:30">
      <c r="A470" t="s">
        <v>2300</v>
      </c>
      <c r="B470" t="s">
        <v>2301</v>
      </c>
      <c r="C470" t="s">
        <v>2302</v>
      </c>
      <c r="D470" t="s">
        <v>2303</v>
      </c>
      <c r="E470" t="s">
        <v>169</v>
      </c>
      <c r="F470" t="s">
        <v>122</v>
      </c>
      <c r="G470" t="s">
        <v>49</v>
      </c>
      <c r="H470" t="s">
        <v>128</v>
      </c>
      <c r="I470" t="s">
        <v>129</v>
      </c>
      <c r="J470" t="s">
        <v>37</v>
      </c>
      <c r="K470" t="s">
        <v>205</v>
      </c>
      <c r="L470" t="s">
        <v>2304</v>
      </c>
      <c r="M470" t="s">
        <v>40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41</v>
      </c>
      <c r="U470" t="s">
        <v>42</v>
      </c>
      <c r="V470">
        <f t="shared" si="42"/>
        <v>6564.99</v>
      </c>
      <c r="W470">
        <f t="shared" si="43"/>
        <v>1157.75</v>
      </c>
      <c r="X470">
        <f t="shared" si="44"/>
        <v>0.17635213458055535</v>
      </c>
      <c r="Y470" t="str">
        <f>_xlfn.TEXTJOIN(", ",TRUE,IF(G470="Unknown","Missing Region",""),IF(M470="Unknown","Missing Ship Mode",""),IF(P470&lt;0,"Negative Discount",""),IF(P470&gt;0.7,"High Discount",""),IF(C470&lt;B470,"Ship Before Order",""))</f>
        <v>Ship Before Order</v>
      </c>
      <c r="Z470" s="2">
        <f>IFERROR(
  IF(ISNUMBER(B470),B470,
    IF(ISNUMBER(SEARCH("-",B470)*1),
      IF(LEN(LEFT(B470,FIND("-",B470)-1))=4,
        DATE(VALUE(LEFT(B470,4)),VALUE(MID(B470,6,2)),VALUE(RIGHT(B470,2))),
        DATE(VALUE(RIGHT(B470,4)),VALUE(MID(B470,4,2)),VALUE(LEFT(B470,2)))
      ),
      IF(ISNUMBER(SEARCH("/",B470)*1),
        DATE(VALUE(RIGHT(B470,4)),VALUE(LEFT(B470,2)),VALUE(MID(B470,4,2))),
        DATEVALUE(B470)
      )
    )
  ),
"INVALID_DATE")</f>
        <v>45666</v>
      </c>
      <c r="AA470" s="2">
        <f>IFERROR(
  IF(ISNUMBER(C470),C470,
    IF(ISNUMBER(SEARCH("-",C470)*1),
      IF(LEN(LEFT(C470,FIND("-",C470)-1))=4,
        DATE(VALUE(LEFT(C470,4)),VALUE(MID(C470,6,2)),VALUE(RIGHT(C470,2))),
        DATE(VALUE(RIGHT(C470,4)),VALUE(MID(C470,4,2)),VALUE(LEFT(C470,2)))
      ),
      IF(ISNUMBER(SEARCH("/",C470)*1),
        DATE(VALUE(RIGHT(C470,4)),VALUE(LEFT(C470,2)),VALUE(MID(C470,4,2))),
        DATEVALUE(C470)
      )
    )
  ),
"INVALID_DATE")</f>
        <v>45664</v>
      </c>
      <c r="AB470">
        <f t="shared" si="45"/>
        <v>-2</v>
      </c>
      <c r="AC470" t="str">
        <f t="shared" si="46"/>
        <v>January</v>
      </c>
      <c r="AD470">
        <f t="shared" si="47"/>
        <v>2025</v>
      </c>
    </row>
    <row r="471" spans="1:30">
      <c r="A471" t="s">
        <v>2305</v>
      </c>
      <c r="B471" t="s">
        <v>2306</v>
      </c>
      <c r="C471" t="s">
        <v>2059</v>
      </c>
      <c r="D471" t="s">
        <v>2307</v>
      </c>
      <c r="E471" t="s">
        <v>114</v>
      </c>
      <c r="F471" t="s">
        <v>115</v>
      </c>
      <c r="G471" t="s">
        <v>80</v>
      </c>
      <c r="H471" t="s">
        <v>256</v>
      </c>
      <c r="I471" t="s">
        <v>257</v>
      </c>
      <c r="J471" t="s">
        <v>93</v>
      </c>
      <c r="K471" t="s">
        <v>101</v>
      </c>
      <c r="L471" t="s">
        <v>2308</v>
      </c>
      <c r="M471" t="s">
        <v>63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41</v>
      </c>
      <c r="U471" t="s">
        <v>42</v>
      </c>
      <c r="V471">
        <f t="shared" si="42"/>
        <v>2812.4820000000004</v>
      </c>
      <c r="W471">
        <f t="shared" si="43"/>
        <v>530.36000000000013</v>
      </c>
      <c r="X471">
        <f t="shared" si="44"/>
        <v>0.18857378541358516</v>
      </c>
      <c r="Y471" t="str">
        <f>_xlfn.TEXTJOIN(", ",TRUE,IF(G471="Unknown","Missing Region",""),IF(M471="Unknown","Missing Ship Mode",""),IF(P471&lt;0,"Negative Discount",""),IF(P471&gt;0.7,"High Discount",""),IF(C471&lt;B471,"Ship Before Order",""))</f>
        <v>Ship Before Order</v>
      </c>
      <c r="Z471" s="2">
        <f>IFERROR(
  IF(ISNUMBER(B471),B471,
    IF(ISNUMBER(SEARCH("-",B471)*1),
      IF(LEN(LEFT(B471,FIND("-",B471)-1))=4,
        DATE(VALUE(LEFT(B471,4)),VALUE(MID(B471,6,2)),VALUE(RIGHT(B471,2))),
        DATE(VALUE(RIGHT(B471,4)),VALUE(MID(B471,4,2)),VALUE(LEFT(B471,2)))
      ),
      IF(ISNUMBER(SEARCH("/",B471)*1),
        DATE(VALUE(RIGHT(B471,4)),VALUE(LEFT(B471,2)),VALUE(MID(B471,4,2))),
        DATEVALUE(B471)
      )
    )
  ),
"INVALID_DATE")</f>
        <v>45310</v>
      </c>
      <c r="AA471" s="2">
        <f>IFERROR(
  IF(ISNUMBER(C471),C471,
    IF(ISNUMBER(SEARCH("-",C471)*1),
      IF(LEN(LEFT(C471,FIND("-",C471)-1))=4,
        DATE(VALUE(LEFT(C471,4)),VALUE(MID(C471,6,2)),VALUE(RIGHT(C471,2))),
        DATE(VALUE(RIGHT(C471,4)),VALUE(MID(C471,4,2)),VALUE(LEFT(C471,2)))
      ),
      IF(ISNUMBER(SEARCH("/",C471)*1),
        DATE(VALUE(RIGHT(C471,4)),VALUE(LEFT(C471,2)),VALUE(MID(C471,4,2))),
        DATEVALUE(C471)
      )
    )
  ),
"INVALID_DATE")</f>
        <v>45316</v>
      </c>
      <c r="AB471">
        <f t="shared" si="45"/>
        <v>6</v>
      </c>
      <c r="AC471" t="str">
        <f t="shared" si="46"/>
        <v>January</v>
      </c>
      <c r="AD471">
        <f t="shared" si="47"/>
        <v>2024</v>
      </c>
    </row>
    <row r="472" spans="1:30">
      <c r="A472" t="s">
        <v>2309</v>
      </c>
      <c r="B472" t="s">
        <v>2310</v>
      </c>
      <c r="C472" t="s">
        <v>1602</v>
      </c>
      <c r="D472" t="s">
        <v>2311</v>
      </c>
      <c r="E472" t="s">
        <v>114</v>
      </c>
      <c r="F472" t="s">
        <v>33</v>
      </c>
      <c r="G472" t="s">
        <v>34</v>
      </c>
      <c r="H472" t="s">
        <v>35</v>
      </c>
      <c r="I472" t="s">
        <v>36</v>
      </c>
      <c r="J472" t="s">
        <v>52</v>
      </c>
      <c r="K472" t="s">
        <v>53</v>
      </c>
      <c r="L472" t="s">
        <v>2312</v>
      </c>
      <c r="M472" t="s">
        <v>55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41</v>
      </c>
      <c r="U472" t="s">
        <v>42</v>
      </c>
      <c r="V472">
        <f t="shared" si="42"/>
        <v>7079.6480000000001</v>
      </c>
      <c r="W472">
        <f t="shared" si="43"/>
        <v>2613.7399999999998</v>
      </c>
      <c r="X472">
        <f t="shared" si="44"/>
        <v>0.36919056733030586</v>
      </c>
      <c r="Y472" t="str">
        <f>_xlfn.TEXTJOIN(", ",TRUE,IF(G472="Unknown","Missing Region",""),IF(M472="Unknown","Missing Ship Mode",""),IF(P472&lt;0,"Negative Discount",""),IF(P472&gt;0.7,"High Discount",""),IF(C472&lt;B472,"Ship Before Order",""))</f>
        <v>Ship Before Order</v>
      </c>
      <c r="Z472" s="2">
        <f>IFERROR(
  IF(ISNUMBER(B472),B472,
    IF(ISNUMBER(SEARCH("-",B472)*1),
      IF(LEN(LEFT(B472,FIND("-",B472)-1))=4,
        DATE(VALUE(LEFT(B472,4)),VALUE(MID(B472,6,2)),VALUE(RIGHT(B472,2))),
        DATE(VALUE(RIGHT(B472,4)),VALUE(MID(B472,4,2)),VALUE(LEFT(B472,2)))
      ),
      IF(ISNUMBER(SEARCH("/",B472)*1),
        DATE(VALUE(RIGHT(B472,4)),VALUE(LEFT(B472,2)),VALUE(MID(B472,4,2))),
        DATEVALUE(B472)
      )
    )
  ),
"INVALID_DATE")</f>
        <v>45501</v>
      </c>
      <c r="AA472" s="2">
        <f>IFERROR(
  IF(ISNUMBER(C472),C472,
    IF(ISNUMBER(SEARCH("-",C472)*1),
      IF(LEN(LEFT(C472,FIND("-",C472)-1))=4,
        DATE(VALUE(LEFT(C472,4)),VALUE(MID(C472,6,2)),VALUE(RIGHT(C472,2))),
        DATE(VALUE(RIGHT(C472,4)),VALUE(MID(C472,4,2)),VALUE(LEFT(C472,2)))
      ),
      IF(ISNUMBER(SEARCH("/",C472)*1),
        DATE(VALUE(RIGHT(C472,4)),VALUE(LEFT(C472,2)),VALUE(MID(C472,4,2))),
        DATEVALUE(C472)
      )
    )
  ),
"INVALID_DATE")</f>
        <v>45504</v>
      </c>
      <c r="AB472">
        <f t="shared" si="45"/>
        <v>3</v>
      </c>
      <c r="AC472" t="str">
        <f t="shared" si="46"/>
        <v>July</v>
      </c>
      <c r="AD472">
        <f t="shared" si="47"/>
        <v>2024</v>
      </c>
    </row>
    <row r="473" spans="1:30">
      <c r="A473" t="s">
        <v>2313</v>
      </c>
      <c r="B473" t="s">
        <v>2314</v>
      </c>
      <c r="C473" t="s">
        <v>2315</v>
      </c>
      <c r="D473" t="s">
        <v>2316</v>
      </c>
      <c r="E473" t="s">
        <v>374</v>
      </c>
      <c r="F473" t="s">
        <v>33</v>
      </c>
      <c r="G473" t="s">
        <v>69</v>
      </c>
      <c r="H473" t="s">
        <v>70</v>
      </c>
      <c r="I473" t="s">
        <v>71</v>
      </c>
      <c r="J473" t="s">
        <v>37</v>
      </c>
      <c r="K473" t="s">
        <v>205</v>
      </c>
      <c r="L473" t="s">
        <v>2317</v>
      </c>
      <c r="M473" t="s">
        <v>74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41</v>
      </c>
      <c r="U473" t="s">
        <v>42</v>
      </c>
      <c r="V473">
        <f t="shared" si="42"/>
        <v>6793.0650000000005</v>
      </c>
      <c r="W473">
        <f t="shared" si="43"/>
        <v>1807.8499999999995</v>
      </c>
      <c r="X473">
        <f t="shared" si="44"/>
        <v>0.26613151343943164</v>
      </c>
      <c r="Y473" t="str">
        <f>_xlfn.TEXTJOIN(", ",TRUE,IF(G473="Unknown","Missing Region",""),IF(M473="Unknown","Missing Ship Mode",""),IF(P473&lt;0,"Negative Discount",""),IF(P473&gt;0.7,"High Discount",""),IF(C473&lt;B473,"Ship Before Order",""))</f>
        <v>Ship Before Order</v>
      </c>
      <c r="Z473" s="2">
        <f>IFERROR(
  IF(ISNUMBER(B473),B473,
    IF(ISNUMBER(SEARCH("-",B473)*1),
      IF(LEN(LEFT(B473,FIND("-",B473)-1))=4,
        DATE(VALUE(LEFT(B473,4)),VALUE(MID(B473,6,2)),VALUE(RIGHT(B473,2))),
        DATE(VALUE(RIGHT(B473,4)),VALUE(MID(B473,4,2)),VALUE(LEFT(B473,2)))
      ),
      IF(ISNUMBER(SEARCH("/",B473)*1),
        DATE(VALUE(RIGHT(B473,4)),VALUE(LEFT(B473,2)),VALUE(MID(B473,4,2))),
        DATEVALUE(B473)
      )
    )
  ),
"INVALID_DATE")</f>
        <v>45333</v>
      </c>
      <c r="AA473" s="2">
        <f>IFERROR(
  IF(ISNUMBER(C473),C473,
    IF(ISNUMBER(SEARCH("-",C473)*1),
      IF(LEN(LEFT(C473,FIND("-",C473)-1))=4,
        DATE(VALUE(LEFT(C473,4)),VALUE(MID(C473,6,2)),VALUE(RIGHT(C473,2))),
        DATE(VALUE(RIGHT(C473,4)),VALUE(MID(C473,4,2)),VALUE(LEFT(C473,2)))
      ),
      IF(ISNUMBER(SEARCH("/",C473)*1),
        DATE(VALUE(RIGHT(C473,4)),VALUE(LEFT(C473,2)),VALUE(MID(C473,4,2))),
        DATEVALUE(C473)
      )
    )
  ),
"INVALID_DATE")</f>
        <v>45337</v>
      </c>
      <c r="AB473">
        <f t="shared" si="45"/>
        <v>4</v>
      </c>
      <c r="AC473" t="str">
        <f t="shared" si="46"/>
        <v>February</v>
      </c>
      <c r="AD473">
        <f t="shared" si="47"/>
        <v>2024</v>
      </c>
    </row>
    <row r="474" spans="1:30">
      <c r="A474" t="s">
        <v>2318</v>
      </c>
      <c r="B474" t="s">
        <v>2319</v>
      </c>
      <c r="C474" t="s">
        <v>1514</v>
      </c>
      <c r="D474" t="s">
        <v>2320</v>
      </c>
      <c r="E474" t="s">
        <v>187</v>
      </c>
      <c r="F474" t="s">
        <v>115</v>
      </c>
      <c r="G474" t="s">
        <v>49</v>
      </c>
      <c r="H474" t="s">
        <v>50</v>
      </c>
      <c r="I474" t="s">
        <v>51</v>
      </c>
      <c r="J474" t="s">
        <v>37</v>
      </c>
      <c r="K474" t="s">
        <v>163</v>
      </c>
      <c r="L474" t="s">
        <v>2321</v>
      </c>
      <c r="M474" t="s">
        <v>74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41</v>
      </c>
      <c r="U474" t="s">
        <v>42</v>
      </c>
      <c r="V474">
        <f t="shared" si="42"/>
        <v>1844.2199999999998</v>
      </c>
      <c r="W474">
        <f t="shared" si="43"/>
        <v>750.01</v>
      </c>
      <c r="X474">
        <f t="shared" si="44"/>
        <v>0.40668141544934983</v>
      </c>
      <c r="Y474" t="str">
        <f>_xlfn.TEXTJOIN(", ",TRUE,IF(G474="Unknown","Missing Region",""),IF(M474="Unknown","Missing Ship Mode",""),IF(P474&lt;0,"Negative Discount",""),IF(P474&gt;0.7,"High Discount",""),IF(C474&lt;B474,"Ship Before Order",""))</f>
        <v/>
      </c>
      <c r="Z474" s="2">
        <f>IFERROR(
  IF(ISNUMBER(B474),B474,
    IF(ISNUMBER(SEARCH("-",B474)*1),
      IF(LEN(LEFT(B474,FIND("-",B474)-1))=4,
        DATE(VALUE(LEFT(B474,4)),VALUE(MID(B474,6,2)),VALUE(RIGHT(B474,2))),
        DATE(VALUE(RIGHT(B474,4)),VALUE(MID(B474,4,2)),VALUE(LEFT(B474,2)))
      ),
      IF(ISNUMBER(SEARCH("/",B474)*1),
        DATE(VALUE(RIGHT(B474,4)),VALUE(LEFT(B474,2)),VALUE(MID(B474,4,2))),
        DATEVALUE(B474)
      )
    )
  ),
"INVALID_DATE")</f>
        <v>45353</v>
      </c>
      <c r="AA474" s="2">
        <f>IFERROR(
  IF(ISNUMBER(C474),C474,
    IF(ISNUMBER(SEARCH("-",C474)*1),
      IF(LEN(LEFT(C474,FIND("-",C474)-1))=4,
        DATE(VALUE(LEFT(C474,4)),VALUE(MID(C474,6,2)),VALUE(RIGHT(C474,2))),
        DATE(VALUE(RIGHT(C474,4)),VALUE(MID(C474,4,2)),VALUE(LEFT(C474,2)))
      ),
      IF(ISNUMBER(SEARCH("/",C474)*1),
        DATE(VALUE(RIGHT(C474,4)),VALUE(LEFT(C474,2)),VALUE(MID(C474,4,2))),
        DATEVALUE(C474)
      )
    )
  ),
"INVALID_DATE")</f>
        <v>45358</v>
      </c>
      <c r="AB474">
        <f t="shared" si="45"/>
        <v>5</v>
      </c>
      <c r="AC474" t="str">
        <f t="shared" si="46"/>
        <v>March</v>
      </c>
      <c r="AD474">
        <f t="shared" si="47"/>
        <v>2024</v>
      </c>
    </row>
    <row r="475" spans="1:30">
      <c r="A475" t="s">
        <v>2322</v>
      </c>
      <c r="B475" t="s">
        <v>2323</v>
      </c>
      <c r="C475" t="s">
        <v>453</v>
      </c>
      <c r="D475" t="s">
        <v>2324</v>
      </c>
      <c r="E475" t="s">
        <v>149</v>
      </c>
      <c r="F475" t="s">
        <v>33</v>
      </c>
      <c r="G475" t="s">
        <v>80</v>
      </c>
      <c r="H475" t="s">
        <v>256</v>
      </c>
      <c r="I475" t="s">
        <v>257</v>
      </c>
      <c r="J475" t="s">
        <v>93</v>
      </c>
      <c r="K475" t="s">
        <v>101</v>
      </c>
      <c r="L475" t="s">
        <v>2325</v>
      </c>
      <c r="M475" t="s">
        <v>74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41</v>
      </c>
      <c r="U475" t="s">
        <v>42</v>
      </c>
      <c r="V475">
        <f t="shared" si="42"/>
        <v>918.96</v>
      </c>
      <c r="W475">
        <f t="shared" si="43"/>
        <v>364.78000000000009</v>
      </c>
      <c r="X475">
        <f t="shared" si="44"/>
        <v>0.39694872464525111</v>
      </c>
      <c r="Y475" t="str">
        <f>_xlfn.TEXTJOIN(", ",TRUE,IF(G475="Unknown","Missing Region",""),IF(M475="Unknown","Missing Ship Mode",""),IF(P475&lt;0,"Negative Discount",""),IF(P475&gt;0.7,"High Discount",""),IF(C475&lt;B475,"Ship Before Order",""))</f>
        <v>Ship Before Order</v>
      </c>
      <c r="Z475" s="2">
        <f>IFERROR(
  IF(ISNUMBER(B475),B475,
    IF(ISNUMBER(SEARCH("-",B475)*1),
      IF(LEN(LEFT(B475,FIND("-",B475)-1))=4,
        DATE(VALUE(LEFT(B475,4)),VALUE(MID(B475,6,2)),VALUE(RIGHT(B475,2))),
        DATE(VALUE(RIGHT(B475,4)),VALUE(MID(B475,4,2)),VALUE(LEFT(B475,2)))
      ),
      IF(ISNUMBER(SEARCH("/",B475)*1),
        DATE(VALUE(RIGHT(B475,4)),VALUE(LEFT(B475,2)),VALUE(MID(B475,4,2))),
        DATEVALUE(B475)
      )
    )
  ),
"INVALID_DATE")</f>
        <v>45609</v>
      </c>
      <c r="AA475" s="2">
        <f>IFERROR(
  IF(ISNUMBER(C475),C475,
    IF(ISNUMBER(SEARCH("-",C475)*1),
      IF(LEN(LEFT(C475,FIND("-",C475)-1))=4,
        DATE(VALUE(LEFT(C475,4)),VALUE(MID(C475,6,2)),VALUE(RIGHT(C475,2))),
        DATE(VALUE(RIGHT(C475,4)),VALUE(MID(C475,4,2)),VALUE(LEFT(C475,2)))
      ),
      IF(ISNUMBER(SEARCH("/",C475)*1),
        DATE(VALUE(RIGHT(C475,4)),VALUE(LEFT(C475,2)),VALUE(MID(C475,4,2))),
        DATEVALUE(C475)
      )
    )
  ),
"INVALID_DATE")</f>
        <v>45609</v>
      </c>
      <c r="AB475">
        <f t="shared" si="45"/>
        <v>0</v>
      </c>
      <c r="AC475" t="str">
        <f t="shared" si="46"/>
        <v>November</v>
      </c>
      <c r="AD475">
        <f t="shared" si="47"/>
        <v>2024</v>
      </c>
    </row>
    <row r="476" spans="1:30">
      <c r="A476" t="s">
        <v>2326</v>
      </c>
      <c r="B476" t="s">
        <v>1228</v>
      </c>
      <c r="C476" t="s">
        <v>2327</v>
      </c>
      <c r="D476" t="s">
        <v>2328</v>
      </c>
      <c r="E476" t="s">
        <v>217</v>
      </c>
      <c r="F476" t="s">
        <v>115</v>
      </c>
      <c r="G476" t="s">
        <v>34</v>
      </c>
      <c r="H476" t="s">
        <v>161</v>
      </c>
      <c r="I476" t="s">
        <v>162</v>
      </c>
      <c r="J476" t="s">
        <v>52</v>
      </c>
      <c r="K476" t="s">
        <v>72</v>
      </c>
      <c r="L476" t="s">
        <v>2329</v>
      </c>
      <c r="M476" t="s">
        <v>74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41</v>
      </c>
      <c r="U476" t="s">
        <v>42</v>
      </c>
      <c r="V476">
        <f t="shared" si="42"/>
        <v>4900.71</v>
      </c>
      <c r="W476">
        <f t="shared" si="43"/>
        <v>2186.81</v>
      </c>
      <c r="X476">
        <f t="shared" si="44"/>
        <v>0.44622309828575857</v>
      </c>
      <c r="Y476" t="str">
        <f>_xlfn.TEXTJOIN(", ",TRUE,IF(G476="Unknown","Missing Region",""),IF(M476="Unknown","Missing Ship Mode",""),IF(P476&lt;0,"Negative Discount",""),IF(P476&gt;0.7,"High Discount",""),IF(C476&lt;B476,"Ship Before Order",""))</f>
        <v/>
      </c>
      <c r="Z476" s="2">
        <f>IFERROR(
  IF(ISNUMBER(B476),B476,
    IF(ISNUMBER(SEARCH("-",B476)*1),
      IF(LEN(LEFT(B476,FIND("-",B476)-1))=4,
        DATE(VALUE(LEFT(B476,4)),VALUE(MID(B476,6,2)),VALUE(RIGHT(B476,2))),
        DATE(VALUE(RIGHT(B476,4)),VALUE(MID(B476,4,2)),VALUE(LEFT(B476,2)))
      ),
      IF(ISNUMBER(SEARCH("/",B476)*1),
        DATE(VALUE(RIGHT(B476,4)),VALUE(LEFT(B476,2)),VALUE(MID(B476,4,2))),
        DATEVALUE(B476)
      )
    )
  ),
"INVALID_DATE")</f>
        <v>45446</v>
      </c>
      <c r="AA476" s="2">
        <f>IFERROR(
  IF(ISNUMBER(C476),C476,
    IF(ISNUMBER(SEARCH("-",C476)*1),
      IF(LEN(LEFT(C476,FIND("-",C476)-1))=4,
        DATE(VALUE(LEFT(C476,4)),VALUE(MID(C476,6,2)),VALUE(RIGHT(C476,2))),
        DATE(VALUE(RIGHT(C476,4)),VALUE(MID(C476,4,2)),VALUE(LEFT(C476,2)))
      ),
      IF(ISNUMBER(SEARCH("/",C476)*1),
        DATE(VALUE(RIGHT(C476,4)),VALUE(LEFT(C476,2)),VALUE(MID(C476,4,2))),
        DATEVALUE(C476)
      )
    )
  ),
"INVALID_DATE")</f>
        <v>45453</v>
      </c>
      <c r="AB476">
        <f t="shared" si="45"/>
        <v>7</v>
      </c>
      <c r="AC476" t="str">
        <f t="shared" si="46"/>
        <v>June</v>
      </c>
      <c r="AD476">
        <f t="shared" si="47"/>
        <v>2024</v>
      </c>
    </row>
    <row r="477" spans="1:30">
      <c r="A477" t="s">
        <v>2330</v>
      </c>
      <c r="B477" t="s">
        <v>2331</v>
      </c>
      <c r="C477" t="s">
        <v>2332</v>
      </c>
      <c r="D477" t="s">
        <v>2333</v>
      </c>
      <c r="E477" t="s">
        <v>90</v>
      </c>
      <c r="F477" t="s">
        <v>33</v>
      </c>
      <c r="G477" t="s">
        <v>49</v>
      </c>
      <c r="H477" t="s">
        <v>128</v>
      </c>
      <c r="I477" t="s">
        <v>129</v>
      </c>
      <c r="J477" t="s">
        <v>52</v>
      </c>
      <c r="K477" t="s">
        <v>83</v>
      </c>
      <c r="L477" t="s">
        <v>2334</v>
      </c>
      <c r="M477" t="s">
        <v>55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144</v>
      </c>
      <c r="U477" t="s">
        <v>132</v>
      </c>
      <c r="V477">
        <f t="shared" si="42"/>
        <v>20272.920000000002</v>
      </c>
      <c r="W477">
        <f t="shared" si="43"/>
        <v>4399.5399999999991</v>
      </c>
      <c r="X477">
        <f t="shared" si="44"/>
        <v>0.21701560505344075</v>
      </c>
      <c r="Y477" t="str">
        <f>_xlfn.TEXTJOIN(", ",TRUE,IF(G477="Unknown","Missing Region",""),IF(M477="Unknown","Missing Ship Mode",""),IF(P477&lt;0,"Negative Discount",""),IF(P477&gt;0.7,"High Discount",""),IF(C477&lt;B477,"Ship Before Order",""))</f>
        <v/>
      </c>
      <c r="Z477" s="2">
        <f>IFERROR(
  IF(ISNUMBER(B477),B477,
    IF(ISNUMBER(SEARCH("-",B477)*1),
      IF(LEN(LEFT(B477,FIND("-",B477)-1))=4,
        DATE(VALUE(LEFT(B477,4)),VALUE(MID(B477,6,2)),VALUE(RIGHT(B477,2))),
        DATE(VALUE(RIGHT(B477,4)),VALUE(MID(B477,4,2)),VALUE(LEFT(B477,2)))
      ),
      IF(ISNUMBER(SEARCH("/",B477)*1),
        DATE(VALUE(RIGHT(B477,4)),VALUE(LEFT(B477,2)),VALUE(MID(B477,4,2))),
        DATEVALUE(B477)
      )
    )
  ),
"INVALID_DATE")</f>
        <v>45717</v>
      </c>
      <c r="AA477" s="2">
        <f>IFERROR(
  IF(ISNUMBER(C477),C477,
    IF(ISNUMBER(SEARCH("-",C477)*1),
      IF(LEN(LEFT(C477,FIND("-",C477)-1))=4,
        DATE(VALUE(LEFT(C477,4)),VALUE(MID(C477,6,2)),VALUE(RIGHT(C477,2))),
        DATE(VALUE(RIGHT(C477,4)),VALUE(MID(C477,4,2)),VALUE(LEFT(C477,2)))
      ),
      IF(ISNUMBER(SEARCH("/",C477)*1),
        DATE(VALUE(RIGHT(C477,4)),VALUE(LEFT(C477,2)),VALUE(MID(C477,4,2))),
        DATEVALUE(C477)
      )
    )
  ),
"INVALID_DATE")</f>
        <v>45724</v>
      </c>
      <c r="AB477">
        <f t="shared" si="45"/>
        <v>7</v>
      </c>
      <c r="AC477" t="str">
        <f t="shared" si="46"/>
        <v>March</v>
      </c>
      <c r="AD477">
        <f t="shared" si="47"/>
        <v>2025</v>
      </c>
    </row>
    <row r="478" spans="1:30">
      <c r="A478" t="s">
        <v>2335</v>
      </c>
      <c r="B478" t="s">
        <v>2336</v>
      </c>
      <c r="C478" t="s">
        <v>2337</v>
      </c>
      <c r="D478" t="s">
        <v>2338</v>
      </c>
      <c r="E478" t="s">
        <v>175</v>
      </c>
      <c r="F478" t="s">
        <v>48</v>
      </c>
      <c r="G478" t="s">
        <v>34</v>
      </c>
      <c r="H478" t="s">
        <v>35</v>
      </c>
      <c r="I478" t="s">
        <v>36</v>
      </c>
      <c r="J478" t="s">
        <v>37</v>
      </c>
      <c r="K478" t="s">
        <v>163</v>
      </c>
      <c r="L478" t="s">
        <v>2339</v>
      </c>
      <c r="M478" t="s">
        <v>63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41</v>
      </c>
      <c r="U478" t="s">
        <v>42</v>
      </c>
      <c r="V478">
        <f t="shared" si="42"/>
        <v>1035.6659999999999</v>
      </c>
      <c r="W478">
        <f t="shared" si="43"/>
        <v>440.25000000000011</v>
      </c>
      <c r="X478">
        <f t="shared" si="44"/>
        <v>0.42508714165709149</v>
      </c>
      <c r="Y478" t="str">
        <f>_xlfn.TEXTJOIN(", ",TRUE,IF(G478="Unknown","Missing Region",""),IF(M478="Unknown","Missing Ship Mode",""),IF(P478&lt;0,"Negative Discount",""),IF(P478&gt;0.7,"High Discount",""),IF(C478&lt;B478,"Ship Before Order",""))</f>
        <v/>
      </c>
      <c r="Z478" s="2">
        <f>IFERROR(
  IF(ISNUMBER(B478),B478,
    IF(ISNUMBER(SEARCH("-",B478)*1),
      IF(LEN(LEFT(B478,FIND("-",B478)-1))=4,
        DATE(VALUE(LEFT(B478,4)),VALUE(MID(B478,6,2)),VALUE(RIGHT(B478,2))),
        DATE(VALUE(RIGHT(B478,4)),VALUE(MID(B478,4,2)),VALUE(LEFT(B478,2)))
      ),
      IF(ISNUMBER(SEARCH("/",B478)*1),
        DATE(VALUE(RIGHT(B478,4)),VALUE(LEFT(B478,2)),VALUE(MID(B478,4,2))),
        DATEVALUE(B478)
      )
    )
  ),
"INVALID_DATE")</f>
        <v>45419</v>
      </c>
      <c r="AA478" s="2">
        <f>IFERROR(
  IF(ISNUMBER(C478),C478,
    IF(ISNUMBER(SEARCH("-",C478)*1),
      IF(LEN(LEFT(C478,FIND("-",C478)-1))=4,
        DATE(VALUE(LEFT(C478,4)),VALUE(MID(C478,6,2)),VALUE(RIGHT(C478,2))),
        DATE(VALUE(RIGHT(C478,4)),VALUE(MID(C478,4,2)),VALUE(LEFT(C478,2)))
      ),
      IF(ISNUMBER(SEARCH("/",C478)*1),
        DATE(VALUE(RIGHT(C478,4)),VALUE(LEFT(C478,2)),VALUE(MID(C478,4,2))),
        DATEVALUE(C478)
      )
    )
  ),
"INVALID_DATE")</f>
        <v>45426</v>
      </c>
      <c r="AB478">
        <f t="shared" si="45"/>
        <v>7</v>
      </c>
      <c r="AC478" t="str">
        <f t="shared" si="46"/>
        <v>May</v>
      </c>
      <c r="AD478">
        <f t="shared" si="47"/>
        <v>2024</v>
      </c>
    </row>
    <row r="479" spans="1:30">
      <c r="A479" t="s">
        <v>2340</v>
      </c>
      <c r="B479" t="s">
        <v>2341</v>
      </c>
      <c r="C479" t="s">
        <v>2342</v>
      </c>
      <c r="D479" t="s">
        <v>2343</v>
      </c>
      <c r="E479" t="s">
        <v>90</v>
      </c>
      <c r="F479" t="s">
        <v>115</v>
      </c>
      <c r="G479" t="s">
        <v>80</v>
      </c>
      <c r="H479" t="s">
        <v>242</v>
      </c>
      <c r="I479" t="s">
        <v>243</v>
      </c>
      <c r="J479" t="s">
        <v>52</v>
      </c>
      <c r="K479" t="s">
        <v>83</v>
      </c>
      <c r="L479" t="s">
        <v>2344</v>
      </c>
      <c r="M479" t="s">
        <v>74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41</v>
      </c>
      <c r="U479" t="s">
        <v>85</v>
      </c>
      <c r="V479">
        <f t="shared" si="42"/>
        <v>11843.442000000001</v>
      </c>
      <c r="W479">
        <f t="shared" si="43"/>
        <v>2486.5600000000013</v>
      </c>
      <c r="X479">
        <f t="shared" si="44"/>
        <v>0.20995251379666718</v>
      </c>
      <c r="Y479" t="str">
        <f>_xlfn.TEXTJOIN(", ",TRUE,IF(G479="Unknown","Missing Region",""),IF(M479="Unknown","Missing Ship Mode",""),IF(P479&lt;0,"Negative Discount",""),IF(P479&gt;0.7,"High Discount",""),IF(C479&lt;B479,"Ship Before Order",""))</f>
        <v/>
      </c>
      <c r="Z479" s="2">
        <f>IFERROR(
  IF(ISNUMBER(B479),B479,
    IF(ISNUMBER(SEARCH("-",B479)*1),
      IF(LEN(LEFT(B479,FIND("-",B479)-1))=4,
        DATE(VALUE(LEFT(B479,4)),VALUE(MID(B479,6,2)),VALUE(RIGHT(B479,2))),
        DATE(VALUE(RIGHT(B479,4)),VALUE(MID(B479,4,2)),VALUE(LEFT(B479,2)))
      ),
      IF(ISNUMBER(SEARCH("/",B479)*1),
        DATE(VALUE(RIGHT(B479,4)),VALUE(LEFT(B479,2)),VALUE(MID(B479,4,2))),
        DATEVALUE(B479)
      )
    )
  ),
"INVALID_DATE")</f>
        <v>45892</v>
      </c>
      <c r="AA479" s="2">
        <f>IFERROR(
  IF(ISNUMBER(C479),C479,
    IF(ISNUMBER(SEARCH("-",C479)*1),
      IF(LEN(LEFT(C479,FIND("-",C479)-1))=4,
        DATE(VALUE(LEFT(C479,4)),VALUE(MID(C479,6,2)),VALUE(RIGHT(C479,2))),
        DATE(VALUE(RIGHT(C479,4)),VALUE(MID(C479,4,2)),VALUE(LEFT(C479,2)))
      ),
      IF(ISNUMBER(SEARCH("/",C479)*1),
        DATE(VALUE(RIGHT(C479,4)),VALUE(LEFT(C479,2)),VALUE(MID(C479,4,2))),
        DATEVALUE(C479)
      )
    )
  ),
"INVALID_DATE")</f>
        <v>45897</v>
      </c>
      <c r="AB479">
        <f t="shared" si="45"/>
        <v>5</v>
      </c>
      <c r="AC479" t="str">
        <f t="shared" si="46"/>
        <v>August</v>
      </c>
      <c r="AD479">
        <f t="shared" si="47"/>
        <v>2025</v>
      </c>
    </row>
    <row r="480" spans="1:30">
      <c r="A480" t="s">
        <v>2345</v>
      </c>
      <c r="B480" t="s">
        <v>2346</v>
      </c>
      <c r="C480" t="s">
        <v>2347</v>
      </c>
      <c r="D480" t="s">
        <v>2348</v>
      </c>
      <c r="E480" t="s">
        <v>47</v>
      </c>
      <c r="F480" t="s">
        <v>122</v>
      </c>
      <c r="G480" t="s">
        <v>279</v>
      </c>
      <c r="H480" t="s">
        <v>181</v>
      </c>
      <c r="I480" t="s">
        <v>182</v>
      </c>
      <c r="J480" t="s">
        <v>93</v>
      </c>
      <c r="K480" t="s">
        <v>390</v>
      </c>
      <c r="L480" t="s">
        <v>2349</v>
      </c>
      <c r="M480" t="s">
        <v>55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131</v>
      </c>
      <c r="U480" t="s">
        <v>132</v>
      </c>
      <c r="V480">
        <f t="shared" si="42"/>
        <v>25702.172999999999</v>
      </c>
      <c r="W480">
        <f t="shared" si="43"/>
        <v>11130.689999999999</v>
      </c>
      <c r="X480">
        <f t="shared" si="44"/>
        <v>0.43306421208792883</v>
      </c>
      <c r="Y480" t="str">
        <f>_xlfn.TEXTJOIN(", ",TRUE,IF(G480="Unknown","Missing Region",""),IF(M480="Unknown","Missing Ship Mode",""),IF(P480&lt;0,"Negative Discount",""),IF(P480&gt;0.7,"High Discount",""),IF(C480&lt;B480,"Ship Before Order",""))</f>
        <v>Missing Region</v>
      </c>
      <c r="Z480" s="2">
        <f>IFERROR(
  IF(ISNUMBER(B480),B480,
    IF(ISNUMBER(SEARCH("-",B480)*1),
      IF(LEN(LEFT(B480,FIND("-",B480)-1))=4,
        DATE(VALUE(LEFT(B480,4)),VALUE(MID(B480,6,2)),VALUE(RIGHT(B480,2))),
        DATE(VALUE(RIGHT(B480,4)),VALUE(MID(B480,4,2)),VALUE(LEFT(B480,2)))
      ),
      IF(ISNUMBER(SEARCH("/",B480)*1),
        DATE(VALUE(RIGHT(B480,4)),VALUE(LEFT(B480,2)),VALUE(MID(B480,4,2))),
        DATEVALUE(B480)
      )
    )
  ),
"INVALID_DATE")</f>
        <v>45452</v>
      </c>
      <c r="AA480" s="2">
        <f>IFERROR(
  IF(ISNUMBER(C480),C480,
    IF(ISNUMBER(SEARCH("-",C480)*1),
      IF(LEN(LEFT(C480,FIND("-",C480)-1))=4,
        DATE(VALUE(LEFT(C480,4)),VALUE(MID(C480,6,2)),VALUE(RIGHT(C480,2))),
        DATE(VALUE(RIGHT(C480,4)),VALUE(MID(C480,4,2)),VALUE(LEFT(C480,2)))
      ),
      IF(ISNUMBER(SEARCH("/",C480)*1),
        DATE(VALUE(RIGHT(C480,4)),VALUE(LEFT(C480,2)),VALUE(MID(C480,4,2))),
        DATEVALUE(C480)
      )
    )
  ),
"INVALID_DATE")</f>
        <v>45456</v>
      </c>
      <c r="AB480">
        <f t="shared" si="45"/>
        <v>4</v>
      </c>
      <c r="AC480" t="str">
        <f t="shared" si="46"/>
        <v>June</v>
      </c>
      <c r="AD480">
        <f t="shared" si="47"/>
        <v>2024</v>
      </c>
    </row>
    <row r="481" spans="1:30">
      <c r="A481" t="s">
        <v>2350</v>
      </c>
      <c r="B481" t="s">
        <v>2351</v>
      </c>
      <c r="C481" t="s">
        <v>2096</v>
      </c>
      <c r="D481" t="s">
        <v>2352</v>
      </c>
      <c r="E481" t="s">
        <v>68</v>
      </c>
      <c r="F481" t="s">
        <v>115</v>
      </c>
      <c r="G481" t="s">
        <v>49</v>
      </c>
      <c r="H481" t="s">
        <v>50</v>
      </c>
      <c r="I481" t="s">
        <v>51</v>
      </c>
      <c r="J481" t="s">
        <v>52</v>
      </c>
      <c r="K481" t="s">
        <v>83</v>
      </c>
      <c r="L481" t="s">
        <v>2353</v>
      </c>
      <c r="M481" t="s">
        <v>40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41</v>
      </c>
      <c r="U481" t="s">
        <v>42</v>
      </c>
      <c r="V481">
        <f t="shared" si="42"/>
        <v>2202.5500000000002</v>
      </c>
      <c r="W481">
        <f t="shared" si="43"/>
        <v>617.34000000000015</v>
      </c>
      <c r="X481">
        <f t="shared" si="44"/>
        <v>0.37371285360582596</v>
      </c>
      <c r="Y481" t="str">
        <f>_xlfn.TEXTJOIN(", ",TRUE,IF(G481="Unknown","Missing Region",""),IF(M481="Unknown","Missing Ship Mode",""),IF(P481&lt;0,"Negative Discount",""),IF(P481&gt;0.7,"High Discount",""),IF(C481&lt;B481,"Ship Before Order",""))</f>
        <v>Ship Before Order</v>
      </c>
      <c r="Z481" s="2">
        <f>IFERROR(
  IF(ISNUMBER(B481),B481,
    IF(ISNUMBER(SEARCH("-",B481)*1),
      IF(LEN(LEFT(B481,FIND("-",B481)-1))=4,
        DATE(VALUE(LEFT(B481,4)),VALUE(MID(B481,6,2)),VALUE(RIGHT(B481,2))),
        DATE(VALUE(RIGHT(B481,4)),VALUE(MID(B481,4,2)),VALUE(LEFT(B481,2)))
      ),
      IF(ISNUMBER(SEARCH("/",B481)*1),
        DATE(VALUE(RIGHT(B481,4)),VALUE(LEFT(B481,2)),VALUE(MID(B481,4,2))),
        DATEVALUE(B481)
      )
    )
  ),
"INVALID_DATE")</f>
        <v>45345</v>
      </c>
      <c r="AA481" s="2">
        <f>IFERROR(
  IF(ISNUMBER(C481),C481,
    IF(ISNUMBER(SEARCH("-",C481)*1),
      IF(LEN(LEFT(C481,FIND("-",C481)-1))=4,
        DATE(VALUE(LEFT(C481,4)),VALUE(MID(C481,6,2)),VALUE(RIGHT(C481,2))),
        DATE(VALUE(RIGHT(C481,4)),VALUE(MID(C481,4,2)),VALUE(LEFT(C481,2)))
      ),
      IF(ISNUMBER(SEARCH("/",C481)*1),
        DATE(VALUE(RIGHT(C481,4)),VALUE(LEFT(C481,2)),VALUE(MID(C481,4,2))),
        DATEVALUE(C481)
      )
    )
  ),
"INVALID_DATE")</f>
        <v>45342</v>
      </c>
      <c r="AB481">
        <f t="shared" si="45"/>
        <v>-3</v>
      </c>
      <c r="AC481" t="str">
        <f t="shared" si="46"/>
        <v>February</v>
      </c>
      <c r="AD481">
        <f t="shared" si="47"/>
        <v>2024</v>
      </c>
    </row>
    <row r="482" spans="1:30">
      <c r="A482" t="s">
        <v>2354</v>
      </c>
      <c r="B482" t="s">
        <v>393</v>
      </c>
      <c r="C482" t="s">
        <v>2301</v>
      </c>
      <c r="D482" t="s">
        <v>2355</v>
      </c>
      <c r="E482" t="s">
        <v>100</v>
      </c>
      <c r="F482" t="s">
        <v>48</v>
      </c>
      <c r="G482" t="s">
        <v>69</v>
      </c>
      <c r="H482" t="s">
        <v>347</v>
      </c>
      <c r="I482" t="s">
        <v>348</v>
      </c>
      <c r="J482" t="s">
        <v>37</v>
      </c>
      <c r="K482" t="s">
        <v>163</v>
      </c>
      <c r="L482" t="s">
        <v>2356</v>
      </c>
      <c r="M482" t="s">
        <v>279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41</v>
      </c>
      <c r="U482" t="s">
        <v>42</v>
      </c>
      <c r="V482">
        <f t="shared" si="42"/>
        <v>4525.8</v>
      </c>
      <c r="W482">
        <f t="shared" si="43"/>
        <v>1811.29</v>
      </c>
      <c r="X482">
        <f t="shared" si="44"/>
        <v>0.40021432674886204</v>
      </c>
      <c r="Y482" t="str">
        <f>_xlfn.TEXTJOIN(", ",TRUE,IF(G482="Unknown","Missing Region",""),IF(M482="Unknown","Missing Ship Mode",""),IF(P482&lt;0,"Negative Discount",""),IF(P482&gt;0.7,"High Discount",""),IF(C482&lt;B482,"Ship Before Order",""))</f>
        <v>Missing Ship Mode, Ship Before Order</v>
      </c>
      <c r="Z482" s="2">
        <f>IFERROR(
  IF(ISNUMBER(B482),B482,
    IF(ISNUMBER(SEARCH("-",B482)*1),
      IF(LEN(LEFT(B482,FIND("-",B482)-1))=4,
        DATE(VALUE(LEFT(B482,4)),VALUE(MID(B482,6,2)),VALUE(RIGHT(B482,2))),
        DATE(VALUE(RIGHT(B482,4)),VALUE(MID(B482,4,2)),VALUE(LEFT(B482,2)))
      ),
      IF(ISNUMBER(SEARCH("/",B482)*1),
        DATE(VALUE(RIGHT(B482,4)),VALUE(LEFT(B482,2)),VALUE(MID(B482,4,2))),
        DATEVALUE(B482)
      )
    )
  ),
"INVALID_DATE")</f>
        <v>45662</v>
      </c>
      <c r="AA482" s="2">
        <f>IFERROR(
  IF(ISNUMBER(C482),C482,
    IF(ISNUMBER(SEARCH("-",C482)*1),
      IF(LEN(LEFT(C482,FIND("-",C482)-1))=4,
        DATE(VALUE(LEFT(C482,4)),VALUE(MID(C482,6,2)),VALUE(RIGHT(C482,2))),
        DATE(VALUE(RIGHT(C482,4)),VALUE(MID(C482,4,2)),VALUE(LEFT(C482,2)))
      ),
      IF(ISNUMBER(SEARCH("/",C482)*1),
        DATE(VALUE(RIGHT(C482,4)),VALUE(LEFT(C482,2)),VALUE(MID(C482,4,2))),
        DATEVALUE(C482)
      )
    )
  ),
"INVALID_DATE")</f>
        <v>45666</v>
      </c>
      <c r="AB482">
        <f t="shared" si="45"/>
        <v>4</v>
      </c>
      <c r="AC482" t="str">
        <f t="shared" si="46"/>
        <v>January</v>
      </c>
      <c r="AD482">
        <f t="shared" si="47"/>
        <v>2025</v>
      </c>
    </row>
    <row r="483" spans="1:30">
      <c r="A483" t="s">
        <v>2357</v>
      </c>
      <c r="B483" t="s">
        <v>2358</v>
      </c>
      <c r="C483" t="s">
        <v>2359</v>
      </c>
      <c r="D483" t="s">
        <v>2360</v>
      </c>
      <c r="E483" t="s">
        <v>60</v>
      </c>
      <c r="F483" t="s">
        <v>33</v>
      </c>
      <c r="G483" t="s">
        <v>34</v>
      </c>
      <c r="H483" t="s">
        <v>181</v>
      </c>
      <c r="I483" t="s">
        <v>182</v>
      </c>
      <c r="J483" t="s">
        <v>93</v>
      </c>
      <c r="K483" t="s">
        <v>390</v>
      </c>
      <c r="L483" t="s">
        <v>2361</v>
      </c>
      <c r="M483" t="s">
        <v>55</v>
      </c>
      <c r="N483">
        <v>4</v>
      </c>
      <c r="O483">
        <v>2793.88</v>
      </c>
      <c r="P483" t="s">
        <v>1178</v>
      </c>
      <c r="Q483">
        <v>10616.74</v>
      </c>
      <c r="R483">
        <v>6353.59</v>
      </c>
      <c r="S483">
        <v>4263.1499999999996</v>
      </c>
      <c r="T483" t="s">
        <v>41</v>
      </c>
      <c r="U483" t="s">
        <v>42</v>
      </c>
      <c r="V483">
        <f t="shared" si="42"/>
        <v>1676.3280000000002</v>
      </c>
      <c r="W483">
        <f t="shared" si="43"/>
        <v>4263.1499999999996</v>
      </c>
      <c r="X483">
        <f t="shared" si="44"/>
        <v>0.40154981661037192</v>
      </c>
      <c r="Y483" t="str">
        <f>_xlfn.TEXTJOIN(", ",TRUE,IF(G483="Unknown","Missing Region",""),IF(M483="Unknown","Missing Ship Mode",""),IF(P483&lt;0,"Negative Discount",""),IF(P483&gt;0.7,"High Discount",""),IF(C483&lt;B483,"Ship Before Order",""))</f>
        <v>High Discount, Ship Before Order</v>
      </c>
      <c r="Z483" s="2">
        <f>IFERROR(
  IF(ISNUMBER(B483),B483,
    IF(ISNUMBER(SEARCH("-",B483)*1),
      IF(LEN(LEFT(B483,FIND("-",B483)-1))=4,
        DATE(VALUE(LEFT(B483,4)),VALUE(MID(B483,6,2)),VALUE(RIGHT(B483,2))),
        DATE(VALUE(RIGHT(B483,4)),VALUE(MID(B483,4,2)),VALUE(LEFT(B483,2)))
      ),
      IF(ISNUMBER(SEARCH("/",B483)*1),
        DATE(VALUE(RIGHT(B483,4)),VALUE(LEFT(B483,2)),VALUE(MID(B483,4,2))),
        DATEVALUE(B483)
      )
    )
  ),
"INVALID_DATE")</f>
        <v>45813</v>
      </c>
      <c r="AA483" s="2">
        <f>IFERROR(
  IF(ISNUMBER(C483),C483,
    IF(ISNUMBER(SEARCH("-",C483)*1),
      IF(LEN(LEFT(C483,FIND("-",C483)-1))=4,
        DATE(VALUE(LEFT(C483,4)),VALUE(MID(C483,6,2)),VALUE(RIGHT(C483,2))),
        DATE(VALUE(RIGHT(C483,4)),VALUE(MID(C483,4,2)),VALUE(LEFT(C483,2)))
      ),
      IF(ISNUMBER(SEARCH("/",C483)*1),
        DATE(VALUE(RIGHT(C483,4)),VALUE(LEFT(C483,2)),VALUE(MID(C483,4,2))),
        DATEVALUE(C483)
      )
    )
  ),
"INVALID_DATE")</f>
        <v>45821</v>
      </c>
      <c r="AB483">
        <f t="shared" si="45"/>
        <v>8</v>
      </c>
      <c r="AC483" t="str">
        <f t="shared" si="46"/>
        <v>June</v>
      </c>
      <c r="AD483">
        <f t="shared" si="47"/>
        <v>2025</v>
      </c>
    </row>
    <row r="484" spans="1:30">
      <c r="A484" t="s">
        <v>2362</v>
      </c>
      <c r="B484" t="s">
        <v>270</v>
      </c>
      <c r="C484" t="s">
        <v>270</v>
      </c>
      <c r="D484" t="s">
        <v>2363</v>
      </c>
      <c r="E484" t="s">
        <v>149</v>
      </c>
      <c r="F484" t="s">
        <v>33</v>
      </c>
      <c r="G484" t="s">
        <v>69</v>
      </c>
      <c r="H484" t="s">
        <v>236</v>
      </c>
      <c r="I484" t="s">
        <v>237</v>
      </c>
      <c r="J484" t="s">
        <v>93</v>
      </c>
      <c r="K484" t="s">
        <v>94</v>
      </c>
      <c r="L484" t="s">
        <v>2364</v>
      </c>
      <c r="M484" t="s">
        <v>40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41</v>
      </c>
      <c r="U484" t="s">
        <v>42</v>
      </c>
      <c r="V484">
        <f t="shared" si="42"/>
        <v>2893.9949999999999</v>
      </c>
      <c r="W484">
        <f t="shared" si="43"/>
        <v>1037.9599999999998</v>
      </c>
      <c r="X484">
        <f t="shared" si="44"/>
        <v>0.35866053441787987</v>
      </c>
      <c r="Y484" t="str">
        <f>_xlfn.TEXTJOIN(", ",TRUE,IF(G484="Unknown","Missing Region",""),IF(M484="Unknown","Missing Ship Mode",""),IF(P484&lt;0,"Negative Discount",""),IF(P484&gt;0.7,"High Discount",""),IF(C484&lt;B484,"Ship Before Order",""))</f>
        <v/>
      </c>
      <c r="Z484" s="2">
        <f>IFERROR(
  IF(ISNUMBER(B484),B484,
    IF(ISNUMBER(SEARCH("-",B484)*1),
      IF(LEN(LEFT(B484,FIND("-",B484)-1))=4,
        DATE(VALUE(LEFT(B484,4)),VALUE(MID(B484,6,2)),VALUE(RIGHT(B484,2))),
        DATE(VALUE(RIGHT(B484,4)),VALUE(MID(B484,4,2)),VALUE(LEFT(B484,2)))
      ),
      IF(ISNUMBER(SEARCH("/",B484)*1),
        DATE(VALUE(RIGHT(B484,4)),VALUE(LEFT(B484,2)),VALUE(MID(B484,4,2))),
        DATEVALUE(B484)
      )
    )
  ),
"INVALID_DATE")</f>
        <v>45495</v>
      </c>
      <c r="AA484" s="2">
        <f>IFERROR(
  IF(ISNUMBER(C484),C484,
    IF(ISNUMBER(SEARCH("-",C484)*1),
      IF(LEN(LEFT(C484,FIND("-",C484)-1))=4,
        DATE(VALUE(LEFT(C484,4)),VALUE(MID(C484,6,2)),VALUE(RIGHT(C484,2))),
        DATE(VALUE(RIGHT(C484,4)),VALUE(MID(C484,4,2)),VALUE(LEFT(C484,2)))
      ),
      IF(ISNUMBER(SEARCH("/",C484)*1),
        DATE(VALUE(RIGHT(C484,4)),VALUE(LEFT(C484,2)),VALUE(MID(C484,4,2))),
        DATEVALUE(C484)
      )
    )
  ),
"INVALID_DATE")</f>
        <v>45495</v>
      </c>
      <c r="AB484">
        <f t="shared" si="45"/>
        <v>0</v>
      </c>
      <c r="AC484" t="str">
        <f t="shared" si="46"/>
        <v>July</v>
      </c>
      <c r="AD484">
        <f t="shared" si="47"/>
        <v>2024</v>
      </c>
    </row>
    <row r="485" spans="1:30">
      <c r="A485" t="s">
        <v>2365</v>
      </c>
      <c r="B485" t="s">
        <v>1413</v>
      </c>
      <c r="C485" t="s">
        <v>2366</v>
      </c>
      <c r="D485" t="s">
        <v>2367</v>
      </c>
      <c r="E485" t="s">
        <v>47</v>
      </c>
      <c r="F485" t="s">
        <v>115</v>
      </c>
      <c r="G485" t="s">
        <v>49</v>
      </c>
      <c r="H485" t="s">
        <v>193</v>
      </c>
      <c r="I485" t="s">
        <v>194</v>
      </c>
      <c r="J485" t="s">
        <v>93</v>
      </c>
      <c r="K485" t="s">
        <v>101</v>
      </c>
      <c r="L485" t="s">
        <v>2368</v>
      </c>
      <c r="M485" t="s">
        <v>74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41</v>
      </c>
      <c r="U485" t="s">
        <v>42</v>
      </c>
      <c r="V485">
        <f t="shared" si="42"/>
        <v>705.2109999999999</v>
      </c>
      <c r="W485">
        <f t="shared" si="43"/>
        <v>266.89000000000004</v>
      </c>
      <c r="X485">
        <f t="shared" si="44"/>
        <v>0.3784546447157584</v>
      </c>
      <c r="Y485" t="str">
        <f>_xlfn.TEXTJOIN(", ",TRUE,IF(G485="Unknown","Missing Region",""),IF(M485="Unknown","Missing Ship Mode",""),IF(P485&lt;0,"Negative Discount",""),IF(P485&gt;0.7,"High Discount",""),IF(C485&lt;B485,"Ship Before Order",""))</f>
        <v/>
      </c>
      <c r="Z485" s="2">
        <f>IFERROR(
  IF(ISNUMBER(B485),B485,
    IF(ISNUMBER(SEARCH("-",B485)*1),
      IF(LEN(LEFT(B485,FIND("-",B485)-1))=4,
        DATE(VALUE(LEFT(B485,4)),VALUE(MID(B485,6,2)),VALUE(RIGHT(B485,2))),
        DATE(VALUE(RIGHT(B485,4)),VALUE(MID(B485,4,2)),VALUE(LEFT(B485,2)))
      ),
      IF(ISNUMBER(SEARCH("/",B485)*1),
        DATE(VALUE(RIGHT(B485,4)),VALUE(LEFT(B485,2)),VALUE(MID(B485,4,2))),
        DATEVALUE(B485)
      )
    )
  ),
"INVALID_DATE")</f>
        <v>45651</v>
      </c>
      <c r="AA485" s="2">
        <f>IFERROR(
  IF(ISNUMBER(C485),C485,
    IF(ISNUMBER(SEARCH("-",C485)*1),
      IF(LEN(LEFT(C485,FIND("-",C485)-1))=4,
        DATE(VALUE(LEFT(C485,4)),VALUE(MID(C485,6,2)),VALUE(RIGHT(C485,2))),
        DATE(VALUE(RIGHT(C485,4)),VALUE(MID(C485,4,2)),VALUE(LEFT(C485,2)))
      ),
      IF(ISNUMBER(SEARCH("/",C485)*1),
        DATE(VALUE(RIGHT(C485,4)),VALUE(LEFT(C485,2)),VALUE(MID(C485,4,2))),
        DATEVALUE(C485)
      )
    )
  ),
"INVALID_DATE")</f>
        <v>45651</v>
      </c>
      <c r="AB485">
        <f t="shared" si="45"/>
        <v>0</v>
      </c>
      <c r="AC485" t="str">
        <f t="shared" si="46"/>
        <v>December</v>
      </c>
      <c r="AD485">
        <f t="shared" si="47"/>
        <v>2024</v>
      </c>
    </row>
    <row r="486" spans="1:30">
      <c r="A486" t="s">
        <v>2369</v>
      </c>
      <c r="B486" t="s">
        <v>2370</v>
      </c>
      <c r="C486" t="s">
        <v>2371</v>
      </c>
      <c r="D486" t="s">
        <v>2372</v>
      </c>
      <c r="E486" t="s">
        <v>47</v>
      </c>
      <c r="F486" t="s">
        <v>48</v>
      </c>
      <c r="G486" t="s">
        <v>69</v>
      </c>
      <c r="H486" t="s">
        <v>107</v>
      </c>
      <c r="I486" t="s">
        <v>108</v>
      </c>
      <c r="J486" t="s">
        <v>52</v>
      </c>
      <c r="K486" t="s">
        <v>72</v>
      </c>
      <c r="L486" t="s">
        <v>2373</v>
      </c>
      <c r="M486" t="s">
        <v>63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41</v>
      </c>
      <c r="U486" t="s">
        <v>42</v>
      </c>
      <c r="V486">
        <f t="shared" si="42"/>
        <v>16385.489999999998</v>
      </c>
      <c r="W486">
        <f t="shared" si="43"/>
        <v>2706.2500000000018</v>
      </c>
      <c r="X486">
        <f t="shared" si="44"/>
        <v>0.1651613714328958</v>
      </c>
      <c r="Y486" t="str">
        <f>_xlfn.TEXTJOIN(", ",TRUE,IF(G486="Unknown","Missing Region",""),IF(M486="Unknown","Missing Ship Mode",""),IF(P486&lt;0,"Negative Discount",""),IF(P486&gt;0.7,"High Discount",""),IF(C486&lt;B486,"Ship Before Order",""))</f>
        <v>Ship Before Order</v>
      </c>
      <c r="Z486" s="2">
        <f>IFERROR(
  IF(ISNUMBER(B486),B486,
    IF(ISNUMBER(SEARCH("-",B486)*1),
      IF(LEN(LEFT(B486,FIND("-",B486)-1))=4,
        DATE(VALUE(LEFT(B486,4)),VALUE(MID(B486,6,2)),VALUE(RIGHT(B486,2))),
        DATE(VALUE(RIGHT(B486,4)),VALUE(MID(B486,4,2)),VALUE(LEFT(B486,2)))
      ),
      IF(ISNUMBER(SEARCH("/",B486)*1),
        DATE(VALUE(RIGHT(B486,4)),VALUE(LEFT(B486,2)),VALUE(MID(B486,4,2))),
        DATEVALUE(B486)
      )
    )
  ),
"INVALID_DATE")</f>
        <v>45654</v>
      </c>
      <c r="AA486" s="2">
        <f>IFERROR(
  IF(ISNUMBER(C486),C486,
    IF(ISNUMBER(SEARCH("-",C486)*1),
      IF(LEN(LEFT(C486,FIND("-",C486)-1))=4,
        DATE(VALUE(LEFT(C486,4)),VALUE(MID(C486,6,2)),VALUE(RIGHT(C486,2))),
        DATE(VALUE(RIGHT(C486,4)),VALUE(MID(C486,4,2)),VALUE(LEFT(C486,2)))
      ),
      IF(ISNUMBER(SEARCH("/",C486)*1),
        DATE(VALUE(RIGHT(C486,4)),VALUE(LEFT(C486,2)),VALUE(MID(C486,4,2))),
        DATEVALUE(C486)
      )
    )
  ),
"INVALID_DATE")</f>
        <v>45657</v>
      </c>
      <c r="AB486">
        <f t="shared" si="45"/>
        <v>3</v>
      </c>
      <c r="AC486" t="str">
        <f t="shared" si="46"/>
        <v>December</v>
      </c>
      <c r="AD486">
        <f t="shared" si="47"/>
        <v>2024</v>
      </c>
    </row>
    <row r="487" spans="1:30">
      <c r="A487" t="s">
        <v>2374</v>
      </c>
      <c r="B487" t="s">
        <v>1845</v>
      </c>
      <c r="C487" t="s">
        <v>191</v>
      </c>
      <c r="D487" t="s">
        <v>2375</v>
      </c>
      <c r="E487" t="s">
        <v>155</v>
      </c>
      <c r="F487" t="s">
        <v>115</v>
      </c>
      <c r="G487" t="s">
        <v>80</v>
      </c>
      <c r="H487" t="s">
        <v>256</v>
      </c>
      <c r="I487" t="s">
        <v>257</v>
      </c>
      <c r="J487" t="s">
        <v>52</v>
      </c>
      <c r="K487" t="s">
        <v>211</v>
      </c>
      <c r="L487" t="s">
        <v>2376</v>
      </c>
      <c r="M487" t="s">
        <v>74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41</v>
      </c>
      <c r="U487" t="s">
        <v>42</v>
      </c>
      <c r="V487">
        <f t="shared" si="42"/>
        <v>7665.57</v>
      </c>
      <c r="W487">
        <f t="shared" si="43"/>
        <v>2069.9699999999993</v>
      </c>
      <c r="X487">
        <f t="shared" si="44"/>
        <v>0.27003471366121501</v>
      </c>
      <c r="Y487" t="str">
        <f>_xlfn.TEXTJOIN(", ",TRUE,IF(G487="Unknown","Missing Region",""),IF(M487="Unknown","Missing Ship Mode",""),IF(P487&lt;0,"Negative Discount",""),IF(P487&gt;0.7,"High Discount",""),IF(C487&lt;B487,"Ship Before Order",""))</f>
        <v/>
      </c>
      <c r="Z487" s="2">
        <f>IFERROR(
  IF(ISNUMBER(B487),B487,
    IF(ISNUMBER(SEARCH("-",B487)*1),
      IF(LEN(LEFT(B487,FIND("-",B487)-1))=4,
        DATE(VALUE(LEFT(B487,4)),VALUE(MID(B487,6,2)),VALUE(RIGHT(B487,2))),
        DATE(VALUE(RIGHT(B487,4)),VALUE(MID(B487,4,2)),VALUE(LEFT(B487,2)))
      ),
      IF(ISNUMBER(SEARCH("/",B487)*1),
        DATE(VALUE(RIGHT(B487,4)),VALUE(LEFT(B487,2)),VALUE(MID(B487,4,2))),
        DATEVALUE(B487)
      )
    )
  ),
"INVALID_DATE")</f>
        <v>45679</v>
      </c>
      <c r="AA487" s="2">
        <f>IFERROR(
  IF(ISNUMBER(C487),C487,
    IF(ISNUMBER(SEARCH("-",C487)*1),
      IF(LEN(LEFT(C487,FIND("-",C487)-1))=4,
        DATE(VALUE(LEFT(C487,4)),VALUE(MID(C487,6,2)),VALUE(RIGHT(C487,2))),
        DATE(VALUE(RIGHT(C487,4)),VALUE(MID(C487,4,2)),VALUE(LEFT(C487,2)))
      ),
      IF(ISNUMBER(SEARCH("/",C487)*1),
        DATE(VALUE(RIGHT(C487,4)),VALUE(LEFT(C487,2)),VALUE(MID(C487,4,2))),
        DATEVALUE(C487)
      )
    )
  ),
"INVALID_DATE")</f>
        <v>45680</v>
      </c>
      <c r="AB487">
        <f t="shared" si="45"/>
        <v>1</v>
      </c>
      <c r="AC487" t="str">
        <f t="shared" si="46"/>
        <v>January</v>
      </c>
      <c r="AD487">
        <f t="shared" si="47"/>
        <v>2025</v>
      </c>
    </row>
    <row r="488" spans="1:30">
      <c r="A488" t="s">
        <v>2377</v>
      </c>
      <c r="B488" t="s">
        <v>2378</v>
      </c>
      <c r="C488" t="s">
        <v>2379</v>
      </c>
      <c r="D488" t="s">
        <v>2380</v>
      </c>
      <c r="E488" t="s">
        <v>155</v>
      </c>
      <c r="F488" t="s">
        <v>115</v>
      </c>
      <c r="G488" t="s">
        <v>80</v>
      </c>
      <c r="H488" t="s">
        <v>256</v>
      </c>
      <c r="I488" t="s">
        <v>257</v>
      </c>
      <c r="J488" t="s">
        <v>52</v>
      </c>
      <c r="K488" t="s">
        <v>53</v>
      </c>
      <c r="L488" t="s">
        <v>2381</v>
      </c>
      <c r="M488" t="s">
        <v>74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41</v>
      </c>
      <c r="U488" t="s">
        <v>42</v>
      </c>
      <c r="V488">
        <f t="shared" si="42"/>
        <v>4670.8320000000003</v>
      </c>
      <c r="W488">
        <f t="shared" si="43"/>
        <v>1504.3400000000001</v>
      </c>
      <c r="X488">
        <f t="shared" si="44"/>
        <v>0.32207123787421077</v>
      </c>
      <c r="Y488" t="str">
        <f>_xlfn.TEXTJOIN(", ",TRUE,IF(G488="Unknown","Missing Region",""),IF(M488="Unknown","Missing Ship Mode",""),IF(P488&lt;0,"Negative Discount",""),IF(P488&gt;0.7,"High Discount",""),IF(C488&lt;B488,"Ship Before Order",""))</f>
        <v>Ship Before Order</v>
      </c>
      <c r="Z488" s="2">
        <f>IFERROR(
  IF(ISNUMBER(B488),B488,
    IF(ISNUMBER(SEARCH("-",B488)*1),
      IF(LEN(LEFT(B488,FIND("-",B488)-1))=4,
        DATE(VALUE(LEFT(B488,4)),VALUE(MID(B488,6,2)),VALUE(RIGHT(B488,2))),
        DATE(VALUE(RIGHT(B488,4)),VALUE(MID(B488,4,2)),VALUE(LEFT(B488,2)))
      ),
      IF(ISNUMBER(SEARCH("/",B488)*1),
        DATE(VALUE(RIGHT(B488,4)),VALUE(LEFT(B488,2)),VALUE(MID(B488,4,2))),
        DATEVALUE(B488)
      )
    )
  ),
"INVALID_DATE")</f>
        <v>45830</v>
      </c>
      <c r="AA488" s="2">
        <f>IFERROR(
  IF(ISNUMBER(C488),C488,
    IF(ISNUMBER(SEARCH("-",C488)*1),
      IF(LEN(LEFT(C488,FIND("-",C488)-1))=4,
        DATE(VALUE(LEFT(C488,4)),VALUE(MID(C488,6,2)),VALUE(RIGHT(C488,2))),
        DATE(VALUE(RIGHT(C488,4)),VALUE(MID(C488,4,2)),VALUE(LEFT(C488,2)))
      ),
      IF(ISNUMBER(SEARCH("/",C488)*1),
        DATE(VALUE(RIGHT(C488,4)),VALUE(LEFT(C488,2)),VALUE(MID(C488,4,2))),
        DATEVALUE(C488)
      )
    )
  ),
"INVALID_DATE")</f>
        <v>45834</v>
      </c>
      <c r="AB488">
        <f t="shared" si="45"/>
        <v>4</v>
      </c>
      <c r="AC488" t="str">
        <f t="shared" si="46"/>
        <v>June</v>
      </c>
      <c r="AD488">
        <f t="shared" si="47"/>
        <v>2025</v>
      </c>
    </row>
    <row r="489" spans="1:30">
      <c r="A489" t="s">
        <v>2382</v>
      </c>
      <c r="B489" t="s">
        <v>1976</v>
      </c>
      <c r="C489" t="s">
        <v>2383</v>
      </c>
      <c r="D489" t="s">
        <v>2384</v>
      </c>
      <c r="E489" t="s">
        <v>155</v>
      </c>
      <c r="F489" t="s">
        <v>115</v>
      </c>
      <c r="G489" t="s">
        <v>69</v>
      </c>
      <c r="H489" t="s">
        <v>70</v>
      </c>
      <c r="I489" t="s">
        <v>71</v>
      </c>
      <c r="J489" t="s">
        <v>52</v>
      </c>
      <c r="K489" t="s">
        <v>72</v>
      </c>
      <c r="L489" t="s">
        <v>2385</v>
      </c>
      <c r="M489" t="s">
        <v>74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131</v>
      </c>
      <c r="U489" t="s">
        <v>132</v>
      </c>
      <c r="V489">
        <f t="shared" si="42"/>
        <v>6155.5</v>
      </c>
      <c r="W489">
        <f t="shared" si="43"/>
        <v>1873.4099999999999</v>
      </c>
      <c r="X489">
        <f t="shared" si="44"/>
        <v>0.30434733165461786</v>
      </c>
      <c r="Y489" t="str">
        <f>_xlfn.TEXTJOIN(", ",TRUE,IF(G489="Unknown","Missing Region",""),IF(M489="Unknown","Missing Ship Mode",""),IF(P489&lt;0,"Negative Discount",""),IF(P489&gt;0.7,"High Discount",""),IF(C489&lt;B489,"Ship Before Order",""))</f>
        <v>Ship Before Order</v>
      </c>
      <c r="Z489" s="2">
        <f>IFERROR(
  IF(ISNUMBER(B489),B489,
    IF(ISNUMBER(SEARCH("-",B489)*1),
      IF(LEN(LEFT(B489,FIND("-",B489)-1))=4,
        DATE(VALUE(LEFT(B489,4)),VALUE(MID(B489,6,2)),VALUE(RIGHT(B489,2))),
        DATE(VALUE(RIGHT(B489,4)),VALUE(MID(B489,4,2)),VALUE(LEFT(B489,2)))
      ),
      IF(ISNUMBER(SEARCH("/",B489)*1),
        DATE(VALUE(RIGHT(B489,4)),VALUE(LEFT(B489,2)),VALUE(MID(B489,4,2))),
        DATEVALUE(B489)
      )
    )
  ),
"INVALID_DATE")</f>
        <v>45818</v>
      </c>
      <c r="AA489" s="2">
        <f>IFERROR(
  IF(ISNUMBER(C489),C489,
    IF(ISNUMBER(SEARCH("-",C489)*1),
      IF(LEN(LEFT(C489,FIND("-",C489)-1))=4,
        DATE(VALUE(LEFT(C489,4)),VALUE(MID(C489,6,2)),VALUE(RIGHT(C489,2))),
        DATE(VALUE(RIGHT(C489,4)),VALUE(MID(C489,4,2)),VALUE(LEFT(C489,2)))
      ),
      IF(ISNUMBER(SEARCH("/",C489)*1),
        DATE(VALUE(RIGHT(C489,4)),VALUE(LEFT(C489,2)),VALUE(MID(C489,4,2))),
        DATEVALUE(C489)
      )
    )
  ),
"INVALID_DATE")</f>
        <v>45825</v>
      </c>
      <c r="AB489">
        <f t="shared" si="45"/>
        <v>7</v>
      </c>
      <c r="AC489" t="str">
        <f t="shared" si="46"/>
        <v>June</v>
      </c>
      <c r="AD489">
        <f t="shared" si="47"/>
        <v>2025</v>
      </c>
    </row>
    <row r="490" spans="1:30">
      <c r="A490" t="s">
        <v>2386</v>
      </c>
      <c r="B490" t="s">
        <v>2387</v>
      </c>
      <c r="C490" t="s">
        <v>2388</v>
      </c>
      <c r="D490" t="s">
        <v>2389</v>
      </c>
      <c r="E490" t="s">
        <v>114</v>
      </c>
      <c r="F490" t="s">
        <v>48</v>
      </c>
      <c r="G490" t="s">
        <v>34</v>
      </c>
      <c r="H490" t="s">
        <v>35</v>
      </c>
      <c r="I490" t="s">
        <v>36</v>
      </c>
      <c r="J490" t="s">
        <v>52</v>
      </c>
      <c r="K490" t="s">
        <v>53</v>
      </c>
      <c r="L490" t="s">
        <v>2390</v>
      </c>
      <c r="M490" t="s">
        <v>55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41</v>
      </c>
      <c r="U490" t="s">
        <v>42</v>
      </c>
      <c r="V490">
        <f t="shared" si="42"/>
        <v>8666.56</v>
      </c>
      <c r="W490">
        <f t="shared" si="43"/>
        <v>2699.12</v>
      </c>
      <c r="X490">
        <f t="shared" si="44"/>
        <v>0.31144075619392242</v>
      </c>
      <c r="Y490" t="str">
        <f>_xlfn.TEXTJOIN(", ",TRUE,IF(G490="Unknown","Missing Region",""),IF(M490="Unknown","Missing Ship Mode",""),IF(P490&lt;0,"Negative Discount",""),IF(P490&gt;0.7,"High Discount",""),IF(C490&lt;B490,"Ship Before Order",""))</f>
        <v/>
      </c>
      <c r="Z490" s="2">
        <f>IFERROR(
  IF(ISNUMBER(B490),B490,
    IF(ISNUMBER(SEARCH("-",B490)*1),
      IF(LEN(LEFT(B490,FIND("-",B490)-1))=4,
        DATE(VALUE(LEFT(B490,4)),VALUE(MID(B490,6,2)),VALUE(RIGHT(B490,2))),
        DATE(VALUE(RIGHT(B490,4)),VALUE(MID(B490,4,2)),VALUE(LEFT(B490,2)))
      ),
      IF(ISNUMBER(SEARCH("/",B490)*1),
        DATE(VALUE(RIGHT(B490,4)),VALUE(LEFT(B490,2)),VALUE(MID(B490,4,2))),
        DATEVALUE(B490)
      )
    )
  ),
"INVALID_DATE")</f>
        <v>45579</v>
      </c>
      <c r="AA490" s="2">
        <f>IFERROR(
  IF(ISNUMBER(C490),C490,
    IF(ISNUMBER(SEARCH("-",C490)*1),
      IF(LEN(LEFT(C490,FIND("-",C490)-1))=4,
        DATE(VALUE(LEFT(C490,4)),VALUE(MID(C490,6,2)),VALUE(RIGHT(C490,2))),
        DATE(VALUE(RIGHT(C490,4)),VALUE(MID(C490,4,2)),VALUE(LEFT(C490,2)))
      ),
      IF(ISNUMBER(SEARCH("/",C490)*1),
        DATE(VALUE(RIGHT(C490,4)),VALUE(LEFT(C490,2)),VALUE(MID(C490,4,2))),
        DATEVALUE(C490)
      )
    )
  ),
"INVALID_DATE")</f>
        <v>45585</v>
      </c>
      <c r="AB490">
        <f t="shared" si="45"/>
        <v>6</v>
      </c>
      <c r="AC490" t="str">
        <f t="shared" si="46"/>
        <v>October</v>
      </c>
      <c r="AD490">
        <f t="shared" si="47"/>
        <v>2024</v>
      </c>
    </row>
    <row r="491" spans="1:30">
      <c r="A491" t="s">
        <v>2391</v>
      </c>
      <c r="B491" t="s">
        <v>398</v>
      </c>
      <c r="C491" t="s">
        <v>2392</v>
      </c>
      <c r="D491" t="s">
        <v>2393</v>
      </c>
      <c r="E491" t="s">
        <v>68</v>
      </c>
      <c r="F491" t="s">
        <v>122</v>
      </c>
      <c r="G491" t="s">
        <v>49</v>
      </c>
      <c r="H491" t="s">
        <v>128</v>
      </c>
      <c r="I491" t="s">
        <v>129</v>
      </c>
      <c r="J491" t="s">
        <v>93</v>
      </c>
      <c r="K491" t="s">
        <v>94</v>
      </c>
      <c r="L491" t="s">
        <v>2394</v>
      </c>
      <c r="M491" t="s">
        <v>40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41</v>
      </c>
      <c r="U491" t="s">
        <v>42</v>
      </c>
      <c r="V491">
        <f t="shared" si="42"/>
        <v>361.75200000000001</v>
      </c>
      <c r="W491">
        <f t="shared" si="43"/>
        <v>99.220000000000027</v>
      </c>
      <c r="X491">
        <f t="shared" si="44"/>
        <v>0.27427781617138908</v>
      </c>
      <c r="Y491" t="str">
        <f>_xlfn.TEXTJOIN(", ",TRUE,IF(G491="Unknown","Missing Region",""),IF(M491="Unknown","Missing Ship Mode",""),IF(P491&lt;0,"Negative Discount",""),IF(P491&gt;0.7,"High Discount",""),IF(C491&lt;B491,"Ship Before Order",""))</f>
        <v/>
      </c>
      <c r="Z491" s="2">
        <f>IFERROR(
  IF(ISNUMBER(B491),B491,
    IF(ISNUMBER(SEARCH("-",B491)*1),
      IF(LEN(LEFT(B491,FIND("-",B491)-1))=4,
        DATE(VALUE(LEFT(B491,4)),VALUE(MID(B491,6,2)),VALUE(RIGHT(B491,2))),
        DATE(VALUE(RIGHT(B491,4)),VALUE(MID(B491,4,2)),VALUE(LEFT(B491,2)))
      ),
      IF(ISNUMBER(SEARCH("/",B491)*1),
        DATE(VALUE(RIGHT(B491,4)),VALUE(LEFT(B491,2)),VALUE(MID(B491,4,2))),
        DATEVALUE(B491)
      )
    )
  ),
"INVALID_DATE")</f>
        <v>45329</v>
      </c>
      <c r="AA491" s="2">
        <f>IFERROR(
  IF(ISNUMBER(C491),C491,
    IF(ISNUMBER(SEARCH("-",C491)*1),
      IF(LEN(LEFT(C491,FIND("-",C491)-1))=4,
        DATE(VALUE(LEFT(C491,4)),VALUE(MID(C491,6,2)),VALUE(RIGHT(C491,2))),
        DATE(VALUE(RIGHT(C491,4)),VALUE(MID(C491,4,2)),VALUE(LEFT(C491,2)))
      ),
      IF(ISNUMBER(SEARCH("/",C491)*1),
        DATE(VALUE(RIGHT(C491,4)),VALUE(LEFT(C491,2)),VALUE(MID(C491,4,2))),
        DATEVALUE(C491)
      )
    )
  ),
"INVALID_DATE")</f>
        <v>45334</v>
      </c>
      <c r="AB491">
        <f t="shared" si="45"/>
        <v>5</v>
      </c>
      <c r="AC491" t="str">
        <f t="shared" si="46"/>
        <v>February</v>
      </c>
      <c r="AD491">
        <f t="shared" si="47"/>
        <v>2024</v>
      </c>
    </row>
    <row r="492" spans="1:30">
      <c r="A492" t="s">
        <v>2395</v>
      </c>
      <c r="B492" t="s">
        <v>2396</v>
      </c>
      <c r="C492" t="s">
        <v>1897</v>
      </c>
      <c r="D492" t="s">
        <v>2397</v>
      </c>
      <c r="E492" t="s">
        <v>114</v>
      </c>
      <c r="F492" t="s">
        <v>33</v>
      </c>
      <c r="G492" t="s">
        <v>80</v>
      </c>
      <c r="H492" t="s">
        <v>35</v>
      </c>
      <c r="I492" t="s">
        <v>142</v>
      </c>
      <c r="J492" t="s">
        <v>37</v>
      </c>
      <c r="K492" t="s">
        <v>205</v>
      </c>
      <c r="L492" t="s">
        <v>2398</v>
      </c>
      <c r="M492" t="s">
        <v>63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41</v>
      </c>
      <c r="U492" t="s">
        <v>42</v>
      </c>
      <c r="V492">
        <f t="shared" si="42"/>
        <v>2418.1990000000001</v>
      </c>
      <c r="W492">
        <f t="shared" si="43"/>
        <v>804.37999999999988</v>
      </c>
      <c r="X492">
        <f t="shared" si="44"/>
        <v>0.33263584484327186</v>
      </c>
      <c r="Y492" t="str">
        <f>_xlfn.TEXTJOIN(", ",TRUE,IF(G492="Unknown","Missing Region",""),IF(M492="Unknown","Missing Ship Mode",""),IF(P492&lt;0,"Negative Discount",""),IF(P492&gt;0.7,"High Discount",""),IF(C492&lt;B492,"Ship Before Order",""))</f>
        <v>Ship Before Order</v>
      </c>
      <c r="Z492" s="2">
        <f>IFERROR(
  IF(ISNUMBER(B492),B492,
    IF(ISNUMBER(SEARCH("-",B492)*1),
      IF(LEN(LEFT(B492,FIND("-",B492)-1))=4,
        DATE(VALUE(LEFT(B492,4)),VALUE(MID(B492,6,2)),VALUE(RIGHT(B492,2))),
        DATE(VALUE(RIGHT(B492,4)),VALUE(MID(B492,4,2)),VALUE(LEFT(B492,2)))
      ),
      IF(ISNUMBER(SEARCH("/",B492)*1),
        DATE(VALUE(RIGHT(B492,4)),VALUE(LEFT(B492,2)),VALUE(MID(B492,4,2))),
        DATEVALUE(B492)
      )
    )
  ),
"INVALID_DATE")</f>
        <v>45551</v>
      </c>
      <c r="AA492" s="2">
        <f>IFERROR(
  IF(ISNUMBER(C492),C492,
    IF(ISNUMBER(SEARCH("-",C492)*1),
      IF(LEN(LEFT(C492,FIND("-",C492)-1))=4,
        DATE(VALUE(LEFT(C492,4)),VALUE(MID(C492,6,2)),VALUE(RIGHT(C492,2))),
        DATE(VALUE(RIGHT(C492,4)),VALUE(MID(C492,4,2)),VALUE(LEFT(C492,2)))
      ),
      IF(ISNUMBER(SEARCH("/",C492)*1),
        DATE(VALUE(RIGHT(C492,4)),VALUE(LEFT(C492,2)),VALUE(MID(C492,4,2))),
        DATEVALUE(C492)
      )
    )
  ),
"INVALID_DATE")</f>
        <v>45554</v>
      </c>
      <c r="AB492">
        <f t="shared" si="45"/>
        <v>3</v>
      </c>
      <c r="AC492" t="str">
        <f t="shared" si="46"/>
        <v>September</v>
      </c>
      <c r="AD492">
        <f t="shared" si="47"/>
        <v>2024</v>
      </c>
    </row>
    <row r="493" spans="1:30">
      <c r="A493" t="s">
        <v>2399</v>
      </c>
      <c r="B493" t="s">
        <v>1986</v>
      </c>
      <c r="C493" t="s">
        <v>2400</v>
      </c>
      <c r="D493" t="s">
        <v>2401</v>
      </c>
      <c r="E493" t="s">
        <v>47</v>
      </c>
      <c r="F493" t="s">
        <v>115</v>
      </c>
      <c r="G493" t="s">
        <v>69</v>
      </c>
      <c r="H493" t="s">
        <v>249</v>
      </c>
      <c r="I493" t="s">
        <v>250</v>
      </c>
      <c r="J493" t="s">
        <v>93</v>
      </c>
      <c r="K493" t="s">
        <v>94</v>
      </c>
      <c r="L493" t="s">
        <v>2402</v>
      </c>
      <c r="M493" t="s">
        <v>74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41</v>
      </c>
      <c r="U493" t="s">
        <v>42</v>
      </c>
      <c r="V493">
        <f t="shared" si="42"/>
        <v>1941.0560000000003</v>
      </c>
      <c r="W493">
        <f t="shared" si="43"/>
        <v>733.63999999999987</v>
      </c>
      <c r="X493">
        <f t="shared" si="44"/>
        <v>0.3779584350818625</v>
      </c>
      <c r="Y493" t="str">
        <f>_xlfn.TEXTJOIN(", ",TRUE,IF(G493="Unknown","Missing Region",""),IF(M493="Unknown","Missing Ship Mode",""),IF(P493&lt;0,"Negative Discount",""),IF(P493&gt;0.7,"High Discount",""),IF(C493&lt;B493,"Ship Before Order",""))</f>
        <v/>
      </c>
      <c r="Z493" s="2">
        <f>IFERROR(
  IF(ISNUMBER(B493),B493,
    IF(ISNUMBER(SEARCH("-",B493)*1),
      IF(LEN(LEFT(B493,FIND("-",B493)-1))=4,
        DATE(VALUE(LEFT(B493,4)),VALUE(MID(B493,6,2)),VALUE(RIGHT(B493,2))),
        DATE(VALUE(RIGHT(B493,4)),VALUE(MID(B493,4,2)),VALUE(LEFT(B493,2)))
      ),
      IF(ISNUMBER(SEARCH("/",B493)*1),
        DATE(VALUE(RIGHT(B493,4)),VALUE(LEFT(B493,2)),VALUE(MID(B493,4,2))),
        DATEVALUE(B493)
      )
    )
  ),
"INVALID_DATE")</f>
        <v>45776</v>
      </c>
      <c r="AA493" s="2">
        <f>IFERROR(
  IF(ISNUMBER(C493),C493,
    IF(ISNUMBER(SEARCH("-",C493)*1),
      IF(LEN(LEFT(C493,FIND("-",C493)-1))=4,
        DATE(VALUE(LEFT(C493,4)),VALUE(MID(C493,6,2)),VALUE(RIGHT(C493,2))),
        DATE(VALUE(RIGHT(C493,4)),VALUE(MID(C493,4,2)),VALUE(LEFT(C493,2)))
      ),
      IF(ISNUMBER(SEARCH("/",C493)*1),
        DATE(VALUE(RIGHT(C493,4)),VALUE(LEFT(C493,2)),VALUE(MID(C493,4,2))),
        DATEVALUE(C493)
      )
    )
  ),
"INVALID_DATE")</f>
        <v>45777</v>
      </c>
      <c r="AB493">
        <f t="shared" si="45"/>
        <v>1</v>
      </c>
      <c r="AC493" t="str">
        <f t="shared" si="46"/>
        <v>April</v>
      </c>
      <c r="AD493">
        <f t="shared" si="47"/>
        <v>2025</v>
      </c>
    </row>
    <row r="494" spans="1:30">
      <c r="A494" t="s">
        <v>2403</v>
      </c>
      <c r="B494" t="s">
        <v>2404</v>
      </c>
      <c r="C494" t="s">
        <v>2405</v>
      </c>
      <c r="D494" t="s">
        <v>2406</v>
      </c>
      <c r="E494" t="s">
        <v>79</v>
      </c>
      <c r="F494" t="s">
        <v>115</v>
      </c>
      <c r="G494" t="s">
        <v>69</v>
      </c>
      <c r="H494" t="s">
        <v>107</v>
      </c>
      <c r="I494" t="s">
        <v>108</v>
      </c>
      <c r="J494" t="s">
        <v>37</v>
      </c>
      <c r="K494" t="s">
        <v>163</v>
      </c>
      <c r="L494" t="s">
        <v>2407</v>
      </c>
      <c r="M494" t="s">
        <v>40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41</v>
      </c>
      <c r="U494" t="s">
        <v>42</v>
      </c>
      <c r="V494">
        <f t="shared" si="42"/>
        <v>4088.16</v>
      </c>
      <c r="W494">
        <f t="shared" si="43"/>
        <v>882.48</v>
      </c>
      <c r="X494">
        <f t="shared" si="44"/>
        <v>0.21586239286133616</v>
      </c>
      <c r="Y494" t="str">
        <f>_xlfn.TEXTJOIN(", ",TRUE,IF(G494="Unknown","Missing Region",""),IF(M494="Unknown","Missing Ship Mode",""),IF(P494&lt;0,"Negative Discount",""),IF(P494&gt;0.7,"High Discount",""),IF(C494&lt;B494,"Ship Before Order",""))</f>
        <v>Ship Before Order</v>
      </c>
      <c r="Z494" s="2">
        <f>IFERROR(
  IF(ISNUMBER(B494),B494,
    IF(ISNUMBER(SEARCH("-",B494)*1),
      IF(LEN(LEFT(B494,FIND("-",B494)-1))=4,
        DATE(VALUE(LEFT(B494,4)),VALUE(MID(B494,6,2)),VALUE(RIGHT(B494,2))),
        DATE(VALUE(RIGHT(B494,4)),VALUE(MID(B494,4,2)),VALUE(LEFT(B494,2)))
      ),
      IF(ISNUMBER(SEARCH("/",B494)*1),
        DATE(VALUE(RIGHT(B494,4)),VALUE(LEFT(B494,2)),VALUE(MID(B494,4,2))),
        DATEVALUE(B494)
      )
    )
  ),
"INVALID_DATE")</f>
        <v>45836</v>
      </c>
      <c r="AA494" s="2">
        <f>IFERROR(
  IF(ISNUMBER(C494),C494,
    IF(ISNUMBER(SEARCH("-",C494)*1),
      IF(LEN(LEFT(C494,FIND("-",C494)-1))=4,
        DATE(VALUE(LEFT(C494,4)),VALUE(MID(C494,6,2)),VALUE(RIGHT(C494,2))),
        DATE(VALUE(RIGHT(C494,4)),VALUE(MID(C494,4,2)),VALUE(LEFT(C494,2)))
      ),
      IF(ISNUMBER(SEARCH("/",C494)*1),
        DATE(VALUE(RIGHT(C494,4)),VALUE(LEFT(C494,2)),VALUE(MID(C494,4,2))),
        DATEVALUE(C494)
      )
    )
  ),
"INVALID_DATE")</f>
        <v>45840</v>
      </c>
      <c r="AB494">
        <f t="shared" si="45"/>
        <v>4</v>
      </c>
      <c r="AC494" t="str">
        <f t="shared" si="46"/>
        <v>June</v>
      </c>
      <c r="AD494">
        <f t="shared" si="47"/>
        <v>2025</v>
      </c>
    </row>
    <row r="495" spans="1:30">
      <c r="A495" t="s">
        <v>2408</v>
      </c>
      <c r="B495" t="s">
        <v>1423</v>
      </c>
      <c r="C495" t="s">
        <v>2409</v>
      </c>
      <c r="D495" t="s">
        <v>2410</v>
      </c>
      <c r="E495" t="s">
        <v>374</v>
      </c>
      <c r="F495" t="s">
        <v>115</v>
      </c>
      <c r="G495" t="s">
        <v>49</v>
      </c>
      <c r="H495" t="s">
        <v>50</v>
      </c>
      <c r="I495" t="s">
        <v>51</v>
      </c>
      <c r="J495" t="s">
        <v>37</v>
      </c>
      <c r="K495" t="s">
        <v>38</v>
      </c>
      <c r="L495" t="s">
        <v>2411</v>
      </c>
      <c r="M495" t="s">
        <v>40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41</v>
      </c>
      <c r="U495" t="s">
        <v>2412</v>
      </c>
      <c r="V495">
        <f t="shared" si="42"/>
        <v>15273.054999999998</v>
      </c>
      <c r="W495">
        <f t="shared" si="43"/>
        <v>4184.2899999999991</v>
      </c>
      <c r="X495">
        <f t="shared" si="44"/>
        <v>0.27396557989399628</v>
      </c>
      <c r="Y495" t="str">
        <f>_xlfn.TEXTJOIN(", ",TRUE,IF(G495="Unknown","Missing Region",""),IF(M495="Unknown","Missing Ship Mode",""),IF(P495&lt;0,"Negative Discount",""),IF(P495&gt;0.7,"High Discount",""),IF(C495&lt;B495,"Ship Before Order",""))</f>
        <v/>
      </c>
      <c r="Z495" s="2">
        <f>IFERROR(
  IF(ISNUMBER(B495),B495,
    IF(ISNUMBER(SEARCH("-",B495)*1),
      IF(LEN(LEFT(B495,FIND("-",B495)-1))=4,
        DATE(VALUE(LEFT(B495,4)),VALUE(MID(B495,6,2)),VALUE(RIGHT(B495,2))),
        DATE(VALUE(RIGHT(B495,4)),VALUE(MID(B495,4,2)),VALUE(LEFT(B495,2)))
      ),
      IF(ISNUMBER(SEARCH("/",B495)*1),
        DATE(VALUE(RIGHT(B495,4)),VALUE(LEFT(B495,2)),VALUE(MID(B495,4,2))),
        DATEVALUE(B495)
      )
    )
  ),
"INVALID_DATE")</f>
        <v>45701</v>
      </c>
      <c r="AA495" s="2">
        <f>IFERROR(
  IF(ISNUMBER(C495),C495,
    IF(ISNUMBER(SEARCH("-",C495)*1),
      IF(LEN(LEFT(C495,FIND("-",C495)-1))=4,
        DATE(VALUE(LEFT(C495,4)),VALUE(MID(C495,6,2)),VALUE(RIGHT(C495,2))),
        DATE(VALUE(RIGHT(C495,4)),VALUE(MID(C495,4,2)),VALUE(LEFT(C495,2)))
      ),
      IF(ISNUMBER(SEARCH("/",C495)*1),
        DATE(VALUE(RIGHT(C495,4)),VALUE(LEFT(C495,2)),VALUE(MID(C495,4,2))),
        DATEVALUE(C495)
      )
    )
  ),
"INVALID_DATE")</f>
        <v>45701</v>
      </c>
      <c r="AB495">
        <f t="shared" si="45"/>
        <v>0</v>
      </c>
      <c r="AC495" t="str">
        <f t="shared" si="46"/>
        <v>February</v>
      </c>
      <c r="AD495">
        <f t="shared" si="47"/>
        <v>2025</v>
      </c>
    </row>
    <row r="496" spans="1:30">
      <c r="A496" t="s">
        <v>2413</v>
      </c>
      <c r="B496" t="s">
        <v>2414</v>
      </c>
      <c r="C496" t="s">
        <v>2415</v>
      </c>
      <c r="D496" t="s">
        <v>2416</v>
      </c>
      <c r="E496" t="s">
        <v>60</v>
      </c>
      <c r="F496" t="s">
        <v>33</v>
      </c>
      <c r="G496" t="s">
        <v>80</v>
      </c>
      <c r="H496" t="s">
        <v>91</v>
      </c>
      <c r="I496" t="s">
        <v>92</v>
      </c>
      <c r="J496" t="s">
        <v>93</v>
      </c>
      <c r="K496" t="s">
        <v>230</v>
      </c>
      <c r="L496" t="s">
        <v>2417</v>
      </c>
      <c r="M496" t="s">
        <v>74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207</v>
      </c>
      <c r="U496" t="s">
        <v>85</v>
      </c>
      <c r="V496">
        <f t="shared" si="42"/>
        <v>2276.9951999999994</v>
      </c>
      <c r="W496">
        <f t="shared" si="43"/>
        <v>143.39999999999986</v>
      </c>
      <c r="X496">
        <f t="shared" si="44"/>
        <v>0.21056995060661615</v>
      </c>
      <c r="Y496" t="str">
        <f>_xlfn.TEXTJOIN(", ",TRUE,IF(G496="Unknown","Missing Region",""),IF(M496="Unknown","Missing Ship Mode",""),IF(P496&lt;0,"Negative Discount",""),IF(P496&gt;0.7,"High Discount",""),IF(C496&lt;B496,"Ship Before Order",""))</f>
        <v>Negative Discount</v>
      </c>
      <c r="Z496" s="2">
        <f>IFERROR(
  IF(ISNUMBER(B496),B496,
    IF(ISNUMBER(SEARCH("-",B496)*1),
      IF(LEN(LEFT(B496,FIND("-",B496)-1))=4,
        DATE(VALUE(LEFT(B496,4)),VALUE(MID(B496,6,2)),VALUE(RIGHT(B496,2))),
        DATE(VALUE(RIGHT(B496,4)),VALUE(MID(B496,4,2)),VALUE(LEFT(B496,2)))
      ),
      IF(ISNUMBER(SEARCH("/",B496)*1),
        DATE(VALUE(RIGHT(B496,4)),VALUE(LEFT(B496,2)),VALUE(MID(B496,4,2))),
        DATEVALUE(B496)
      )
    )
  ),
"INVALID_DATE")</f>
        <v>45610</v>
      </c>
      <c r="AA496" s="2">
        <f>IFERROR(
  IF(ISNUMBER(C496),C496,
    IF(ISNUMBER(SEARCH("-",C496)*1),
      IF(LEN(LEFT(C496,FIND("-",C496)-1))=4,
        DATE(VALUE(LEFT(C496,4)),VALUE(MID(C496,6,2)),VALUE(RIGHT(C496,2))),
        DATE(VALUE(RIGHT(C496,4)),VALUE(MID(C496,4,2)),VALUE(LEFT(C496,2)))
      ),
      IF(ISNUMBER(SEARCH("/",C496)*1),
        DATE(VALUE(RIGHT(C496,4)),VALUE(LEFT(C496,2)),VALUE(MID(C496,4,2))),
        DATEVALUE(C496)
      )
    )
  ),
"INVALID_DATE")</f>
        <v>45618</v>
      </c>
      <c r="AB496">
        <f t="shared" si="45"/>
        <v>8</v>
      </c>
      <c r="AC496" t="str">
        <f t="shared" si="46"/>
        <v>November</v>
      </c>
      <c r="AD496">
        <f t="shared" si="47"/>
        <v>2024</v>
      </c>
    </row>
    <row r="497" spans="1:30">
      <c r="A497" t="s">
        <v>2418</v>
      </c>
      <c r="B497" t="s">
        <v>2199</v>
      </c>
      <c r="C497" t="s">
        <v>2419</v>
      </c>
      <c r="D497" t="s">
        <v>2420</v>
      </c>
      <c r="E497" t="s">
        <v>47</v>
      </c>
      <c r="F497" t="s">
        <v>48</v>
      </c>
      <c r="G497" t="s">
        <v>49</v>
      </c>
      <c r="H497" t="s">
        <v>223</v>
      </c>
      <c r="I497" t="s">
        <v>224</v>
      </c>
      <c r="J497" t="s">
        <v>93</v>
      </c>
      <c r="K497" t="s">
        <v>230</v>
      </c>
      <c r="L497" t="s">
        <v>2421</v>
      </c>
      <c r="M497" t="s">
        <v>40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131</v>
      </c>
      <c r="U497" t="s">
        <v>132</v>
      </c>
      <c r="V497">
        <f t="shared" si="42"/>
        <v>3784.7239999999997</v>
      </c>
      <c r="W497">
        <f t="shared" si="43"/>
        <v>1365.48</v>
      </c>
      <c r="X497">
        <f t="shared" si="44"/>
        <v>0.3607875879853728</v>
      </c>
      <c r="Y497" t="str">
        <f>_xlfn.TEXTJOIN(", ",TRUE,IF(G497="Unknown","Missing Region",""),IF(M497="Unknown","Missing Ship Mode",""),IF(P497&lt;0,"Negative Discount",""),IF(P497&gt;0.7,"High Discount",""),IF(C497&lt;B497,"Ship Before Order",""))</f>
        <v/>
      </c>
      <c r="Z497" s="2">
        <f>IFERROR(
  IF(ISNUMBER(B497),B497,
    IF(ISNUMBER(SEARCH("-",B497)*1),
      IF(LEN(LEFT(B497,FIND("-",B497)-1))=4,
        DATE(VALUE(LEFT(B497,4)),VALUE(MID(B497,6,2)),VALUE(RIGHT(B497,2))),
        DATE(VALUE(RIGHT(B497,4)),VALUE(MID(B497,4,2)),VALUE(LEFT(B497,2)))
      ),
      IF(ISNUMBER(SEARCH("/",B497)*1),
        DATE(VALUE(RIGHT(B497,4)),VALUE(LEFT(B497,2)),VALUE(MID(B497,4,2))),
        DATEVALUE(B497)
      )
    )
  ),
"INVALID_DATE")</f>
        <v>45421</v>
      </c>
      <c r="AA497" s="2">
        <f>IFERROR(
  IF(ISNUMBER(C497),C497,
    IF(ISNUMBER(SEARCH("-",C497)*1),
      IF(LEN(LEFT(C497,FIND("-",C497)-1))=4,
        DATE(VALUE(LEFT(C497,4)),VALUE(MID(C497,6,2)),VALUE(RIGHT(C497,2))),
        DATE(VALUE(RIGHT(C497,4)),VALUE(MID(C497,4,2)),VALUE(LEFT(C497,2)))
      ),
      IF(ISNUMBER(SEARCH("/",C497)*1),
        DATE(VALUE(RIGHT(C497,4)),VALUE(LEFT(C497,2)),VALUE(MID(C497,4,2))),
        DATEVALUE(C497)
      )
    )
  ),
"INVALID_DATE")</f>
        <v>45427</v>
      </c>
      <c r="AB497">
        <f t="shared" si="45"/>
        <v>6</v>
      </c>
      <c r="AC497" t="str">
        <f t="shared" si="46"/>
        <v>May</v>
      </c>
      <c r="AD497">
        <f t="shared" si="47"/>
        <v>2024</v>
      </c>
    </row>
    <row r="498" spans="1:30">
      <c r="A498" t="s">
        <v>2422</v>
      </c>
      <c r="B498" t="s">
        <v>2423</v>
      </c>
      <c r="C498" t="s">
        <v>2424</v>
      </c>
      <c r="D498" t="s">
        <v>2425</v>
      </c>
      <c r="E498" t="s">
        <v>374</v>
      </c>
      <c r="F498" t="s">
        <v>48</v>
      </c>
      <c r="G498" t="s">
        <v>49</v>
      </c>
      <c r="H498" t="s">
        <v>319</v>
      </c>
      <c r="I498" t="s">
        <v>320</v>
      </c>
      <c r="J498" t="s">
        <v>52</v>
      </c>
      <c r="K498" t="s">
        <v>83</v>
      </c>
      <c r="L498" t="s">
        <v>2426</v>
      </c>
      <c r="M498" t="s">
        <v>40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41</v>
      </c>
      <c r="U498" t="s">
        <v>42</v>
      </c>
      <c r="V498">
        <f t="shared" si="42"/>
        <v>6635.5560000000005</v>
      </c>
      <c r="W498">
        <f t="shared" si="43"/>
        <v>2982.6500000000005</v>
      </c>
      <c r="X498">
        <f t="shared" si="44"/>
        <v>0.4494948429371447</v>
      </c>
      <c r="Y498" t="str">
        <f>_xlfn.TEXTJOIN(", ",TRUE,IF(G498="Unknown","Missing Region",""),IF(M498="Unknown","Missing Ship Mode",""),IF(P498&lt;0,"Negative Discount",""),IF(P498&gt;0.7,"High Discount",""),IF(C498&lt;B498,"Ship Before Order",""))</f>
        <v/>
      </c>
      <c r="Z498" s="2">
        <f>IFERROR(
  IF(ISNUMBER(B498),B498,
    IF(ISNUMBER(SEARCH("-",B498)*1),
      IF(LEN(LEFT(B498,FIND("-",B498)-1))=4,
        DATE(VALUE(LEFT(B498,4)),VALUE(MID(B498,6,2)),VALUE(RIGHT(B498,2))),
        DATE(VALUE(RIGHT(B498,4)),VALUE(MID(B498,4,2)),VALUE(LEFT(B498,2)))
      ),
      IF(ISNUMBER(SEARCH("/",B498)*1),
        DATE(VALUE(RIGHT(B498,4)),VALUE(LEFT(B498,2)),VALUE(MID(B498,4,2))),
        DATEVALUE(B498)
      )
    )
  ),
"INVALID_DATE")</f>
        <v>45842</v>
      </c>
      <c r="AA498" s="2">
        <f>IFERROR(
  IF(ISNUMBER(C498),C498,
    IF(ISNUMBER(SEARCH("-",C498)*1),
      IF(LEN(LEFT(C498,FIND("-",C498)-1))=4,
        DATE(VALUE(LEFT(C498,4)),VALUE(MID(C498,6,2)),VALUE(RIGHT(C498,2))),
        DATE(VALUE(RIGHT(C498,4)),VALUE(MID(C498,4,2)),VALUE(LEFT(C498,2)))
      ),
      IF(ISNUMBER(SEARCH("/",C498)*1),
        DATE(VALUE(RIGHT(C498,4)),VALUE(LEFT(C498,2)),VALUE(MID(C498,4,2))),
        DATEVALUE(C498)
      )
    )
  ),
"INVALID_DATE")</f>
        <v>45844</v>
      </c>
      <c r="AB498">
        <f t="shared" si="45"/>
        <v>2</v>
      </c>
      <c r="AC498" t="str">
        <f t="shared" si="46"/>
        <v>July</v>
      </c>
      <c r="AD498">
        <f t="shared" si="47"/>
        <v>2025</v>
      </c>
    </row>
    <row r="499" spans="1:30">
      <c r="A499" t="s">
        <v>2427</v>
      </c>
      <c r="B499" t="s">
        <v>2428</v>
      </c>
      <c r="C499" t="s">
        <v>2428</v>
      </c>
      <c r="D499" t="s">
        <v>2429</v>
      </c>
      <c r="E499" t="s">
        <v>175</v>
      </c>
      <c r="F499" t="s">
        <v>48</v>
      </c>
      <c r="G499" t="s">
        <v>720</v>
      </c>
      <c r="H499" t="s">
        <v>181</v>
      </c>
      <c r="I499" t="s">
        <v>182</v>
      </c>
      <c r="J499" t="s">
        <v>93</v>
      </c>
      <c r="K499" t="s">
        <v>94</v>
      </c>
      <c r="L499" t="s">
        <v>2430</v>
      </c>
      <c r="M499" t="s">
        <v>40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41</v>
      </c>
      <c r="U499" t="s">
        <v>85</v>
      </c>
      <c r="V499">
        <f t="shared" si="42"/>
        <v>2485.5040000000004</v>
      </c>
      <c r="W499">
        <f t="shared" si="43"/>
        <v>457.06999999999994</v>
      </c>
      <c r="X499">
        <f t="shared" si="44"/>
        <v>0.18389458861396096</v>
      </c>
      <c r="Y499" t="str">
        <f>_xlfn.TEXTJOIN(", ",TRUE,IF(G499="Unknown","Missing Region",""),IF(M499="Unknown","Missing Ship Mode",""),IF(P499&lt;0,"Negative Discount",""),IF(P499&gt;0.7,"High Discount",""),IF(C499&lt;B499,"Ship Before Order",""))</f>
        <v/>
      </c>
      <c r="Z499" s="2">
        <f>IFERROR(
  IF(ISNUMBER(B499),B499,
    IF(ISNUMBER(SEARCH("-",B499)*1),
      IF(LEN(LEFT(B499,FIND("-",B499)-1))=4,
        DATE(VALUE(LEFT(B499,4)),VALUE(MID(B499,6,2)),VALUE(RIGHT(B499,2))),
        DATE(VALUE(RIGHT(B499,4)),VALUE(MID(B499,4,2)),VALUE(LEFT(B499,2)))
      ),
      IF(ISNUMBER(SEARCH("/",B499)*1),
        DATE(VALUE(RIGHT(B499,4)),VALUE(LEFT(B499,2)),VALUE(MID(B499,4,2))),
        DATEVALUE(B499)
      )
    )
  ),
"INVALID_DATE")</f>
        <v>45533</v>
      </c>
      <c r="AA499" s="2">
        <f>IFERROR(
  IF(ISNUMBER(C499),C499,
    IF(ISNUMBER(SEARCH("-",C499)*1),
      IF(LEN(LEFT(C499,FIND("-",C499)-1))=4,
        DATE(VALUE(LEFT(C499,4)),VALUE(MID(C499,6,2)),VALUE(RIGHT(C499,2))),
        DATE(VALUE(RIGHT(C499,4)),VALUE(MID(C499,4,2)),VALUE(LEFT(C499,2)))
      ),
      IF(ISNUMBER(SEARCH("/",C499)*1),
        DATE(VALUE(RIGHT(C499,4)),VALUE(LEFT(C499,2)),VALUE(MID(C499,4,2))),
        DATEVALUE(C499)
      )
    )
  ),
"INVALID_DATE")</f>
        <v>45533</v>
      </c>
      <c r="AB499">
        <f t="shared" si="45"/>
        <v>0</v>
      </c>
      <c r="AC499" t="str">
        <f t="shared" si="46"/>
        <v>August</v>
      </c>
      <c r="AD499">
        <f t="shared" si="47"/>
        <v>2024</v>
      </c>
    </row>
    <row r="500" spans="1:30">
      <c r="A500" t="s">
        <v>2431</v>
      </c>
      <c r="B500" t="s">
        <v>2432</v>
      </c>
      <c r="C500" t="s">
        <v>2433</v>
      </c>
      <c r="D500" t="s">
        <v>2434</v>
      </c>
      <c r="E500" t="s">
        <v>32</v>
      </c>
      <c r="F500" t="s">
        <v>33</v>
      </c>
      <c r="G500" t="s">
        <v>34</v>
      </c>
      <c r="H500" t="s">
        <v>161</v>
      </c>
      <c r="I500" t="s">
        <v>162</v>
      </c>
      <c r="J500" t="s">
        <v>52</v>
      </c>
      <c r="K500" t="s">
        <v>83</v>
      </c>
      <c r="L500" t="s">
        <v>2435</v>
      </c>
      <c r="M500" t="s">
        <v>55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131</v>
      </c>
      <c r="U500" t="s">
        <v>2436</v>
      </c>
      <c r="V500">
        <f t="shared" si="42"/>
        <v>850.34500000000003</v>
      </c>
      <c r="W500">
        <f t="shared" si="43"/>
        <v>249.37</v>
      </c>
      <c r="X500">
        <f t="shared" si="44"/>
        <v>0.29325571823366847</v>
      </c>
      <c r="Y500" t="str">
        <f>_xlfn.TEXTJOIN(", ",TRUE,IF(G500="Unknown","Missing Region",""),IF(M500="Unknown","Missing Ship Mode",""),IF(P500&lt;0,"Negative Discount",""),IF(P500&gt;0.7,"High Discount",""),IF(C500&lt;B500,"Ship Before Order",""))</f>
        <v>Ship Before Order</v>
      </c>
      <c r="Z500" s="2">
        <f>IFERROR(
  IF(ISNUMBER(B500),B500,
    IF(ISNUMBER(SEARCH("-",B500)*1),
      IF(LEN(LEFT(B500,FIND("-",B500)-1))=4,
        DATE(VALUE(LEFT(B500,4)),VALUE(MID(B500,6,2)),VALUE(RIGHT(B500,2))),
        DATE(VALUE(RIGHT(B500,4)),VALUE(MID(B500,4,2)),VALUE(LEFT(B500,2)))
      ),
      IF(ISNUMBER(SEARCH("/",B500)*1),
        DATE(VALUE(RIGHT(B500,4)),VALUE(LEFT(B500,2)),VALUE(MID(B500,4,2))),
        DATEVALUE(B500)
      )
    )
  ),
"INVALID_DATE")</f>
        <v>45907</v>
      </c>
      <c r="AA500" s="2">
        <f>IFERROR(
  IF(ISNUMBER(C500),C500,
    IF(ISNUMBER(SEARCH("-",C500)*1),
      IF(LEN(LEFT(C500,FIND("-",C500)-1))=4,
        DATE(VALUE(LEFT(C500,4)),VALUE(MID(C500,6,2)),VALUE(RIGHT(C500,2))),
        DATE(VALUE(RIGHT(C500,4)),VALUE(MID(C500,4,2)),VALUE(LEFT(C500,2)))
      ),
      IF(ISNUMBER(SEARCH("/",C500)*1),
        DATE(VALUE(RIGHT(C500,4)),VALUE(LEFT(C500,2)),VALUE(MID(C500,4,2))),
        DATEVALUE(C500)
      )
    )
  ),
"INVALID_DATE")</f>
        <v>45910</v>
      </c>
      <c r="AB500">
        <f t="shared" si="45"/>
        <v>3</v>
      </c>
      <c r="AC500" t="str">
        <f t="shared" si="46"/>
        <v>September</v>
      </c>
      <c r="AD500">
        <f t="shared" si="47"/>
        <v>2025</v>
      </c>
    </row>
    <row r="501" spans="1:30">
      <c r="A501" t="s">
        <v>2437</v>
      </c>
      <c r="B501" t="s">
        <v>2438</v>
      </c>
      <c r="C501" t="s">
        <v>1453</v>
      </c>
      <c r="D501" t="s">
        <v>2439</v>
      </c>
      <c r="E501" t="s">
        <v>155</v>
      </c>
      <c r="F501" t="s">
        <v>122</v>
      </c>
      <c r="G501" t="s">
        <v>34</v>
      </c>
      <c r="H501" t="s">
        <v>181</v>
      </c>
      <c r="I501" t="s">
        <v>182</v>
      </c>
      <c r="J501" t="s">
        <v>52</v>
      </c>
      <c r="K501" t="s">
        <v>83</v>
      </c>
      <c r="L501" t="s">
        <v>2440</v>
      </c>
      <c r="M501" t="s">
        <v>74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41</v>
      </c>
      <c r="U501" t="s">
        <v>85</v>
      </c>
      <c r="V501">
        <f t="shared" si="42"/>
        <v>9997.8299999999981</v>
      </c>
      <c r="W501">
        <f t="shared" si="43"/>
        <v>1439.3000000000002</v>
      </c>
      <c r="X501">
        <f t="shared" si="44"/>
        <v>0.19194838344866952</v>
      </c>
      <c r="Y501" t="str">
        <f>_xlfn.TEXTJOIN(", ",TRUE,IF(G501="Unknown","Missing Region",""),IF(M501="Unknown","Missing Ship Mode",""),IF(P501&lt;0,"Negative Discount",""),IF(P501&gt;0.7,"High Discount",""),IF(C501&lt;B501,"Ship Before Order",""))</f>
        <v/>
      </c>
      <c r="Z501" s="2">
        <f>IFERROR(
  IF(ISNUMBER(B501),B501,
    IF(ISNUMBER(SEARCH("-",B501)*1),
      IF(LEN(LEFT(B501,FIND("-",B501)-1))=4,
        DATE(VALUE(LEFT(B501,4)),VALUE(MID(B501,6,2)),VALUE(RIGHT(B501,2))),
        DATE(VALUE(RIGHT(B501,4)),VALUE(MID(B501,4,2)),VALUE(LEFT(B501,2)))
      ),
      IF(ISNUMBER(SEARCH("/",B501)*1),
        DATE(VALUE(RIGHT(B501,4)),VALUE(LEFT(B501,2)),VALUE(MID(B501,4,2))),
        DATEVALUE(B501)
      )
    )
  ),
"INVALID_DATE")</f>
        <v>45648</v>
      </c>
      <c r="AA501" s="2">
        <f>IFERROR(
  IF(ISNUMBER(C501),C501,
    IF(ISNUMBER(SEARCH("-",C501)*1),
      IF(LEN(LEFT(C501,FIND("-",C501)-1))=4,
        DATE(VALUE(LEFT(C501,4)),VALUE(MID(C501,6,2)),VALUE(RIGHT(C501,2))),
        DATE(VALUE(RIGHT(C501,4)),VALUE(MID(C501,4,2)),VALUE(LEFT(C501,2)))
      ),
      IF(ISNUMBER(SEARCH("/",C501)*1),
        DATE(VALUE(RIGHT(C501,4)),VALUE(LEFT(C501,2)),VALUE(MID(C501,4,2))),
        DATEVALUE(C501)
      )
    )
  ),
"INVALID_DATE")</f>
        <v>45652</v>
      </c>
      <c r="AB501">
        <f t="shared" si="45"/>
        <v>4</v>
      </c>
      <c r="AC501" t="str">
        <f t="shared" si="46"/>
        <v>December</v>
      </c>
      <c r="AD501">
        <f t="shared" si="47"/>
        <v>2024</v>
      </c>
    </row>
    <row r="502" spans="1:30">
      <c r="A502" t="s">
        <v>2441</v>
      </c>
      <c r="B502" t="s">
        <v>1137</v>
      </c>
      <c r="C502" t="s">
        <v>2442</v>
      </c>
      <c r="D502" t="s">
        <v>2443</v>
      </c>
      <c r="E502" t="s">
        <v>175</v>
      </c>
      <c r="F502" t="s">
        <v>33</v>
      </c>
      <c r="G502" t="s">
        <v>69</v>
      </c>
      <c r="H502" t="s">
        <v>249</v>
      </c>
      <c r="I502" t="s">
        <v>250</v>
      </c>
      <c r="J502" t="s">
        <v>93</v>
      </c>
      <c r="K502" t="s">
        <v>230</v>
      </c>
      <c r="L502" t="s">
        <v>2444</v>
      </c>
      <c r="M502" t="s">
        <v>55</v>
      </c>
      <c r="N502">
        <v>9</v>
      </c>
      <c r="O502">
        <v>3795.99</v>
      </c>
      <c r="P502" t="s">
        <v>1178</v>
      </c>
      <c r="Q502">
        <v>34163.910000000003</v>
      </c>
      <c r="R502">
        <v>28577.15</v>
      </c>
      <c r="S502">
        <v>5586.76</v>
      </c>
      <c r="T502" t="s">
        <v>41</v>
      </c>
      <c r="U502" t="s">
        <v>42</v>
      </c>
      <c r="V502">
        <f t="shared" si="42"/>
        <v>5124.5865000000003</v>
      </c>
      <c r="W502">
        <f t="shared" si="43"/>
        <v>5586.760000000002</v>
      </c>
      <c r="X502">
        <f t="shared" si="44"/>
        <v>0.16352812075666981</v>
      </c>
      <c r="Y502" t="str">
        <f>_xlfn.TEXTJOIN(", ",TRUE,IF(G502="Unknown","Missing Region",""),IF(M502="Unknown","Missing Ship Mode",""),IF(P502&lt;0,"Negative Discount",""),IF(P502&gt;0.7,"High Discount",""),IF(C502&lt;B502,"Ship Before Order",""))</f>
        <v>High Discount</v>
      </c>
      <c r="Z502" s="2">
        <f>IFERROR(
  IF(ISNUMBER(B502),B502,
    IF(ISNUMBER(SEARCH("-",B502)*1),
      IF(LEN(LEFT(B502,FIND("-",B502)-1))=4,
        DATE(VALUE(LEFT(B502,4)),VALUE(MID(B502,6,2)),VALUE(RIGHT(B502,2))),
        DATE(VALUE(RIGHT(B502,4)),VALUE(MID(B502,4,2)),VALUE(LEFT(B502,2)))
      ),
      IF(ISNUMBER(SEARCH("/",B502)*1),
        DATE(VALUE(RIGHT(B502,4)),VALUE(LEFT(B502,2)),VALUE(MID(B502,4,2))),
        DATEVALUE(B502)
      )
    )
  ),
"INVALID_DATE")</f>
        <v>45429</v>
      </c>
      <c r="AA502" s="2">
        <f>IFERROR(
  IF(ISNUMBER(C502),C502,
    IF(ISNUMBER(SEARCH("-",C502)*1),
      IF(LEN(LEFT(C502,FIND("-",C502)-1))=4,
        DATE(VALUE(LEFT(C502,4)),VALUE(MID(C502,6,2)),VALUE(RIGHT(C502,2))),
        DATE(VALUE(RIGHT(C502,4)),VALUE(MID(C502,4,2)),VALUE(LEFT(C502,2)))
      ),
      IF(ISNUMBER(SEARCH("/",C502)*1),
        DATE(VALUE(RIGHT(C502,4)),VALUE(LEFT(C502,2)),VALUE(MID(C502,4,2))),
        DATEVALUE(C502)
      )
    )
  ),
"INVALID_DATE")</f>
        <v>45434</v>
      </c>
      <c r="AB502">
        <f t="shared" si="45"/>
        <v>5</v>
      </c>
      <c r="AC502" t="str">
        <f t="shared" si="46"/>
        <v>May</v>
      </c>
      <c r="AD502">
        <f t="shared" si="47"/>
        <v>2024</v>
      </c>
    </row>
    <row r="503" spans="1:30">
      <c r="A503" t="s">
        <v>2445</v>
      </c>
      <c r="B503" t="s">
        <v>2446</v>
      </c>
      <c r="C503" t="s">
        <v>2447</v>
      </c>
      <c r="D503" t="s">
        <v>1245</v>
      </c>
      <c r="E503" t="s">
        <v>100</v>
      </c>
      <c r="F503" t="s">
        <v>33</v>
      </c>
      <c r="G503" t="s">
        <v>49</v>
      </c>
      <c r="H503" t="s">
        <v>319</v>
      </c>
      <c r="I503" t="s">
        <v>320</v>
      </c>
      <c r="J503" t="s">
        <v>37</v>
      </c>
      <c r="K503" t="s">
        <v>61</v>
      </c>
      <c r="L503" t="s">
        <v>2448</v>
      </c>
      <c r="M503" t="s">
        <v>40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41</v>
      </c>
      <c r="U503" t="s">
        <v>42</v>
      </c>
      <c r="V503">
        <f t="shared" si="42"/>
        <v>17837.454000000002</v>
      </c>
      <c r="W503">
        <f t="shared" si="43"/>
        <v>4210.43</v>
      </c>
      <c r="X503">
        <f t="shared" si="44"/>
        <v>0.23604438975301964</v>
      </c>
      <c r="Y503" t="str">
        <f>_xlfn.TEXTJOIN(", ",TRUE,IF(G503="Unknown","Missing Region",""),IF(M503="Unknown","Missing Ship Mode",""),IF(P503&lt;0,"Negative Discount",""),IF(P503&gt;0.7,"High Discount",""),IF(C503&lt;B503,"Ship Before Order",""))</f>
        <v>Ship Before Order</v>
      </c>
      <c r="Z503" s="2">
        <f>IFERROR(
  IF(ISNUMBER(B503),B503,
    IF(ISNUMBER(SEARCH("-",B503)*1),
      IF(LEN(LEFT(B503,FIND("-",B503)-1))=4,
        DATE(VALUE(LEFT(B503,4)),VALUE(MID(B503,6,2)),VALUE(RIGHT(B503,2))),
        DATE(VALUE(RIGHT(B503,4)),VALUE(MID(B503,4,2)),VALUE(LEFT(B503,2)))
      ),
      IF(ISNUMBER(SEARCH("/",B503)*1),
        DATE(VALUE(RIGHT(B503,4)),VALUE(LEFT(B503,2)),VALUE(MID(B503,4,2))),
        DATEVALUE(B503)
      )
    )
  ),
"INVALID_DATE")</f>
        <v>45515</v>
      </c>
      <c r="AA503" s="2">
        <f>IFERROR(
  IF(ISNUMBER(C503),C503,
    IF(ISNUMBER(SEARCH("-",C503)*1),
      IF(LEN(LEFT(C503,FIND("-",C503)-1))=4,
        DATE(VALUE(LEFT(C503,4)),VALUE(MID(C503,6,2)),VALUE(RIGHT(C503,2))),
        DATE(VALUE(RIGHT(C503,4)),VALUE(MID(C503,4,2)),VALUE(LEFT(C503,2)))
      ),
      IF(ISNUMBER(SEARCH("/",C503)*1),
        DATE(VALUE(RIGHT(C503,4)),VALUE(LEFT(C503,2)),VALUE(MID(C503,4,2))),
        DATEVALUE(C503)
      )
    )
  ),
"INVALID_DATE")</f>
        <v>45521</v>
      </c>
      <c r="AB503">
        <f t="shared" si="45"/>
        <v>6</v>
      </c>
      <c r="AC503" t="str">
        <f t="shared" si="46"/>
        <v>August</v>
      </c>
      <c r="AD503">
        <f t="shared" si="47"/>
        <v>2024</v>
      </c>
    </row>
    <row r="504" spans="1:30">
      <c r="A504" t="s">
        <v>2449</v>
      </c>
      <c r="B504" t="s">
        <v>2450</v>
      </c>
      <c r="C504" t="s">
        <v>2451</v>
      </c>
      <c r="D504" t="s">
        <v>2452</v>
      </c>
      <c r="E504" t="s">
        <v>149</v>
      </c>
      <c r="F504" t="s">
        <v>48</v>
      </c>
      <c r="G504" t="s">
        <v>49</v>
      </c>
      <c r="H504" t="s">
        <v>50</v>
      </c>
      <c r="I504" t="s">
        <v>51</v>
      </c>
      <c r="J504" t="s">
        <v>93</v>
      </c>
      <c r="K504" t="s">
        <v>101</v>
      </c>
      <c r="L504" t="s">
        <v>2453</v>
      </c>
      <c r="M504" t="s">
        <v>40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41</v>
      </c>
      <c r="U504" t="s">
        <v>42</v>
      </c>
      <c r="V504">
        <f t="shared" si="42"/>
        <v>4465.4219999999996</v>
      </c>
      <c r="W504">
        <f t="shared" si="43"/>
        <v>1088.3200000000002</v>
      </c>
      <c r="X504">
        <f t="shared" si="44"/>
        <v>0.24372175517644476</v>
      </c>
      <c r="Y504" t="str">
        <f>_xlfn.TEXTJOIN(", ",TRUE,IF(G504="Unknown","Missing Region",""),IF(M504="Unknown","Missing Ship Mode",""),IF(P504&lt;0,"Negative Discount",""),IF(P504&gt;0.7,"High Discount",""),IF(C504&lt;B504,"Ship Before Order",""))</f>
        <v/>
      </c>
      <c r="Z504" s="2">
        <f>IFERROR(
  IF(ISNUMBER(B504),B504,
    IF(ISNUMBER(SEARCH("-",B504)*1),
      IF(LEN(LEFT(B504,FIND("-",B504)-1))=4,
        DATE(VALUE(LEFT(B504,4)),VALUE(MID(B504,6,2)),VALUE(RIGHT(B504,2))),
        DATE(VALUE(RIGHT(B504,4)),VALUE(MID(B504,4,2)),VALUE(LEFT(B504,2)))
      ),
      IF(ISNUMBER(SEARCH("/",B504)*1),
        DATE(VALUE(RIGHT(B504,4)),VALUE(LEFT(B504,2)),VALUE(MID(B504,4,2))),
        DATEVALUE(B504)
      )
    )
  ),
"INVALID_DATE")</f>
        <v>45383</v>
      </c>
      <c r="AA504" s="2">
        <f>IFERROR(
  IF(ISNUMBER(C504),C504,
    IF(ISNUMBER(SEARCH("-",C504)*1),
      IF(LEN(LEFT(C504,FIND("-",C504)-1))=4,
        DATE(VALUE(LEFT(C504,4)),VALUE(MID(C504,6,2)),VALUE(RIGHT(C504,2))),
        DATE(VALUE(RIGHT(C504,4)),VALUE(MID(C504,4,2)),VALUE(LEFT(C504,2)))
      ),
      IF(ISNUMBER(SEARCH("/",C504)*1),
        DATE(VALUE(RIGHT(C504,4)),VALUE(LEFT(C504,2)),VALUE(MID(C504,4,2))),
        DATEVALUE(C504)
      )
    )
  ),
"INVALID_DATE")</f>
        <v>45391</v>
      </c>
      <c r="AB504">
        <f t="shared" si="45"/>
        <v>8</v>
      </c>
      <c r="AC504" t="str">
        <f t="shared" si="46"/>
        <v>April</v>
      </c>
      <c r="AD504">
        <f t="shared" si="47"/>
        <v>2024</v>
      </c>
    </row>
    <row r="505" spans="1:30">
      <c r="A505" t="s">
        <v>2454</v>
      </c>
      <c r="B505" t="s">
        <v>2455</v>
      </c>
      <c r="C505" t="s">
        <v>2456</v>
      </c>
      <c r="D505" t="s">
        <v>2457</v>
      </c>
      <c r="E505" t="s">
        <v>169</v>
      </c>
      <c r="F505" t="s">
        <v>33</v>
      </c>
      <c r="G505" t="s">
        <v>69</v>
      </c>
      <c r="H505" t="s">
        <v>347</v>
      </c>
      <c r="I505" t="s">
        <v>348</v>
      </c>
      <c r="J505" t="s">
        <v>93</v>
      </c>
      <c r="K505" t="s">
        <v>230</v>
      </c>
      <c r="L505" t="s">
        <v>2458</v>
      </c>
      <c r="M505" t="s">
        <v>74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41</v>
      </c>
      <c r="U505" t="s">
        <v>42</v>
      </c>
      <c r="V505">
        <f t="shared" si="42"/>
        <v>10594.08</v>
      </c>
      <c r="W505">
        <f t="shared" si="43"/>
        <v>3433.7699999999995</v>
      </c>
      <c r="X505">
        <f t="shared" si="44"/>
        <v>0.32412158488514342</v>
      </c>
      <c r="Y505" t="str">
        <f>_xlfn.TEXTJOIN(", ",TRUE,IF(G505="Unknown","Missing Region",""),IF(M505="Unknown","Missing Ship Mode",""),IF(P505&lt;0,"Negative Discount",""),IF(P505&gt;0.7,"High Discount",""),IF(C505&lt;B505,"Ship Before Order",""))</f>
        <v/>
      </c>
      <c r="Z505" s="2">
        <f>IFERROR(
  IF(ISNUMBER(B505),B505,
    IF(ISNUMBER(SEARCH("-",B505)*1),
      IF(LEN(LEFT(B505,FIND("-",B505)-1))=4,
        DATE(VALUE(LEFT(B505,4)),VALUE(MID(B505,6,2)),VALUE(RIGHT(B505,2))),
        DATE(VALUE(RIGHT(B505,4)),VALUE(MID(B505,4,2)),VALUE(LEFT(B505,2)))
      ),
      IF(ISNUMBER(SEARCH("/",B505)*1),
        DATE(VALUE(RIGHT(B505,4)),VALUE(LEFT(B505,2)),VALUE(MID(B505,4,2))),
        DATEVALUE(B505)
      )
    )
  ),
"INVALID_DATE")</f>
        <v>45563</v>
      </c>
      <c r="AA505" s="2">
        <f>IFERROR(
  IF(ISNUMBER(C505),C505,
    IF(ISNUMBER(SEARCH("-",C505)*1),
      IF(LEN(LEFT(C505,FIND("-",C505)-1))=4,
        DATE(VALUE(LEFT(C505,4)),VALUE(MID(C505,6,2)),VALUE(RIGHT(C505,2))),
        DATE(VALUE(RIGHT(C505,4)),VALUE(MID(C505,4,2)),VALUE(LEFT(C505,2)))
      ),
      IF(ISNUMBER(SEARCH("/",C505)*1),
        DATE(VALUE(RIGHT(C505,4)),VALUE(LEFT(C505,2)),VALUE(MID(C505,4,2))),
        DATEVALUE(C505)
      )
    )
  ),
"INVALID_DATE")</f>
        <v>45570</v>
      </c>
      <c r="AB505">
        <f t="shared" si="45"/>
        <v>7</v>
      </c>
      <c r="AC505" t="str">
        <f t="shared" si="46"/>
        <v>September</v>
      </c>
      <c r="AD505">
        <f t="shared" si="47"/>
        <v>2024</v>
      </c>
    </row>
    <row r="506" spans="1:30">
      <c r="A506" t="s">
        <v>2459</v>
      </c>
      <c r="B506" t="s">
        <v>2460</v>
      </c>
      <c r="C506" t="s">
        <v>2461</v>
      </c>
      <c r="D506" t="s">
        <v>2462</v>
      </c>
      <c r="E506" t="s">
        <v>68</v>
      </c>
      <c r="F506" t="s">
        <v>115</v>
      </c>
      <c r="G506" t="s">
        <v>80</v>
      </c>
      <c r="H506" t="s">
        <v>242</v>
      </c>
      <c r="I506" t="s">
        <v>243</v>
      </c>
      <c r="J506" t="s">
        <v>37</v>
      </c>
      <c r="K506" t="s">
        <v>61</v>
      </c>
      <c r="L506" t="s">
        <v>2463</v>
      </c>
      <c r="M506" t="s">
        <v>74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41</v>
      </c>
      <c r="U506" t="s">
        <v>42</v>
      </c>
      <c r="V506">
        <f t="shared" si="42"/>
        <v>17312.48</v>
      </c>
      <c r="W506">
        <f t="shared" si="43"/>
        <v>2888.26</v>
      </c>
      <c r="X506">
        <f t="shared" si="44"/>
        <v>0.16683109525613893</v>
      </c>
      <c r="Y506" t="str">
        <f>_xlfn.TEXTJOIN(", ",TRUE,IF(G506="Unknown","Missing Region",""),IF(M506="Unknown","Missing Ship Mode",""),IF(P506&lt;0,"Negative Discount",""),IF(P506&gt;0.7,"High Discount",""),IF(C506&lt;B506,"Ship Before Order",""))</f>
        <v/>
      </c>
      <c r="Z506" s="2">
        <f>IFERROR(
  IF(ISNUMBER(B506),B506,
    IF(ISNUMBER(SEARCH("-",B506)*1),
      IF(LEN(LEFT(B506,FIND("-",B506)-1))=4,
        DATE(VALUE(LEFT(B506,4)),VALUE(MID(B506,6,2)),VALUE(RIGHT(B506,2))),
        DATE(VALUE(RIGHT(B506,4)),VALUE(MID(B506,4,2)),VALUE(LEFT(B506,2)))
      ),
      IF(ISNUMBER(SEARCH("/",B506)*1),
        DATE(VALUE(RIGHT(B506,4)),VALUE(LEFT(B506,2)),VALUE(MID(B506,4,2))),
        DATEVALUE(B506)
      )
    )
  ),
"INVALID_DATE")</f>
        <v>45700</v>
      </c>
      <c r="AA506" s="2">
        <f>IFERROR(
  IF(ISNUMBER(C506),C506,
    IF(ISNUMBER(SEARCH("-",C506)*1),
      IF(LEN(LEFT(C506,FIND("-",C506)-1))=4,
        DATE(VALUE(LEFT(C506,4)),VALUE(MID(C506,6,2)),VALUE(RIGHT(C506,2))),
        DATE(VALUE(RIGHT(C506,4)),VALUE(MID(C506,4,2)),VALUE(LEFT(C506,2)))
      ),
      IF(ISNUMBER(SEARCH("/",C506)*1),
        DATE(VALUE(RIGHT(C506,4)),VALUE(LEFT(C506,2)),VALUE(MID(C506,4,2))),
        DATEVALUE(C506)
      )
    )
  ),
"INVALID_DATE")</f>
        <v>45705</v>
      </c>
      <c r="AB506">
        <f t="shared" si="45"/>
        <v>5</v>
      </c>
      <c r="AC506" t="str">
        <f t="shared" si="46"/>
        <v>February</v>
      </c>
      <c r="AD506">
        <f t="shared" si="47"/>
        <v>2025</v>
      </c>
    </row>
    <row r="507" spans="1:30">
      <c r="A507" t="s">
        <v>2464</v>
      </c>
      <c r="B507" t="s">
        <v>2465</v>
      </c>
      <c r="C507" t="s">
        <v>1388</v>
      </c>
      <c r="D507" t="s">
        <v>2466</v>
      </c>
      <c r="E507" t="s">
        <v>100</v>
      </c>
      <c r="F507" t="s">
        <v>115</v>
      </c>
      <c r="G507" t="s">
        <v>80</v>
      </c>
      <c r="H507" t="s">
        <v>91</v>
      </c>
      <c r="I507" t="s">
        <v>92</v>
      </c>
      <c r="J507" t="s">
        <v>37</v>
      </c>
      <c r="K507" t="s">
        <v>61</v>
      </c>
      <c r="L507" t="s">
        <v>2467</v>
      </c>
      <c r="M507" t="s">
        <v>63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41</v>
      </c>
      <c r="U507" t="s">
        <v>85</v>
      </c>
      <c r="V507">
        <f t="shared" si="42"/>
        <v>17555.688000000002</v>
      </c>
      <c r="W507">
        <f t="shared" si="43"/>
        <v>4262.489999999998</v>
      </c>
      <c r="X507">
        <f t="shared" si="44"/>
        <v>0.24279820388717277</v>
      </c>
      <c r="Y507" t="str">
        <f>_xlfn.TEXTJOIN(", ",TRUE,IF(G507="Unknown","Missing Region",""),IF(M507="Unknown","Missing Ship Mode",""),IF(P507&lt;0,"Negative Discount",""),IF(P507&gt;0.7,"High Discount",""),IF(C507&lt;B507,"Ship Before Order",""))</f>
        <v>Ship Before Order</v>
      </c>
      <c r="Z507" s="2">
        <f>IFERROR(
  IF(ISNUMBER(B507),B507,
    IF(ISNUMBER(SEARCH("-",B507)*1),
      IF(LEN(LEFT(B507,FIND("-",B507)-1))=4,
        DATE(VALUE(LEFT(B507,4)),VALUE(MID(B507,6,2)),VALUE(RIGHT(B507,2))),
        DATE(VALUE(RIGHT(B507,4)),VALUE(MID(B507,4,2)),VALUE(LEFT(B507,2)))
      ),
      IF(ISNUMBER(SEARCH("/",B507)*1),
        DATE(VALUE(RIGHT(B507,4)),VALUE(LEFT(B507,2)),VALUE(MID(B507,4,2))),
        DATEVALUE(B507)
      )
    )
  ),
"INVALID_DATE")</f>
        <v>45605</v>
      </c>
      <c r="AA507" s="2">
        <f>IFERROR(
  IF(ISNUMBER(C507),C507,
    IF(ISNUMBER(SEARCH("-",C507)*1),
      IF(LEN(LEFT(C507,FIND("-",C507)-1))=4,
        DATE(VALUE(LEFT(C507,4)),VALUE(MID(C507,6,2)),VALUE(RIGHT(C507,2))),
        DATE(VALUE(RIGHT(C507,4)),VALUE(MID(C507,4,2)),VALUE(LEFT(C507,2)))
      ),
      IF(ISNUMBER(SEARCH("/",C507)*1),
        DATE(VALUE(RIGHT(C507,4)),VALUE(LEFT(C507,2)),VALUE(MID(C507,4,2))),
        DATEVALUE(C507)
      )
    )
  ),
"INVALID_DATE")</f>
        <v>45610</v>
      </c>
      <c r="AB507">
        <f t="shared" si="45"/>
        <v>5</v>
      </c>
      <c r="AC507" t="str">
        <f t="shared" si="46"/>
        <v>November</v>
      </c>
      <c r="AD507">
        <f t="shared" si="47"/>
        <v>2024</v>
      </c>
    </row>
    <row r="508" spans="1:30">
      <c r="A508" t="s">
        <v>2468</v>
      </c>
      <c r="B508" t="s">
        <v>2469</v>
      </c>
      <c r="C508" t="s">
        <v>2470</v>
      </c>
      <c r="D508" t="s">
        <v>2471</v>
      </c>
      <c r="E508" t="s">
        <v>169</v>
      </c>
      <c r="F508" t="s">
        <v>48</v>
      </c>
      <c r="G508" t="s">
        <v>34</v>
      </c>
      <c r="H508" t="s">
        <v>161</v>
      </c>
      <c r="I508" t="s">
        <v>162</v>
      </c>
      <c r="J508" t="s">
        <v>52</v>
      </c>
      <c r="K508" t="s">
        <v>72</v>
      </c>
      <c r="L508" t="s">
        <v>2472</v>
      </c>
      <c r="M508" t="s">
        <v>63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131</v>
      </c>
      <c r="U508" t="s">
        <v>132</v>
      </c>
      <c r="V508">
        <f t="shared" si="42"/>
        <v>1205.6399999999999</v>
      </c>
      <c r="W508">
        <f t="shared" si="43"/>
        <v>363.57000000000005</v>
      </c>
      <c r="X508">
        <f t="shared" si="44"/>
        <v>0.30155767890912705</v>
      </c>
      <c r="Y508" t="str">
        <f>_xlfn.TEXTJOIN(", ",TRUE,IF(G508="Unknown","Missing Region",""),IF(M508="Unknown","Missing Ship Mode",""),IF(P508&lt;0,"Negative Discount",""),IF(P508&gt;0.7,"High Discount",""),IF(C508&lt;B508,"Ship Before Order",""))</f>
        <v/>
      </c>
      <c r="Z508" s="2">
        <f>IFERROR(
  IF(ISNUMBER(B508),B508,
    IF(ISNUMBER(SEARCH("-",B508)*1),
      IF(LEN(LEFT(B508,FIND("-",B508)-1))=4,
        DATE(VALUE(LEFT(B508,4)),VALUE(MID(B508,6,2)),VALUE(RIGHT(B508,2))),
        DATE(VALUE(RIGHT(B508,4)),VALUE(MID(B508,4,2)),VALUE(LEFT(B508,2)))
      ),
      IF(ISNUMBER(SEARCH("/",B508)*1),
        DATE(VALUE(RIGHT(B508,4)),VALUE(LEFT(B508,2)),VALUE(MID(B508,4,2))),
        DATEVALUE(B508)
      )
    )
  ),
"INVALID_DATE")</f>
        <v>45641</v>
      </c>
      <c r="AA508" s="2">
        <f>IFERROR(
  IF(ISNUMBER(C508),C508,
    IF(ISNUMBER(SEARCH("-",C508)*1),
      IF(LEN(LEFT(C508,FIND("-",C508)-1))=4,
        DATE(VALUE(LEFT(C508,4)),VALUE(MID(C508,6,2)),VALUE(RIGHT(C508,2))),
        DATE(VALUE(RIGHT(C508,4)),VALUE(MID(C508,4,2)),VALUE(LEFT(C508,2)))
      ),
      IF(ISNUMBER(SEARCH("/",C508)*1),
        DATE(VALUE(RIGHT(C508,4)),VALUE(LEFT(C508,2)),VALUE(MID(C508,4,2))),
        DATEVALUE(C508)
      )
    )
  ),
"INVALID_DATE")</f>
        <v>45641</v>
      </c>
      <c r="AB508">
        <f t="shared" si="45"/>
        <v>0</v>
      </c>
      <c r="AC508" t="str">
        <f t="shared" si="46"/>
        <v>December</v>
      </c>
      <c r="AD508">
        <f t="shared" si="47"/>
        <v>2024</v>
      </c>
    </row>
    <row r="509" spans="1:30">
      <c r="A509" t="s">
        <v>2473</v>
      </c>
      <c r="B509" t="s">
        <v>2151</v>
      </c>
      <c r="C509" t="s">
        <v>2117</v>
      </c>
      <c r="D509" t="s">
        <v>2474</v>
      </c>
      <c r="E509" t="s">
        <v>60</v>
      </c>
      <c r="F509" t="s">
        <v>48</v>
      </c>
      <c r="G509" t="s">
        <v>34</v>
      </c>
      <c r="H509" t="s">
        <v>331</v>
      </c>
      <c r="I509" t="s">
        <v>332</v>
      </c>
      <c r="J509" t="s">
        <v>37</v>
      </c>
      <c r="K509" t="s">
        <v>205</v>
      </c>
      <c r="L509" t="s">
        <v>2475</v>
      </c>
      <c r="M509" t="s">
        <v>55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41</v>
      </c>
      <c r="U509" t="s">
        <v>42</v>
      </c>
      <c r="V509">
        <f t="shared" si="42"/>
        <v>8971.26</v>
      </c>
      <c r="W509">
        <f t="shared" si="43"/>
        <v>2156.91</v>
      </c>
      <c r="X509">
        <f t="shared" si="44"/>
        <v>0.24042442198754688</v>
      </c>
      <c r="Y509" t="str">
        <f>_xlfn.TEXTJOIN(", ",TRUE,IF(G509="Unknown","Missing Region",""),IF(M509="Unknown","Missing Ship Mode",""),IF(P509&lt;0,"Negative Discount",""),IF(P509&gt;0.7,"High Discount",""),IF(C509&lt;B509,"Ship Before Order",""))</f>
        <v/>
      </c>
      <c r="Z509" s="2">
        <f>IFERROR(
  IF(ISNUMBER(B509),B509,
    IF(ISNUMBER(SEARCH("-",B509)*1),
      IF(LEN(LEFT(B509,FIND("-",B509)-1))=4,
        DATE(VALUE(LEFT(B509,4)),VALUE(MID(B509,6,2)),VALUE(RIGHT(B509,2))),
        DATE(VALUE(RIGHT(B509,4)),VALUE(MID(B509,4,2)),VALUE(LEFT(B509,2)))
      ),
      IF(ISNUMBER(SEARCH("/",B509)*1),
        DATE(VALUE(RIGHT(B509,4)),VALUE(LEFT(B509,2)),VALUE(MID(B509,4,2))),
        DATEVALUE(B509)
      )
    )
  ),
"INVALID_DATE")</f>
        <v>45762</v>
      </c>
      <c r="AA509" s="2">
        <f>IFERROR(
  IF(ISNUMBER(C509),C509,
    IF(ISNUMBER(SEARCH("-",C509)*1),
      IF(LEN(LEFT(C509,FIND("-",C509)-1))=4,
        DATE(VALUE(LEFT(C509,4)),VALUE(MID(C509,6,2)),VALUE(RIGHT(C509,2))),
        DATE(VALUE(RIGHT(C509,4)),VALUE(MID(C509,4,2)),VALUE(LEFT(C509,2)))
      ),
      IF(ISNUMBER(SEARCH("/",C509)*1),
        DATE(VALUE(RIGHT(C509,4)),VALUE(LEFT(C509,2)),VALUE(MID(C509,4,2))),
        DATEVALUE(C509)
      )
    )
  ),
"INVALID_DATE")</f>
        <v>45769</v>
      </c>
      <c r="AB509">
        <f t="shared" si="45"/>
        <v>7</v>
      </c>
      <c r="AC509" t="str">
        <f t="shared" si="46"/>
        <v>April</v>
      </c>
      <c r="AD509">
        <f t="shared" si="47"/>
        <v>2025</v>
      </c>
    </row>
    <row r="510" spans="1:30">
      <c r="A510" t="s">
        <v>2476</v>
      </c>
      <c r="B510" t="s">
        <v>2477</v>
      </c>
      <c r="C510" t="s">
        <v>1427</v>
      </c>
      <c r="D510" t="s">
        <v>2478</v>
      </c>
      <c r="E510" t="s">
        <v>60</v>
      </c>
      <c r="F510" t="s">
        <v>48</v>
      </c>
      <c r="G510" t="s">
        <v>34</v>
      </c>
      <c r="H510" t="s">
        <v>331</v>
      </c>
      <c r="I510" t="s">
        <v>332</v>
      </c>
      <c r="J510" t="s">
        <v>93</v>
      </c>
      <c r="K510" t="s">
        <v>390</v>
      </c>
      <c r="L510" t="s">
        <v>2479</v>
      </c>
      <c r="M510" t="s">
        <v>40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41</v>
      </c>
      <c r="U510" t="s">
        <v>42</v>
      </c>
      <c r="V510">
        <f t="shared" si="42"/>
        <v>7324</v>
      </c>
      <c r="W510">
        <f t="shared" si="43"/>
        <v>3144.37</v>
      </c>
      <c r="X510">
        <f t="shared" si="44"/>
        <v>0.42932413981430911</v>
      </c>
      <c r="Y510" t="str">
        <f>_xlfn.TEXTJOIN(", ",TRUE,IF(G510="Unknown","Missing Region",""),IF(M510="Unknown","Missing Ship Mode",""),IF(P510&lt;0,"Negative Discount",""),IF(P510&gt;0.7,"High Discount",""),IF(C510&lt;B510,"Ship Before Order",""))</f>
        <v>Ship Before Order</v>
      </c>
      <c r="Z510" s="2">
        <f>IFERROR(
  IF(ISNUMBER(B510),B510,
    IF(ISNUMBER(SEARCH("-",B510)*1),
      IF(LEN(LEFT(B510,FIND("-",B510)-1))=4,
        DATE(VALUE(LEFT(B510,4)),VALUE(MID(B510,6,2)),VALUE(RIGHT(B510,2))),
        DATE(VALUE(RIGHT(B510,4)),VALUE(MID(B510,4,2)),VALUE(LEFT(B510,2)))
      ),
      IF(ISNUMBER(SEARCH("/",B510)*1),
        DATE(VALUE(RIGHT(B510,4)),VALUE(LEFT(B510,2)),VALUE(MID(B510,4,2))),
        DATEVALUE(B510)
      )
    )
  ),
"INVALID_DATE")</f>
        <v>45382</v>
      </c>
      <c r="AA510" s="2">
        <f>IFERROR(
  IF(ISNUMBER(C510),C510,
    IF(ISNUMBER(SEARCH("-",C510)*1),
      IF(LEN(LEFT(C510,FIND("-",C510)-1))=4,
        DATE(VALUE(LEFT(C510,4)),VALUE(MID(C510,6,2)),VALUE(RIGHT(C510,2))),
        DATE(VALUE(RIGHT(C510,4)),VALUE(MID(C510,4,2)),VALUE(LEFT(C510,2)))
      ),
      IF(ISNUMBER(SEARCH("/",C510)*1),
        DATE(VALUE(RIGHT(C510,4)),VALUE(LEFT(C510,2)),VALUE(MID(C510,4,2))),
        DATEVALUE(C510)
      )
    )
  ),
"INVALID_DATE")</f>
        <v>45389</v>
      </c>
      <c r="AB510">
        <f t="shared" si="45"/>
        <v>7</v>
      </c>
      <c r="AC510" t="str">
        <f t="shared" si="46"/>
        <v>March</v>
      </c>
      <c r="AD510">
        <f t="shared" si="47"/>
        <v>2024</v>
      </c>
    </row>
    <row r="511" spans="1:30">
      <c r="A511" t="s">
        <v>2480</v>
      </c>
      <c r="B511" t="s">
        <v>2481</v>
      </c>
      <c r="C511" t="s">
        <v>2482</v>
      </c>
      <c r="D511" t="s">
        <v>2483</v>
      </c>
      <c r="E511" t="s">
        <v>100</v>
      </c>
      <c r="F511" t="s">
        <v>33</v>
      </c>
      <c r="G511" t="s">
        <v>80</v>
      </c>
      <c r="H511" t="s">
        <v>242</v>
      </c>
      <c r="I511" t="s">
        <v>243</v>
      </c>
      <c r="J511" t="s">
        <v>93</v>
      </c>
      <c r="K511" t="s">
        <v>390</v>
      </c>
      <c r="L511" t="s">
        <v>2484</v>
      </c>
      <c r="M511" t="s">
        <v>55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41</v>
      </c>
      <c r="U511" t="s">
        <v>42</v>
      </c>
      <c r="V511">
        <f t="shared" si="42"/>
        <v>23241.216</v>
      </c>
      <c r="W511">
        <f t="shared" si="43"/>
        <v>6020.32</v>
      </c>
      <c r="X511">
        <f t="shared" si="44"/>
        <v>0.25903631564952267</v>
      </c>
      <c r="Y511" t="str">
        <f>_xlfn.TEXTJOIN(", ",TRUE,IF(G511="Unknown","Missing Region",""),IF(M511="Unknown","Missing Ship Mode",""),IF(P511&lt;0,"Negative Discount",""),IF(P511&gt;0.7,"High Discount",""),IF(C511&lt;B511,"Ship Before Order",""))</f>
        <v>Ship Before Order</v>
      </c>
      <c r="Z511" s="2">
        <f>IFERROR(
  IF(ISNUMBER(B511),B511,
    IF(ISNUMBER(SEARCH("-",B511)*1),
      IF(LEN(LEFT(B511,FIND("-",B511)-1))=4,
        DATE(VALUE(LEFT(B511,4)),VALUE(MID(B511,6,2)),VALUE(RIGHT(B511,2))),
        DATE(VALUE(RIGHT(B511,4)),VALUE(MID(B511,4,2)),VALUE(LEFT(B511,2)))
      ),
      IF(ISNUMBER(SEARCH("/",B511)*1),
        DATE(VALUE(RIGHT(B511,4)),VALUE(LEFT(B511,2)),VALUE(MID(B511,4,2))),
        DATEVALUE(B511)
      )
    )
  ),
"INVALID_DATE")</f>
        <v>45789</v>
      </c>
      <c r="AA511" s="2">
        <f>IFERROR(
  IF(ISNUMBER(C511),C511,
    IF(ISNUMBER(SEARCH("-",C511)*1),
      IF(LEN(LEFT(C511,FIND("-",C511)-1))=4,
        DATE(VALUE(LEFT(C511,4)),VALUE(MID(C511,6,2)),VALUE(RIGHT(C511,2))),
        DATE(VALUE(RIGHT(C511,4)),VALUE(MID(C511,4,2)),VALUE(LEFT(C511,2)))
      ),
      IF(ISNUMBER(SEARCH("/",C511)*1),
        DATE(VALUE(RIGHT(C511,4)),VALUE(LEFT(C511,2)),VALUE(MID(C511,4,2))),
        DATEVALUE(C511)
      )
    )
  ),
"INVALID_DATE")</f>
        <v>45791</v>
      </c>
      <c r="AB511">
        <f t="shared" si="45"/>
        <v>2</v>
      </c>
      <c r="AC511" t="str">
        <f t="shared" si="46"/>
        <v>May</v>
      </c>
      <c r="AD511">
        <f t="shared" si="47"/>
        <v>2025</v>
      </c>
    </row>
    <row r="512" spans="1:30">
      <c r="A512" t="s">
        <v>2485</v>
      </c>
      <c r="B512" t="s">
        <v>652</v>
      </c>
      <c r="C512" t="s">
        <v>2486</v>
      </c>
      <c r="D512" t="s">
        <v>2487</v>
      </c>
      <c r="E512" t="s">
        <v>2488</v>
      </c>
      <c r="F512" t="s">
        <v>33</v>
      </c>
      <c r="G512" t="s">
        <v>69</v>
      </c>
      <c r="H512" t="s">
        <v>236</v>
      </c>
      <c r="I512" t="s">
        <v>237</v>
      </c>
      <c r="J512" t="s">
        <v>37</v>
      </c>
      <c r="K512" t="s">
        <v>163</v>
      </c>
      <c r="L512" t="s">
        <v>2489</v>
      </c>
      <c r="M512" t="s">
        <v>40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41</v>
      </c>
      <c r="U512" t="s">
        <v>42</v>
      </c>
      <c r="V512">
        <f t="shared" si="42"/>
        <v>8477.02</v>
      </c>
      <c r="W512">
        <f t="shared" si="43"/>
        <v>1592.0600000000004</v>
      </c>
      <c r="X512">
        <f t="shared" si="44"/>
        <v>0.18780892341884292</v>
      </c>
      <c r="Y512" t="str">
        <f>_xlfn.TEXTJOIN(", ",TRUE,IF(G512="Unknown","Missing Region",""),IF(M512="Unknown","Missing Ship Mode",""),IF(P512&lt;0,"Negative Discount",""),IF(P512&gt;0.7,"High Discount",""),IF(C512&lt;B512,"Ship Before Order",""))</f>
        <v/>
      </c>
      <c r="Z512" s="2">
        <f>IFERROR(
  IF(ISNUMBER(B512),B512,
    IF(ISNUMBER(SEARCH("-",B512)*1),
      IF(LEN(LEFT(B512,FIND("-",B512)-1))=4,
        DATE(VALUE(LEFT(B512,4)),VALUE(MID(B512,6,2)),VALUE(RIGHT(B512,2))),
        DATE(VALUE(RIGHT(B512,4)),VALUE(MID(B512,4,2)),VALUE(LEFT(B512,2)))
      ),
      IF(ISNUMBER(SEARCH("/",B512)*1),
        DATE(VALUE(RIGHT(B512,4)),VALUE(LEFT(B512,2)),VALUE(MID(B512,4,2))),
        DATEVALUE(B512)
      )
    )
  ),
"INVALID_DATE")</f>
        <v>45583</v>
      </c>
      <c r="AA512" s="2">
        <f>IFERROR(
  IF(ISNUMBER(C512),C512,
    IF(ISNUMBER(SEARCH("-",C512)*1),
      IF(LEN(LEFT(C512,FIND("-",C512)-1))=4,
        DATE(VALUE(LEFT(C512,4)),VALUE(MID(C512,6,2)),VALUE(RIGHT(C512,2))),
        DATE(VALUE(RIGHT(C512,4)),VALUE(MID(C512,4,2)),VALUE(LEFT(C512,2)))
      ),
      IF(ISNUMBER(SEARCH("/",C512)*1),
        DATE(VALUE(RIGHT(C512,4)),VALUE(LEFT(C512,2)),VALUE(MID(C512,4,2))),
        DATEVALUE(C512)
      )
    )
  ),
"INVALID_DATE")</f>
        <v>45586</v>
      </c>
      <c r="AB512">
        <f t="shared" si="45"/>
        <v>3</v>
      </c>
      <c r="AC512" t="str">
        <f t="shared" si="46"/>
        <v>October</v>
      </c>
      <c r="AD512">
        <f t="shared" si="47"/>
        <v>2024</v>
      </c>
    </row>
    <row r="513" spans="1:30">
      <c r="A513" t="s">
        <v>2490</v>
      </c>
      <c r="B513" t="s">
        <v>2491</v>
      </c>
      <c r="C513" t="s">
        <v>2492</v>
      </c>
      <c r="D513" t="s">
        <v>2493</v>
      </c>
      <c r="E513" t="s">
        <v>175</v>
      </c>
      <c r="F513" t="s">
        <v>33</v>
      </c>
      <c r="G513" t="s">
        <v>80</v>
      </c>
      <c r="H513" t="s">
        <v>91</v>
      </c>
      <c r="I513" t="s">
        <v>92</v>
      </c>
      <c r="J513" t="s">
        <v>52</v>
      </c>
      <c r="K513" t="s">
        <v>211</v>
      </c>
      <c r="L513" t="s">
        <v>2494</v>
      </c>
      <c r="M513" t="s">
        <v>74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41</v>
      </c>
      <c r="U513" t="s">
        <v>42</v>
      </c>
      <c r="V513">
        <f t="shared" si="42"/>
        <v>3673.8224999999998</v>
      </c>
      <c r="W513">
        <f t="shared" si="43"/>
        <v>1585.67</v>
      </c>
      <c r="X513">
        <f t="shared" si="44"/>
        <v>0.43161341600840541</v>
      </c>
      <c r="Y513" t="str">
        <f>_xlfn.TEXTJOIN(", ",TRUE,IF(G513="Unknown","Missing Region",""),IF(M513="Unknown","Missing Ship Mode",""),IF(P513&lt;0,"Negative Discount",""),IF(P513&gt;0.7,"High Discount",""),IF(C513&lt;B513,"Ship Before Order",""))</f>
        <v/>
      </c>
      <c r="Z513" s="2">
        <f>IFERROR(
  IF(ISNUMBER(B513),B513,
    IF(ISNUMBER(SEARCH("-",B513)*1),
      IF(LEN(LEFT(B513,FIND("-",B513)-1))=4,
        DATE(VALUE(LEFT(B513,4)),VALUE(MID(B513,6,2)),VALUE(RIGHT(B513,2))),
        DATE(VALUE(RIGHT(B513,4)),VALUE(MID(B513,4,2)),VALUE(LEFT(B513,2)))
      ),
      IF(ISNUMBER(SEARCH("/",B513)*1),
        DATE(VALUE(RIGHT(B513,4)),VALUE(LEFT(B513,2)),VALUE(MID(B513,4,2))),
        DATEVALUE(B513)
      )
    )
  ),
"INVALID_DATE")</f>
        <v>45588</v>
      </c>
      <c r="AA513" s="2">
        <f>IFERROR(
  IF(ISNUMBER(C513),C513,
    IF(ISNUMBER(SEARCH("-",C513)*1),
      IF(LEN(LEFT(C513,FIND("-",C513)-1))=4,
        DATE(VALUE(LEFT(C513,4)),VALUE(MID(C513,6,2)),VALUE(RIGHT(C513,2))),
        DATE(VALUE(RIGHT(C513,4)),VALUE(MID(C513,4,2)),VALUE(LEFT(C513,2)))
      ),
      IF(ISNUMBER(SEARCH("/",C513)*1),
        DATE(VALUE(RIGHT(C513,4)),VALUE(LEFT(C513,2)),VALUE(MID(C513,4,2))),
        DATEVALUE(C513)
      )
    )
  ),
"INVALID_DATE")</f>
        <v>45591</v>
      </c>
      <c r="AB513">
        <f t="shared" si="45"/>
        <v>3</v>
      </c>
      <c r="AC513" t="str">
        <f t="shared" si="46"/>
        <v>October</v>
      </c>
      <c r="AD513">
        <f t="shared" si="47"/>
        <v>2024</v>
      </c>
    </row>
    <row r="514" spans="1:30">
      <c r="A514" t="s">
        <v>2495</v>
      </c>
      <c r="B514" t="s">
        <v>794</v>
      </c>
      <c r="C514" t="s">
        <v>2496</v>
      </c>
      <c r="D514" t="s">
        <v>1908</v>
      </c>
      <c r="E514" t="s">
        <v>60</v>
      </c>
      <c r="F514" t="s">
        <v>115</v>
      </c>
      <c r="G514" t="s">
        <v>69</v>
      </c>
      <c r="H514" t="s">
        <v>249</v>
      </c>
      <c r="I514" t="s">
        <v>250</v>
      </c>
      <c r="J514" t="s">
        <v>37</v>
      </c>
      <c r="K514" t="s">
        <v>116</v>
      </c>
      <c r="L514" t="s">
        <v>2497</v>
      </c>
      <c r="M514" t="s">
        <v>40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41</v>
      </c>
      <c r="U514" t="s">
        <v>42</v>
      </c>
      <c r="V514">
        <f t="shared" ref="V514:V577" si="48">O514*(1-P514)*N514</f>
        <v>6047.1749999999993</v>
      </c>
      <c r="W514">
        <f t="shared" ref="W514:W577" si="49">Q514-R514</f>
        <v>2678.38</v>
      </c>
      <c r="X514">
        <f t="shared" ref="X514:X577" si="50">IF(Q514=0,"",S514/Q514)</f>
        <v>0.44291461956584649</v>
      </c>
      <c r="Y514" t="str">
        <f>_xlfn.TEXTJOIN(", ",TRUE,IF(G514="Unknown","Missing Region",""),IF(M514="Unknown","Missing Ship Mode",""),IF(P514&lt;0,"Negative Discount",""),IF(P514&gt;0.7,"High Discount",""),IF(C514&lt;B514,"Ship Before Order",""))</f>
        <v/>
      </c>
      <c r="Z514" s="2">
        <f>IFERROR(
  IF(ISNUMBER(B514),B514,
    IF(ISNUMBER(SEARCH("-",B514)*1),
      IF(LEN(LEFT(B514,FIND("-",B514)-1))=4,
        DATE(VALUE(LEFT(B514,4)),VALUE(MID(B514,6,2)),VALUE(RIGHT(B514,2))),
        DATE(VALUE(RIGHT(B514,4)),VALUE(MID(B514,4,2)),VALUE(LEFT(B514,2)))
      ),
      IF(ISNUMBER(SEARCH("/",B514)*1),
        DATE(VALUE(RIGHT(B514,4)),VALUE(LEFT(B514,2)),VALUE(MID(B514,4,2))),
        DATEVALUE(B514)
      )
    )
  ),
"INVALID_DATE")</f>
        <v>45718</v>
      </c>
      <c r="AA514" s="2">
        <f>IFERROR(
  IF(ISNUMBER(C514),C514,
    IF(ISNUMBER(SEARCH("-",C514)*1),
      IF(LEN(LEFT(C514,FIND("-",C514)-1))=4,
        DATE(VALUE(LEFT(C514,4)),VALUE(MID(C514,6,2)),VALUE(RIGHT(C514,2))),
        DATE(VALUE(RIGHT(C514,4)),VALUE(MID(C514,4,2)),VALUE(LEFT(C514,2)))
      ),
      IF(ISNUMBER(SEARCH("/",C514)*1),
        DATE(VALUE(RIGHT(C514,4)),VALUE(LEFT(C514,2)),VALUE(MID(C514,4,2))),
        DATEVALUE(C514)
      )
    )
  ),
"INVALID_DATE")</f>
        <v>45719</v>
      </c>
      <c r="AB514">
        <f t="shared" si="45"/>
        <v>1</v>
      </c>
      <c r="AC514" t="str">
        <f t="shared" si="46"/>
        <v>March</v>
      </c>
      <c r="AD514">
        <f t="shared" si="47"/>
        <v>2025</v>
      </c>
    </row>
    <row r="515" spans="1:30">
      <c r="A515" t="s">
        <v>2498</v>
      </c>
      <c r="B515" t="s">
        <v>1005</v>
      </c>
      <c r="C515" t="s">
        <v>2405</v>
      </c>
      <c r="D515" t="s">
        <v>2499</v>
      </c>
      <c r="E515" t="s">
        <v>169</v>
      </c>
      <c r="F515" t="s">
        <v>115</v>
      </c>
      <c r="G515" t="s">
        <v>69</v>
      </c>
      <c r="H515" t="s">
        <v>249</v>
      </c>
      <c r="I515" t="s">
        <v>250</v>
      </c>
      <c r="J515" t="s">
        <v>93</v>
      </c>
      <c r="K515" t="s">
        <v>94</v>
      </c>
      <c r="L515" t="s">
        <v>2500</v>
      </c>
      <c r="M515" t="s">
        <v>63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41</v>
      </c>
      <c r="U515" t="s">
        <v>42</v>
      </c>
      <c r="V515">
        <f t="shared" si="48"/>
        <v>5937.2460000000001</v>
      </c>
      <c r="W515">
        <f t="shared" si="49"/>
        <v>2123.92</v>
      </c>
      <c r="X515">
        <f t="shared" si="50"/>
        <v>0.29759770007629927</v>
      </c>
      <c r="Y515" t="str">
        <f>_xlfn.TEXTJOIN(", ",TRUE,IF(G515="Unknown","Missing Region",""),IF(M515="Unknown","Missing Ship Mode",""),IF(P515&lt;0,"Negative Discount",""),IF(P515&gt;0.7,"High Discount",""),IF(C515&lt;B515,"Ship Before Order",""))</f>
        <v>Ship Before Order</v>
      </c>
      <c r="Z515" s="2">
        <f>IFERROR(
  IF(ISNUMBER(B515),B515,
    IF(ISNUMBER(SEARCH("-",B515)*1),
      IF(LEN(LEFT(B515,FIND("-",B515)-1))=4,
        DATE(VALUE(LEFT(B515,4)),VALUE(MID(B515,6,2)),VALUE(RIGHT(B515,2))),
        DATE(VALUE(RIGHT(B515,4)),VALUE(MID(B515,4,2)),VALUE(LEFT(B515,2)))
      ),
      IF(ISNUMBER(SEARCH("/",B515)*1),
        DATE(VALUE(RIGHT(B515,4)),VALUE(LEFT(B515,2)),VALUE(MID(B515,4,2))),
        DATEVALUE(B515)
      )
    )
  ),
"INVALID_DATE")</f>
        <v>45835</v>
      </c>
      <c r="AA515" s="2">
        <f>IFERROR(
  IF(ISNUMBER(C515),C515,
    IF(ISNUMBER(SEARCH("-",C515)*1),
      IF(LEN(LEFT(C515,FIND("-",C515)-1))=4,
        DATE(VALUE(LEFT(C515,4)),VALUE(MID(C515,6,2)),VALUE(RIGHT(C515,2))),
        DATE(VALUE(RIGHT(C515,4)),VALUE(MID(C515,4,2)),VALUE(LEFT(C515,2)))
      ),
      IF(ISNUMBER(SEARCH("/",C515)*1),
        DATE(VALUE(RIGHT(C515,4)),VALUE(LEFT(C515,2)),VALUE(MID(C515,4,2))),
        DATEVALUE(C515)
      )
    )
  ),
"INVALID_DATE")</f>
        <v>45840</v>
      </c>
      <c r="AB515">
        <f t="shared" ref="AB515:AB578" si="51">AA515-Z515</f>
        <v>5</v>
      </c>
      <c r="AC515" t="str">
        <f t="shared" ref="AC515:AC578" si="52">TEXT(Z515,"mmmm")</f>
        <v>June</v>
      </c>
      <c r="AD515">
        <f t="shared" ref="AD515:AD578" si="53">YEAR(Z515)</f>
        <v>2025</v>
      </c>
    </row>
    <row r="516" spans="1:30">
      <c r="A516" t="s">
        <v>2501</v>
      </c>
      <c r="B516" t="s">
        <v>2502</v>
      </c>
      <c r="C516" t="s">
        <v>2415</v>
      </c>
      <c r="D516" t="s">
        <v>2503</v>
      </c>
      <c r="E516" t="s">
        <v>32</v>
      </c>
      <c r="F516" t="s">
        <v>122</v>
      </c>
      <c r="G516" t="s">
        <v>69</v>
      </c>
      <c r="H516" t="s">
        <v>249</v>
      </c>
      <c r="I516" t="s">
        <v>250</v>
      </c>
      <c r="J516" t="s">
        <v>93</v>
      </c>
      <c r="K516" t="s">
        <v>94</v>
      </c>
      <c r="L516" t="s">
        <v>2504</v>
      </c>
      <c r="M516" t="s">
        <v>74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41</v>
      </c>
      <c r="U516" t="s">
        <v>42</v>
      </c>
      <c r="V516">
        <f t="shared" si="48"/>
        <v>20913.876</v>
      </c>
      <c r="W516">
        <f t="shared" si="49"/>
        <v>9229.2000000000007</v>
      </c>
      <c r="X516">
        <f t="shared" si="50"/>
        <v>0.44129544589526193</v>
      </c>
      <c r="Y516" t="str">
        <f>_xlfn.TEXTJOIN(", ",TRUE,IF(G516="Unknown","Missing Region",""),IF(M516="Unknown","Missing Ship Mode",""),IF(P516&lt;0,"Negative Discount",""),IF(P516&gt;0.7,"High Discount",""),IF(C516&lt;B516,"Ship Before Order",""))</f>
        <v/>
      </c>
      <c r="Z516" s="2">
        <f>IFERROR(
  IF(ISNUMBER(B516),B516,
    IF(ISNUMBER(SEARCH("-",B516)*1),
      IF(LEN(LEFT(B516,FIND("-",B516)-1))=4,
        DATE(VALUE(LEFT(B516,4)),VALUE(MID(B516,6,2)),VALUE(RIGHT(B516,2))),
        DATE(VALUE(RIGHT(B516,4)),VALUE(MID(B516,4,2)),VALUE(LEFT(B516,2)))
      ),
      IF(ISNUMBER(SEARCH("/",B516)*1),
        DATE(VALUE(RIGHT(B516,4)),VALUE(LEFT(B516,2)),VALUE(MID(B516,4,2))),
        DATEVALUE(B516)
      )
    )
  ),
"INVALID_DATE")</f>
        <v>45614</v>
      </c>
      <c r="AA516" s="2">
        <f>IFERROR(
  IF(ISNUMBER(C516),C516,
    IF(ISNUMBER(SEARCH("-",C516)*1),
      IF(LEN(LEFT(C516,FIND("-",C516)-1))=4,
        DATE(VALUE(LEFT(C516,4)),VALUE(MID(C516,6,2)),VALUE(RIGHT(C516,2))),
        DATE(VALUE(RIGHT(C516,4)),VALUE(MID(C516,4,2)),VALUE(LEFT(C516,2)))
      ),
      IF(ISNUMBER(SEARCH("/",C516)*1),
        DATE(VALUE(RIGHT(C516,4)),VALUE(LEFT(C516,2)),VALUE(MID(C516,4,2))),
        DATEVALUE(C516)
      )
    )
  ),
"INVALID_DATE")</f>
        <v>45618</v>
      </c>
      <c r="AB516">
        <f t="shared" si="51"/>
        <v>4</v>
      </c>
      <c r="AC516" t="str">
        <f t="shared" si="52"/>
        <v>November</v>
      </c>
      <c r="AD516">
        <f t="shared" si="53"/>
        <v>2024</v>
      </c>
    </row>
    <row r="517" spans="1:30">
      <c r="A517" t="s">
        <v>2505</v>
      </c>
      <c r="B517" t="s">
        <v>2150</v>
      </c>
      <c r="C517" t="s">
        <v>2506</v>
      </c>
      <c r="D517" t="s">
        <v>2507</v>
      </c>
      <c r="E517" t="s">
        <v>155</v>
      </c>
      <c r="F517" t="s">
        <v>115</v>
      </c>
      <c r="G517" t="s">
        <v>34</v>
      </c>
      <c r="H517" t="s">
        <v>514</v>
      </c>
      <c r="I517" t="s">
        <v>515</v>
      </c>
      <c r="J517" t="s">
        <v>37</v>
      </c>
      <c r="K517" t="s">
        <v>38</v>
      </c>
      <c r="L517" t="s">
        <v>2508</v>
      </c>
      <c r="M517" t="s">
        <v>74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41</v>
      </c>
      <c r="U517" t="s">
        <v>42</v>
      </c>
      <c r="V517">
        <f t="shared" si="48"/>
        <v>4770.5843000000004</v>
      </c>
      <c r="W517">
        <f t="shared" si="49"/>
        <v>1483.38</v>
      </c>
      <c r="X517">
        <f t="shared" si="50"/>
        <v>0.41588655345562819</v>
      </c>
      <c r="Y517" t="str">
        <f>_xlfn.TEXTJOIN(", ",TRUE,IF(G517="Unknown","Missing Region",""),IF(M517="Unknown","Missing Ship Mode",""),IF(P517&lt;0,"Negative Discount",""),IF(P517&gt;0.7,"High Discount",""),IF(C517&lt;B517,"Ship Before Order",""))</f>
        <v>Negative Discount</v>
      </c>
      <c r="Z517" s="2">
        <f>IFERROR(
  IF(ISNUMBER(B517),B517,
    IF(ISNUMBER(SEARCH("-",B517)*1),
      IF(LEN(LEFT(B517,FIND("-",B517)-1))=4,
        DATE(VALUE(LEFT(B517,4)),VALUE(MID(B517,6,2)),VALUE(RIGHT(B517,2))),
        DATE(VALUE(RIGHT(B517,4)),VALUE(MID(B517,4,2)),VALUE(LEFT(B517,2)))
      ),
      IF(ISNUMBER(SEARCH("/",B517)*1),
        DATE(VALUE(RIGHT(B517,4)),VALUE(LEFT(B517,2)),VALUE(MID(B517,4,2))),
        DATEVALUE(B517)
      )
    )
  ),
"INVALID_DATE")</f>
        <v>45758</v>
      </c>
      <c r="AA517" s="2">
        <f>IFERROR(
  IF(ISNUMBER(C517),C517,
    IF(ISNUMBER(SEARCH("-",C517)*1),
      IF(LEN(LEFT(C517,FIND("-",C517)-1))=4,
        DATE(VALUE(LEFT(C517,4)),VALUE(MID(C517,6,2)),VALUE(RIGHT(C517,2))),
        DATE(VALUE(RIGHT(C517,4)),VALUE(MID(C517,4,2)),VALUE(LEFT(C517,2)))
      ),
      IF(ISNUMBER(SEARCH("/",C517)*1),
        DATE(VALUE(RIGHT(C517,4)),VALUE(LEFT(C517,2)),VALUE(MID(C517,4,2))),
        DATEVALUE(C517)
      )
    )
  ),
"INVALID_DATE")</f>
        <v>45758</v>
      </c>
      <c r="AB517">
        <f t="shared" si="51"/>
        <v>0</v>
      </c>
      <c r="AC517" t="str">
        <f t="shared" si="52"/>
        <v>April</v>
      </c>
      <c r="AD517">
        <f t="shared" si="53"/>
        <v>2025</v>
      </c>
    </row>
    <row r="518" spans="1:30">
      <c r="A518" t="s">
        <v>2509</v>
      </c>
      <c r="B518" t="s">
        <v>2510</v>
      </c>
      <c r="C518" t="s">
        <v>2511</v>
      </c>
      <c r="D518" t="s">
        <v>2512</v>
      </c>
      <c r="E518" t="s">
        <v>374</v>
      </c>
      <c r="F518" t="s">
        <v>122</v>
      </c>
      <c r="G518" t="s">
        <v>34</v>
      </c>
      <c r="H518" t="s">
        <v>514</v>
      </c>
      <c r="I518" t="s">
        <v>515</v>
      </c>
      <c r="J518" t="s">
        <v>93</v>
      </c>
      <c r="K518" t="s">
        <v>101</v>
      </c>
      <c r="L518" t="s">
        <v>2513</v>
      </c>
      <c r="M518" t="s">
        <v>74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207</v>
      </c>
      <c r="U518" t="s">
        <v>132</v>
      </c>
      <c r="V518">
        <f t="shared" si="48"/>
        <v>2233.1799999999998</v>
      </c>
      <c r="W518">
        <f t="shared" si="49"/>
        <v>647.3599999999999</v>
      </c>
      <c r="X518">
        <f t="shared" si="50"/>
        <v>0.28988258895386848</v>
      </c>
      <c r="Y518" t="str">
        <f>_xlfn.TEXTJOIN(", ",TRUE,IF(G518="Unknown","Missing Region",""),IF(M518="Unknown","Missing Ship Mode",""),IF(P518&lt;0,"Negative Discount",""),IF(P518&gt;0.7,"High Discount",""),IF(C518&lt;B518,"Ship Before Order",""))</f>
        <v>Ship Before Order</v>
      </c>
      <c r="Z518" s="2">
        <f>IFERROR(
  IF(ISNUMBER(B518),B518,
    IF(ISNUMBER(SEARCH("-",B518)*1),
      IF(LEN(LEFT(B518,FIND("-",B518)-1))=4,
        DATE(VALUE(LEFT(B518,4)),VALUE(MID(B518,6,2)),VALUE(RIGHT(B518,2))),
        DATE(VALUE(RIGHT(B518,4)),VALUE(MID(B518,4,2)),VALUE(LEFT(B518,2)))
      ),
      IF(ISNUMBER(SEARCH("/",B518)*1),
        DATE(VALUE(RIGHT(B518,4)),VALUE(LEFT(B518,2)),VALUE(MID(B518,4,2))),
        DATEVALUE(B518)
      )
    )
  ),
"INVALID_DATE")</f>
        <v>45563</v>
      </c>
      <c r="AA518" s="2">
        <f>IFERROR(
  IF(ISNUMBER(C518),C518,
    IF(ISNUMBER(SEARCH("-",C518)*1),
      IF(LEN(LEFT(C518,FIND("-",C518)-1))=4,
        DATE(VALUE(LEFT(C518,4)),VALUE(MID(C518,6,2)),VALUE(RIGHT(C518,2))),
        DATE(VALUE(RIGHT(C518,4)),VALUE(MID(C518,4,2)),VALUE(LEFT(C518,2)))
      ),
      IF(ISNUMBER(SEARCH("/",C518)*1),
        DATE(VALUE(RIGHT(C518,4)),VALUE(LEFT(C518,2)),VALUE(MID(C518,4,2))),
        DATEVALUE(C518)
      )
    )
  ),
"INVALID_DATE")</f>
        <v>45569</v>
      </c>
      <c r="AB518">
        <f t="shared" si="51"/>
        <v>6</v>
      </c>
      <c r="AC518" t="str">
        <f t="shared" si="52"/>
        <v>September</v>
      </c>
      <c r="AD518">
        <f t="shared" si="53"/>
        <v>2024</v>
      </c>
    </row>
    <row r="519" spans="1:30">
      <c r="A519" t="s">
        <v>2514</v>
      </c>
      <c r="B519" t="s">
        <v>2515</v>
      </c>
      <c r="C519" t="s">
        <v>1690</v>
      </c>
      <c r="D519" t="s">
        <v>2516</v>
      </c>
      <c r="E519" t="s">
        <v>155</v>
      </c>
      <c r="F519" t="s">
        <v>33</v>
      </c>
      <c r="G519" t="s">
        <v>49</v>
      </c>
      <c r="H519" t="s">
        <v>50</v>
      </c>
      <c r="I519" t="s">
        <v>51</v>
      </c>
      <c r="J519" t="s">
        <v>52</v>
      </c>
      <c r="K519" t="s">
        <v>72</v>
      </c>
      <c r="L519" t="s">
        <v>2517</v>
      </c>
      <c r="M519" t="s">
        <v>40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131</v>
      </c>
      <c r="U519" t="s">
        <v>132</v>
      </c>
      <c r="V519">
        <f t="shared" si="48"/>
        <v>11890.368000000002</v>
      </c>
      <c r="W519">
        <f t="shared" si="49"/>
        <v>2655.84</v>
      </c>
      <c r="X519">
        <f t="shared" si="50"/>
        <v>0.22336058507851311</v>
      </c>
      <c r="Y519" t="str">
        <f>_xlfn.TEXTJOIN(", ",TRUE,IF(G519="Unknown","Missing Region",""),IF(M519="Unknown","Missing Ship Mode",""),IF(P519&lt;0,"Negative Discount",""),IF(P519&gt;0.7,"High Discount",""),IF(C519&lt;B519,"Ship Before Order",""))</f>
        <v/>
      </c>
      <c r="Z519" s="2">
        <f>IFERROR(
  IF(ISNUMBER(B519),B519,
    IF(ISNUMBER(SEARCH("-",B519)*1),
      IF(LEN(LEFT(B519,FIND("-",B519)-1))=4,
        DATE(VALUE(LEFT(B519,4)),VALUE(MID(B519,6,2)),VALUE(RIGHT(B519,2))),
        DATE(VALUE(RIGHT(B519,4)),VALUE(MID(B519,4,2)),VALUE(LEFT(B519,2)))
      ),
      IF(ISNUMBER(SEARCH("/",B519)*1),
        DATE(VALUE(RIGHT(B519,4)),VALUE(LEFT(B519,2)),VALUE(MID(B519,4,2))),
        DATEVALUE(B519)
      )
    )
  ),
"INVALID_DATE")</f>
        <v>45802</v>
      </c>
      <c r="AA519" s="2">
        <f>IFERROR(
  IF(ISNUMBER(C519),C519,
    IF(ISNUMBER(SEARCH("-",C519)*1),
      IF(LEN(LEFT(C519,FIND("-",C519)-1))=4,
        DATE(VALUE(LEFT(C519,4)),VALUE(MID(C519,6,2)),VALUE(RIGHT(C519,2))),
        DATE(VALUE(RIGHT(C519,4)),VALUE(MID(C519,4,2)),VALUE(LEFT(C519,2)))
      ),
      IF(ISNUMBER(SEARCH("/",C519)*1),
        DATE(VALUE(RIGHT(C519,4)),VALUE(LEFT(C519,2)),VALUE(MID(C519,4,2))),
        DATEVALUE(C519)
      )
    )
  ),
"INVALID_DATE")</f>
        <v>45804</v>
      </c>
      <c r="AB519">
        <f t="shared" si="51"/>
        <v>2</v>
      </c>
      <c r="AC519" t="str">
        <f t="shared" si="52"/>
        <v>May</v>
      </c>
      <c r="AD519">
        <f t="shared" si="53"/>
        <v>2025</v>
      </c>
    </row>
    <row r="520" spans="1:30">
      <c r="A520" t="s">
        <v>2518</v>
      </c>
      <c r="B520" t="s">
        <v>2400</v>
      </c>
      <c r="C520" t="s">
        <v>2519</v>
      </c>
      <c r="D520" t="s">
        <v>2520</v>
      </c>
      <c r="E520" t="s">
        <v>217</v>
      </c>
      <c r="F520" t="s">
        <v>115</v>
      </c>
      <c r="G520" t="s">
        <v>49</v>
      </c>
      <c r="H520" t="s">
        <v>50</v>
      </c>
      <c r="I520" t="s">
        <v>51</v>
      </c>
      <c r="J520" t="s">
        <v>52</v>
      </c>
      <c r="K520" t="s">
        <v>53</v>
      </c>
      <c r="L520" t="s">
        <v>2521</v>
      </c>
      <c r="M520" t="s">
        <v>63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41</v>
      </c>
      <c r="U520" t="s">
        <v>85</v>
      </c>
      <c r="V520">
        <f t="shared" si="48"/>
        <v>8421.6825000000008</v>
      </c>
      <c r="W520">
        <f t="shared" si="49"/>
        <v>1887.21</v>
      </c>
      <c r="X520">
        <f t="shared" si="50"/>
        <v>0.22408949283278395</v>
      </c>
      <c r="Y520" t="str">
        <f>_xlfn.TEXTJOIN(", ",TRUE,IF(G520="Unknown","Missing Region",""),IF(M520="Unknown","Missing Ship Mode",""),IF(P520&lt;0,"Negative Discount",""),IF(P520&gt;0.7,"High Discount",""),IF(C520&lt;B520,"Ship Before Order",""))</f>
        <v>Ship Before Order</v>
      </c>
      <c r="Z520" s="2">
        <f>IFERROR(
  IF(ISNUMBER(B520),B520,
    IF(ISNUMBER(SEARCH("-",B520)*1),
      IF(LEN(LEFT(B520,FIND("-",B520)-1))=4,
        DATE(VALUE(LEFT(B520,4)),VALUE(MID(B520,6,2)),VALUE(RIGHT(B520,2))),
        DATE(VALUE(RIGHT(B520,4)),VALUE(MID(B520,4,2)),VALUE(LEFT(B520,2)))
      ),
      IF(ISNUMBER(SEARCH("/",B520)*1),
        DATE(VALUE(RIGHT(B520,4)),VALUE(LEFT(B520,2)),VALUE(MID(B520,4,2))),
        DATEVALUE(B520)
      )
    )
  ),
"INVALID_DATE")</f>
        <v>45777</v>
      </c>
      <c r="AA520" s="2">
        <f>IFERROR(
  IF(ISNUMBER(C520),C520,
    IF(ISNUMBER(SEARCH("-",C520)*1),
      IF(LEN(LEFT(C520,FIND("-",C520)-1))=4,
        DATE(VALUE(LEFT(C520,4)),VALUE(MID(C520,6,2)),VALUE(RIGHT(C520,2))),
        DATE(VALUE(RIGHT(C520,4)),VALUE(MID(C520,4,2)),VALUE(LEFT(C520,2)))
      ),
      IF(ISNUMBER(SEARCH("/",C520)*1),
        DATE(VALUE(RIGHT(C520,4)),VALUE(LEFT(C520,2)),VALUE(MID(C520,4,2))),
        DATEVALUE(C520)
      )
    )
  ),
"INVALID_DATE")</f>
        <v>45773</v>
      </c>
      <c r="AB520">
        <f t="shared" si="51"/>
        <v>-4</v>
      </c>
      <c r="AC520" t="str">
        <f t="shared" si="52"/>
        <v>April</v>
      </c>
      <c r="AD520">
        <f t="shared" si="53"/>
        <v>2025</v>
      </c>
    </row>
    <row r="521" spans="1:30">
      <c r="A521" t="s">
        <v>2522</v>
      </c>
      <c r="B521" t="s">
        <v>388</v>
      </c>
      <c r="C521" t="s">
        <v>2523</v>
      </c>
      <c r="D521" t="s">
        <v>2524</v>
      </c>
      <c r="E521" t="s">
        <v>149</v>
      </c>
      <c r="F521" t="s">
        <v>33</v>
      </c>
      <c r="G521" t="s">
        <v>34</v>
      </c>
      <c r="H521" t="s">
        <v>181</v>
      </c>
      <c r="I521" t="s">
        <v>182</v>
      </c>
      <c r="J521" t="s">
        <v>52</v>
      </c>
      <c r="K521" t="s">
        <v>53</v>
      </c>
      <c r="L521" t="s">
        <v>2525</v>
      </c>
      <c r="M521" t="s">
        <v>74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144</v>
      </c>
      <c r="U521" t="s">
        <v>85</v>
      </c>
      <c r="V521">
        <f t="shared" si="48"/>
        <v>13968.672</v>
      </c>
      <c r="W521">
        <f t="shared" si="49"/>
        <v>5111.09</v>
      </c>
      <c r="X521">
        <f t="shared" si="50"/>
        <v>0.3658966816454251</v>
      </c>
      <c r="Y521" t="str">
        <f>_xlfn.TEXTJOIN(", ",TRUE,IF(G521="Unknown","Missing Region",""),IF(M521="Unknown","Missing Ship Mode",""),IF(P521&lt;0,"Negative Discount",""),IF(P521&gt;0.7,"High Discount",""),IF(C521&lt;B521,"Ship Before Order",""))</f>
        <v/>
      </c>
      <c r="Z521" s="2">
        <f>IFERROR(
  IF(ISNUMBER(B521),B521,
    IF(ISNUMBER(SEARCH("-",B521)*1),
      IF(LEN(LEFT(B521,FIND("-",B521)-1))=4,
        DATE(VALUE(LEFT(B521,4)),VALUE(MID(B521,6,2)),VALUE(RIGHT(B521,2))),
        DATE(VALUE(RIGHT(B521,4)),VALUE(MID(B521,4,2)),VALUE(LEFT(B521,2)))
      ),
      IF(ISNUMBER(SEARCH("/",B521)*1),
        DATE(VALUE(RIGHT(B521,4)),VALUE(LEFT(B521,2)),VALUE(MID(B521,4,2))),
        DATEVALUE(B521)
      )
    )
  ),
"INVALID_DATE")</f>
        <v>45841</v>
      </c>
      <c r="AA521" s="2">
        <f>IFERROR(
  IF(ISNUMBER(C521),C521,
    IF(ISNUMBER(SEARCH("-",C521)*1),
      IF(LEN(LEFT(C521,FIND("-",C521)-1))=4,
        DATE(VALUE(LEFT(C521,4)),VALUE(MID(C521,6,2)),VALUE(RIGHT(C521,2))),
        DATE(VALUE(RIGHT(C521,4)),VALUE(MID(C521,4,2)),VALUE(LEFT(C521,2)))
      ),
      IF(ISNUMBER(SEARCH("/",C521)*1),
        DATE(VALUE(RIGHT(C521,4)),VALUE(LEFT(C521,2)),VALUE(MID(C521,4,2))),
        DATEVALUE(C521)
      )
    )
  ),
"INVALID_DATE")</f>
        <v>45845</v>
      </c>
      <c r="AB521">
        <f t="shared" si="51"/>
        <v>4</v>
      </c>
      <c r="AC521" t="str">
        <f t="shared" si="52"/>
        <v>July</v>
      </c>
      <c r="AD521">
        <f t="shared" si="53"/>
        <v>2025</v>
      </c>
    </row>
    <row r="522" spans="1:30">
      <c r="A522" t="s">
        <v>2526</v>
      </c>
      <c r="B522" t="s">
        <v>1117</v>
      </c>
      <c r="C522" t="s">
        <v>2527</v>
      </c>
      <c r="D522" t="s">
        <v>2528</v>
      </c>
      <c r="E522" t="s">
        <v>169</v>
      </c>
      <c r="F522" t="s">
        <v>122</v>
      </c>
      <c r="G522" t="s">
        <v>69</v>
      </c>
      <c r="H522" t="s">
        <v>236</v>
      </c>
      <c r="I522" t="s">
        <v>237</v>
      </c>
      <c r="J522" t="s">
        <v>93</v>
      </c>
      <c r="K522" t="s">
        <v>390</v>
      </c>
      <c r="L522" t="s">
        <v>2529</v>
      </c>
      <c r="M522" t="s">
        <v>55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41</v>
      </c>
      <c r="U522" t="s">
        <v>42</v>
      </c>
      <c r="V522">
        <f t="shared" si="48"/>
        <v>1611.1144999999999</v>
      </c>
      <c r="W522">
        <f t="shared" si="49"/>
        <v>715.95999999999992</v>
      </c>
      <c r="X522">
        <f t="shared" si="50"/>
        <v>0.44438927199260142</v>
      </c>
      <c r="Y522" t="str">
        <f>_xlfn.TEXTJOIN(", ",TRUE,IF(G522="Unknown","Missing Region",""),IF(M522="Unknown","Missing Ship Mode",""),IF(P522&lt;0,"Negative Discount",""),IF(P522&gt;0.7,"High Discount",""),IF(C522&lt;B522,"Ship Before Order",""))</f>
        <v/>
      </c>
      <c r="Z522" s="2">
        <f>IFERROR(
  IF(ISNUMBER(B522),B522,
    IF(ISNUMBER(SEARCH("-",B522)*1),
      IF(LEN(LEFT(B522,FIND("-",B522)-1))=4,
        DATE(VALUE(LEFT(B522,4)),VALUE(MID(B522,6,2)),VALUE(RIGHT(B522,2))),
        DATE(VALUE(RIGHT(B522,4)),VALUE(MID(B522,4,2)),VALUE(LEFT(B522,2)))
      ),
      IF(ISNUMBER(SEARCH("/",B522)*1),
        DATE(VALUE(RIGHT(B522,4)),VALUE(LEFT(B522,2)),VALUE(MID(B522,4,2))),
        DATEVALUE(B522)
      )
    )
  ),
"INVALID_DATE")</f>
        <v>45489</v>
      </c>
      <c r="AA522" s="2">
        <f>IFERROR(
  IF(ISNUMBER(C522),C522,
    IF(ISNUMBER(SEARCH("-",C522)*1),
      IF(LEN(LEFT(C522,FIND("-",C522)-1))=4,
        DATE(VALUE(LEFT(C522,4)),VALUE(MID(C522,6,2)),VALUE(RIGHT(C522,2))),
        DATE(VALUE(RIGHT(C522,4)),VALUE(MID(C522,4,2)),VALUE(LEFT(C522,2)))
      ),
      IF(ISNUMBER(SEARCH("/",C522)*1),
        DATE(VALUE(RIGHT(C522,4)),VALUE(LEFT(C522,2)),VALUE(MID(C522,4,2))),
        DATEVALUE(C522)
      )
    )
  ),
"INVALID_DATE")</f>
        <v>45496</v>
      </c>
      <c r="AB522">
        <f t="shared" si="51"/>
        <v>7</v>
      </c>
      <c r="AC522" t="str">
        <f t="shared" si="52"/>
        <v>July</v>
      </c>
      <c r="AD522">
        <f t="shared" si="53"/>
        <v>2024</v>
      </c>
    </row>
    <row r="523" spans="1:30">
      <c r="A523" t="s">
        <v>2530</v>
      </c>
      <c r="B523" t="s">
        <v>2531</v>
      </c>
      <c r="C523" t="s">
        <v>2532</v>
      </c>
      <c r="D523" t="s">
        <v>2533</v>
      </c>
      <c r="E523" t="s">
        <v>217</v>
      </c>
      <c r="F523" t="s">
        <v>33</v>
      </c>
      <c r="G523" t="s">
        <v>34</v>
      </c>
      <c r="H523" t="s">
        <v>161</v>
      </c>
      <c r="I523" t="s">
        <v>162</v>
      </c>
      <c r="J523" t="s">
        <v>37</v>
      </c>
      <c r="K523" t="s">
        <v>116</v>
      </c>
      <c r="L523" t="s">
        <v>2534</v>
      </c>
      <c r="M523" t="s">
        <v>40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41</v>
      </c>
      <c r="U523" t="s">
        <v>42</v>
      </c>
      <c r="V523">
        <f t="shared" si="48"/>
        <v>12495.027</v>
      </c>
      <c r="W523">
        <f t="shared" si="49"/>
        <v>3310.51</v>
      </c>
      <c r="X523">
        <f t="shared" si="50"/>
        <v>0.26494614258629229</v>
      </c>
      <c r="Y523" t="str">
        <f>_xlfn.TEXTJOIN(", ",TRUE,IF(G523="Unknown","Missing Region",""),IF(M523="Unknown","Missing Ship Mode",""),IF(P523&lt;0,"Negative Discount",""),IF(P523&gt;0.7,"High Discount",""),IF(C523&lt;B523,"Ship Before Order",""))</f>
        <v/>
      </c>
      <c r="Z523" s="2">
        <f>IFERROR(
  IF(ISNUMBER(B523),B523,
    IF(ISNUMBER(SEARCH("-",B523)*1),
      IF(LEN(LEFT(B523,FIND("-",B523)-1))=4,
        DATE(VALUE(LEFT(B523,4)),VALUE(MID(B523,6,2)),VALUE(RIGHT(B523,2))),
        DATE(VALUE(RIGHT(B523,4)),VALUE(MID(B523,4,2)),VALUE(LEFT(B523,2)))
      ),
      IF(ISNUMBER(SEARCH("/",B523)*1),
        DATE(VALUE(RIGHT(B523,4)),VALUE(LEFT(B523,2)),VALUE(MID(B523,4,2))),
        DATEVALUE(B523)
      )
    )
  ),
"INVALID_DATE")</f>
        <v>45741</v>
      </c>
      <c r="AA523" s="2">
        <f>IFERROR(
  IF(ISNUMBER(C523),C523,
    IF(ISNUMBER(SEARCH("-",C523)*1),
      IF(LEN(LEFT(C523,FIND("-",C523)-1))=4,
        DATE(VALUE(LEFT(C523,4)),VALUE(MID(C523,6,2)),VALUE(RIGHT(C523,2))),
        DATE(VALUE(RIGHT(C523,4)),VALUE(MID(C523,4,2)),VALUE(LEFT(C523,2)))
      ),
      IF(ISNUMBER(SEARCH("/",C523)*1),
        DATE(VALUE(RIGHT(C523,4)),VALUE(LEFT(C523,2)),VALUE(MID(C523,4,2))),
        DATEVALUE(C523)
      )
    )
  ),
"INVALID_DATE")</f>
        <v>45748</v>
      </c>
      <c r="AB523">
        <f t="shared" si="51"/>
        <v>7</v>
      </c>
      <c r="AC523" t="str">
        <f t="shared" si="52"/>
        <v>March</v>
      </c>
      <c r="AD523">
        <f t="shared" si="53"/>
        <v>2025</v>
      </c>
    </row>
    <row r="524" spans="1:30">
      <c r="A524" t="s">
        <v>2535</v>
      </c>
      <c r="B524" t="s">
        <v>2536</v>
      </c>
      <c r="C524" t="s">
        <v>2332</v>
      </c>
      <c r="D524" t="s">
        <v>2537</v>
      </c>
      <c r="E524" t="s">
        <v>100</v>
      </c>
      <c r="F524" t="s">
        <v>48</v>
      </c>
      <c r="G524" t="s">
        <v>49</v>
      </c>
      <c r="H524" t="s">
        <v>319</v>
      </c>
      <c r="I524" t="s">
        <v>320</v>
      </c>
      <c r="J524" t="s">
        <v>93</v>
      </c>
      <c r="K524" t="s">
        <v>230</v>
      </c>
      <c r="L524" t="s">
        <v>2538</v>
      </c>
      <c r="M524" t="s">
        <v>63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41</v>
      </c>
      <c r="U524" t="s">
        <v>42</v>
      </c>
      <c r="V524">
        <f t="shared" si="48"/>
        <v>33034.86</v>
      </c>
      <c r="W524">
        <f t="shared" si="49"/>
        <v>8495.0299999999988</v>
      </c>
      <c r="X524">
        <f t="shared" si="50"/>
        <v>0.25715350390466313</v>
      </c>
      <c r="Y524" t="str">
        <f>_xlfn.TEXTJOIN(", ",TRUE,IF(G524="Unknown","Missing Region",""),IF(M524="Unknown","Missing Ship Mode",""),IF(P524&lt;0,"Negative Discount",""),IF(P524&gt;0.7,"High Discount",""),IF(C524&lt;B524,"Ship Before Order",""))</f>
        <v/>
      </c>
      <c r="Z524" s="2">
        <f>IFERROR(
  IF(ISNUMBER(B524),B524,
    IF(ISNUMBER(SEARCH("-",B524)*1),
      IF(LEN(LEFT(B524,FIND("-",B524)-1))=4,
        DATE(VALUE(LEFT(B524,4)),VALUE(MID(B524,6,2)),VALUE(RIGHT(B524,2))),
        DATE(VALUE(RIGHT(B524,4)),VALUE(MID(B524,4,2)),VALUE(LEFT(B524,2)))
      ),
      IF(ISNUMBER(SEARCH("/",B524)*1),
        DATE(VALUE(RIGHT(B524,4)),VALUE(LEFT(B524,2)),VALUE(MID(B524,4,2))),
        DATEVALUE(B524)
      )
    )
  ),
"INVALID_DATE")</f>
        <v>45716</v>
      </c>
      <c r="AA524" s="2">
        <f>IFERROR(
  IF(ISNUMBER(C524),C524,
    IF(ISNUMBER(SEARCH("-",C524)*1),
      IF(LEN(LEFT(C524,FIND("-",C524)-1))=4,
        DATE(VALUE(LEFT(C524,4)),VALUE(MID(C524,6,2)),VALUE(RIGHT(C524,2))),
        DATE(VALUE(RIGHT(C524,4)),VALUE(MID(C524,4,2)),VALUE(LEFT(C524,2)))
      ),
      IF(ISNUMBER(SEARCH("/",C524)*1),
        DATE(VALUE(RIGHT(C524,4)),VALUE(LEFT(C524,2)),VALUE(MID(C524,4,2))),
        DATEVALUE(C524)
      )
    )
  ),
"INVALID_DATE")</f>
        <v>45724</v>
      </c>
      <c r="AB524">
        <f t="shared" si="51"/>
        <v>8</v>
      </c>
      <c r="AC524" t="str">
        <f t="shared" si="52"/>
        <v>February</v>
      </c>
      <c r="AD524">
        <f t="shared" si="53"/>
        <v>2025</v>
      </c>
    </row>
    <row r="525" spans="1:30">
      <c r="A525" t="s">
        <v>2539</v>
      </c>
      <c r="B525" t="s">
        <v>2540</v>
      </c>
      <c r="C525" t="s">
        <v>2541</v>
      </c>
      <c r="D525" t="s">
        <v>2542</v>
      </c>
      <c r="E525" t="s">
        <v>374</v>
      </c>
      <c r="F525" t="s">
        <v>122</v>
      </c>
      <c r="G525" t="s">
        <v>80</v>
      </c>
      <c r="H525" t="s">
        <v>256</v>
      </c>
      <c r="I525" t="s">
        <v>257</v>
      </c>
      <c r="J525" t="s">
        <v>37</v>
      </c>
      <c r="K525" t="s">
        <v>38</v>
      </c>
      <c r="L525" t="s">
        <v>2543</v>
      </c>
      <c r="M525" t="s">
        <v>40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41</v>
      </c>
      <c r="U525" t="s">
        <v>132</v>
      </c>
      <c r="V525">
        <f t="shared" si="48"/>
        <v>5805.26</v>
      </c>
      <c r="W525">
        <f t="shared" si="49"/>
        <v>1150.9000000000005</v>
      </c>
      <c r="X525">
        <f t="shared" si="50"/>
        <v>0.19825124111581566</v>
      </c>
      <c r="Y525" t="str">
        <f>_xlfn.TEXTJOIN(", ",TRUE,IF(G525="Unknown","Missing Region",""),IF(M525="Unknown","Missing Ship Mode",""),IF(P525&lt;0,"Negative Discount",""),IF(P525&gt;0.7,"High Discount",""),IF(C525&lt;B525,"Ship Before Order",""))</f>
        <v/>
      </c>
      <c r="Z525" s="2">
        <f>IFERROR(
  IF(ISNUMBER(B525),B525,
    IF(ISNUMBER(SEARCH("-",B525)*1),
      IF(LEN(LEFT(B525,FIND("-",B525)-1))=4,
        DATE(VALUE(LEFT(B525,4)),VALUE(MID(B525,6,2)),VALUE(RIGHT(B525,2))),
        DATE(VALUE(RIGHT(B525,4)),VALUE(MID(B525,4,2)),VALUE(LEFT(B525,2)))
      ),
      IF(ISNUMBER(SEARCH("/",B525)*1),
        DATE(VALUE(RIGHT(B525,4)),VALUE(LEFT(B525,2)),VALUE(MID(B525,4,2))),
        DATEVALUE(B525)
      )
    )
  ),
"INVALID_DATE")</f>
        <v>45384</v>
      </c>
      <c r="AA525" s="2">
        <f>IFERROR(
  IF(ISNUMBER(C525),C525,
    IF(ISNUMBER(SEARCH("-",C525)*1),
      IF(LEN(LEFT(C525,FIND("-",C525)-1))=4,
        DATE(VALUE(LEFT(C525,4)),VALUE(MID(C525,6,2)),VALUE(RIGHT(C525,2))),
        DATE(VALUE(RIGHT(C525,4)),VALUE(MID(C525,4,2)),VALUE(LEFT(C525,2)))
      ),
      IF(ISNUMBER(SEARCH("/",C525)*1),
        DATE(VALUE(RIGHT(C525,4)),VALUE(LEFT(C525,2)),VALUE(MID(C525,4,2))),
        DATEVALUE(C525)
      )
    )
  ),
"INVALID_DATE")</f>
        <v>45385</v>
      </c>
      <c r="AB525">
        <f t="shared" si="51"/>
        <v>1</v>
      </c>
      <c r="AC525" t="str">
        <f t="shared" si="52"/>
        <v>April</v>
      </c>
      <c r="AD525">
        <f t="shared" si="53"/>
        <v>2024</v>
      </c>
    </row>
    <row r="526" spans="1:30">
      <c r="A526" t="s">
        <v>2544</v>
      </c>
      <c r="B526" t="s">
        <v>2545</v>
      </c>
      <c r="C526" t="s">
        <v>2546</v>
      </c>
      <c r="D526" t="s">
        <v>2547</v>
      </c>
      <c r="E526" t="s">
        <v>79</v>
      </c>
      <c r="F526" t="s">
        <v>115</v>
      </c>
      <c r="G526" t="s">
        <v>80</v>
      </c>
      <c r="H526" t="s">
        <v>242</v>
      </c>
      <c r="I526" t="s">
        <v>243</v>
      </c>
      <c r="J526" t="s">
        <v>52</v>
      </c>
      <c r="K526" t="s">
        <v>83</v>
      </c>
      <c r="L526" t="s">
        <v>2548</v>
      </c>
      <c r="M526" t="s">
        <v>63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41</v>
      </c>
      <c r="U526" t="s">
        <v>42</v>
      </c>
      <c r="V526">
        <f t="shared" si="48"/>
        <v>34079.615999999995</v>
      </c>
      <c r="W526">
        <f t="shared" si="49"/>
        <v>12208.230000000003</v>
      </c>
      <c r="X526">
        <f t="shared" si="50"/>
        <v>0.35822670557946357</v>
      </c>
      <c r="Y526" t="str">
        <f>_xlfn.TEXTJOIN(", ",TRUE,IF(G526="Unknown","Missing Region",""),IF(M526="Unknown","Missing Ship Mode",""),IF(P526&lt;0,"Negative Discount",""),IF(P526&gt;0.7,"High Discount",""),IF(C526&lt;B526,"Ship Before Order",""))</f>
        <v>Ship Before Order</v>
      </c>
      <c r="Z526" s="2">
        <f>IFERROR(
  IF(ISNUMBER(B526),B526,
    IF(ISNUMBER(SEARCH("-",B526)*1),
      IF(LEN(LEFT(B526,FIND("-",B526)-1))=4,
        DATE(VALUE(LEFT(B526,4)),VALUE(MID(B526,6,2)),VALUE(RIGHT(B526,2))),
        DATE(VALUE(RIGHT(B526,4)),VALUE(MID(B526,4,2)),VALUE(LEFT(B526,2)))
      ),
      IF(ISNUMBER(SEARCH("/",B526)*1),
        DATE(VALUE(RIGHT(B526,4)),VALUE(LEFT(B526,2)),VALUE(MID(B526,4,2))),
        DATEVALUE(B526)
      )
    )
  ),
"INVALID_DATE")</f>
        <v>45626</v>
      </c>
      <c r="AA526" s="2">
        <f>IFERROR(
  IF(ISNUMBER(C526),C526,
    IF(ISNUMBER(SEARCH("-",C526)*1),
      IF(LEN(LEFT(C526,FIND("-",C526)-1))=4,
        DATE(VALUE(LEFT(C526,4)),VALUE(MID(C526,6,2)),VALUE(RIGHT(C526,2))),
        DATE(VALUE(RIGHT(C526,4)),VALUE(MID(C526,4,2)),VALUE(LEFT(C526,2)))
      ),
      IF(ISNUMBER(SEARCH("/",C526)*1),
        DATE(VALUE(RIGHT(C526,4)),VALUE(LEFT(C526,2)),VALUE(MID(C526,4,2))),
        DATEVALUE(C526)
      )
    )
  ),
"INVALID_DATE")</f>
        <v>45627</v>
      </c>
      <c r="AB526">
        <f t="shared" si="51"/>
        <v>1</v>
      </c>
      <c r="AC526" t="str">
        <f t="shared" si="52"/>
        <v>November</v>
      </c>
      <c r="AD526">
        <f t="shared" si="53"/>
        <v>2024</v>
      </c>
    </row>
    <row r="527" spans="1:30">
      <c r="A527" t="s">
        <v>2549</v>
      </c>
      <c r="B527" t="s">
        <v>2550</v>
      </c>
      <c r="C527" t="s">
        <v>2551</v>
      </c>
      <c r="D527" t="s">
        <v>2552</v>
      </c>
      <c r="E527" t="s">
        <v>149</v>
      </c>
      <c r="F527" t="s">
        <v>122</v>
      </c>
      <c r="G527" t="s">
        <v>49</v>
      </c>
      <c r="H527" t="s">
        <v>128</v>
      </c>
      <c r="I527" t="s">
        <v>129</v>
      </c>
      <c r="J527" t="s">
        <v>52</v>
      </c>
      <c r="K527" t="s">
        <v>83</v>
      </c>
      <c r="L527" t="s">
        <v>2553</v>
      </c>
      <c r="M527" t="s">
        <v>74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41</v>
      </c>
      <c r="U527" t="s">
        <v>42</v>
      </c>
      <c r="V527">
        <f t="shared" si="48"/>
        <v>11359.8</v>
      </c>
      <c r="W527">
        <f t="shared" si="49"/>
        <v>4297.3599999999997</v>
      </c>
      <c r="X527">
        <f t="shared" si="50"/>
        <v>0.37829539252451627</v>
      </c>
      <c r="Y527" t="str">
        <f>_xlfn.TEXTJOIN(", ",TRUE,IF(G527="Unknown","Missing Region",""),IF(M527="Unknown","Missing Ship Mode",""),IF(P527&lt;0,"Negative Discount",""),IF(P527&gt;0.7,"High Discount",""),IF(C527&lt;B527,"Ship Before Order",""))</f>
        <v/>
      </c>
      <c r="Z527" s="2">
        <f>IFERROR(
  IF(ISNUMBER(B527),B527,
    IF(ISNUMBER(SEARCH("-",B527)*1),
      IF(LEN(LEFT(B527,FIND("-",B527)-1))=4,
        DATE(VALUE(LEFT(B527,4)),VALUE(MID(B527,6,2)),VALUE(RIGHT(B527,2))),
        DATE(VALUE(RIGHT(B527,4)),VALUE(MID(B527,4,2)),VALUE(LEFT(B527,2)))
      ),
      IF(ISNUMBER(SEARCH("/",B527)*1),
        DATE(VALUE(RIGHT(B527,4)),VALUE(LEFT(B527,2)),VALUE(MID(B527,4,2))),
        DATEVALUE(B527)
      )
    )
  ),
"INVALID_DATE")</f>
        <v>45582</v>
      </c>
      <c r="AA527" s="2">
        <f>IFERROR(
  IF(ISNUMBER(C527),C527,
    IF(ISNUMBER(SEARCH("-",C527)*1),
      IF(LEN(LEFT(C527,FIND("-",C527)-1))=4,
        DATE(VALUE(LEFT(C527,4)),VALUE(MID(C527,6,2)),VALUE(RIGHT(C527,2))),
        DATE(VALUE(RIGHT(C527,4)),VALUE(MID(C527,4,2)),VALUE(LEFT(C527,2)))
      ),
      IF(ISNUMBER(SEARCH("/",C527)*1),
        DATE(VALUE(RIGHT(C527,4)),VALUE(LEFT(C527,2)),VALUE(MID(C527,4,2))),
        DATEVALUE(C527)
      )
    )
  ),
"INVALID_DATE")</f>
        <v>45582</v>
      </c>
      <c r="AB527">
        <f t="shared" si="51"/>
        <v>0</v>
      </c>
      <c r="AC527" t="str">
        <f t="shared" si="52"/>
        <v>October</v>
      </c>
      <c r="AD527">
        <f t="shared" si="53"/>
        <v>2024</v>
      </c>
    </row>
    <row r="528" spans="1:30">
      <c r="A528" t="s">
        <v>2554</v>
      </c>
      <c r="B528" t="s">
        <v>2555</v>
      </c>
      <c r="C528" t="s">
        <v>2556</v>
      </c>
      <c r="D528" t="s">
        <v>2557</v>
      </c>
      <c r="E528" t="s">
        <v>149</v>
      </c>
      <c r="F528" t="s">
        <v>33</v>
      </c>
      <c r="G528" t="s">
        <v>49</v>
      </c>
      <c r="H528" t="s">
        <v>50</v>
      </c>
      <c r="I528" t="s">
        <v>51</v>
      </c>
      <c r="J528" t="s">
        <v>52</v>
      </c>
      <c r="K528" t="s">
        <v>53</v>
      </c>
      <c r="L528" t="s">
        <v>2558</v>
      </c>
      <c r="M528" t="s">
        <v>40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41</v>
      </c>
      <c r="U528" t="s">
        <v>42</v>
      </c>
      <c r="V528">
        <f t="shared" si="48"/>
        <v>1136.1600000000001</v>
      </c>
      <c r="W528">
        <f t="shared" si="49"/>
        <v>336.84999999999991</v>
      </c>
      <c r="X528">
        <f t="shared" si="50"/>
        <v>0.37060059630554615</v>
      </c>
      <c r="Y528" t="str">
        <f>_xlfn.TEXTJOIN(", ",TRUE,IF(G528="Unknown","Missing Region",""),IF(M528="Unknown","Missing Ship Mode",""),IF(P528&lt;0,"Negative Discount",""),IF(P528&gt;0.7,"High Discount",""),IF(C528&lt;B528,"Ship Before Order",""))</f>
        <v/>
      </c>
      <c r="Z528" s="2">
        <f>IFERROR(
  IF(ISNUMBER(B528),B528,
    IF(ISNUMBER(SEARCH("-",B528)*1),
      IF(LEN(LEFT(B528,FIND("-",B528)-1))=4,
        DATE(VALUE(LEFT(B528,4)),VALUE(MID(B528,6,2)),VALUE(RIGHT(B528,2))),
        DATE(VALUE(RIGHT(B528,4)),VALUE(MID(B528,4,2)),VALUE(LEFT(B528,2)))
      ),
      IF(ISNUMBER(SEARCH("/",B528)*1),
        DATE(VALUE(RIGHT(B528,4)),VALUE(LEFT(B528,2)),VALUE(MID(B528,4,2))),
        DATEVALUE(B528)
      )
    )
  ),
"INVALID_DATE")</f>
        <v>45856</v>
      </c>
      <c r="AA528" s="2">
        <f>IFERROR(
  IF(ISNUMBER(C528),C528,
    IF(ISNUMBER(SEARCH("-",C528)*1),
      IF(LEN(LEFT(C528,FIND("-",C528)-1))=4,
        DATE(VALUE(LEFT(C528,4)),VALUE(MID(C528,6,2)),VALUE(RIGHT(C528,2))),
        DATE(VALUE(RIGHT(C528,4)),VALUE(MID(C528,4,2)),VALUE(LEFT(C528,2)))
      ),
      IF(ISNUMBER(SEARCH("/",C528)*1),
        DATE(VALUE(RIGHT(C528,4)),VALUE(LEFT(C528,2)),VALUE(MID(C528,4,2))),
        DATEVALUE(C528)
      )
    )
  ),
"INVALID_DATE")</f>
        <v>45859</v>
      </c>
      <c r="AB528">
        <f t="shared" si="51"/>
        <v>3</v>
      </c>
      <c r="AC528" t="str">
        <f t="shared" si="52"/>
        <v>July</v>
      </c>
      <c r="AD528">
        <f t="shared" si="53"/>
        <v>2025</v>
      </c>
    </row>
    <row r="529" spans="1:30">
      <c r="A529" t="s">
        <v>2559</v>
      </c>
      <c r="B529" t="s">
        <v>2560</v>
      </c>
      <c r="C529" t="s">
        <v>2561</v>
      </c>
      <c r="D529" t="s">
        <v>2562</v>
      </c>
      <c r="E529" t="s">
        <v>114</v>
      </c>
      <c r="F529" t="s">
        <v>122</v>
      </c>
      <c r="G529" t="s">
        <v>34</v>
      </c>
      <c r="H529" t="s">
        <v>331</v>
      </c>
      <c r="I529" t="s">
        <v>332</v>
      </c>
      <c r="J529" t="s">
        <v>37</v>
      </c>
      <c r="K529" t="s">
        <v>38</v>
      </c>
      <c r="L529" t="s">
        <v>2563</v>
      </c>
      <c r="M529" t="s">
        <v>63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41</v>
      </c>
      <c r="U529" t="s">
        <v>42</v>
      </c>
      <c r="V529">
        <f t="shared" si="48"/>
        <v>13802.13</v>
      </c>
      <c r="W529">
        <f t="shared" si="49"/>
        <v>3726.1999999999989</v>
      </c>
      <c r="X529">
        <f t="shared" si="50"/>
        <v>0.26997282303528514</v>
      </c>
      <c r="Y529" t="str">
        <f>_xlfn.TEXTJOIN(", ",TRUE,IF(G529="Unknown","Missing Region",""),IF(M529="Unknown","Missing Ship Mode",""),IF(P529&lt;0,"Negative Discount",""),IF(P529&gt;0.7,"High Discount",""),IF(C529&lt;B529,"Ship Before Order",""))</f>
        <v/>
      </c>
      <c r="Z529" s="2">
        <f>IFERROR(
  IF(ISNUMBER(B529),B529,
    IF(ISNUMBER(SEARCH("-",B529)*1),
      IF(LEN(LEFT(B529,FIND("-",B529)-1))=4,
        DATE(VALUE(LEFT(B529,4)),VALUE(MID(B529,6,2)),VALUE(RIGHT(B529,2))),
        DATE(VALUE(RIGHT(B529,4)),VALUE(MID(B529,4,2)),VALUE(LEFT(B529,2)))
      ),
      IF(ISNUMBER(SEARCH("/",B529)*1),
        DATE(VALUE(RIGHT(B529,4)),VALUE(LEFT(B529,2)),VALUE(MID(B529,4,2))),
        DATEVALUE(B529)
      )
    )
  ),
"INVALID_DATE")</f>
        <v>45931</v>
      </c>
      <c r="AA529" s="2">
        <f>IFERROR(
  IF(ISNUMBER(C529),C529,
    IF(ISNUMBER(SEARCH("-",C529)*1),
      IF(LEN(LEFT(C529,FIND("-",C529)-1))=4,
        DATE(VALUE(LEFT(C529,4)),VALUE(MID(C529,6,2)),VALUE(RIGHT(C529,2))),
        DATE(VALUE(RIGHT(C529,4)),VALUE(MID(C529,4,2)),VALUE(LEFT(C529,2)))
      ),
      IF(ISNUMBER(SEARCH("/",C529)*1),
        DATE(VALUE(RIGHT(C529,4)),VALUE(LEFT(C529,2)),VALUE(MID(C529,4,2))),
        DATEVALUE(C529)
      )
    )
  ),
"INVALID_DATE")</f>
        <v>45935</v>
      </c>
      <c r="AB529">
        <f t="shared" si="51"/>
        <v>4</v>
      </c>
      <c r="AC529" t="str">
        <f t="shared" si="52"/>
        <v>October</v>
      </c>
      <c r="AD529">
        <f t="shared" si="53"/>
        <v>2025</v>
      </c>
    </row>
    <row r="530" spans="1:30">
      <c r="A530" t="s">
        <v>2564</v>
      </c>
      <c r="B530" t="s">
        <v>2565</v>
      </c>
      <c r="C530" t="s">
        <v>2566</v>
      </c>
      <c r="D530" t="s">
        <v>2567</v>
      </c>
      <c r="E530" t="s">
        <v>217</v>
      </c>
      <c r="F530" t="s">
        <v>33</v>
      </c>
      <c r="G530" t="s">
        <v>69</v>
      </c>
      <c r="H530" t="s">
        <v>347</v>
      </c>
      <c r="I530" t="s">
        <v>348</v>
      </c>
      <c r="J530" t="s">
        <v>37</v>
      </c>
      <c r="K530" t="s">
        <v>205</v>
      </c>
      <c r="L530" t="s">
        <v>2568</v>
      </c>
      <c r="M530" t="s">
        <v>74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144</v>
      </c>
      <c r="U530" t="s">
        <v>132</v>
      </c>
      <c r="V530">
        <f t="shared" si="48"/>
        <v>29558.119499999997</v>
      </c>
      <c r="W530">
        <f t="shared" si="49"/>
        <v>8255.989999999998</v>
      </c>
      <c r="X530">
        <f t="shared" si="50"/>
        <v>0.27931377232381494</v>
      </c>
      <c r="Y530" t="str">
        <f>_xlfn.TEXTJOIN(", ",TRUE,IF(G530="Unknown","Missing Region",""),IF(M530="Unknown","Missing Ship Mode",""),IF(P530&lt;0,"Negative Discount",""),IF(P530&gt;0.7,"High Discount",""),IF(C530&lt;B530,"Ship Before Order",""))</f>
        <v>Ship Before Order</v>
      </c>
      <c r="Z530" s="2">
        <f>IFERROR(
  IF(ISNUMBER(B530),B530,
    IF(ISNUMBER(SEARCH("-",B530)*1),
      IF(LEN(LEFT(B530,FIND("-",B530)-1))=4,
        DATE(VALUE(LEFT(B530,4)),VALUE(MID(B530,6,2)),VALUE(RIGHT(B530,2))),
        DATE(VALUE(RIGHT(B530,4)),VALUE(MID(B530,4,2)),VALUE(LEFT(B530,2)))
      ),
      IF(ISNUMBER(SEARCH("/",B530)*1),
        DATE(VALUE(RIGHT(B530,4)),VALUE(LEFT(B530,2)),VALUE(MID(B530,4,2))),
        DATEVALUE(B530)
      )
    )
  ),
"INVALID_DATE")</f>
        <v>45572</v>
      </c>
      <c r="AA530" s="2">
        <f>IFERROR(
  IF(ISNUMBER(C530),C530,
    IF(ISNUMBER(SEARCH("-",C530)*1),
      IF(LEN(LEFT(C530,FIND("-",C530)-1))=4,
        DATE(VALUE(LEFT(C530,4)),VALUE(MID(C530,6,2)),VALUE(RIGHT(C530,2))),
        DATE(VALUE(RIGHT(C530,4)),VALUE(MID(C530,4,2)),VALUE(LEFT(C530,2)))
      ),
      IF(ISNUMBER(SEARCH("/",C530)*1),
        DATE(VALUE(RIGHT(C530,4)),VALUE(LEFT(C530,2)),VALUE(MID(C530,4,2))),
        DATEVALUE(C530)
      )
    )
  ),
"INVALID_DATE")</f>
        <v>45574</v>
      </c>
      <c r="AB530">
        <f t="shared" si="51"/>
        <v>2</v>
      </c>
      <c r="AC530" t="str">
        <f t="shared" si="52"/>
        <v>October</v>
      </c>
      <c r="AD530">
        <f t="shared" si="53"/>
        <v>2024</v>
      </c>
    </row>
    <row r="531" spans="1:30">
      <c r="A531" t="s">
        <v>2569</v>
      </c>
      <c r="B531" t="s">
        <v>2288</v>
      </c>
      <c r="C531" t="s">
        <v>2570</v>
      </c>
      <c r="D531" t="s">
        <v>1118</v>
      </c>
      <c r="E531" t="s">
        <v>32</v>
      </c>
      <c r="F531" t="s">
        <v>33</v>
      </c>
      <c r="G531" t="s">
        <v>49</v>
      </c>
      <c r="H531" t="s">
        <v>319</v>
      </c>
      <c r="I531" t="s">
        <v>320</v>
      </c>
      <c r="J531" t="s">
        <v>52</v>
      </c>
      <c r="K531" t="s">
        <v>211</v>
      </c>
      <c r="L531" t="s">
        <v>2571</v>
      </c>
      <c r="M531" t="s">
        <v>40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41</v>
      </c>
      <c r="U531" t="s">
        <v>42</v>
      </c>
      <c r="V531">
        <f t="shared" si="48"/>
        <v>16400.25</v>
      </c>
      <c r="W531">
        <f t="shared" si="49"/>
        <v>4253.2900000000009</v>
      </c>
      <c r="X531">
        <f t="shared" si="50"/>
        <v>0.25934299782015519</v>
      </c>
      <c r="Y531" t="str">
        <f>_xlfn.TEXTJOIN(", ",TRUE,IF(G531="Unknown","Missing Region",""),IF(M531="Unknown","Missing Ship Mode",""),IF(P531&lt;0,"Negative Discount",""),IF(P531&gt;0.7,"High Discount",""),IF(C531&lt;B531,"Ship Before Order",""))</f>
        <v/>
      </c>
      <c r="Z531" s="2">
        <f>IFERROR(
  IF(ISNUMBER(B531),B531,
    IF(ISNUMBER(SEARCH("-",B531)*1),
      IF(LEN(LEFT(B531,FIND("-",B531)-1))=4,
        DATE(VALUE(LEFT(B531,4)),VALUE(MID(B531,6,2)),VALUE(RIGHT(B531,2))),
        DATE(VALUE(RIGHT(B531,4)),VALUE(MID(B531,4,2)),VALUE(LEFT(B531,2)))
      ),
      IF(ISNUMBER(SEARCH("/",B531)*1),
        DATE(VALUE(RIGHT(B531,4)),VALUE(LEFT(B531,2)),VALUE(MID(B531,4,2))),
        DATEVALUE(B531)
      )
    )
  ),
"INVALID_DATE")</f>
        <v>45328</v>
      </c>
      <c r="AA531" s="2">
        <f>IFERROR(
  IF(ISNUMBER(C531),C531,
    IF(ISNUMBER(SEARCH("-",C531)*1),
      IF(LEN(LEFT(C531,FIND("-",C531)-1))=4,
        DATE(VALUE(LEFT(C531,4)),VALUE(MID(C531,6,2)),VALUE(RIGHT(C531,2))),
        DATE(VALUE(RIGHT(C531,4)),VALUE(MID(C531,4,2)),VALUE(LEFT(C531,2)))
      ),
      IF(ISNUMBER(SEARCH("/",C531)*1),
        DATE(VALUE(RIGHT(C531,4)),VALUE(LEFT(C531,2)),VALUE(MID(C531,4,2))),
        DATEVALUE(C531)
      )
    )
  ),
"INVALID_DATE")</f>
        <v>45330</v>
      </c>
      <c r="AB531">
        <f t="shared" si="51"/>
        <v>2</v>
      </c>
      <c r="AC531" t="str">
        <f t="shared" si="52"/>
        <v>February</v>
      </c>
      <c r="AD531">
        <f t="shared" si="53"/>
        <v>2024</v>
      </c>
    </row>
    <row r="532" spans="1:30">
      <c r="A532" t="s">
        <v>2572</v>
      </c>
      <c r="B532" t="s">
        <v>2573</v>
      </c>
      <c r="C532" t="s">
        <v>2574</v>
      </c>
      <c r="D532" t="s">
        <v>2575</v>
      </c>
      <c r="E532" t="s">
        <v>155</v>
      </c>
      <c r="F532" t="s">
        <v>122</v>
      </c>
      <c r="G532" t="s">
        <v>69</v>
      </c>
      <c r="H532" t="s">
        <v>347</v>
      </c>
      <c r="I532" t="s">
        <v>348</v>
      </c>
      <c r="J532" t="s">
        <v>37</v>
      </c>
      <c r="K532" t="s">
        <v>205</v>
      </c>
      <c r="L532" t="s">
        <v>2576</v>
      </c>
      <c r="M532" t="s">
        <v>74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41</v>
      </c>
      <c r="U532" t="s">
        <v>42</v>
      </c>
      <c r="V532">
        <f t="shared" si="48"/>
        <v>17053.0605</v>
      </c>
      <c r="W532">
        <f t="shared" si="49"/>
        <v>6310.6800000000021</v>
      </c>
      <c r="X532">
        <f t="shared" si="50"/>
        <v>0.37006144351805481</v>
      </c>
      <c r="Y532" t="str">
        <f>_xlfn.TEXTJOIN(", ",TRUE,IF(G532="Unknown","Missing Region",""),IF(M532="Unknown","Missing Ship Mode",""),IF(P532&lt;0,"Negative Discount",""),IF(P532&gt;0.7,"High Discount",""),IF(C532&lt;B532,"Ship Before Order",""))</f>
        <v/>
      </c>
      <c r="Z532" s="2">
        <f>IFERROR(
  IF(ISNUMBER(B532),B532,
    IF(ISNUMBER(SEARCH("-",B532)*1),
      IF(LEN(LEFT(B532,FIND("-",B532)-1))=4,
        DATE(VALUE(LEFT(B532,4)),VALUE(MID(B532,6,2)),VALUE(RIGHT(B532,2))),
        DATE(VALUE(RIGHT(B532,4)),VALUE(MID(B532,4,2)),VALUE(LEFT(B532,2)))
      ),
      IF(ISNUMBER(SEARCH("/",B532)*1),
        DATE(VALUE(RIGHT(B532,4)),VALUE(LEFT(B532,2)),VALUE(MID(B532,4,2))),
        DATEVALUE(B532)
      )
    )
  ),
"INVALID_DATE")</f>
        <v>45807</v>
      </c>
      <c r="AA532" s="2">
        <f>IFERROR(
  IF(ISNUMBER(C532),C532,
    IF(ISNUMBER(SEARCH("-",C532)*1),
      IF(LEN(LEFT(C532,FIND("-",C532)-1))=4,
        DATE(VALUE(LEFT(C532,4)),VALUE(MID(C532,6,2)),VALUE(RIGHT(C532,2))),
        DATE(VALUE(RIGHT(C532,4)),VALUE(MID(C532,4,2)),VALUE(LEFT(C532,2)))
      ),
      IF(ISNUMBER(SEARCH("/",C532)*1),
        DATE(VALUE(RIGHT(C532,4)),VALUE(LEFT(C532,2)),VALUE(MID(C532,4,2))),
        DATEVALUE(C532)
      )
    )
  ),
"INVALID_DATE")</f>
        <v>45809</v>
      </c>
      <c r="AB532">
        <f t="shared" si="51"/>
        <v>2</v>
      </c>
      <c r="AC532" t="str">
        <f t="shared" si="52"/>
        <v>May</v>
      </c>
      <c r="AD532">
        <f t="shared" si="53"/>
        <v>2025</v>
      </c>
    </row>
    <row r="533" spans="1:30">
      <c r="A533" t="s">
        <v>2577</v>
      </c>
      <c r="B533" t="s">
        <v>1307</v>
      </c>
      <c r="C533" t="s">
        <v>2578</v>
      </c>
      <c r="D533" t="s">
        <v>2579</v>
      </c>
      <c r="E533" t="s">
        <v>217</v>
      </c>
      <c r="F533" t="s">
        <v>48</v>
      </c>
      <c r="G533" t="s">
        <v>80</v>
      </c>
      <c r="H533" t="s">
        <v>81</v>
      </c>
      <c r="I533" t="s">
        <v>82</v>
      </c>
      <c r="J533" t="s">
        <v>37</v>
      </c>
      <c r="K533" t="s">
        <v>163</v>
      </c>
      <c r="L533" t="s">
        <v>2580</v>
      </c>
      <c r="M533" t="s">
        <v>279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41</v>
      </c>
      <c r="U533" t="s">
        <v>42</v>
      </c>
      <c r="V533">
        <f t="shared" si="48"/>
        <v>398.67300000000006</v>
      </c>
      <c r="W533">
        <f t="shared" si="49"/>
        <v>87.009999999999991</v>
      </c>
      <c r="X533">
        <f t="shared" si="50"/>
        <v>0.21825068352271301</v>
      </c>
      <c r="Y533" t="str">
        <f>_xlfn.TEXTJOIN(", ",TRUE,IF(G533="Unknown","Missing Region",""),IF(M533="Unknown","Missing Ship Mode",""),IF(P533&lt;0,"Negative Discount",""),IF(P533&gt;0.7,"High Discount",""),IF(C533&lt;B533,"Ship Before Order",""))</f>
        <v>Missing Ship Mode</v>
      </c>
      <c r="Z533" s="2">
        <f>IFERROR(
  IF(ISNUMBER(B533),B533,
    IF(ISNUMBER(SEARCH("-",B533)*1),
      IF(LEN(LEFT(B533,FIND("-",B533)-1))=4,
        DATE(VALUE(LEFT(B533,4)),VALUE(MID(B533,6,2)),VALUE(RIGHT(B533,2))),
        DATE(VALUE(RIGHT(B533,4)),VALUE(MID(B533,4,2)),VALUE(LEFT(B533,2)))
      ),
      IF(ISNUMBER(SEARCH("/",B533)*1),
        DATE(VALUE(RIGHT(B533,4)),VALUE(LEFT(B533,2)),VALUE(MID(B533,4,2))),
        DATEVALUE(B533)
      )
    )
  ),
"INVALID_DATE")</f>
        <v>45505</v>
      </c>
      <c r="AA533" s="2">
        <f>IFERROR(
  IF(ISNUMBER(C533),C533,
    IF(ISNUMBER(SEARCH("-",C533)*1),
      IF(LEN(LEFT(C533,FIND("-",C533)-1))=4,
        DATE(VALUE(LEFT(C533,4)),VALUE(MID(C533,6,2)),VALUE(RIGHT(C533,2))),
        DATE(VALUE(RIGHT(C533,4)),VALUE(MID(C533,4,2)),VALUE(LEFT(C533,2)))
      ),
      IF(ISNUMBER(SEARCH("/",C533)*1),
        DATE(VALUE(RIGHT(C533,4)),VALUE(LEFT(C533,2)),VALUE(MID(C533,4,2))),
        DATEVALUE(C533)
      )
    )
  ),
"INVALID_DATE")</f>
        <v>45512</v>
      </c>
      <c r="AB533">
        <f t="shared" si="51"/>
        <v>7</v>
      </c>
      <c r="AC533" t="str">
        <f t="shared" si="52"/>
        <v>August</v>
      </c>
      <c r="AD533">
        <f t="shared" si="53"/>
        <v>2024</v>
      </c>
    </row>
    <row r="534" spans="1:30">
      <c r="A534" t="s">
        <v>2581</v>
      </c>
      <c r="B534" t="s">
        <v>2561</v>
      </c>
      <c r="C534" t="s">
        <v>316</v>
      </c>
      <c r="D534" t="s">
        <v>2582</v>
      </c>
      <c r="E534" t="s">
        <v>149</v>
      </c>
      <c r="F534" t="s">
        <v>115</v>
      </c>
      <c r="G534" t="s">
        <v>49</v>
      </c>
      <c r="H534" t="s">
        <v>223</v>
      </c>
      <c r="I534" t="s">
        <v>224</v>
      </c>
      <c r="J534" t="s">
        <v>52</v>
      </c>
      <c r="K534" t="s">
        <v>53</v>
      </c>
      <c r="L534" t="s">
        <v>2583</v>
      </c>
      <c r="M534" t="s">
        <v>40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207</v>
      </c>
      <c r="U534" t="s">
        <v>85</v>
      </c>
      <c r="V534">
        <f t="shared" si="48"/>
        <v>17862.146999999997</v>
      </c>
      <c r="W534">
        <f t="shared" si="49"/>
        <v>7969.9400000000023</v>
      </c>
      <c r="X534">
        <f t="shared" si="50"/>
        <v>0.44619152789557803</v>
      </c>
      <c r="Y534" t="str">
        <f>_xlfn.TEXTJOIN(", ",TRUE,IF(G534="Unknown","Missing Region",""),IF(M534="Unknown","Missing Ship Mode",""),IF(P534&lt;0,"Negative Discount",""),IF(P534&gt;0.7,"High Discount",""),IF(C534&lt;B534,"Ship Before Order",""))</f>
        <v/>
      </c>
      <c r="Z534" s="2">
        <f>IFERROR(
  IF(ISNUMBER(B534),B534,
    IF(ISNUMBER(SEARCH("-",B534)*1),
      IF(LEN(LEFT(B534,FIND("-",B534)-1))=4,
        DATE(VALUE(LEFT(B534,4)),VALUE(MID(B534,6,2)),VALUE(RIGHT(B534,2))),
        DATE(VALUE(RIGHT(B534,4)),VALUE(MID(B534,4,2)),VALUE(LEFT(B534,2)))
      ),
      IF(ISNUMBER(SEARCH("/",B534)*1),
        DATE(VALUE(RIGHT(B534,4)),VALUE(LEFT(B534,2)),VALUE(MID(B534,4,2))),
        DATEVALUE(B534)
      )
    )
  ),
"INVALID_DATE")</f>
        <v>45935</v>
      </c>
      <c r="AA534" s="2">
        <f>IFERROR(
  IF(ISNUMBER(C534),C534,
    IF(ISNUMBER(SEARCH("-",C534)*1),
      IF(LEN(LEFT(C534,FIND("-",C534)-1))=4,
        DATE(VALUE(LEFT(C534,4)),VALUE(MID(C534,6,2)),VALUE(RIGHT(C534,2))),
        DATE(VALUE(RIGHT(C534,4)),VALUE(MID(C534,4,2)),VALUE(LEFT(C534,2)))
      ),
      IF(ISNUMBER(SEARCH("/",C534)*1),
        DATE(VALUE(RIGHT(C534,4)),VALUE(LEFT(C534,2)),VALUE(MID(C534,4,2))),
        DATEVALUE(C534)
      )
    )
  ),
"INVALID_DATE")</f>
        <v>45940</v>
      </c>
      <c r="AB534">
        <f t="shared" si="51"/>
        <v>5</v>
      </c>
      <c r="AC534" t="str">
        <f t="shared" si="52"/>
        <v>October</v>
      </c>
      <c r="AD534">
        <f t="shared" si="53"/>
        <v>2025</v>
      </c>
    </row>
    <row r="535" spans="1:30">
      <c r="A535" t="s">
        <v>2584</v>
      </c>
      <c r="B535" t="s">
        <v>2585</v>
      </c>
      <c r="C535" t="s">
        <v>403</v>
      </c>
      <c r="D535" t="s">
        <v>2586</v>
      </c>
      <c r="E535" t="s">
        <v>60</v>
      </c>
      <c r="F535" t="s">
        <v>122</v>
      </c>
      <c r="G535" t="s">
        <v>34</v>
      </c>
      <c r="H535" t="s">
        <v>35</v>
      </c>
      <c r="I535" t="s">
        <v>36</v>
      </c>
      <c r="J535" t="s">
        <v>52</v>
      </c>
      <c r="K535" t="s">
        <v>53</v>
      </c>
      <c r="L535" t="s">
        <v>2587</v>
      </c>
      <c r="M535" t="s">
        <v>55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41</v>
      </c>
      <c r="U535" t="s">
        <v>42</v>
      </c>
      <c r="V535">
        <f t="shared" si="48"/>
        <v>2165.8500000000004</v>
      </c>
      <c r="W535">
        <f t="shared" si="49"/>
        <v>41.369999999999891</v>
      </c>
      <c r="X535">
        <f t="shared" si="50"/>
        <v>0.19874414202276242</v>
      </c>
      <c r="Y535" t="str">
        <f>_xlfn.TEXTJOIN(", ",TRUE,IF(G535="Unknown","Missing Region",""),IF(M535="Unknown","Missing Ship Mode",""),IF(P535&lt;0,"Negative Discount",""),IF(P535&gt;0.7,"High Discount",""),IF(C535&lt;B535,"Ship Before Order",""))</f>
        <v>Ship Before Order</v>
      </c>
      <c r="Z535" s="2">
        <f>IFERROR(
  IF(ISNUMBER(B535),B535,
    IF(ISNUMBER(SEARCH("-",B535)*1),
      IF(LEN(LEFT(B535,FIND("-",B535)-1))=4,
        DATE(VALUE(LEFT(B535,4)),VALUE(MID(B535,6,2)),VALUE(RIGHT(B535,2))),
        DATE(VALUE(RIGHT(B535,4)),VALUE(MID(B535,4,2)),VALUE(LEFT(B535,2)))
      ),
      IF(ISNUMBER(SEARCH("/",B535)*1),
        DATE(VALUE(RIGHT(B535,4)),VALUE(LEFT(B535,2)),VALUE(MID(B535,4,2))),
        DATEVALUE(B535)
      )
    )
  ),
"INVALID_DATE")</f>
        <v>45529</v>
      </c>
      <c r="AA535" s="2">
        <f>IFERROR(
  IF(ISNUMBER(C535),C535,
    IF(ISNUMBER(SEARCH("-",C535)*1),
      IF(LEN(LEFT(C535,FIND("-",C535)-1))=4,
        DATE(VALUE(LEFT(C535,4)),VALUE(MID(C535,6,2)),VALUE(RIGHT(C535,2))),
        DATE(VALUE(RIGHT(C535,4)),VALUE(MID(C535,4,2)),VALUE(LEFT(C535,2)))
      ),
      IF(ISNUMBER(SEARCH("/",C535)*1),
        DATE(VALUE(RIGHT(C535,4)),VALUE(LEFT(C535,2)),VALUE(MID(C535,4,2))),
        DATEVALUE(C535)
      )
    )
  ),
"INVALID_DATE")</f>
        <v>45536</v>
      </c>
      <c r="AB535">
        <f t="shared" si="51"/>
        <v>7</v>
      </c>
      <c r="AC535" t="str">
        <f t="shared" si="52"/>
        <v>August</v>
      </c>
      <c r="AD535">
        <f t="shared" si="53"/>
        <v>2024</v>
      </c>
    </row>
    <row r="536" spans="1:30">
      <c r="A536" t="s">
        <v>2588</v>
      </c>
      <c r="B536" t="s">
        <v>2589</v>
      </c>
      <c r="C536" t="s">
        <v>2590</v>
      </c>
      <c r="D536" t="s">
        <v>2591</v>
      </c>
      <c r="E536" t="s">
        <v>187</v>
      </c>
      <c r="F536" t="s">
        <v>122</v>
      </c>
      <c r="G536" t="s">
        <v>49</v>
      </c>
      <c r="H536" t="s">
        <v>193</v>
      </c>
      <c r="I536" t="s">
        <v>194</v>
      </c>
      <c r="J536" t="s">
        <v>93</v>
      </c>
      <c r="K536" t="s">
        <v>94</v>
      </c>
      <c r="L536" t="s">
        <v>2592</v>
      </c>
      <c r="M536" t="s">
        <v>40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144</v>
      </c>
      <c r="U536" t="s">
        <v>132</v>
      </c>
      <c r="V536">
        <f t="shared" si="48"/>
        <v>14268.204</v>
      </c>
      <c r="W536">
        <f t="shared" si="49"/>
        <v>2562.9000000000015</v>
      </c>
      <c r="X536">
        <f t="shared" si="50"/>
        <v>0.17962321806534812</v>
      </c>
      <c r="Y536" t="str">
        <f>_xlfn.TEXTJOIN(", ",TRUE,IF(G536="Unknown","Missing Region",""),IF(M536="Unknown","Missing Ship Mode",""),IF(P536&lt;0,"Negative Discount",""),IF(P536&gt;0.7,"High Discount",""),IF(C536&lt;B536,"Ship Before Order",""))</f>
        <v/>
      </c>
      <c r="Z536" s="2">
        <f>IFERROR(
  IF(ISNUMBER(B536),B536,
    IF(ISNUMBER(SEARCH("-",B536)*1),
      IF(LEN(LEFT(B536,FIND("-",B536)-1))=4,
        DATE(VALUE(LEFT(B536,4)),VALUE(MID(B536,6,2)),VALUE(RIGHT(B536,2))),
        DATE(VALUE(RIGHT(B536,4)),VALUE(MID(B536,4,2)),VALUE(LEFT(B536,2)))
      ),
      IF(ISNUMBER(SEARCH("/",B536)*1),
        DATE(VALUE(RIGHT(B536,4)),VALUE(LEFT(B536,2)),VALUE(MID(B536,4,2))),
        DATEVALUE(B536)
      )
    )
  ),
"INVALID_DATE")</f>
        <v>45774</v>
      </c>
      <c r="AA536" s="2">
        <f>IFERROR(
  IF(ISNUMBER(C536),C536,
    IF(ISNUMBER(SEARCH("-",C536)*1),
      IF(LEN(LEFT(C536,FIND("-",C536)-1))=4,
        DATE(VALUE(LEFT(C536,4)),VALUE(MID(C536,6,2)),VALUE(RIGHT(C536,2))),
        DATE(VALUE(RIGHT(C536,4)),VALUE(MID(C536,4,2)),VALUE(LEFT(C536,2)))
      ),
      IF(ISNUMBER(SEARCH("/",C536)*1),
        DATE(VALUE(RIGHT(C536,4)),VALUE(LEFT(C536,2)),VALUE(MID(C536,4,2))),
        DATEVALUE(C536)
      )
    )
  ),
"INVALID_DATE")</f>
        <v>45782</v>
      </c>
      <c r="AB536">
        <f t="shared" si="51"/>
        <v>8</v>
      </c>
      <c r="AC536" t="str">
        <f t="shared" si="52"/>
        <v>April</v>
      </c>
      <c r="AD536">
        <f t="shared" si="53"/>
        <v>2025</v>
      </c>
    </row>
    <row r="537" spans="1:30">
      <c r="A537" t="s">
        <v>2593</v>
      </c>
      <c r="B537" t="s">
        <v>2594</v>
      </c>
      <c r="C537" t="s">
        <v>2595</v>
      </c>
      <c r="D537" t="s">
        <v>2596</v>
      </c>
      <c r="E537" t="s">
        <v>217</v>
      </c>
      <c r="F537" t="s">
        <v>48</v>
      </c>
      <c r="G537" t="s">
        <v>80</v>
      </c>
      <c r="H537" t="s">
        <v>81</v>
      </c>
      <c r="I537" t="s">
        <v>82</v>
      </c>
      <c r="J537" t="s">
        <v>93</v>
      </c>
      <c r="K537" t="s">
        <v>101</v>
      </c>
      <c r="L537" t="s">
        <v>2597</v>
      </c>
      <c r="M537" t="s">
        <v>63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41</v>
      </c>
      <c r="U537" t="s">
        <v>42</v>
      </c>
      <c r="V537">
        <f t="shared" si="48"/>
        <v>9602.3520000000008</v>
      </c>
      <c r="W537">
        <f t="shared" si="49"/>
        <v>2214.7800000000007</v>
      </c>
      <c r="X537">
        <f t="shared" si="50"/>
        <v>0.23064978885377019</v>
      </c>
      <c r="Y537" t="str">
        <f>_xlfn.TEXTJOIN(", ",TRUE,IF(G537="Unknown","Missing Region",""),IF(M537="Unknown","Missing Ship Mode",""),IF(P537&lt;0,"Negative Discount",""),IF(P537&gt;0.7,"High Discount",""),IF(C537&lt;B537,"Ship Before Order",""))</f>
        <v/>
      </c>
      <c r="Z537" s="2">
        <f>IFERROR(
  IF(ISNUMBER(B537),B537,
    IF(ISNUMBER(SEARCH("-",B537)*1),
      IF(LEN(LEFT(B537,FIND("-",B537)-1))=4,
        DATE(VALUE(LEFT(B537,4)),VALUE(MID(B537,6,2)),VALUE(RIGHT(B537,2))),
        DATE(VALUE(RIGHT(B537,4)),VALUE(MID(B537,4,2)),VALUE(LEFT(B537,2)))
      ),
      IF(ISNUMBER(SEARCH("/",B537)*1),
        DATE(VALUE(RIGHT(B537,4)),VALUE(LEFT(B537,2)),VALUE(MID(B537,4,2))),
        DATEVALUE(B537)
      )
    )
  ),
"INVALID_DATE")</f>
        <v>45431</v>
      </c>
      <c r="AA537" s="2">
        <f>IFERROR(
  IF(ISNUMBER(C537),C537,
    IF(ISNUMBER(SEARCH("-",C537)*1),
      IF(LEN(LEFT(C537,FIND("-",C537)-1))=4,
        DATE(VALUE(LEFT(C537,4)),VALUE(MID(C537,6,2)),VALUE(RIGHT(C537,2))),
        DATE(VALUE(RIGHT(C537,4)),VALUE(MID(C537,4,2)),VALUE(LEFT(C537,2)))
      ),
      IF(ISNUMBER(SEARCH("/",C537)*1),
        DATE(VALUE(RIGHT(C537,4)),VALUE(LEFT(C537,2)),VALUE(MID(C537,4,2))),
        DATEVALUE(C537)
      )
    )
  ),
"INVALID_DATE")</f>
        <v>45433</v>
      </c>
      <c r="AB537">
        <f t="shared" si="51"/>
        <v>2</v>
      </c>
      <c r="AC537" t="str">
        <f t="shared" si="52"/>
        <v>May</v>
      </c>
      <c r="AD537">
        <f t="shared" si="53"/>
        <v>2024</v>
      </c>
    </row>
    <row r="538" spans="1:30">
      <c r="A538" t="s">
        <v>2598</v>
      </c>
      <c r="B538" t="s">
        <v>2599</v>
      </c>
      <c r="C538" t="s">
        <v>2600</v>
      </c>
      <c r="D538" t="s">
        <v>2601</v>
      </c>
      <c r="E538" t="s">
        <v>79</v>
      </c>
      <c r="F538" t="s">
        <v>48</v>
      </c>
      <c r="G538" t="s">
        <v>80</v>
      </c>
      <c r="H538" t="s">
        <v>35</v>
      </c>
      <c r="I538" t="s">
        <v>142</v>
      </c>
      <c r="J538" t="s">
        <v>52</v>
      </c>
      <c r="K538" t="s">
        <v>83</v>
      </c>
      <c r="L538" t="s">
        <v>2602</v>
      </c>
      <c r="M538" t="s">
        <v>63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207</v>
      </c>
      <c r="U538" t="s">
        <v>85</v>
      </c>
      <c r="V538">
        <f t="shared" si="48"/>
        <v>19891.725000000002</v>
      </c>
      <c r="W538">
        <f t="shared" si="49"/>
        <v>7595.9600000000009</v>
      </c>
      <c r="X538">
        <f t="shared" si="50"/>
        <v>0.38186541938052615</v>
      </c>
      <c r="Y538" t="str">
        <f>_xlfn.TEXTJOIN(", ",TRUE,IF(G538="Unknown","Missing Region",""),IF(M538="Unknown","Missing Ship Mode",""),IF(P538&lt;0,"Negative Discount",""),IF(P538&gt;0.7,"High Discount",""),IF(C538&lt;B538,"Ship Before Order",""))</f>
        <v/>
      </c>
      <c r="Z538" s="2">
        <f>IFERROR(
  IF(ISNUMBER(B538),B538,
    IF(ISNUMBER(SEARCH("-",B538)*1),
      IF(LEN(LEFT(B538,FIND("-",B538)-1))=4,
        DATE(VALUE(LEFT(B538,4)),VALUE(MID(B538,6,2)),VALUE(RIGHT(B538,2))),
        DATE(VALUE(RIGHT(B538,4)),VALUE(MID(B538,4,2)),VALUE(LEFT(B538,2)))
      ),
      IF(ISNUMBER(SEARCH("/",B538)*1),
        DATE(VALUE(RIGHT(B538,4)),VALUE(LEFT(B538,2)),VALUE(MID(B538,4,2))),
        DATEVALUE(B538)
      )
    )
  ),
"INVALID_DATE")</f>
        <v>45757</v>
      </c>
      <c r="AA538" s="2">
        <f>IFERROR(
  IF(ISNUMBER(C538),C538,
    IF(ISNUMBER(SEARCH("-",C538)*1),
      IF(LEN(LEFT(C538,FIND("-",C538)-1))=4,
        DATE(VALUE(LEFT(C538,4)),VALUE(MID(C538,6,2)),VALUE(RIGHT(C538,2))),
        DATE(VALUE(RIGHT(C538,4)),VALUE(MID(C538,4,2)),VALUE(LEFT(C538,2)))
      ),
      IF(ISNUMBER(SEARCH("/",C538)*1),
        DATE(VALUE(RIGHT(C538,4)),VALUE(LEFT(C538,2)),VALUE(MID(C538,4,2))),
        DATEVALUE(C538)
      )
    )
  ),
"INVALID_DATE")</f>
        <v>45764</v>
      </c>
      <c r="AB538">
        <f t="shared" si="51"/>
        <v>7</v>
      </c>
      <c r="AC538" t="str">
        <f t="shared" si="52"/>
        <v>April</v>
      </c>
      <c r="AD538">
        <f t="shared" si="53"/>
        <v>2025</v>
      </c>
    </row>
    <row r="539" spans="1:30">
      <c r="A539" t="s">
        <v>2603</v>
      </c>
      <c r="B539" t="s">
        <v>2046</v>
      </c>
      <c r="C539" t="s">
        <v>2604</v>
      </c>
      <c r="D539" t="s">
        <v>2605</v>
      </c>
      <c r="E539" t="s">
        <v>79</v>
      </c>
      <c r="F539" t="s">
        <v>48</v>
      </c>
      <c r="G539" t="s">
        <v>34</v>
      </c>
      <c r="H539" t="s">
        <v>331</v>
      </c>
      <c r="I539" t="s">
        <v>332</v>
      </c>
      <c r="J539" t="s">
        <v>37</v>
      </c>
      <c r="K539" t="s">
        <v>61</v>
      </c>
      <c r="L539" t="s">
        <v>2606</v>
      </c>
      <c r="M539" t="s">
        <v>55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207</v>
      </c>
      <c r="U539" t="s">
        <v>85</v>
      </c>
      <c r="V539">
        <f t="shared" si="48"/>
        <v>1927.6544999999996</v>
      </c>
      <c r="W539">
        <f t="shared" si="49"/>
        <v>467.05000000000018</v>
      </c>
      <c r="X539">
        <f t="shared" si="50"/>
        <v>0.24228983477291002</v>
      </c>
      <c r="Y539" t="str">
        <f>_xlfn.TEXTJOIN(", ",TRUE,IF(G539="Unknown","Missing Region",""),IF(M539="Unknown","Missing Ship Mode",""),IF(P539&lt;0,"Negative Discount",""),IF(P539&gt;0.7,"High Discount",""),IF(C539&lt;B539,"Ship Before Order",""))</f>
        <v/>
      </c>
      <c r="Z539" s="2">
        <f>IFERROR(
  IF(ISNUMBER(B539),B539,
    IF(ISNUMBER(SEARCH("-",B539)*1),
      IF(LEN(LEFT(B539,FIND("-",B539)-1))=4,
        DATE(VALUE(LEFT(B539,4)),VALUE(MID(B539,6,2)),VALUE(RIGHT(B539,2))),
        DATE(VALUE(RIGHT(B539,4)),VALUE(MID(B539,4,2)),VALUE(LEFT(B539,2)))
      ),
      IF(ISNUMBER(SEARCH("/",B539)*1),
        DATE(VALUE(RIGHT(B539,4)),VALUE(LEFT(B539,2)),VALUE(MID(B539,4,2))),
        DATEVALUE(B539)
      )
    )
  ),
"INVALID_DATE")</f>
        <v>45313</v>
      </c>
      <c r="AA539" s="2">
        <f>IFERROR(
  IF(ISNUMBER(C539),C539,
    IF(ISNUMBER(SEARCH("-",C539)*1),
      IF(LEN(LEFT(C539,FIND("-",C539)-1))=4,
        DATE(VALUE(LEFT(C539,4)),VALUE(MID(C539,6,2)),VALUE(RIGHT(C539,2))),
        DATE(VALUE(RIGHT(C539,4)),VALUE(MID(C539,4,2)),VALUE(LEFT(C539,2)))
      ),
      IF(ISNUMBER(SEARCH("/",C539)*1),
        DATE(VALUE(RIGHT(C539,4)),VALUE(LEFT(C539,2)),VALUE(MID(C539,4,2))),
        DATEVALUE(C539)
      )
    )
  ),
"INVALID_DATE")</f>
        <v>45321</v>
      </c>
      <c r="AB539">
        <f t="shared" si="51"/>
        <v>8</v>
      </c>
      <c r="AC539" t="str">
        <f t="shared" si="52"/>
        <v>January</v>
      </c>
      <c r="AD539">
        <f t="shared" si="53"/>
        <v>2024</v>
      </c>
    </row>
    <row r="540" spans="1:30">
      <c r="A540" t="s">
        <v>2607</v>
      </c>
      <c r="B540" t="s">
        <v>2274</v>
      </c>
      <c r="C540" t="s">
        <v>2608</v>
      </c>
      <c r="D540" t="s">
        <v>2609</v>
      </c>
      <c r="E540" t="s">
        <v>217</v>
      </c>
      <c r="F540" t="s">
        <v>48</v>
      </c>
      <c r="G540" t="s">
        <v>49</v>
      </c>
      <c r="H540" t="s">
        <v>319</v>
      </c>
      <c r="I540" t="s">
        <v>320</v>
      </c>
      <c r="J540" t="s">
        <v>52</v>
      </c>
      <c r="K540" t="s">
        <v>53</v>
      </c>
      <c r="L540" t="s">
        <v>2610</v>
      </c>
      <c r="M540" t="s">
        <v>40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41</v>
      </c>
      <c r="U540" t="s">
        <v>42</v>
      </c>
      <c r="V540">
        <f t="shared" si="48"/>
        <v>29900.79</v>
      </c>
      <c r="W540">
        <f t="shared" si="49"/>
        <v>5250.1200000000026</v>
      </c>
      <c r="X540">
        <f t="shared" si="50"/>
        <v>0.17558465846554555</v>
      </c>
      <c r="Y540" t="str">
        <f>_xlfn.TEXTJOIN(", ",TRUE,IF(G540="Unknown","Missing Region",""),IF(M540="Unknown","Missing Ship Mode",""),IF(P540&lt;0,"Negative Discount",""),IF(P540&gt;0.7,"High Discount",""),IF(C540&lt;B540,"Ship Before Order",""))</f>
        <v>Ship Before Order</v>
      </c>
      <c r="Z540" s="2">
        <f>IFERROR(
  IF(ISNUMBER(B540),B540,
    IF(ISNUMBER(SEARCH("-",B540)*1),
      IF(LEN(LEFT(B540,FIND("-",B540)-1))=4,
        DATE(VALUE(LEFT(B540,4)),VALUE(MID(B540,6,2)),VALUE(RIGHT(B540,2))),
        DATE(VALUE(RIGHT(B540,4)),VALUE(MID(B540,4,2)),VALUE(LEFT(B540,2)))
      ),
      IF(ISNUMBER(SEARCH("/",B540)*1),
        DATE(VALUE(RIGHT(B540,4)),VALUE(LEFT(B540,2)),VALUE(MID(B540,4,2))),
        DATEVALUE(B540)
      )
    )
  ),
"INVALID_DATE")</f>
        <v>45560</v>
      </c>
      <c r="AA540" s="2">
        <f>IFERROR(
  IF(ISNUMBER(C540),C540,
    IF(ISNUMBER(SEARCH("-",C540)*1),
      IF(LEN(LEFT(C540,FIND("-",C540)-1))=4,
        DATE(VALUE(LEFT(C540,4)),VALUE(MID(C540,6,2)),VALUE(RIGHT(C540,2))),
        DATE(VALUE(RIGHT(C540,4)),VALUE(MID(C540,4,2)),VALUE(LEFT(C540,2)))
      ),
      IF(ISNUMBER(SEARCH("/",C540)*1),
        DATE(VALUE(RIGHT(C540,4)),VALUE(LEFT(C540,2)),VALUE(MID(C540,4,2))),
        DATEVALUE(C540)
      )
    )
  ),
"INVALID_DATE")</f>
        <v>45566</v>
      </c>
      <c r="AB540">
        <f t="shared" si="51"/>
        <v>6</v>
      </c>
      <c r="AC540" t="str">
        <f t="shared" si="52"/>
        <v>September</v>
      </c>
      <c r="AD540">
        <f t="shared" si="53"/>
        <v>2024</v>
      </c>
    </row>
    <row r="541" spans="1:30">
      <c r="A541" t="s">
        <v>2611</v>
      </c>
      <c r="B541" t="s">
        <v>1224</v>
      </c>
      <c r="C541" t="s">
        <v>2423</v>
      </c>
      <c r="D541" t="s">
        <v>2612</v>
      </c>
      <c r="E541" t="s">
        <v>2613</v>
      </c>
      <c r="F541" t="s">
        <v>48</v>
      </c>
      <c r="G541" t="s">
        <v>69</v>
      </c>
      <c r="H541" t="s">
        <v>347</v>
      </c>
      <c r="I541" t="s">
        <v>348</v>
      </c>
      <c r="J541" t="s">
        <v>52</v>
      </c>
      <c r="K541" t="s">
        <v>83</v>
      </c>
      <c r="L541" t="s">
        <v>2614</v>
      </c>
      <c r="M541" t="s">
        <v>74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41</v>
      </c>
      <c r="U541" t="s">
        <v>85</v>
      </c>
      <c r="V541">
        <f t="shared" si="48"/>
        <v>1904.4450000000002</v>
      </c>
      <c r="W541">
        <f t="shared" si="49"/>
        <v>587.91000000000008</v>
      </c>
      <c r="X541">
        <f t="shared" si="50"/>
        <v>0.30870330016540204</v>
      </c>
      <c r="Y541" t="str">
        <f>_xlfn.TEXTJOIN(", ",TRUE,IF(G541="Unknown","Missing Region",""),IF(M541="Unknown","Missing Ship Mode",""),IF(P541&lt;0,"Negative Discount",""),IF(P541&gt;0.7,"High Discount",""),IF(C541&lt;B541,"Ship Before Order",""))</f>
        <v/>
      </c>
      <c r="Z541" s="2">
        <f>IFERROR(
  IF(ISNUMBER(B541),B541,
    IF(ISNUMBER(SEARCH("-",B541)*1),
      IF(LEN(LEFT(B541,FIND("-",B541)-1))=4,
        DATE(VALUE(LEFT(B541,4)),VALUE(MID(B541,6,2)),VALUE(RIGHT(B541,2))),
        DATE(VALUE(RIGHT(B541,4)),VALUE(MID(B541,4,2)),VALUE(LEFT(B541,2)))
      ),
      IF(ISNUMBER(SEARCH("/",B541)*1),
        DATE(VALUE(RIGHT(B541,4)),VALUE(LEFT(B541,2)),VALUE(MID(B541,4,2))),
        DATEVALUE(B541)
      )
    )
  ),
"INVALID_DATE")</f>
        <v>45842</v>
      </c>
      <c r="AA541" s="2">
        <f>IFERROR(
  IF(ISNUMBER(C541),C541,
    IF(ISNUMBER(SEARCH("-",C541)*1),
      IF(LEN(LEFT(C541,FIND("-",C541)-1))=4,
        DATE(VALUE(LEFT(C541,4)),VALUE(MID(C541,6,2)),VALUE(RIGHT(C541,2))),
        DATE(VALUE(RIGHT(C541,4)),VALUE(MID(C541,4,2)),VALUE(LEFT(C541,2)))
      ),
      IF(ISNUMBER(SEARCH("/",C541)*1),
        DATE(VALUE(RIGHT(C541,4)),VALUE(LEFT(C541,2)),VALUE(MID(C541,4,2))),
        DATEVALUE(C541)
      )
    )
  ),
"INVALID_DATE")</f>
        <v>45842</v>
      </c>
      <c r="AB541">
        <f t="shared" si="51"/>
        <v>0</v>
      </c>
      <c r="AC541" t="str">
        <f t="shared" si="52"/>
        <v>July</v>
      </c>
      <c r="AD541">
        <f t="shared" si="53"/>
        <v>2025</v>
      </c>
    </row>
    <row r="542" spans="1:30">
      <c r="A542" t="s">
        <v>2615</v>
      </c>
      <c r="B542" t="s">
        <v>2616</v>
      </c>
      <c r="C542" t="s">
        <v>2351</v>
      </c>
      <c r="D542" t="s">
        <v>2617</v>
      </c>
      <c r="E542" t="s">
        <v>374</v>
      </c>
      <c r="F542" t="s">
        <v>33</v>
      </c>
      <c r="G542" t="s">
        <v>80</v>
      </c>
      <c r="H542" t="s">
        <v>242</v>
      </c>
      <c r="I542" t="s">
        <v>243</v>
      </c>
      <c r="J542" t="s">
        <v>52</v>
      </c>
      <c r="K542" t="s">
        <v>72</v>
      </c>
      <c r="L542" t="s">
        <v>2618</v>
      </c>
      <c r="M542" t="s">
        <v>74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41</v>
      </c>
      <c r="U542" t="s">
        <v>42</v>
      </c>
      <c r="V542">
        <f t="shared" si="48"/>
        <v>21571.592000000004</v>
      </c>
      <c r="W542">
        <f t="shared" si="49"/>
        <v>4453.5200000000004</v>
      </c>
      <c r="X542">
        <f t="shared" si="50"/>
        <v>0.20645302455683612</v>
      </c>
      <c r="Y542" t="str">
        <f>_xlfn.TEXTJOIN(", ",TRUE,IF(G542="Unknown","Missing Region",""),IF(M542="Unknown","Missing Ship Mode",""),IF(P542&lt;0,"Negative Discount",""),IF(P542&gt;0.7,"High Discount",""),IF(C542&lt;B542,"Ship Before Order",""))</f>
        <v>Ship Before Order</v>
      </c>
      <c r="Z542" s="2">
        <f>IFERROR(
  IF(ISNUMBER(B542),B542,
    IF(ISNUMBER(SEARCH("-",B542)*1),
      IF(LEN(LEFT(B542,FIND("-",B542)-1))=4,
        DATE(VALUE(LEFT(B542,4)),VALUE(MID(B542,6,2)),VALUE(RIGHT(B542,2))),
        DATE(VALUE(RIGHT(B542,4)),VALUE(MID(B542,4,2)),VALUE(LEFT(B542,2)))
      ),
      IF(ISNUMBER(SEARCH("/",B542)*1),
        DATE(VALUE(RIGHT(B542,4)),VALUE(LEFT(B542,2)),VALUE(MID(B542,4,2))),
        DATEVALUE(B542)
      )
    )
  ),
"INVALID_DATE")</f>
        <v>45348</v>
      </c>
      <c r="AA542" s="2">
        <f>IFERROR(
  IF(ISNUMBER(C542),C542,
    IF(ISNUMBER(SEARCH("-",C542)*1),
      IF(LEN(LEFT(C542,FIND("-",C542)-1))=4,
        DATE(VALUE(LEFT(C542,4)),VALUE(MID(C542,6,2)),VALUE(RIGHT(C542,2))),
        DATE(VALUE(RIGHT(C542,4)),VALUE(MID(C542,4,2)),VALUE(LEFT(C542,2)))
      ),
      IF(ISNUMBER(SEARCH("/",C542)*1),
        DATE(VALUE(RIGHT(C542,4)),VALUE(LEFT(C542,2)),VALUE(MID(C542,4,2))),
        DATEVALUE(C542)
      )
    )
  ),
"INVALID_DATE")</f>
        <v>45345</v>
      </c>
      <c r="AB542">
        <f t="shared" si="51"/>
        <v>-3</v>
      </c>
      <c r="AC542" t="str">
        <f t="shared" si="52"/>
        <v>February</v>
      </c>
      <c r="AD542">
        <f t="shared" si="53"/>
        <v>2024</v>
      </c>
    </row>
    <row r="543" spans="1:30">
      <c r="A543" t="s">
        <v>2619</v>
      </c>
      <c r="B543" t="s">
        <v>2620</v>
      </c>
      <c r="C543" t="s">
        <v>2621</v>
      </c>
      <c r="D543" t="s">
        <v>2622</v>
      </c>
      <c r="E543" t="s">
        <v>175</v>
      </c>
      <c r="F543" t="s">
        <v>33</v>
      </c>
      <c r="G543" t="s">
        <v>80</v>
      </c>
      <c r="H543" t="s">
        <v>81</v>
      </c>
      <c r="I543" t="s">
        <v>82</v>
      </c>
      <c r="J543" t="s">
        <v>93</v>
      </c>
      <c r="K543" t="s">
        <v>101</v>
      </c>
      <c r="L543" t="s">
        <v>2623</v>
      </c>
      <c r="M543" t="s">
        <v>55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41</v>
      </c>
      <c r="U543" t="s">
        <v>132</v>
      </c>
      <c r="V543">
        <f t="shared" si="48"/>
        <v>8641.68</v>
      </c>
      <c r="W543">
        <f t="shared" si="49"/>
        <v>2894.59</v>
      </c>
      <c r="X543">
        <f t="shared" si="50"/>
        <v>0.33495686024013849</v>
      </c>
      <c r="Y543" t="str">
        <f>_xlfn.TEXTJOIN(", ",TRUE,IF(G543="Unknown","Missing Region",""),IF(M543="Unknown","Missing Ship Mode",""),IF(P543&lt;0,"Negative Discount",""),IF(P543&gt;0.7,"High Discount",""),IF(C543&lt;B543,"Ship Before Order",""))</f>
        <v/>
      </c>
      <c r="Z543" s="2">
        <f>IFERROR(
  IF(ISNUMBER(B543),B543,
    IF(ISNUMBER(SEARCH("-",B543)*1),
      IF(LEN(LEFT(B543,FIND("-",B543)-1))=4,
        DATE(VALUE(LEFT(B543,4)),VALUE(MID(B543,6,2)),VALUE(RIGHT(B543,2))),
        DATE(VALUE(RIGHT(B543,4)),VALUE(MID(B543,4,2)),VALUE(LEFT(B543,2)))
      ),
      IF(ISNUMBER(SEARCH("/",B543)*1),
        DATE(VALUE(RIGHT(B543,4)),VALUE(LEFT(B543,2)),VALUE(MID(B543,4,2))),
        DATEVALUE(B543)
      )
    )
  ),
"INVALID_DATE")</f>
        <v>45846</v>
      </c>
      <c r="AA543" s="2">
        <f>IFERROR(
  IF(ISNUMBER(C543),C543,
    IF(ISNUMBER(SEARCH("-",C543)*1),
      IF(LEN(LEFT(C543,FIND("-",C543)-1))=4,
        DATE(VALUE(LEFT(C543,4)),VALUE(MID(C543,6,2)),VALUE(RIGHT(C543,2))),
        DATE(VALUE(RIGHT(C543,4)),VALUE(MID(C543,4,2)),VALUE(LEFT(C543,2)))
      ),
      IF(ISNUMBER(SEARCH("/",C543)*1),
        DATE(VALUE(RIGHT(C543,4)),VALUE(LEFT(C543,2)),VALUE(MID(C543,4,2))),
        DATEVALUE(C543)
      )
    )
  ),
"INVALID_DATE")</f>
        <v>45847</v>
      </c>
      <c r="AB543">
        <f t="shared" si="51"/>
        <v>1</v>
      </c>
      <c r="AC543" t="str">
        <f t="shared" si="52"/>
        <v>July</v>
      </c>
      <c r="AD543">
        <f t="shared" si="53"/>
        <v>2025</v>
      </c>
    </row>
    <row r="544" spans="1:30">
      <c r="A544" t="s">
        <v>2624</v>
      </c>
      <c r="B544" t="s">
        <v>2625</v>
      </c>
      <c r="C544" t="s">
        <v>2626</v>
      </c>
      <c r="D544" t="s">
        <v>2627</v>
      </c>
      <c r="E544" t="s">
        <v>155</v>
      </c>
      <c r="F544" t="s">
        <v>122</v>
      </c>
      <c r="G544" t="s">
        <v>69</v>
      </c>
      <c r="H544" t="s">
        <v>249</v>
      </c>
      <c r="I544" t="s">
        <v>250</v>
      </c>
      <c r="J544" t="s">
        <v>52</v>
      </c>
      <c r="K544" t="s">
        <v>211</v>
      </c>
      <c r="L544" t="s">
        <v>2628</v>
      </c>
      <c r="M544" t="s">
        <v>40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41</v>
      </c>
      <c r="U544" t="s">
        <v>2629</v>
      </c>
      <c r="V544">
        <f t="shared" si="48"/>
        <v>9762.2880000000005</v>
      </c>
      <c r="W544">
        <f t="shared" si="49"/>
        <v>1620.2900000000009</v>
      </c>
      <c r="X544">
        <f t="shared" si="50"/>
        <v>0.13956508114807684</v>
      </c>
      <c r="Y544" t="str">
        <f>_xlfn.TEXTJOIN(", ",TRUE,IF(G544="Unknown","Missing Region",""),IF(M544="Unknown","Missing Ship Mode",""),IF(P544&lt;0,"Negative Discount",""),IF(P544&gt;0.7,"High Discount",""),IF(C544&lt;B544,"Ship Before Order",""))</f>
        <v/>
      </c>
      <c r="Z544" s="2">
        <f>IFERROR(
  IF(ISNUMBER(B544),B544,
    IF(ISNUMBER(SEARCH("-",B544)*1),
      IF(LEN(LEFT(B544,FIND("-",B544)-1))=4,
        DATE(VALUE(LEFT(B544,4)),VALUE(MID(B544,6,2)),VALUE(RIGHT(B544,2))),
        DATE(VALUE(RIGHT(B544,4)),VALUE(MID(B544,4,2)),VALUE(LEFT(B544,2)))
      ),
      IF(ISNUMBER(SEARCH("/",B544)*1),
        DATE(VALUE(RIGHT(B544,4)),VALUE(LEFT(B544,2)),VALUE(MID(B544,4,2))),
        DATEVALUE(B544)
      )
    )
  ),
"INVALID_DATE")</f>
        <v>45552</v>
      </c>
      <c r="AA544" s="2">
        <f>IFERROR(
  IF(ISNUMBER(C544),C544,
    IF(ISNUMBER(SEARCH("-",C544)*1),
      IF(LEN(LEFT(C544,FIND("-",C544)-1))=4,
        DATE(VALUE(LEFT(C544,4)),VALUE(MID(C544,6,2)),VALUE(RIGHT(C544,2))),
        DATE(VALUE(RIGHT(C544,4)),VALUE(MID(C544,4,2)),VALUE(LEFT(C544,2)))
      ),
      IF(ISNUMBER(SEARCH("/",C544)*1),
        DATE(VALUE(RIGHT(C544,4)),VALUE(LEFT(C544,2)),VALUE(MID(C544,4,2))),
        DATEVALUE(C544)
      )
    )
  ),
"INVALID_DATE")</f>
        <v>45558</v>
      </c>
      <c r="AB544">
        <f t="shared" si="51"/>
        <v>6</v>
      </c>
      <c r="AC544" t="str">
        <f t="shared" si="52"/>
        <v>September</v>
      </c>
      <c r="AD544">
        <f t="shared" si="53"/>
        <v>2024</v>
      </c>
    </row>
    <row r="545" spans="1:30">
      <c r="A545" t="s">
        <v>2630</v>
      </c>
      <c r="B545" t="s">
        <v>2631</v>
      </c>
      <c r="C545" t="s">
        <v>408</v>
      </c>
      <c r="D545" t="s">
        <v>2632</v>
      </c>
      <c r="E545" t="s">
        <v>47</v>
      </c>
      <c r="F545" t="s">
        <v>33</v>
      </c>
      <c r="G545" t="s">
        <v>49</v>
      </c>
      <c r="H545" t="s">
        <v>193</v>
      </c>
      <c r="I545" t="s">
        <v>194</v>
      </c>
      <c r="J545" t="s">
        <v>93</v>
      </c>
      <c r="K545" t="s">
        <v>101</v>
      </c>
      <c r="L545" t="s">
        <v>2633</v>
      </c>
      <c r="M545" t="s">
        <v>55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41</v>
      </c>
      <c r="U545" t="s">
        <v>42</v>
      </c>
      <c r="V545">
        <f t="shared" si="48"/>
        <v>418.76949999999999</v>
      </c>
      <c r="W545">
        <f t="shared" si="49"/>
        <v>105.04999999999995</v>
      </c>
      <c r="X545">
        <f t="shared" si="50"/>
        <v>0.25085369057000262</v>
      </c>
      <c r="Y545" t="str">
        <f>_xlfn.TEXTJOIN(", ",TRUE,IF(G545="Unknown","Missing Region",""),IF(M545="Unknown","Missing Ship Mode",""),IF(P545&lt;0,"Negative Discount",""),IF(P545&gt;0.7,"High Discount",""),IF(C545&lt;B545,"Ship Before Order",""))</f>
        <v>Ship Before Order</v>
      </c>
      <c r="Z545" s="2">
        <f>IFERROR(
  IF(ISNUMBER(B545),B545,
    IF(ISNUMBER(SEARCH("-",B545)*1),
      IF(LEN(LEFT(B545,FIND("-",B545)-1))=4,
        DATE(VALUE(LEFT(B545,4)),VALUE(MID(B545,6,2)),VALUE(RIGHT(B545,2))),
        DATE(VALUE(RIGHT(B545,4)),VALUE(MID(B545,4,2)),VALUE(LEFT(B545,2)))
      ),
      IF(ISNUMBER(SEARCH("/",B545)*1),
        DATE(VALUE(RIGHT(B545,4)),VALUE(LEFT(B545,2)),VALUE(MID(B545,4,2))),
        DATEVALUE(B545)
      )
    )
  ),
"INVALID_DATE")</f>
        <v>45487</v>
      </c>
      <c r="AA545" s="2">
        <f>IFERROR(
  IF(ISNUMBER(C545),C545,
    IF(ISNUMBER(SEARCH("-",C545)*1),
      IF(LEN(LEFT(C545,FIND("-",C545)-1))=4,
        DATE(VALUE(LEFT(C545,4)),VALUE(MID(C545,6,2)),VALUE(RIGHT(C545,2))),
        DATE(VALUE(RIGHT(C545,4)),VALUE(MID(C545,4,2)),VALUE(LEFT(C545,2)))
      ),
      IF(ISNUMBER(SEARCH("/",C545)*1),
        DATE(VALUE(RIGHT(C545,4)),VALUE(LEFT(C545,2)),VALUE(MID(C545,4,2))),
        DATEVALUE(C545)
      )
    )
  ),
"INVALID_DATE")</f>
        <v>45493</v>
      </c>
      <c r="AB545">
        <f t="shared" si="51"/>
        <v>6</v>
      </c>
      <c r="AC545" t="str">
        <f t="shared" si="52"/>
        <v>July</v>
      </c>
      <c r="AD545">
        <f t="shared" si="53"/>
        <v>2024</v>
      </c>
    </row>
    <row r="546" spans="1:30">
      <c r="A546" t="s">
        <v>2634</v>
      </c>
      <c r="B546" t="s">
        <v>2635</v>
      </c>
      <c r="C546" t="s">
        <v>2068</v>
      </c>
      <c r="D546" t="s">
        <v>2636</v>
      </c>
      <c r="E546" t="s">
        <v>79</v>
      </c>
      <c r="F546" t="s">
        <v>33</v>
      </c>
      <c r="G546" t="s">
        <v>69</v>
      </c>
      <c r="H546" t="s">
        <v>249</v>
      </c>
      <c r="I546" t="s">
        <v>250</v>
      </c>
      <c r="J546" t="s">
        <v>37</v>
      </c>
      <c r="K546" t="s">
        <v>61</v>
      </c>
      <c r="L546" t="s">
        <v>2637</v>
      </c>
      <c r="M546" t="s">
        <v>55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41</v>
      </c>
      <c r="U546" t="s">
        <v>85</v>
      </c>
      <c r="V546">
        <f t="shared" si="48"/>
        <v>21861.72</v>
      </c>
      <c r="W546">
        <f t="shared" si="49"/>
        <v>3397.380000000001</v>
      </c>
      <c r="X546">
        <f t="shared" si="50"/>
        <v>0.15540314302808744</v>
      </c>
      <c r="Y546" t="str">
        <f>_xlfn.TEXTJOIN(", ",TRUE,IF(G546="Unknown","Missing Region",""),IF(M546="Unknown","Missing Ship Mode",""),IF(P546&lt;0,"Negative Discount",""),IF(P546&gt;0.7,"High Discount",""),IF(C546&lt;B546,"Ship Before Order",""))</f>
        <v>Ship Before Order</v>
      </c>
      <c r="Z546" s="2">
        <f>IFERROR(
  IF(ISNUMBER(B546),B546,
    IF(ISNUMBER(SEARCH("-",B546)*1),
      IF(LEN(LEFT(B546,FIND("-",B546)-1))=4,
        DATE(VALUE(LEFT(B546,4)),VALUE(MID(B546,6,2)),VALUE(RIGHT(B546,2))),
        DATE(VALUE(RIGHT(B546,4)),VALUE(MID(B546,4,2)),VALUE(LEFT(B546,2)))
      ),
      IF(ISNUMBER(SEARCH("/",B546)*1),
        DATE(VALUE(RIGHT(B546,4)),VALUE(LEFT(B546,2)),VALUE(MID(B546,4,2))),
        DATEVALUE(B546)
      )
    )
  ),
"INVALID_DATE")</f>
        <v>45686</v>
      </c>
      <c r="AA546" s="2">
        <f>IFERROR(
  IF(ISNUMBER(C546),C546,
    IF(ISNUMBER(SEARCH("-",C546)*1),
      IF(LEN(LEFT(C546,FIND("-",C546)-1))=4,
        DATE(VALUE(LEFT(C546,4)),VALUE(MID(C546,6,2)),VALUE(RIGHT(C546,2))),
        DATE(VALUE(RIGHT(C546,4)),VALUE(MID(C546,4,2)),VALUE(LEFT(C546,2)))
      ),
      IF(ISNUMBER(SEARCH("/",C546)*1),
        DATE(VALUE(RIGHT(C546,4)),VALUE(LEFT(C546,2)),VALUE(MID(C546,4,2))),
        DATEVALUE(C546)
      )
    )
  ),
"INVALID_DATE")</f>
        <v>45693</v>
      </c>
      <c r="AB546">
        <f t="shared" si="51"/>
        <v>7</v>
      </c>
      <c r="AC546" t="str">
        <f t="shared" si="52"/>
        <v>January</v>
      </c>
      <c r="AD546">
        <f t="shared" si="53"/>
        <v>2025</v>
      </c>
    </row>
    <row r="547" spans="1:30">
      <c r="A547" t="s">
        <v>2638</v>
      </c>
      <c r="B547" t="s">
        <v>2639</v>
      </c>
      <c r="C547" t="s">
        <v>2640</v>
      </c>
      <c r="D547" t="s">
        <v>2641</v>
      </c>
      <c r="E547" t="s">
        <v>374</v>
      </c>
      <c r="F547" t="s">
        <v>48</v>
      </c>
      <c r="G547" t="s">
        <v>49</v>
      </c>
      <c r="H547" t="s">
        <v>319</v>
      </c>
      <c r="I547" t="s">
        <v>320</v>
      </c>
      <c r="J547" t="s">
        <v>37</v>
      </c>
      <c r="K547" t="s">
        <v>163</v>
      </c>
      <c r="L547" t="s">
        <v>2642</v>
      </c>
      <c r="M547" t="s">
        <v>55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41</v>
      </c>
      <c r="U547" t="s">
        <v>42</v>
      </c>
      <c r="V547">
        <f t="shared" si="48"/>
        <v>17260.117000000002</v>
      </c>
      <c r="W547">
        <f t="shared" si="49"/>
        <v>3746.6099999999988</v>
      </c>
      <c r="X547">
        <f t="shared" si="50"/>
        <v>0.21706743637935311</v>
      </c>
      <c r="Y547" t="str">
        <f>_xlfn.TEXTJOIN(", ",TRUE,IF(G547="Unknown","Missing Region",""),IF(M547="Unknown","Missing Ship Mode",""),IF(P547&lt;0,"Negative Discount",""),IF(P547&gt;0.7,"High Discount",""),IF(C547&lt;B547,"Ship Before Order",""))</f>
        <v/>
      </c>
      <c r="Z547" s="2">
        <f>IFERROR(
  IF(ISNUMBER(B547),B547,
    IF(ISNUMBER(SEARCH("-",B547)*1),
      IF(LEN(LEFT(B547,FIND("-",B547)-1))=4,
        DATE(VALUE(LEFT(B547,4)),VALUE(MID(B547,6,2)),VALUE(RIGHT(B547,2))),
        DATE(VALUE(RIGHT(B547,4)),VALUE(MID(B547,4,2)),VALUE(LEFT(B547,2)))
      ),
      IF(ISNUMBER(SEARCH("/",B547)*1),
        DATE(VALUE(RIGHT(B547,4)),VALUE(LEFT(B547,2)),VALUE(MID(B547,4,2))),
        DATEVALUE(B547)
      )
    )
  ),
"INVALID_DATE")</f>
        <v>45439</v>
      </c>
      <c r="AA547" s="2">
        <f>IFERROR(
  IF(ISNUMBER(C547),C547,
    IF(ISNUMBER(SEARCH("-",C547)*1),
      IF(LEN(LEFT(C547,FIND("-",C547)-1))=4,
        DATE(VALUE(LEFT(C547,4)),VALUE(MID(C547,6,2)),VALUE(RIGHT(C547,2))),
        DATE(VALUE(RIGHT(C547,4)),VALUE(MID(C547,4,2)),VALUE(LEFT(C547,2)))
      ),
      IF(ISNUMBER(SEARCH("/",C547)*1),
        DATE(VALUE(RIGHT(C547,4)),VALUE(LEFT(C547,2)),VALUE(MID(C547,4,2))),
        DATEVALUE(C547)
      )
    )
  ),
"INVALID_DATE")</f>
        <v>45442</v>
      </c>
      <c r="AB547">
        <f t="shared" si="51"/>
        <v>3</v>
      </c>
      <c r="AC547" t="str">
        <f t="shared" si="52"/>
        <v>May</v>
      </c>
      <c r="AD547">
        <f t="shared" si="53"/>
        <v>2024</v>
      </c>
    </row>
    <row r="548" spans="1:30">
      <c r="A548" t="s">
        <v>2643</v>
      </c>
      <c r="B548" t="s">
        <v>2644</v>
      </c>
      <c r="C548" t="s">
        <v>1499</v>
      </c>
      <c r="D548" t="s">
        <v>2645</v>
      </c>
      <c r="E548" t="s">
        <v>68</v>
      </c>
      <c r="F548" t="s">
        <v>115</v>
      </c>
      <c r="G548" t="s">
        <v>80</v>
      </c>
      <c r="H548" t="s">
        <v>242</v>
      </c>
      <c r="I548" t="s">
        <v>243</v>
      </c>
      <c r="J548" t="s">
        <v>2646</v>
      </c>
      <c r="K548" t="s">
        <v>38</v>
      </c>
      <c r="L548" t="s">
        <v>2647</v>
      </c>
      <c r="M548" t="s">
        <v>63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41</v>
      </c>
      <c r="U548" t="s">
        <v>42</v>
      </c>
      <c r="V548">
        <f t="shared" si="48"/>
        <v>10911.322499999998</v>
      </c>
      <c r="W548">
        <f t="shared" si="49"/>
        <v>3944.88</v>
      </c>
      <c r="X548">
        <f t="shared" si="50"/>
        <v>0.40280827617556814</v>
      </c>
      <c r="Y548" t="str">
        <f>_xlfn.TEXTJOIN(", ",TRUE,IF(G548="Unknown","Missing Region",""),IF(M548="Unknown","Missing Ship Mode",""),IF(P548&lt;0,"Negative Discount",""),IF(P548&gt;0.7,"High Discount",""),IF(C548&lt;B548,"Ship Before Order",""))</f>
        <v/>
      </c>
      <c r="Z548" s="2">
        <f>IFERROR(
  IF(ISNUMBER(B548),B548,
    IF(ISNUMBER(SEARCH("-",B548)*1),
      IF(LEN(LEFT(B548,FIND("-",B548)-1))=4,
        DATE(VALUE(LEFT(B548,4)),VALUE(MID(B548,6,2)),VALUE(RIGHT(B548,2))),
        DATE(VALUE(RIGHT(B548,4)),VALUE(MID(B548,4,2)),VALUE(LEFT(B548,2)))
      ),
      IF(ISNUMBER(SEARCH("/",B548)*1),
        DATE(VALUE(RIGHT(B548,4)),VALUE(LEFT(B548,2)),VALUE(MID(B548,4,2))),
        DATEVALUE(B548)
      )
    )
  ),
"INVALID_DATE")</f>
        <v>45883</v>
      </c>
      <c r="AA548" s="2">
        <f>IFERROR(
  IF(ISNUMBER(C548),C548,
    IF(ISNUMBER(SEARCH("-",C548)*1),
      IF(LEN(LEFT(C548,FIND("-",C548)-1))=4,
        DATE(VALUE(LEFT(C548,4)),VALUE(MID(C548,6,2)),VALUE(RIGHT(C548,2))),
        DATE(VALUE(RIGHT(C548,4)),VALUE(MID(C548,4,2)),VALUE(LEFT(C548,2)))
      ),
      IF(ISNUMBER(SEARCH("/",C548)*1),
        DATE(VALUE(RIGHT(C548,4)),VALUE(LEFT(C548,2)),VALUE(MID(C548,4,2))),
        DATEVALUE(C548)
      )
    )
  ),
"INVALID_DATE")</f>
        <v>45891</v>
      </c>
      <c r="AB548">
        <f t="shared" si="51"/>
        <v>8</v>
      </c>
      <c r="AC548" t="str">
        <f t="shared" si="52"/>
        <v>August</v>
      </c>
      <c r="AD548">
        <f t="shared" si="53"/>
        <v>2025</v>
      </c>
    </row>
    <row r="549" spans="1:30">
      <c r="A549" t="s">
        <v>2648</v>
      </c>
      <c r="B549" t="s">
        <v>2649</v>
      </c>
      <c r="C549" t="s">
        <v>2650</v>
      </c>
      <c r="D549" t="s">
        <v>2651</v>
      </c>
      <c r="E549" t="s">
        <v>100</v>
      </c>
      <c r="F549" t="s">
        <v>48</v>
      </c>
      <c r="G549" t="s">
        <v>34</v>
      </c>
      <c r="H549" t="s">
        <v>181</v>
      </c>
      <c r="I549" t="s">
        <v>182</v>
      </c>
      <c r="J549" t="s">
        <v>93</v>
      </c>
      <c r="K549" t="s">
        <v>101</v>
      </c>
      <c r="L549" t="s">
        <v>2652</v>
      </c>
      <c r="M549" t="s">
        <v>74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41</v>
      </c>
      <c r="U549" t="s">
        <v>42</v>
      </c>
      <c r="V549">
        <f t="shared" si="48"/>
        <v>30148.929000000004</v>
      </c>
      <c r="W549">
        <f t="shared" si="49"/>
        <v>4993.8600000000006</v>
      </c>
      <c r="X549">
        <f t="shared" si="50"/>
        <v>0.16563970926994753</v>
      </c>
      <c r="Y549" t="str">
        <f>_xlfn.TEXTJOIN(", ",TRUE,IF(G549="Unknown","Missing Region",""),IF(M549="Unknown","Missing Ship Mode",""),IF(P549&lt;0,"Negative Discount",""),IF(P549&gt;0.7,"High Discount",""),IF(C549&lt;B549,"Ship Before Order",""))</f>
        <v/>
      </c>
      <c r="Z549" s="2">
        <f>IFERROR(
  IF(ISNUMBER(B549),B549,
    IF(ISNUMBER(SEARCH("-",B549)*1),
      IF(LEN(LEFT(B549,FIND("-",B549)-1))=4,
        DATE(VALUE(LEFT(B549,4)),VALUE(MID(B549,6,2)),VALUE(RIGHT(B549,2))),
        DATE(VALUE(RIGHT(B549,4)),VALUE(MID(B549,4,2)),VALUE(LEFT(B549,2)))
      ),
      IF(ISNUMBER(SEARCH("/",B549)*1),
        DATE(VALUE(RIGHT(B549,4)),VALUE(LEFT(B549,2)),VALUE(MID(B549,4,2))),
        DATEVALUE(B549)
      )
    )
  ),
"INVALID_DATE")</f>
        <v>45428</v>
      </c>
      <c r="AA549" s="2">
        <f>IFERROR(
  IF(ISNUMBER(C549),C549,
    IF(ISNUMBER(SEARCH("-",C549)*1),
      IF(LEN(LEFT(C549,FIND("-",C549)-1))=4,
        DATE(VALUE(LEFT(C549,4)),VALUE(MID(C549,6,2)),VALUE(RIGHT(C549,2))),
        DATE(VALUE(RIGHT(C549,4)),VALUE(MID(C549,4,2)),VALUE(LEFT(C549,2)))
      ),
      IF(ISNUMBER(SEARCH("/",C549)*1),
        DATE(VALUE(RIGHT(C549,4)),VALUE(LEFT(C549,2)),VALUE(MID(C549,4,2))),
        DATEVALUE(C549)
      )
    )
  ),
"INVALID_DATE")</f>
        <v>45435</v>
      </c>
      <c r="AB549">
        <f t="shared" si="51"/>
        <v>7</v>
      </c>
      <c r="AC549" t="str">
        <f t="shared" si="52"/>
        <v>May</v>
      </c>
      <c r="AD549">
        <f t="shared" si="53"/>
        <v>2024</v>
      </c>
    </row>
    <row r="550" spans="1:30">
      <c r="A550" t="s">
        <v>2653</v>
      </c>
      <c r="B550" t="s">
        <v>282</v>
      </c>
      <c r="C550" t="s">
        <v>281</v>
      </c>
      <c r="D550" t="s">
        <v>2654</v>
      </c>
      <c r="E550" t="s">
        <v>187</v>
      </c>
      <c r="F550" t="s">
        <v>115</v>
      </c>
      <c r="G550" t="s">
        <v>49</v>
      </c>
      <c r="H550" t="s">
        <v>193</v>
      </c>
      <c r="I550" t="s">
        <v>194</v>
      </c>
      <c r="J550" t="s">
        <v>52</v>
      </c>
      <c r="K550" t="s">
        <v>211</v>
      </c>
      <c r="L550" t="s">
        <v>2655</v>
      </c>
      <c r="M550" t="s">
        <v>55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144</v>
      </c>
      <c r="U550" t="s">
        <v>85</v>
      </c>
      <c r="V550">
        <f t="shared" si="48"/>
        <v>1072.01</v>
      </c>
      <c r="W550">
        <f t="shared" si="49"/>
        <v>219.39</v>
      </c>
      <c r="X550">
        <f t="shared" si="50"/>
        <v>0.20465294167032022</v>
      </c>
      <c r="Y550" t="str">
        <f>_xlfn.TEXTJOIN(", ",TRUE,IF(G550="Unknown","Missing Region",""),IF(M550="Unknown","Missing Ship Mode",""),IF(P550&lt;0,"Negative Discount",""),IF(P550&gt;0.7,"High Discount",""),IF(C550&lt;B550,"Ship Before Order",""))</f>
        <v/>
      </c>
      <c r="Z550" s="2">
        <f>IFERROR(
  IF(ISNUMBER(B550),B550,
    IF(ISNUMBER(SEARCH("-",B550)*1),
      IF(LEN(LEFT(B550,FIND("-",B550)-1))=4,
        DATE(VALUE(LEFT(B550,4)),VALUE(MID(B550,6,2)),VALUE(RIGHT(B550,2))),
        DATE(VALUE(RIGHT(B550,4)),VALUE(MID(B550,4,2)),VALUE(LEFT(B550,2)))
      ),
      IF(ISNUMBER(SEARCH("/",B550)*1),
        DATE(VALUE(RIGHT(B550,4)),VALUE(LEFT(B550,2)),VALUE(MID(B550,4,2))),
        DATEVALUE(B550)
      )
    )
  ),
"INVALID_DATE")</f>
        <v>45441</v>
      </c>
      <c r="AA550" s="2">
        <f>IFERROR(
  IF(ISNUMBER(C550),C550,
    IF(ISNUMBER(SEARCH("-",C550)*1),
      IF(LEN(LEFT(C550,FIND("-",C550)-1))=4,
        DATE(VALUE(LEFT(C550,4)),VALUE(MID(C550,6,2)),VALUE(RIGHT(C550,2))),
        DATE(VALUE(RIGHT(C550,4)),VALUE(MID(C550,4,2)),VALUE(LEFT(C550,2)))
      ),
      IF(ISNUMBER(SEARCH("/",C550)*1),
        DATE(VALUE(RIGHT(C550,4)),VALUE(LEFT(C550,2)),VALUE(MID(C550,4,2))),
        DATEVALUE(C550)
      )
    )
  ),
"INVALID_DATE")</f>
        <v>45441</v>
      </c>
      <c r="AB550">
        <f t="shared" si="51"/>
        <v>0</v>
      </c>
      <c r="AC550" t="str">
        <f t="shared" si="52"/>
        <v>May</v>
      </c>
      <c r="AD550">
        <f t="shared" si="53"/>
        <v>2024</v>
      </c>
    </row>
    <row r="551" spans="1:30">
      <c r="A551" t="s">
        <v>2656</v>
      </c>
      <c r="B551" t="s">
        <v>2657</v>
      </c>
      <c r="C551" t="s">
        <v>2658</v>
      </c>
      <c r="D551" t="s">
        <v>2659</v>
      </c>
      <c r="E551" t="s">
        <v>47</v>
      </c>
      <c r="F551" t="s">
        <v>115</v>
      </c>
      <c r="G551" t="s">
        <v>69</v>
      </c>
      <c r="H551" t="s">
        <v>70</v>
      </c>
      <c r="I551" t="s">
        <v>71</v>
      </c>
      <c r="J551" t="s">
        <v>37</v>
      </c>
      <c r="K551" t="s">
        <v>61</v>
      </c>
      <c r="L551" t="s">
        <v>2660</v>
      </c>
      <c r="M551" t="s">
        <v>40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41</v>
      </c>
      <c r="U551" t="s">
        <v>42</v>
      </c>
      <c r="V551">
        <f t="shared" si="48"/>
        <v>10271.528999999999</v>
      </c>
      <c r="W551">
        <f t="shared" si="49"/>
        <v>1999.2900000000009</v>
      </c>
      <c r="X551">
        <f t="shared" si="50"/>
        <v>0.19464383592317794</v>
      </c>
      <c r="Y551" t="str">
        <f>_xlfn.TEXTJOIN(", ",TRUE,IF(G551="Unknown","Missing Region",""),IF(M551="Unknown","Missing Ship Mode",""),IF(P551&lt;0,"Negative Discount",""),IF(P551&gt;0.7,"High Discount",""),IF(C551&lt;B551,"Ship Before Order",""))</f>
        <v/>
      </c>
      <c r="Z551" s="2">
        <f>IFERROR(
  IF(ISNUMBER(B551),B551,
    IF(ISNUMBER(SEARCH("-",B551)*1),
      IF(LEN(LEFT(B551,FIND("-",B551)-1))=4,
        DATE(VALUE(LEFT(B551,4)),VALUE(MID(B551,6,2)),VALUE(RIGHT(B551,2))),
        DATE(VALUE(RIGHT(B551,4)),VALUE(MID(B551,4,2)),VALUE(LEFT(B551,2)))
      ),
      IF(ISNUMBER(SEARCH("/",B551)*1),
        DATE(VALUE(RIGHT(B551,4)),VALUE(LEFT(B551,2)),VALUE(MID(B551,4,2))),
        DATEVALUE(B551)
      )
    )
  ),
"INVALID_DATE")</f>
        <v>45941</v>
      </c>
      <c r="AA551" s="2">
        <f>IFERROR(
  IF(ISNUMBER(C551),C551,
    IF(ISNUMBER(SEARCH("-",C551)*1),
      IF(LEN(LEFT(C551,FIND("-",C551)-1))=4,
        DATE(VALUE(LEFT(C551,4)),VALUE(MID(C551,6,2)),VALUE(RIGHT(C551,2))),
        DATE(VALUE(RIGHT(C551,4)),VALUE(MID(C551,4,2)),VALUE(LEFT(C551,2)))
      ),
      IF(ISNUMBER(SEARCH("/",C551)*1),
        DATE(VALUE(RIGHT(C551,4)),VALUE(LEFT(C551,2)),VALUE(MID(C551,4,2))),
        DATEVALUE(C551)
      )
    )
  ),
"INVALID_DATE")</f>
        <v>45943</v>
      </c>
      <c r="AB551">
        <f t="shared" si="51"/>
        <v>2</v>
      </c>
      <c r="AC551" t="str">
        <f t="shared" si="52"/>
        <v>October</v>
      </c>
      <c r="AD551">
        <f t="shared" si="53"/>
        <v>2025</v>
      </c>
    </row>
    <row r="552" spans="1:30">
      <c r="A552" t="s">
        <v>2661</v>
      </c>
      <c r="B552" t="s">
        <v>546</v>
      </c>
      <c r="C552" t="s">
        <v>2662</v>
      </c>
      <c r="D552" t="s">
        <v>2663</v>
      </c>
      <c r="E552" t="s">
        <v>47</v>
      </c>
      <c r="F552" t="s">
        <v>122</v>
      </c>
      <c r="G552" t="s">
        <v>49</v>
      </c>
      <c r="H552" t="s">
        <v>50</v>
      </c>
      <c r="I552" t="s">
        <v>51</v>
      </c>
      <c r="J552" t="s">
        <v>93</v>
      </c>
      <c r="K552" t="s">
        <v>94</v>
      </c>
      <c r="L552" t="s">
        <v>2664</v>
      </c>
      <c r="M552" t="s">
        <v>74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41</v>
      </c>
      <c r="U552" t="s">
        <v>42</v>
      </c>
      <c r="V552">
        <f t="shared" si="48"/>
        <v>10206.912</v>
      </c>
      <c r="W552">
        <f t="shared" si="49"/>
        <v>3442.38</v>
      </c>
      <c r="X552">
        <f t="shared" si="50"/>
        <v>0.33725975834018329</v>
      </c>
      <c r="Y552" t="str">
        <f>_xlfn.TEXTJOIN(", ",TRUE,IF(G552="Unknown","Missing Region",""),IF(M552="Unknown","Missing Ship Mode",""),IF(P552&lt;0,"Negative Discount",""),IF(P552&gt;0.7,"High Discount",""),IF(C552&lt;B552,"Ship Before Order",""))</f>
        <v/>
      </c>
      <c r="Z552" s="2">
        <f>IFERROR(
  IF(ISNUMBER(B552),B552,
    IF(ISNUMBER(SEARCH("-",B552)*1),
      IF(LEN(LEFT(B552,FIND("-",B552)-1))=4,
        DATE(VALUE(LEFT(B552,4)),VALUE(MID(B552,6,2)),VALUE(RIGHT(B552,2))),
        DATE(VALUE(RIGHT(B552,4)),VALUE(MID(B552,4,2)),VALUE(LEFT(B552,2)))
      ),
      IF(ISNUMBER(SEARCH("/",B552)*1),
        DATE(VALUE(RIGHT(B552,4)),VALUE(LEFT(B552,2)),VALUE(MID(B552,4,2))),
        DATEVALUE(B552)
      )
    )
  ),
"INVALID_DATE")</f>
        <v>45506</v>
      </c>
      <c r="AA552" s="2">
        <f>IFERROR(
  IF(ISNUMBER(C552),C552,
    IF(ISNUMBER(SEARCH("-",C552)*1),
      IF(LEN(LEFT(C552,FIND("-",C552)-1))=4,
        DATE(VALUE(LEFT(C552,4)),VALUE(MID(C552,6,2)),VALUE(RIGHT(C552,2))),
        DATE(VALUE(RIGHT(C552,4)),VALUE(MID(C552,4,2)),VALUE(LEFT(C552,2)))
      ),
      IF(ISNUMBER(SEARCH("/",C552)*1),
        DATE(VALUE(RIGHT(C552,4)),VALUE(LEFT(C552,2)),VALUE(MID(C552,4,2))),
        DATEVALUE(C552)
      )
    )
  ),
"INVALID_DATE")</f>
        <v>45514</v>
      </c>
      <c r="AB552">
        <f t="shared" si="51"/>
        <v>8</v>
      </c>
      <c r="AC552" t="str">
        <f t="shared" si="52"/>
        <v>August</v>
      </c>
      <c r="AD552">
        <f t="shared" si="53"/>
        <v>2024</v>
      </c>
    </row>
    <row r="553" spans="1:30">
      <c r="A553" t="s">
        <v>2665</v>
      </c>
      <c r="B553" t="s">
        <v>2097</v>
      </c>
      <c r="C553" t="s">
        <v>2666</v>
      </c>
      <c r="D553" t="s">
        <v>2667</v>
      </c>
      <c r="E553" t="s">
        <v>175</v>
      </c>
      <c r="F553" t="s">
        <v>33</v>
      </c>
      <c r="G553" t="s">
        <v>49</v>
      </c>
      <c r="H553" t="s">
        <v>319</v>
      </c>
      <c r="I553" t="s">
        <v>320</v>
      </c>
      <c r="J553" t="s">
        <v>52</v>
      </c>
      <c r="K553" t="s">
        <v>83</v>
      </c>
      <c r="L553" t="s">
        <v>2668</v>
      </c>
      <c r="M553" t="s">
        <v>40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41</v>
      </c>
      <c r="U553" t="s">
        <v>42</v>
      </c>
      <c r="V553">
        <f t="shared" si="48"/>
        <v>8027.6294999999991</v>
      </c>
      <c r="W553">
        <f t="shared" si="49"/>
        <v>2531.54</v>
      </c>
      <c r="X553">
        <f t="shared" si="50"/>
        <v>0.31535334837305656</v>
      </c>
      <c r="Y553" t="str">
        <f>_xlfn.TEXTJOIN(", ",TRUE,IF(G553="Unknown","Missing Region",""),IF(M553="Unknown","Missing Ship Mode",""),IF(P553&lt;0,"Negative Discount",""),IF(P553&gt;0.7,"High Discount",""),IF(C553&lt;B553,"Ship Before Order",""))</f>
        <v>Ship Before Order</v>
      </c>
      <c r="Z553" s="2">
        <f>IFERROR(
  IF(ISNUMBER(B553),B553,
    IF(ISNUMBER(SEARCH("-",B553)*1),
      IF(LEN(LEFT(B553,FIND("-",B553)-1))=4,
        DATE(VALUE(LEFT(B553,4)),VALUE(MID(B553,6,2)),VALUE(RIGHT(B553,2))),
        DATE(VALUE(RIGHT(B553,4)),VALUE(MID(B553,4,2)),VALUE(LEFT(B553,2)))
      ),
      IF(ISNUMBER(SEARCH("/",B553)*1),
        DATE(VALUE(RIGHT(B553,4)),VALUE(LEFT(B553,2)),VALUE(MID(B553,4,2))),
        DATEVALUE(B553)
      )
    )
  ),
"INVALID_DATE")</f>
        <v>45349</v>
      </c>
      <c r="AA553" s="2">
        <f>IFERROR(
  IF(ISNUMBER(C553),C553,
    IF(ISNUMBER(SEARCH("-",C553)*1),
      IF(LEN(LEFT(C553,FIND("-",C553)-1))=4,
        DATE(VALUE(LEFT(C553,4)),VALUE(MID(C553,6,2)),VALUE(RIGHT(C553,2))),
        DATE(VALUE(RIGHT(C553,4)),VALUE(MID(C553,4,2)),VALUE(LEFT(C553,2)))
      ),
      IF(ISNUMBER(SEARCH("/",C553)*1),
        DATE(VALUE(RIGHT(C553,4)),VALUE(LEFT(C553,2)),VALUE(MID(C553,4,2))),
        DATEVALUE(C553)
      )
    )
  ),
"INVALID_DATE")</f>
        <v>45349</v>
      </c>
      <c r="AB553">
        <f t="shared" si="51"/>
        <v>0</v>
      </c>
      <c r="AC553" t="str">
        <f t="shared" si="52"/>
        <v>February</v>
      </c>
      <c r="AD553">
        <f t="shared" si="53"/>
        <v>2024</v>
      </c>
    </row>
    <row r="554" spans="1:30">
      <c r="A554" t="s">
        <v>2669</v>
      </c>
      <c r="B554" t="s">
        <v>197</v>
      </c>
      <c r="C554" t="s">
        <v>351</v>
      </c>
      <c r="D554" t="s">
        <v>2670</v>
      </c>
      <c r="E554" t="s">
        <v>79</v>
      </c>
      <c r="F554" t="s">
        <v>115</v>
      </c>
      <c r="G554" t="s">
        <v>49</v>
      </c>
      <c r="H554" t="s">
        <v>128</v>
      </c>
      <c r="I554" t="s">
        <v>129</v>
      </c>
      <c r="J554" t="s">
        <v>93</v>
      </c>
      <c r="K554" t="s">
        <v>101</v>
      </c>
      <c r="L554" t="s">
        <v>2671</v>
      </c>
      <c r="M554" t="s">
        <v>74</v>
      </c>
      <c r="N554">
        <v>8</v>
      </c>
      <c r="O554">
        <v>312.52999999999997</v>
      </c>
      <c r="P554" t="s">
        <v>689</v>
      </c>
      <c r="Q554">
        <v>1875.18</v>
      </c>
      <c r="R554">
        <v>1579.17</v>
      </c>
      <c r="S554">
        <v>296.01</v>
      </c>
      <c r="T554" t="s">
        <v>41</v>
      </c>
      <c r="U554" t="s">
        <v>42</v>
      </c>
      <c r="V554">
        <f t="shared" si="48"/>
        <v>750.072</v>
      </c>
      <c r="W554">
        <f t="shared" si="49"/>
        <v>296.01</v>
      </c>
      <c r="X554">
        <f t="shared" si="50"/>
        <v>0.15785684574280867</v>
      </c>
      <c r="Y554" t="str">
        <f>_xlfn.TEXTJOIN(", ",TRUE,IF(G554="Unknown","Missing Region",""),IF(M554="Unknown","Missing Ship Mode",""),IF(P554&lt;0,"Negative Discount",""),IF(P554&gt;0.7,"High Discount",""),IF(C554&lt;B554,"Ship Before Order",""))</f>
        <v>High Discount</v>
      </c>
      <c r="Z554" s="2">
        <f>IFERROR(
  IF(ISNUMBER(B554),B554,
    IF(ISNUMBER(SEARCH("-",B554)*1),
      IF(LEN(LEFT(B554,FIND("-",B554)-1))=4,
        DATE(VALUE(LEFT(B554,4)),VALUE(MID(B554,6,2)),VALUE(RIGHT(B554,2))),
        DATE(VALUE(RIGHT(B554,4)),VALUE(MID(B554,4,2)),VALUE(LEFT(B554,2)))
      ),
      IF(ISNUMBER(SEARCH("/",B554)*1),
        DATE(VALUE(RIGHT(B554,4)),VALUE(LEFT(B554,2)),VALUE(MID(B554,4,2))),
        DATEVALUE(B554)
      )
    )
  ),
"INVALID_DATE")</f>
        <v>45681</v>
      </c>
      <c r="AA554" s="2">
        <f>IFERROR(
  IF(ISNUMBER(C554),C554,
    IF(ISNUMBER(SEARCH("-",C554)*1),
      IF(LEN(LEFT(C554,FIND("-",C554)-1))=4,
        DATE(VALUE(LEFT(C554,4)),VALUE(MID(C554,6,2)),VALUE(RIGHT(C554,2))),
        DATE(VALUE(RIGHT(C554,4)),VALUE(MID(C554,4,2)),VALUE(LEFT(C554,2)))
      ),
      IF(ISNUMBER(SEARCH("/",C554)*1),
        DATE(VALUE(RIGHT(C554,4)),VALUE(LEFT(C554,2)),VALUE(MID(C554,4,2))),
        DATEVALUE(C554)
      )
    )
  ),
"INVALID_DATE")</f>
        <v>45687</v>
      </c>
      <c r="AB554">
        <f t="shared" si="51"/>
        <v>6</v>
      </c>
      <c r="AC554" t="str">
        <f t="shared" si="52"/>
        <v>January</v>
      </c>
      <c r="AD554">
        <f t="shared" si="53"/>
        <v>2025</v>
      </c>
    </row>
    <row r="555" spans="1:30">
      <c r="A555" t="s">
        <v>2672</v>
      </c>
      <c r="B555" t="s">
        <v>2673</v>
      </c>
      <c r="C555" t="s">
        <v>2674</v>
      </c>
      <c r="D555" t="s">
        <v>2675</v>
      </c>
      <c r="E555" t="s">
        <v>169</v>
      </c>
      <c r="F555" t="s">
        <v>48</v>
      </c>
      <c r="G555" t="s">
        <v>80</v>
      </c>
      <c r="H555" t="s">
        <v>242</v>
      </c>
      <c r="I555" t="s">
        <v>243</v>
      </c>
      <c r="J555" t="s">
        <v>37</v>
      </c>
      <c r="K555" t="s">
        <v>163</v>
      </c>
      <c r="L555" t="s">
        <v>2676</v>
      </c>
      <c r="M555" t="s">
        <v>63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41</v>
      </c>
      <c r="U555" t="s">
        <v>42</v>
      </c>
      <c r="V555">
        <f t="shared" si="48"/>
        <v>8735.2425000000003</v>
      </c>
      <c r="W555">
        <f t="shared" si="49"/>
        <v>2115.17</v>
      </c>
      <c r="X555">
        <f t="shared" si="50"/>
        <v>0.24214217354073844</v>
      </c>
      <c r="Y555" t="str">
        <f>_xlfn.TEXTJOIN(", ",TRUE,IF(G555="Unknown","Missing Region",""),IF(M555="Unknown","Missing Ship Mode",""),IF(P555&lt;0,"Negative Discount",""),IF(P555&gt;0.7,"High Discount",""),IF(C555&lt;B555,"Ship Before Order",""))</f>
        <v/>
      </c>
      <c r="Z555" s="2">
        <f>IFERROR(
  IF(ISNUMBER(B555),B555,
    IF(ISNUMBER(SEARCH("-",B555)*1),
      IF(LEN(LEFT(B555,FIND("-",B555)-1))=4,
        DATE(VALUE(LEFT(B555,4)),VALUE(MID(B555,6,2)),VALUE(RIGHT(B555,2))),
        DATE(VALUE(RIGHT(B555,4)),VALUE(MID(B555,4,2)),VALUE(LEFT(B555,2)))
      ),
      IF(ISNUMBER(SEARCH("/",B555)*1),
        DATE(VALUE(RIGHT(B555,4)),VALUE(LEFT(B555,2)),VALUE(MID(B555,4,2))),
        DATEVALUE(B555)
      )
    )
  ),
"INVALID_DATE")</f>
        <v>45772</v>
      </c>
      <c r="AA555" s="2">
        <f>IFERROR(
  IF(ISNUMBER(C555),C555,
    IF(ISNUMBER(SEARCH("-",C555)*1),
      IF(LEN(LEFT(C555,FIND("-",C555)-1))=4,
        DATE(VALUE(LEFT(C555,4)),VALUE(MID(C555,6,2)),VALUE(RIGHT(C555,2))),
        DATE(VALUE(RIGHT(C555,4)),VALUE(MID(C555,4,2)),VALUE(LEFT(C555,2)))
      ),
      IF(ISNUMBER(SEARCH("/",C555)*1),
        DATE(VALUE(RIGHT(C555,4)),VALUE(LEFT(C555,2)),VALUE(MID(C555,4,2))),
        DATEVALUE(C555)
      )
    )
  ),
"INVALID_DATE")</f>
        <v>45775</v>
      </c>
      <c r="AB555">
        <f t="shared" si="51"/>
        <v>3</v>
      </c>
      <c r="AC555" t="str">
        <f t="shared" si="52"/>
        <v>April</v>
      </c>
      <c r="AD555">
        <f t="shared" si="53"/>
        <v>2025</v>
      </c>
    </row>
    <row r="556" spans="1:30">
      <c r="A556" t="s">
        <v>2677</v>
      </c>
      <c r="B556" t="s">
        <v>2678</v>
      </c>
      <c r="C556" t="s">
        <v>2679</v>
      </c>
      <c r="D556" t="s">
        <v>2680</v>
      </c>
      <c r="E556" t="s">
        <v>68</v>
      </c>
      <c r="F556" t="s">
        <v>33</v>
      </c>
      <c r="G556" t="s">
        <v>279</v>
      </c>
      <c r="H556" t="s">
        <v>319</v>
      </c>
      <c r="I556" t="s">
        <v>320</v>
      </c>
      <c r="J556" t="s">
        <v>52</v>
      </c>
      <c r="K556" t="s">
        <v>72</v>
      </c>
      <c r="L556" t="s">
        <v>2681</v>
      </c>
      <c r="M556" t="s">
        <v>74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41</v>
      </c>
      <c r="U556" t="s">
        <v>42</v>
      </c>
      <c r="V556">
        <f t="shared" si="48"/>
        <v>4070.636</v>
      </c>
      <c r="W556">
        <f t="shared" si="49"/>
        <v>1239.02</v>
      </c>
      <c r="X556">
        <f t="shared" si="50"/>
        <v>0.30437965528762062</v>
      </c>
      <c r="Y556" t="str">
        <f>_xlfn.TEXTJOIN(", ",TRUE,IF(G556="Unknown","Missing Region",""),IF(M556="Unknown","Missing Ship Mode",""),IF(P556&lt;0,"Negative Discount",""),IF(P556&gt;0.7,"High Discount",""),IF(C556&lt;B556,"Ship Before Order",""))</f>
        <v>Missing Region, Ship Before Order</v>
      </c>
      <c r="Z556" s="2">
        <f>IFERROR(
  IF(ISNUMBER(B556),B556,
    IF(ISNUMBER(SEARCH("-",B556)*1),
      IF(LEN(LEFT(B556,FIND("-",B556)-1))=4,
        DATE(VALUE(LEFT(B556,4)),VALUE(MID(B556,6,2)),VALUE(RIGHT(B556,2))),
        DATE(VALUE(RIGHT(B556,4)),VALUE(MID(B556,4,2)),VALUE(LEFT(B556,2)))
      ),
      IF(ISNUMBER(SEARCH("/",B556)*1),
        DATE(VALUE(RIGHT(B556,4)),VALUE(LEFT(B556,2)),VALUE(MID(B556,4,2))),
        DATEVALUE(B556)
      )
    )
  ),
"INVALID_DATE")</f>
        <v>45577</v>
      </c>
      <c r="AA556" s="2">
        <f>IFERROR(
  IF(ISNUMBER(C556),C556,
    IF(ISNUMBER(SEARCH("-",C556)*1),
      IF(LEN(LEFT(C556,FIND("-",C556)-1))=4,
        DATE(VALUE(LEFT(C556,4)),VALUE(MID(C556,6,2)),VALUE(RIGHT(C556,2))),
        DATE(VALUE(RIGHT(C556,4)),VALUE(MID(C556,4,2)),VALUE(LEFT(C556,2)))
      ),
      IF(ISNUMBER(SEARCH("/",C556)*1),
        DATE(VALUE(RIGHT(C556,4)),VALUE(LEFT(C556,2)),VALUE(MID(C556,4,2))),
        DATEVALUE(C556)
      )
    )
  ),
"INVALID_DATE")</f>
        <v>45582</v>
      </c>
      <c r="AB556">
        <f t="shared" si="51"/>
        <v>5</v>
      </c>
      <c r="AC556" t="str">
        <f t="shared" si="52"/>
        <v>October</v>
      </c>
      <c r="AD556">
        <f t="shared" si="53"/>
        <v>2024</v>
      </c>
    </row>
    <row r="557" spans="1:30">
      <c r="A557" t="s">
        <v>2682</v>
      </c>
      <c r="B557" t="s">
        <v>890</v>
      </c>
      <c r="C557" t="s">
        <v>2683</v>
      </c>
      <c r="D557" t="s">
        <v>2684</v>
      </c>
      <c r="E557" t="s">
        <v>79</v>
      </c>
      <c r="F557" t="s">
        <v>48</v>
      </c>
      <c r="G557" t="s">
        <v>69</v>
      </c>
      <c r="H557" t="s">
        <v>70</v>
      </c>
      <c r="I557" t="s">
        <v>71</v>
      </c>
      <c r="J557" t="s">
        <v>37</v>
      </c>
      <c r="K557" t="s">
        <v>163</v>
      </c>
      <c r="L557" t="s">
        <v>2685</v>
      </c>
      <c r="M557" t="s">
        <v>74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41</v>
      </c>
      <c r="U557" t="s">
        <v>42</v>
      </c>
      <c r="V557">
        <f t="shared" si="48"/>
        <v>5943.9599999999991</v>
      </c>
      <c r="W557">
        <f t="shared" si="49"/>
        <v>2339.8200000000002</v>
      </c>
      <c r="X557">
        <f t="shared" si="50"/>
        <v>0.39364665980255592</v>
      </c>
      <c r="Y557" t="str">
        <f>_xlfn.TEXTJOIN(", ",TRUE,IF(G557="Unknown","Missing Region",""),IF(M557="Unknown","Missing Ship Mode",""),IF(P557&lt;0,"Negative Discount",""),IF(P557&gt;0.7,"High Discount",""),IF(C557&lt;B557,"Ship Before Order",""))</f>
        <v/>
      </c>
      <c r="Z557" s="2">
        <f>IFERROR(
  IF(ISNUMBER(B557),B557,
    IF(ISNUMBER(SEARCH("-",B557)*1),
      IF(LEN(LEFT(B557,FIND("-",B557)-1))=4,
        DATE(VALUE(LEFT(B557,4)),VALUE(MID(B557,6,2)),VALUE(RIGHT(B557,2))),
        DATE(VALUE(RIGHT(B557,4)),VALUE(MID(B557,4,2)),VALUE(LEFT(B557,2)))
      ),
      IF(ISNUMBER(SEARCH("/",B557)*1),
        DATE(VALUE(RIGHT(B557,4)),VALUE(LEFT(B557,2)),VALUE(MID(B557,4,2))),
        DATEVALUE(B557)
      )
    )
  ),
"INVALID_DATE")</f>
        <v>45692</v>
      </c>
      <c r="AA557" s="2">
        <f>IFERROR(
  IF(ISNUMBER(C557),C557,
    IF(ISNUMBER(SEARCH("-",C557)*1),
      IF(LEN(LEFT(C557,FIND("-",C557)-1))=4,
        DATE(VALUE(LEFT(C557,4)),VALUE(MID(C557,6,2)),VALUE(RIGHT(C557,2))),
        DATE(VALUE(RIGHT(C557,4)),VALUE(MID(C557,4,2)),VALUE(LEFT(C557,2)))
      ),
      IF(ISNUMBER(SEARCH("/",C557)*1),
        DATE(VALUE(RIGHT(C557,4)),VALUE(LEFT(C557,2)),VALUE(MID(C557,4,2))),
        DATEVALUE(C557)
      )
    )
  ),
"INVALID_DATE")</f>
        <v>45698</v>
      </c>
      <c r="AB557">
        <f t="shared" si="51"/>
        <v>6</v>
      </c>
      <c r="AC557" t="str">
        <f t="shared" si="52"/>
        <v>February</v>
      </c>
      <c r="AD557">
        <f t="shared" si="53"/>
        <v>2025</v>
      </c>
    </row>
    <row r="558" spans="1:30">
      <c r="A558" t="s">
        <v>2686</v>
      </c>
      <c r="B558" t="s">
        <v>1561</v>
      </c>
      <c r="C558" t="s">
        <v>2103</v>
      </c>
      <c r="D558" t="s">
        <v>2687</v>
      </c>
      <c r="E558" t="s">
        <v>100</v>
      </c>
      <c r="F558" t="s">
        <v>33</v>
      </c>
      <c r="G558" t="s">
        <v>34</v>
      </c>
      <c r="H558" t="s">
        <v>331</v>
      </c>
      <c r="I558" t="s">
        <v>332</v>
      </c>
      <c r="J558" t="s">
        <v>52</v>
      </c>
      <c r="K558" t="s">
        <v>53</v>
      </c>
      <c r="L558" t="s">
        <v>2688</v>
      </c>
      <c r="M558" t="s">
        <v>63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41</v>
      </c>
      <c r="U558" t="s">
        <v>132</v>
      </c>
      <c r="V558">
        <f t="shared" si="48"/>
        <v>4426.66</v>
      </c>
      <c r="W558">
        <f t="shared" si="49"/>
        <v>1391.46</v>
      </c>
      <c r="X558">
        <f t="shared" si="50"/>
        <v>0.41029353959870424</v>
      </c>
      <c r="Y558" t="str">
        <f>_xlfn.TEXTJOIN(", ",TRUE,IF(G558="Unknown","Missing Region",""),IF(M558="Unknown","Missing Ship Mode",""),IF(P558&lt;0,"Negative Discount",""),IF(P558&gt;0.7,"High Discount",""),IF(C558&lt;B558,"Ship Before Order",""))</f>
        <v>Ship Before Order</v>
      </c>
      <c r="Z558" s="2">
        <f>IFERROR(
  IF(ISNUMBER(B558),B558,
    IF(ISNUMBER(SEARCH("-",B558)*1),
      IF(LEN(LEFT(B558,FIND("-",B558)-1))=4,
        DATE(VALUE(LEFT(B558,4)),VALUE(MID(B558,6,2)),VALUE(RIGHT(B558,2))),
        DATE(VALUE(RIGHT(B558,4)),VALUE(MID(B558,4,2)),VALUE(LEFT(B558,2)))
      ),
      IF(ISNUMBER(SEARCH("/",B558)*1),
        DATE(VALUE(RIGHT(B558,4)),VALUE(LEFT(B558,2)),VALUE(MID(B558,4,2))),
        DATEVALUE(B558)
      )
    )
  ),
"INVALID_DATE")</f>
        <v>45466</v>
      </c>
      <c r="AA558" s="2">
        <f>IFERROR(
  IF(ISNUMBER(C558),C558,
    IF(ISNUMBER(SEARCH("-",C558)*1),
      IF(LEN(LEFT(C558,FIND("-",C558)-1))=4,
        DATE(VALUE(LEFT(C558,4)),VALUE(MID(C558,6,2)),VALUE(RIGHT(C558,2))),
        DATE(VALUE(RIGHT(C558,4)),VALUE(MID(C558,4,2)),VALUE(LEFT(C558,2)))
      ),
      IF(ISNUMBER(SEARCH("/",C558)*1),
        DATE(VALUE(RIGHT(C558,4)),VALUE(LEFT(C558,2)),VALUE(MID(C558,4,2))),
        DATEVALUE(C558)
      )
    )
  ),
"INVALID_DATE")</f>
        <v>45472</v>
      </c>
      <c r="AB558">
        <f t="shared" si="51"/>
        <v>6</v>
      </c>
      <c r="AC558" t="str">
        <f t="shared" si="52"/>
        <v>June</v>
      </c>
      <c r="AD558">
        <f t="shared" si="53"/>
        <v>2024</v>
      </c>
    </row>
    <row r="559" spans="1:30">
      <c r="A559" t="s">
        <v>2689</v>
      </c>
      <c r="B559" t="s">
        <v>2690</v>
      </c>
      <c r="C559" t="s">
        <v>2691</v>
      </c>
      <c r="D559" t="s">
        <v>2692</v>
      </c>
      <c r="E559" t="s">
        <v>90</v>
      </c>
      <c r="F559" t="s">
        <v>122</v>
      </c>
      <c r="G559" t="s">
        <v>34</v>
      </c>
      <c r="H559" t="s">
        <v>331</v>
      </c>
      <c r="I559" t="s">
        <v>332</v>
      </c>
      <c r="J559" t="s">
        <v>93</v>
      </c>
      <c r="K559" t="s">
        <v>230</v>
      </c>
      <c r="L559" t="s">
        <v>2693</v>
      </c>
      <c r="M559" t="s">
        <v>63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41</v>
      </c>
      <c r="U559" t="s">
        <v>85</v>
      </c>
      <c r="V559">
        <f t="shared" si="48"/>
        <v>32228.883000000002</v>
      </c>
      <c r="W559">
        <f t="shared" si="49"/>
        <v>7257.52</v>
      </c>
      <c r="X559">
        <f t="shared" si="50"/>
        <v>0.22518685104788005</v>
      </c>
      <c r="Y559" t="str">
        <f>_xlfn.TEXTJOIN(", ",TRUE,IF(G559="Unknown","Missing Region",""),IF(M559="Unknown","Missing Ship Mode",""),IF(P559&lt;0,"Negative Discount",""),IF(P559&gt;0.7,"High Discount",""),IF(C559&lt;B559,"Ship Before Order",""))</f>
        <v>Ship Before Order</v>
      </c>
      <c r="Z559" s="2">
        <f>IFERROR(
  IF(ISNUMBER(B559),B559,
    IF(ISNUMBER(SEARCH("-",B559)*1),
      IF(LEN(LEFT(B559,FIND("-",B559)-1))=4,
        DATE(VALUE(LEFT(B559,4)),VALUE(MID(B559,6,2)),VALUE(RIGHT(B559,2))),
        DATE(VALUE(RIGHT(B559,4)),VALUE(MID(B559,4,2)),VALUE(LEFT(B559,2)))
      ),
      IF(ISNUMBER(SEARCH("/",B559)*1),
        DATE(VALUE(RIGHT(B559,4)),VALUE(LEFT(B559,2)),VALUE(MID(B559,4,2))),
        DATEVALUE(B559)
      )
    )
  ),
"INVALID_DATE")</f>
        <v>45420</v>
      </c>
      <c r="AA559" s="2">
        <f>IFERROR(
  IF(ISNUMBER(C559),C559,
    IF(ISNUMBER(SEARCH("-",C559)*1),
      IF(LEN(LEFT(C559,FIND("-",C559)-1))=4,
        DATE(VALUE(LEFT(C559,4)),VALUE(MID(C559,6,2)),VALUE(RIGHT(C559,2))),
        DATE(VALUE(RIGHT(C559,4)),VALUE(MID(C559,4,2)),VALUE(LEFT(C559,2)))
      ),
      IF(ISNUMBER(SEARCH("/",C559)*1),
        DATE(VALUE(RIGHT(C559,4)),VALUE(LEFT(C559,2)),VALUE(MID(C559,4,2))),
        DATEVALUE(C559)
      )
    )
  ),
"INVALID_DATE")</f>
        <v>45426</v>
      </c>
      <c r="AB559">
        <f t="shared" si="51"/>
        <v>6</v>
      </c>
      <c r="AC559" t="str">
        <f t="shared" si="52"/>
        <v>May</v>
      </c>
      <c r="AD559">
        <f t="shared" si="53"/>
        <v>2024</v>
      </c>
    </row>
    <row r="560" spans="1:30">
      <c r="A560" t="s">
        <v>2694</v>
      </c>
      <c r="B560" t="s">
        <v>2695</v>
      </c>
      <c r="C560" t="s">
        <v>2696</v>
      </c>
      <c r="D560" t="s">
        <v>2697</v>
      </c>
      <c r="E560" t="s">
        <v>114</v>
      </c>
      <c r="F560" t="s">
        <v>115</v>
      </c>
      <c r="G560" t="s">
        <v>34</v>
      </c>
      <c r="H560" t="s">
        <v>161</v>
      </c>
      <c r="I560" t="s">
        <v>162</v>
      </c>
      <c r="J560" t="s">
        <v>93</v>
      </c>
      <c r="K560" t="s">
        <v>390</v>
      </c>
      <c r="L560" t="s">
        <v>2698</v>
      </c>
      <c r="M560" t="s">
        <v>63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41</v>
      </c>
      <c r="U560" t="s">
        <v>42</v>
      </c>
      <c r="V560">
        <f t="shared" si="48"/>
        <v>19711.68</v>
      </c>
      <c r="W560">
        <f t="shared" si="49"/>
        <v>5249.880000000001</v>
      </c>
      <c r="X560">
        <f t="shared" si="50"/>
        <v>0.2663334632055715</v>
      </c>
      <c r="Y560" t="str">
        <f>_xlfn.TEXTJOIN(", ",TRUE,IF(G560="Unknown","Missing Region",""),IF(M560="Unknown","Missing Ship Mode",""),IF(P560&lt;0,"Negative Discount",""),IF(P560&gt;0.7,"High Discount",""),IF(C560&lt;B560,"Ship Before Order",""))</f>
        <v>Ship Before Order</v>
      </c>
      <c r="Z560" s="2">
        <f>IFERROR(
  IF(ISNUMBER(B560),B560,
    IF(ISNUMBER(SEARCH("-",B560)*1),
      IF(LEN(LEFT(B560,FIND("-",B560)-1))=4,
        DATE(VALUE(LEFT(B560,4)),VALUE(MID(B560,6,2)),VALUE(RIGHT(B560,2))),
        DATE(VALUE(RIGHT(B560,4)),VALUE(MID(B560,4,2)),VALUE(LEFT(B560,2)))
      ),
      IF(ISNUMBER(SEARCH("/",B560)*1),
        DATE(VALUE(RIGHT(B560,4)),VALUE(LEFT(B560,2)),VALUE(MID(B560,4,2))),
        DATEVALUE(B560)
      )
    )
  ),
"INVALID_DATE")</f>
        <v>45904</v>
      </c>
      <c r="AA560" s="2">
        <f>IFERROR(
  IF(ISNUMBER(C560),C560,
    IF(ISNUMBER(SEARCH("-",C560)*1),
      IF(LEN(LEFT(C560,FIND("-",C560)-1))=4,
        DATE(VALUE(LEFT(C560,4)),VALUE(MID(C560,6,2)),VALUE(RIGHT(C560,2))),
        DATE(VALUE(RIGHT(C560,4)),VALUE(MID(C560,4,2)),VALUE(LEFT(C560,2)))
      ),
      IF(ISNUMBER(SEARCH("/",C560)*1),
        DATE(VALUE(RIGHT(C560,4)),VALUE(LEFT(C560,2)),VALUE(MID(C560,4,2))),
        DATEVALUE(C560)
      )
    )
  ),
"INVALID_DATE")</f>
        <v>45904</v>
      </c>
      <c r="AB560">
        <f t="shared" si="51"/>
        <v>0</v>
      </c>
      <c r="AC560" t="str">
        <f t="shared" si="52"/>
        <v>September</v>
      </c>
      <c r="AD560">
        <f t="shared" si="53"/>
        <v>2025</v>
      </c>
    </row>
    <row r="561" spans="1:30">
      <c r="A561" t="s">
        <v>2699</v>
      </c>
      <c r="B561" t="s">
        <v>2265</v>
      </c>
      <c r="C561" t="s">
        <v>2700</v>
      </c>
      <c r="D561" t="s">
        <v>2701</v>
      </c>
      <c r="E561" t="s">
        <v>217</v>
      </c>
      <c r="F561" t="s">
        <v>115</v>
      </c>
      <c r="G561" t="s">
        <v>49</v>
      </c>
      <c r="H561" t="s">
        <v>193</v>
      </c>
      <c r="I561" t="s">
        <v>194</v>
      </c>
      <c r="J561" t="s">
        <v>93</v>
      </c>
      <c r="K561" t="s">
        <v>101</v>
      </c>
      <c r="L561" t="s">
        <v>2702</v>
      </c>
      <c r="M561" t="s">
        <v>40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41</v>
      </c>
      <c r="U561" t="s">
        <v>132</v>
      </c>
      <c r="V561">
        <f t="shared" si="48"/>
        <v>14750.19</v>
      </c>
      <c r="W561">
        <f t="shared" si="49"/>
        <v>5267.6100000000006</v>
      </c>
      <c r="X561">
        <f t="shared" si="50"/>
        <v>0.35712150148574356</v>
      </c>
      <c r="Y561" t="str">
        <f>_xlfn.TEXTJOIN(", ",TRUE,IF(G561="Unknown","Missing Region",""),IF(M561="Unknown","Missing Ship Mode",""),IF(P561&lt;0,"Negative Discount",""),IF(P561&gt;0.7,"High Discount",""),IF(C561&lt;B561,"Ship Before Order",""))</f>
        <v>Ship Before Order</v>
      </c>
      <c r="Z561" s="2">
        <f>IFERROR(
  IF(ISNUMBER(B561),B561,
    IF(ISNUMBER(SEARCH("-",B561)*1),
      IF(LEN(LEFT(B561,FIND("-",B561)-1))=4,
        DATE(VALUE(LEFT(B561,4)),VALUE(MID(B561,6,2)),VALUE(RIGHT(B561,2))),
        DATE(VALUE(RIGHT(B561,4)),VALUE(MID(B561,4,2)),VALUE(LEFT(B561,2)))
      ),
      IF(ISNUMBER(SEARCH("/",B561)*1),
        DATE(VALUE(RIGHT(B561,4)),VALUE(LEFT(B561,2)),VALUE(MID(B561,4,2))),
        DATEVALUE(B561)
      )
    )
  ),
"INVALID_DATE")</f>
        <v>45930</v>
      </c>
      <c r="AA561" s="2">
        <f>IFERROR(
  IF(ISNUMBER(C561),C561,
    IF(ISNUMBER(SEARCH("-",C561)*1),
      IF(LEN(LEFT(C561,FIND("-",C561)-1))=4,
        DATE(VALUE(LEFT(C561,4)),VALUE(MID(C561,6,2)),VALUE(RIGHT(C561,2))),
        DATE(VALUE(RIGHT(C561,4)),VALUE(MID(C561,4,2)),VALUE(LEFT(C561,2)))
      ),
      IF(ISNUMBER(SEARCH("/",C561)*1),
        DATE(VALUE(RIGHT(C561,4)),VALUE(LEFT(C561,2)),VALUE(MID(C561,4,2))),
        DATEVALUE(C561)
      )
    )
  ),
"INVALID_DATE")</f>
        <v>45937</v>
      </c>
      <c r="AB561">
        <f t="shared" si="51"/>
        <v>7</v>
      </c>
      <c r="AC561" t="str">
        <f t="shared" si="52"/>
        <v>September</v>
      </c>
      <c r="AD561">
        <f t="shared" si="53"/>
        <v>2025</v>
      </c>
    </row>
    <row r="562" spans="1:30">
      <c r="A562" t="s">
        <v>2703</v>
      </c>
      <c r="B562" t="s">
        <v>2704</v>
      </c>
      <c r="C562" t="s">
        <v>1066</v>
      </c>
      <c r="D562" t="s">
        <v>2705</v>
      </c>
      <c r="E562" t="s">
        <v>68</v>
      </c>
      <c r="F562" t="s">
        <v>33</v>
      </c>
      <c r="G562" t="s">
        <v>80</v>
      </c>
      <c r="H562" t="s">
        <v>256</v>
      </c>
      <c r="I562" t="s">
        <v>257</v>
      </c>
      <c r="J562" t="s">
        <v>37</v>
      </c>
      <c r="K562" t="s">
        <v>163</v>
      </c>
      <c r="L562" t="s">
        <v>2706</v>
      </c>
      <c r="M562" t="s">
        <v>74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41</v>
      </c>
      <c r="U562" t="s">
        <v>85</v>
      </c>
      <c r="V562">
        <f t="shared" si="48"/>
        <v>1130.1199999999999</v>
      </c>
      <c r="W562">
        <f t="shared" si="49"/>
        <v>281.49999999999989</v>
      </c>
      <c r="X562">
        <f t="shared" si="50"/>
        <v>0.24908859236187311</v>
      </c>
      <c r="Y562" t="str">
        <f>_xlfn.TEXTJOIN(", ",TRUE,IF(G562="Unknown","Missing Region",""),IF(M562="Unknown","Missing Ship Mode",""),IF(P562&lt;0,"Negative Discount",""),IF(P562&gt;0.7,"High Discount",""),IF(C562&lt;B562,"Ship Before Order",""))</f>
        <v/>
      </c>
      <c r="Z562" s="2">
        <f>IFERROR(
  IF(ISNUMBER(B562),B562,
    IF(ISNUMBER(SEARCH("-",B562)*1),
      IF(LEN(LEFT(B562,FIND("-",B562)-1))=4,
        DATE(VALUE(LEFT(B562,4)),VALUE(MID(B562,6,2)),VALUE(RIGHT(B562,2))),
        DATE(VALUE(RIGHT(B562,4)),VALUE(MID(B562,4,2)),VALUE(LEFT(B562,2)))
      ),
      IF(ISNUMBER(SEARCH("/",B562)*1),
        DATE(VALUE(RIGHT(B562,4)),VALUE(LEFT(B562,2)),VALUE(MID(B562,4,2))),
        DATEVALUE(B562)
      )
    )
  ),
"INVALID_DATE")</f>
        <v>45307</v>
      </c>
      <c r="AA562" s="2">
        <f>IFERROR(
  IF(ISNUMBER(C562),C562,
    IF(ISNUMBER(SEARCH("-",C562)*1),
      IF(LEN(LEFT(C562,FIND("-",C562)-1))=4,
        DATE(VALUE(LEFT(C562,4)),VALUE(MID(C562,6,2)),VALUE(RIGHT(C562,2))),
        DATE(VALUE(RIGHT(C562,4)),VALUE(MID(C562,4,2)),VALUE(LEFT(C562,2)))
      ),
      IF(ISNUMBER(SEARCH("/",C562)*1),
        DATE(VALUE(RIGHT(C562,4)),VALUE(LEFT(C562,2)),VALUE(MID(C562,4,2))),
        DATEVALUE(C562)
      )
    )
  ),
"INVALID_DATE")</f>
        <v>45313</v>
      </c>
      <c r="AB562">
        <f t="shared" si="51"/>
        <v>6</v>
      </c>
      <c r="AC562" t="str">
        <f t="shared" si="52"/>
        <v>January</v>
      </c>
      <c r="AD562">
        <f t="shared" si="53"/>
        <v>2024</v>
      </c>
    </row>
    <row r="563" spans="1:30">
      <c r="A563" t="s">
        <v>2707</v>
      </c>
      <c r="B563" t="s">
        <v>770</v>
      </c>
      <c r="C563" t="s">
        <v>2708</v>
      </c>
      <c r="D563" t="s">
        <v>2709</v>
      </c>
      <c r="E563" t="s">
        <v>114</v>
      </c>
      <c r="F563" t="s">
        <v>33</v>
      </c>
      <c r="G563" t="s">
        <v>34</v>
      </c>
      <c r="H563" t="s">
        <v>161</v>
      </c>
      <c r="I563" t="s">
        <v>162</v>
      </c>
      <c r="J563" t="s">
        <v>93</v>
      </c>
      <c r="K563" t="s">
        <v>101</v>
      </c>
      <c r="L563" t="s">
        <v>2710</v>
      </c>
      <c r="M563" t="s">
        <v>63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144</v>
      </c>
      <c r="U563" t="s">
        <v>132</v>
      </c>
      <c r="V563">
        <f t="shared" si="48"/>
        <v>2900.88</v>
      </c>
      <c r="W563">
        <f t="shared" si="49"/>
        <v>509.0300000000002</v>
      </c>
      <c r="X563">
        <f t="shared" si="50"/>
        <v>0.17547433882132316</v>
      </c>
      <c r="Y563" t="str">
        <f>_xlfn.TEXTJOIN(", ",TRUE,IF(G563="Unknown","Missing Region",""),IF(M563="Unknown","Missing Ship Mode",""),IF(P563&lt;0,"Negative Discount",""),IF(P563&gt;0.7,"High Discount",""),IF(C563&lt;B563,"Ship Before Order",""))</f>
        <v>Ship Before Order</v>
      </c>
      <c r="Z563" s="2">
        <f>IFERROR(
  IF(ISNUMBER(B563),B563,
    IF(ISNUMBER(SEARCH("-",B563)*1),
      IF(LEN(LEFT(B563,FIND("-",B563)-1))=4,
        DATE(VALUE(LEFT(B563,4)),VALUE(MID(B563,6,2)),VALUE(RIGHT(B563,2))),
        DATE(VALUE(RIGHT(B563,4)),VALUE(MID(B563,4,2)),VALUE(LEFT(B563,2)))
      ),
      IF(ISNUMBER(SEARCH("/",B563)*1),
        DATE(VALUE(RIGHT(B563,4)),VALUE(LEFT(B563,2)),VALUE(MID(B563,4,2))),
        DATEVALUE(B563)
      )
    )
  ),
"INVALID_DATE")</f>
        <v>45852</v>
      </c>
      <c r="AA563" s="2">
        <f>IFERROR(
  IF(ISNUMBER(C563),C563,
    IF(ISNUMBER(SEARCH("-",C563)*1),
      IF(LEN(LEFT(C563,FIND("-",C563)-1))=4,
        DATE(VALUE(LEFT(C563,4)),VALUE(MID(C563,6,2)),VALUE(RIGHT(C563,2))),
        DATE(VALUE(RIGHT(C563,4)),VALUE(MID(C563,4,2)),VALUE(LEFT(C563,2)))
      ),
      IF(ISNUMBER(SEARCH("/",C563)*1),
        DATE(VALUE(RIGHT(C563,4)),VALUE(LEFT(C563,2)),VALUE(MID(C563,4,2))),
        DATEVALUE(C563)
      )
    )
  ),
"INVALID_DATE")</f>
        <v>45856</v>
      </c>
      <c r="AB563">
        <f t="shared" si="51"/>
        <v>4</v>
      </c>
      <c r="AC563" t="str">
        <f t="shared" si="52"/>
        <v>July</v>
      </c>
      <c r="AD563">
        <f t="shared" si="53"/>
        <v>2025</v>
      </c>
    </row>
    <row r="564" spans="1:30">
      <c r="A564" t="s">
        <v>2711</v>
      </c>
      <c r="B564" t="s">
        <v>2712</v>
      </c>
      <c r="C564" t="s">
        <v>2649</v>
      </c>
      <c r="D564" t="s">
        <v>2713</v>
      </c>
      <c r="E564" t="s">
        <v>32</v>
      </c>
      <c r="F564" t="s">
        <v>33</v>
      </c>
      <c r="G564" t="s">
        <v>34</v>
      </c>
      <c r="H564" t="s">
        <v>161</v>
      </c>
      <c r="I564" t="s">
        <v>162</v>
      </c>
      <c r="J564" t="s">
        <v>37</v>
      </c>
      <c r="K564" t="s">
        <v>205</v>
      </c>
      <c r="L564" t="s">
        <v>2714</v>
      </c>
      <c r="M564" t="s">
        <v>55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207</v>
      </c>
      <c r="U564" t="s">
        <v>132</v>
      </c>
      <c r="V564">
        <f t="shared" si="48"/>
        <v>680.62400000000014</v>
      </c>
      <c r="W564">
        <f t="shared" si="49"/>
        <v>217.13</v>
      </c>
      <c r="X564">
        <f t="shared" si="50"/>
        <v>0.31901795421821277</v>
      </c>
      <c r="Y564" t="str">
        <f>_xlfn.TEXTJOIN(", ",TRUE,IF(G564="Unknown","Missing Region",""),IF(M564="Unknown","Missing Ship Mode",""),IF(P564&lt;0,"Negative Discount",""),IF(P564&gt;0.7,"High Discount",""),IF(C564&lt;B564,"Ship Before Order",""))</f>
        <v/>
      </c>
      <c r="Z564" s="2">
        <f>IFERROR(
  IF(ISNUMBER(B564),B564,
    IF(ISNUMBER(SEARCH("-",B564)*1),
      IF(LEN(LEFT(B564,FIND("-",B564)-1))=4,
        DATE(VALUE(LEFT(B564,4)),VALUE(MID(B564,6,2)),VALUE(RIGHT(B564,2))),
        DATE(VALUE(RIGHT(B564,4)),VALUE(MID(B564,4,2)),VALUE(LEFT(B564,2)))
      ),
      IF(ISNUMBER(SEARCH("/",B564)*1),
        DATE(VALUE(RIGHT(B564,4)),VALUE(LEFT(B564,2)),VALUE(MID(B564,4,2))),
        DATEVALUE(B564)
      )
    )
  ),
"INVALID_DATE")</f>
        <v>45422</v>
      </c>
      <c r="AA564" s="2">
        <f>IFERROR(
  IF(ISNUMBER(C564),C564,
    IF(ISNUMBER(SEARCH("-",C564)*1),
      IF(LEN(LEFT(C564,FIND("-",C564)-1))=4,
        DATE(VALUE(LEFT(C564,4)),VALUE(MID(C564,6,2)),VALUE(RIGHT(C564,2))),
        DATE(VALUE(RIGHT(C564,4)),VALUE(MID(C564,4,2)),VALUE(LEFT(C564,2)))
      ),
      IF(ISNUMBER(SEARCH("/",C564)*1),
        DATE(VALUE(RIGHT(C564,4)),VALUE(LEFT(C564,2)),VALUE(MID(C564,4,2))),
        DATEVALUE(C564)
      )
    )
  ),
"INVALID_DATE")</f>
        <v>45428</v>
      </c>
      <c r="AB564">
        <f t="shared" si="51"/>
        <v>6</v>
      </c>
      <c r="AC564" t="str">
        <f t="shared" si="52"/>
        <v>May</v>
      </c>
      <c r="AD564">
        <f t="shared" si="53"/>
        <v>2024</v>
      </c>
    </row>
    <row r="565" spans="1:30">
      <c r="A565" t="s">
        <v>2715</v>
      </c>
      <c r="B565" t="s">
        <v>2716</v>
      </c>
      <c r="C565" t="s">
        <v>1792</v>
      </c>
      <c r="D565" t="s">
        <v>2717</v>
      </c>
      <c r="E565" t="s">
        <v>68</v>
      </c>
      <c r="F565" t="s">
        <v>115</v>
      </c>
      <c r="G565" t="s">
        <v>80</v>
      </c>
      <c r="H565" t="s">
        <v>256</v>
      </c>
      <c r="I565" t="s">
        <v>257</v>
      </c>
      <c r="J565" t="s">
        <v>52</v>
      </c>
      <c r="K565" t="s">
        <v>53</v>
      </c>
      <c r="L565" t="s">
        <v>2718</v>
      </c>
      <c r="M565" t="s">
        <v>74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144</v>
      </c>
      <c r="U565" t="s">
        <v>85</v>
      </c>
      <c r="V565">
        <f t="shared" si="48"/>
        <v>5694.9840000000004</v>
      </c>
      <c r="W565">
        <f t="shared" si="49"/>
        <v>1076.6499999999996</v>
      </c>
      <c r="X565">
        <f t="shared" si="50"/>
        <v>0.18905246374877527</v>
      </c>
      <c r="Y565" t="str">
        <f>_xlfn.TEXTJOIN(", ",TRUE,IF(G565="Unknown","Missing Region",""),IF(M565="Unknown","Missing Ship Mode",""),IF(P565&lt;0,"Negative Discount",""),IF(P565&gt;0.7,"High Discount",""),IF(C565&lt;B565,"Ship Before Order",""))</f>
        <v/>
      </c>
      <c r="Z565" s="2">
        <f>IFERROR(
  IF(ISNUMBER(B565),B565,
    IF(ISNUMBER(SEARCH("-",B565)*1),
      IF(LEN(LEFT(B565,FIND("-",B565)-1))=4,
        DATE(VALUE(LEFT(B565,4)),VALUE(MID(B565,6,2)),VALUE(RIGHT(B565,2))),
        DATE(VALUE(RIGHT(B565,4)),VALUE(MID(B565,4,2)),VALUE(LEFT(B565,2)))
      ),
      IF(ISNUMBER(SEARCH("/",B565)*1),
        DATE(VALUE(RIGHT(B565,4)),VALUE(LEFT(B565,2)),VALUE(MID(B565,4,2))),
        DATEVALUE(B565)
      )
    )
  ),
"INVALID_DATE")</f>
        <v>45418</v>
      </c>
      <c r="AA565" s="2">
        <f>IFERROR(
  IF(ISNUMBER(C565),C565,
    IF(ISNUMBER(SEARCH("-",C565)*1),
      IF(LEN(LEFT(C565,FIND("-",C565)-1))=4,
        DATE(VALUE(LEFT(C565,4)),VALUE(MID(C565,6,2)),VALUE(RIGHT(C565,2))),
        DATE(VALUE(RIGHT(C565,4)),VALUE(MID(C565,4,2)),VALUE(LEFT(C565,2)))
      ),
      IF(ISNUMBER(SEARCH("/",C565)*1),
        DATE(VALUE(RIGHT(C565,4)),VALUE(LEFT(C565,2)),VALUE(MID(C565,4,2))),
        DATEVALUE(C565)
      )
    )
  ),
"INVALID_DATE")</f>
        <v>45424</v>
      </c>
      <c r="AB565">
        <f t="shared" si="51"/>
        <v>6</v>
      </c>
      <c r="AC565" t="str">
        <f t="shared" si="52"/>
        <v>May</v>
      </c>
      <c r="AD565">
        <f t="shared" si="53"/>
        <v>2024</v>
      </c>
    </row>
    <row r="566" spans="1:30">
      <c r="A566" t="s">
        <v>2719</v>
      </c>
      <c r="B566" t="s">
        <v>112</v>
      </c>
      <c r="C566" t="s">
        <v>2720</v>
      </c>
      <c r="D566" t="s">
        <v>2721</v>
      </c>
      <c r="E566" t="s">
        <v>175</v>
      </c>
      <c r="F566" t="s">
        <v>115</v>
      </c>
      <c r="G566" t="s">
        <v>69</v>
      </c>
      <c r="H566" t="s">
        <v>107</v>
      </c>
      <c r="I566" t="s">
        <v>108</v>
      </c>
      <c r="J566" t="s">
        <v>52</v>
      </c>
      <c r="K566" t="s">
        <v>53</v>
      </c>
      <c r="L566" t="s">
        <v>2722</v>
      </c>
      <c r="M566" t="s">
        <v>63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41</v>
      </c>
      <c r="U566" t="s">
        <v>42</v>
      </c>
      <c r="V566">
        <f t="shared" si="48"/>
        <v>1474.1440000000002</v>
      </c>
      <c r="W566">
        <f t="shared" si="49"/>
        <v>505.68000000000006</v>
      </c>
      <c r="X566">
        <f t="shared" si="50"/>
        <v>0.34303390451381821</v>
      </c>
      <c r="Y566" t="str">
        <f>_xlfn.TEXTJOIN(", ",TRUE,IF(G566="Unknown","Missing Region",""),IF(M566="Unknown","Missing Ship Mode",""),IF(P566&lt;0,"Negative Discount",""),IF(P566&gt;0.7,"High Discount",""),IF(C566&lt;B566,"Ship Before Order",""))</f>
        <v/>
      </c>
      <c r="Z566" s="2">
        <f>IFERROR(
  IF(ISNUMBER(B566),B566,
    IF(ISNUMBER(SEARCH("-",B566)*1),
      IF(LEN(LEFT(B566,FIND("-",B566)-1))=4,
        DATE(VALUE(LEFT(B566,4)),VALUE(MID(B566,6,2)),VALUE(RIGHT(B566,2))),
        DATE(VALUE(RIGHT(B566,4)),VALUE(MID(B566,4,2)),VALUE(LEFT(B566,2)))
      ),
      IF(ISNUMBER(SEARCH("/",B566)*1),
        DATE(VALUE(RIGHT(B566,4)),VALUE(LEFT(B566,2)),VALUE(MID(B566,4,2))),
        DATEVALUE(B566)
      )
    )
  ),
"INVALID_DATE")</f>
        <v>45606</v>
      </c>
      <c r="AA566" s="2">
        <f>IFERROR(
  IF(ISNUMBER(C566),C566,
    IF(ISNUMBER(SEARCH("-",C566)*1),
      IF(LEN(LEFT(C566,FIND("-",C566)-1))=4,
        DATE(VALUE(LEFT(C566,4)),VALUE(MID(C566,6,2)),VALUE(RIGHT(C566,2))),
        DATE(VALUE(RIGHT(C566,4)),VALUE(MID(C566,4,2)),VALUE(LEFT(C566,2)))
      ),
      IF(ISNUMBER(SEARCH("/",C566)*1),
        DATE(VALUE(RIGHT(C566,4)),VALUE(LEFT(C566,2)),VALUE(MID(C566,4,2))),
        DATEVALUE(C566)
      )
    )
  ),
"INVALID_DATE")</f>
        <v>45610</v>
      </c>
      <c r="AB566">
        <f t="shared" si="51"/>
        <v>4</v>
      </c>
      <c r="AC566" t="str">
        <f t="shared" si="52"/>
        <v>November</v>
      </c>
      <c r="AD566">
        <f t="shared" si="53"/>
        <v>2024</v>
      </c>
    </row>
    <row r="567" spans="1:30">
      <c r="A567" t="s">
        <v>2723</v>
      </c>
      <c r="B567" t="s">
        <v>2724</v>
      </c>
      <c r="C567" t="s">
        <v>247</v>
      </c>
      <c r="D567" t="s">
        <v>2725</v>
      </c>
      <c r="E567" t="s">
        <v>47</v>
      </c>
      <c r="F567" t="s">
        <v>115</v>
      </c>
      <c r="G567" t="s">
        <v>34</v>
      </c>
      <c r="H567" t="s">
        <v>514</v>
      </c>
      <c r="I567" t="s">
        <v>515</v>
      </c>
      <c r="J567" t="s">
        <v>93</v>
      </c>
      <c r="K567" t="s">
        <v>230</v>
      </c>
      <c r="L567" t="s">
        <v>2726</v>
      </c>
      <c r="M567" t="s">
        <v>74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131</v>
      </c>
      <c r="U567" t="s">
        <v>85</v>
      </c>
      <c r="V567">
        <f t="shared" si="48"/>
        <v>9224.9279999999999</v>
      </c>
      <c r="W567">
        <f t="shared" si="49"/>
        <v>2219.7300000000005</v>
      </c>
      <c r="X567">
        <f t="shared" si="50"/>
        <v>0.24062296407669218</v>
      </c>
      <c r="Y567" t="str">
        <f>_xlfn.TEXTJOIN(", ",TRUE,IF(G567="Unknown","Missing Region",""),IF(M567="Unknown","Missing Ship Mode",""),IF(P567&lt;0,"Negative Discount",""),IF(P567&gt;0.7,"High Discount",""),IF(C567&lt;B567,"Ship Before Order",""))</f>
        <v/>
      </c>
      <c r="Z567" s="2">
        <f>IFERROR(
  IF(ISNUMBER(B567),B567,
    IF(ISNUMBER(SEARCH("-",B567)*1),
      IF(LEN(LEFT(B567,FIND("-",B567)-1))=4,
        DATE(VALUE(LEFT(B567,4)),VALUE(MID(B567,6,2)),VALUE(RIGHT(B567,2))),
        DATE(VALUE(RIGHT(B567,4)),VALUE(MID(B567,4,2)),VALUE(LEFT(B567,2)))
      ),
      IF(ISNUMBER(SEARCH("/",B567)*1),
        DATE(VALUE(RIGHT(B567,4)),VALUE(LEFT(B567,2)),VALUE(MID(B567,4,2))),
        DATEVALUE(B567)
      )
    )
  ),
"INVALID_DATE")</f>
        <v>45876</v>
      </c>
      <c r="AA567" s="2">
        <f>IFERROR(
  IF(ISNUMBER(C567),C567,
    IF(ISNUMBER(SEARCH("-",C567)*1),
      IF(LEN(LEFT(C567,FIND("-",C567)-1))=4,
        DATE(VALUE(LEFT(C567,4)),VALUE(MID(C567,6,2)),VALUE(RIGHT(C567,2))),
        DATE(VALUE(RIGHT(C567,4)),VALUE(MID(C567,4,2)),VALUE(LEFT(C567,2)))
      ),
      IF(ISNUMBER(SEARCH("/",C567)*1),
        DATE(VALUE(RIGHT(C567,4)),VALUE(LEFT(C567,2)),VALUE(MID(C567,4,2))),
        DATEVALUE(C567)
      )
    )
  ),
"INVALID_DATE")</f>
        <v>45882</v>
      </c>
      <c r="AB567">
        <f t="shared" si="51"/>
        <v>6</v>
      </c>
      <c r="AC567" t="str">
        <f t="shared" si="52"/>
        <v>August</v>
      </c>
      <c r="AD567">
        <f t="shared" si="53"/>
        <v>2025</v>
      </c>
    </row>
    <row r="568" spans="1:30">
      <c r="A568" t="s">
        <v>2727</v>
      </c>
      <c r="B568" t="s">
        <v>2446</v>
      </c>
      <c r="C568" t="s">
        <v>2728</v>
      </c>
      <c r="D568" t="s">
        <v>2729</v>
      </c>
      <c r="E568" t="s">
        <v>175</v>
      </c>
      <c r="F568" t="s">
        <v>48</v>
      </c>
      <c r="G568" t="s">
        <v>80</v>
      </c>
      <c r="H568" t="s">
        <v>81</v>
      </c>
      <c r="I568" t="s">
        <v>82</v>
      </c>
      <c r="J568" t="s">
        <v>37</v>
      </c>
      <c r="K568" t="s">
        <v>38</v>
      </c>
      <c r="L568" t="s">
        <v>2730</v>
      </c>
      <c r="M568" t="s">
        <v>55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207</v>
      </c>
      <c r="U568" t="s">
        <v>132</v>
      </c>
      <c r="V568">
        <f t="shared" si="48"/>
        <v>4712.2020000000002</v>
      </c>
      <c r="W568">
        <f t="shared" si="49"/>
        <v>860.29</v>
      </c>
      <c r="X568">
        <f t="shared" si="50"/>
        <v>0.18256652943423454</v>
      </c>
      <c r="Y568" t="str">
        <f>_xlfn.TEXTJOIN(", ",TRUE,IF(G568="Unknown","Missing Region",""),IF(M568="Unknown","Missing Ship Mode",""),IF(P568&lt;0,"Negative Discount",""),IF(P568&gt;0.7,"High Discount",""),IF(C568&lt;B568,"Ship Before Order",""))</f>
        <v/>
      </c>
      <c r="Z568" s="2">
        <f>IFERROR(
  IF(ISNUMBER(B568),B568,
    IF(ISNUMBER(SEARCH("-",B568)*1),
      IF(LEN(LEFT(B568,FIND("-",B568)-1))=4,
        DATE(VALUE(LEFT(B568,4)),VALUE(MID(B568,6,2)),VALUE(RIGHT(B568,2))),
        DATE(VALUE(RIGHT(B568,4)),VALUE(MID(B568,4,2)),VALUE(LEFT(B568,2)))
      ),
      IF(ISNUMBER(SEARCH("/",B568)*1),
        DATE(VALUE(RIGHT(B568,4)),VALUE(LEFT(B568,2)),VALUE(MID(B568,4,2))),
        DATEVALUE(B568)
      )
    )
  ),
"INVALID_DATE")</f>
        <v>45515</v>
      </c>
      <c r="AA568" s="2">
        <f>IFERROR(
  IF(ISNUMBER(C568),C568,
    IF(ISNUMBER(SEARCH("-",C568)*1),
      IF(LEN(LEFT(C568,FIND("-",C568)-1))=4,
        DATE(VALUE(LEFT(C568,4)),VALUE(MID(C568,6,2)),VALUE(RIGHT(C568,2))),
        DATE(VALUE(RIGHT(C568,4)),VALUE(MID(C568,4,2)),VALUE(LEFT(C568,2)))
      ),
      IF(ISNUMBER(SEARCH("/",C568)*1),
        DATE(VALUE(RIGHT(C568,4)),VALUE(LEFT(C568,2)),VALUE(MID(C568,4,2))),
        DATEVALUE(C568)
      )
    )
  ),
"INVALID_DATE")</f>
        <v>45523</v>
      </c>
      <c r="AB568">
        <f t="shared" si="51"/>
        <v>8</v>
      </c>
      <c r="AC568" t="str">
        <f t="shared" si="52"/>
        <v>August</v>
      </c>
      <c r="AD568">
        <f t="shared" si="53"/>
        <v>2024</v>
      </c>
    </row>
    <row r="569" spans="1:30">
      <c r="A569" t="s">
        <v>2731</v>
      </c>
      <c r="B569" t="s">
        <v>2732</v>
      </c>
      <c r="C569" t="s">
        <v>2733</v>
      </c>
      <c r="D569" t="s">
        <v>2734</v>
      </c>
      <c r="E569" t="s">
        <v>68</v>
      </c>
      <c r="F569" t="s">
        <v>122</v>
      </c>
      <c r="G569" t="s">
        <v>34</v>
      </c>
      <c r="H569" t="s">
        <v>181</v>
      </c>
      <c r="I569" t="s">
        <v>182</v>
      </c>
      <c r="J569" t="s">
        <v>52</v>
      </c>
      <c r="K569" t="s">
        <v>72</v>
      </c>
      <c r="L569" t="s">
        <v>908</v>
      </c>
      <c r="M569" t="s">
        <v>55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41</v>
      </c>
      <c r="U569" t="s">
        <v>42</v>
      </c>
      <c r="V569">
        <f t="shared" si="48"/>
        <v>1305.357</v>
      </c>
      <c r="W569">
        <f t="shared" si="49"/>
        <v>573.46999999999991</v>
      </c>
      <c r="X569">
        <f t="shared" si="50"/>
        <v>0.43931942146227865</v>
      </c>
      <c r="Y569" t="str">
        <f>_xlfn.TEXTJOIN(", ",TRUE,IF(G569="Unknown","Missing Region",""),IF(M569="Unknown","Missing Ship Mode",""),IF(P569&lt;0,"Negative Discount",""),IF(P569&gt;0.7,"High Discount",""),IF(C569&lt;B569,"Ship Before Order",""))</f>
        <v/>
      </c>
      <c r="Z569" s="2">
        <f>IFERROR(
  IF(ISNUMBER(B569),B569,
    IF(ISNUMBER(SEARCH("-",B569)*1),
      IF(LEN(LEFT(B569,FIND("-",B569)-1))=4,
        DATE(VALUE(LEFT(B569,4)),VALUE(MID(B569,6,2)),VALUE(RIGHT(B569,2))),
        DATE(VALUE(RIGHT(B569,4)),VALUE(MID(B569,4,2)),VALUE(LEFT(B569,2)))
      ),
      IF(ISNUMBER(SEARCH("/",B569)*1),
        DATE(VALUE(RIGHT(B569,4)),VALUE(LEFT(B569,2)),VALUE(MID(B569,4,2))),
        DATEVALUE(B569)
      )
    )
  ),
"INVALID_DATE")</f>
        <v>45328</v>
      </c>
      <c r="AA569" s="2">
        <f>IFERROR(
  IF(ISNUMBER(C569),C569,
    IF(ISNUMBER(SEARCH("-",C569)*1),
      IF(LEN(LEFT(C569,FIND("-",C569)-1))=4,
        DATE(VALUE(LEFT(C569,4)),VALUE(MID(C569,6,2)),VALUE(RIGHT(C569,2))),
        DATE(VALUE(RIGHT(C569,4)),VALUE(MID(C569,4,2)),VALUE(LEFT(C569,2)))
      ),
      IF(ISNUMBER(SEARCH("/",C569)*1),
        DATE(VALUE(RIGHT(C569,4)),VALUE(LEFT(C569,2)),VALUE(MID(C569,4,2))),
        DATEVALUE(C569)
      )
    )
  ),
"INVALID_DATE")</f>
        <v>45332</v>
      </c>
      <c r="AB569">
        <f t="shared" si="51"/>
        <v>4</v>
      </c>
      <c r="AC569" t="str">
        <f t="shared" si="52"/>
        <v>February</v>
      </c>
      <c r="AD569">
        <f t="shared" si="53"/>
        <v>2024</v>
      </c>
    </row>
    <row r="570" spans="1:30">
      <c r="A570" t="s">
        <v>2735</v>
      </c>
      <c r="B570" t="s">
        <v>1727</v>
      </c>
      <c r="C570" t="s">
        <v>2736</v>
      </c>
      <c r="D570" t="s">
        <v>2737</v>
      </c>
      <c r="E570" t="s">
        <v>374</v>
      </c>
      <c r="F570" t="s">
        <v>115</v>
      </c>
      <c r="G570" t="s">
        <v>34</v>
      </c>
      <c r="H570" t="s">
        <v>161</v>
      </c>
      <c r="I570" t="s">
        <v>162</v>
      </c>
      <c r="J570" t="s">
        <v>93</v>
      </c>
      <c r="K570" t="s">
        <v>390</v>
      </c>
      <c r="L570" t="s">
        <v>2738</v>
      </c>
      <c r="M570" t="s">
        <v>55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41</v>
      </c>
      <c r="U570" t="s">
        <v>42</v>
      </c>
      <c r="V570">
        <f t="shared" si="48"/>
        <v>2854.7250000000004</v>
      </c>
      <c r="W570">
        <f t="shared" si="49"/>
        <v>886.61000000000013</v>
      </c>
      <c r="X570">
        <f t="shared" si="50"/>
        <v>0.31057578124726332</v>
      </c>
      <c r="Y570" t="str">
        <f>_xlfn.TEXTJOIN(", ",TRUE,IF(G570="Unknown","Missing Region",""),IF(M570="Unknown","Missing Ship Mode",""),IF(P570&lt;0,"Negative Discount",""),IF(P570&gt;0.7,"High Discount",""),IF(C570&lt;B570,"Ship Before Order",""))</f>
        <v/>
      </c>
      <c r="Z570" s="2">
        <f>IFERROR(
  IF(ISNUMBER(B570),B570,
    IF(ISNUMBER(SEARCH("-",B570)*1),
      IF(LEN(LEFT(B570,FIND("-",B570)-1))=4,
        DATE(VALUE(LEFT(B570,4)),VALUE(MID(B570,6,2)),VALUE(RIGHT(B570,2))),
        DATE(VALUE(RIGHT(B570,4)),VALUE(MID(B570,4,2)),VALUE(LEFT(B570,2)))
      ),
      IF(ISNUMBER(SEARCH("/",B570)*1),
        DATE(VALUE(RIGHT(B570,4)),VALUE(LEFT(B570,2)),VALUE(MID(B570,4,2))),
        DATEVALUE(B570)
      )
    )
  ),
"INVALID_DATE")</f>
        <v>45312</v>
      </c>
      <c r="AA570" s="2">
        <f>IFERROR(
  IF(ISNUMBER(C570),C570,
    IF(ISNUMBER(SEARCH("-",C570)*1),
      IF(LEN(LEFT(C570,FIND("-",C570)-1))=4,
        DATE(VALUE(LEFT(C570,4)),VALUE(MID(C570,6,2)),VALUE(RIGHT(C570,2))),
        DATE(VALUE(RIGHT(C570,4)),VALUE(MID(C570,4,2)),VALUE(LEFT(C570,2)))
      ),
      IF(ISNUMBER(SEARCH("/",C570)*1),
        DATE(VALUE(RIGHT(C570,4)),VALUE(LEFT(C570,2)),VALUE(MID(C570,4,2))),
        DATEVALUE(C570)
      )
    )
  ),
"INVALID_DATE")</f>
        <v>45315</v>
      </c>
      <c r="AB570">
        <f t="shared" si="51"/>
        <v>3</v>
      </c>
      <c r="AC570" t="str">
        <f t="shared" si="52"/>
        <v>January</v>
      </c>
      <c r="AD570">
        <f t="shared" si="53"/>
        <v>2024</v>
      </c>
    </row>
    <row r="571" spans="1:30">
      <c r="A571" t="s">
        <v>2739</v>
      </c>
      <c r="B571" t="s">
        <v>2740</v>
      </c>
      <c r="C571" t="s">
        <v>2741</v>
      </c>
      <c r="D571" t="s">
        <v>2742</v>
      </c>
      <c r="E571" t="s">
        <v>155</v>
      </c>
      <c r="F571" t="s">
        <v>122</v>
      </c>
      <c r="G571" t="s">
        <v>80</v>
      </c>
      <c r="H571" t="s">
        <v>81</v>
      </c>
      <c r="I571" t="s">
        <v>82</v>
      </c>
      <c r="J571" t="s">
        <v>52</v>
      </c>
      <c r="K571" t="s">
        <v>72</v>
      </c>
      <c r="L571" t="s">
        <v>2743</v>
      </c>
      <c r="M571" t="s">
        <v>74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131</v>
      </c>
      <c r="U571" t="s">
        <v>132</v>
      </c>
      <c r="V571">
        <f t="shared" si="48"/>
        <v>14630.264999999999</v>
      </c>
      <c r="W571">
        <f t="shared" si="49"/>
        <v>2723.8999999999996</v>
      </c>
      <c r="X571">
        <f t="shared" si="50"/>
        <v>0.18618261056194491</v>
      </c>
      <c r="Y571" t="str">
        <f>_xlfn.TEXTJOIN(", ",TRUE,IF(G571="Unknown","Missing Region",""),IF(M571="Unknown","Missing Ship Mode",""),IF(P571&lt;0,"Negative Discount",""),IF(P571&gt;0.7,"High Discount",""),IF(C571&lt;B571,"Ship Before Order",""))</f>
        <v/>
      </c>
      <c r="Z571" s="2">
        <f>IFERROR(
  IF(ISNUMBER(B571),B571,
    IF(ISNUMBER(SEARCH("-",B571)*1),
      IF(LEN(LEFT(B571,FIND("-",B571)-1))=4,
        DATE(VALUE(LEFT(B571,4)),VALUE(MID(B571,6,2)),VALUE(RIGHT(B571,2))),
        DATE(VALUE(RIGHT(B571,4)),VALUE(MID(B571,4,2)),VALUE(LEFT(B571,2)))
      ),
      IF(ISNUMBER(SEARCH("/",B571)*1),
        DATE(VALUE(RIGHT(B571,4)),VALUE(LEFT(B571,2)),VALUE(MID(B571,4,2))),
        DATEVALUE(B571)
      )
    )
  ),
"INVALID_DATE")</f>
        <v>45908</v>
      </c>
      <c r="AA571" s="2">
        <f>IFERROR(
  IF(ISNUMBER(C571),C571,
    IF(ISNUMBER(SEARCH("-",C571)*1),
      IF(LEN(LEFT(C571,FIND("-",C571)-1))=4,
        DATE(VALUE(LEFT(C571,4)),VALUE(MID(C571,6,2)),VALUE(RIGHT(C571,2))),
        DATE(VALUE(RIGHT(C571,4)),VALUE(MID(C571,4,2)),VALUE(LEFT(C571,2)))
      ),
      IF(ISNUMBER(SEARCH("/",C571)*1),
        DATE(VALUE(RIGHT(C571,4)),VALUE(LEFT(C571,2)),VALUE(MID(C571,4,2))),
        DATEVALUE(C571)
      )
    )
  ),
"INVALID_DATE")</f>
        <v>45910</v>
      </c>
      <c r="AB571">
        <f t="shared" si="51"/>
        <v>2</v>
      </c>
      <c r="AC571" t="str">
        <f t="shared" si="52"/>
        <v>September</v>
      </c>
      <c r="AD571">
        <f t="shared" si="53"/>
        <v>2025</v>
      </c>
    </row>
    <row r="572" spans="1:30">
      <c r="A572" t="s">
        <v>2744</v>
      </c>
      <c r="B572" t="s">
        <v>929</v>
      </c>
      <c r="C572" t="s">
        <v>706</v>
      </c>
      <c r="D572" t="s">
        <v>2745</v>
      </c>
      <c r="E572" t="s">
        <v>68</v>
      </c>
      <c r="F572" t="s">
        <v>33</v>
      </c>
      <c r="G572" t="s">
        <v>49</v>
      </c>
      <c r="H572" t="s">
        <v>319</v>
      </c>
      <c r="I572" t="s">
        <v>320</v>
      </c>
      <c r="J572" t="s">
        <v>52</v>
      </c>
      <c r="K572" t="s">
        <v>72</v>
      </c>
      <c r="L572" t="s">
        <v>2746</v>
      </c>
      <c r="M572" t="s">
        <v>40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207</v>
      </c>
      <c r="U572" t="s">
        <v>132</v>
      </c>
      <c r="V572">
        <f t="shared" si="48"/>
        <v>8879.49</v>
      </c>
      <c r="W572">
        <f t="shared" si="49"/>
        <v>2534.92</v>
      </c>
      <c r="X572">
        <f t="shared" si="50"/>
        <v>0.28548035979543873</v>
      </c>
      <c r="Y572" t="str">
        <f>_xlfn.TEXTJOIN(", ",TRUE,IF(G572="Unknown","Missing Region",""),IF(M572="Unknown","Missing Ship Mode",""),IF(P572&lt;0,"Negative Discount",""),IF(P572&gt;0.7,"High Discount",""),IF(C572&lt;B572,"Ship Before Order",""))</f>
        <v>Ship Before Order</v>
      </c>
      <c r="Z572" s="2">
        <f>IFERROR(
  IF(ISNUMBER(B572),B572,
    IF(ISNUMBER(SEARCH("-",B572)*1),
      IF(LEN(LEFT(B572,FIND("-",B572)-1))=4,
        DATE(VALUE(LEFT(B572,4)),VALUE(MID(B572,6,2)),VALUE(RIGHT(B572,2))),
        DATE(VALUE(RIGHT(B572,4)),VALUE(MID(B572,4,2)),VALUE(LEFT(B572,2)))
      ),
      IF(ISNUMBER(SEARCH("/",B572)*1),
        DATE(VALUE(RIGHT(B572,4)),VALUE(LEFT(B572,2)),VALUE(MID(B572,4,2))),
        DATEVALUE(B572)
      )
    )
  ),
"INVALID_DATE")</f>
        <v>45887</v>
      </c>
      <c r="AA572" s="2">
        <f>IFERROR(
  IF(ISNUMBER(C572),C572,
    IF(ISNUMBER(SEARCH("-",C572)*1),
      IF(LEN(LEFT(C572,FIND("-",C572)-1))=4,
        DATE(VALUE(LEFT(C572,4)),VALUE(MID(C572,6,2)),VALUE(RIGHT(C572,2))),
        DATE(VALUE(RIGHT(C572,4)),VALUE(MID(C572,4,2)),VALUE(LEFT(C572,2)))
      ),
      IF(ISNUMBER(SEARCH("/",C572)*1),
        DATE(VALUE(RIGHT(C572,4)),VALUE(LEFT(C572,2)),VALUE(MID(C572,4,2))),
        DATEVALUE(C572)
      )
    )
  ),
"INVALID_DATE")</f>
        <v>45891</v>
      </c>
      <c r="AB572">
        <f t="shared" si="51"/>
        <v>4</v>
      </c>
      <c r="AC572" t="str">
        <f t="shared" si="52"/>
        <v>August</v>
      </c>
      <c r="AD572">
        <f t="shared" si="53"/>
        <v>2025</v>
      </c>
    </row>
    <row r="573" spans="1:30">
      <c r="A573" t="s">
        <v>2747</v>
      </c>
      <c r="B573" t="s">
        <v>2683</v>
      </c>
      <c r="C573" t="s">
        <v>2748</v>
      </c>
      <c r="D573" t="s">
        <v>2749</v>
      </c>
      <c r="E573" t="s">
        <v>149</v>
      </c>
      <c r="F573" t="s">
        <v>48</v>
      </c>
      <c r="G573" t="s">
        <v>34</v>
      </c>
      <c r="H573" t="s">
        <v>181</v>
      </c>
      <c r="I573" t="s">
        <v>182</v>
      </c>
      <c r="J573" t="s">
        <v>93</v>
      </c>
      <c r="K573" t="s">
        <v>230</v>
      </c>
      <c r="L573" t="s">
        <v>2750</v>
      </c>
      <c r="M573" t="s">
        <v>279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207</v>
      </c>
      <c r="U573" t="s">
        <v>132</v>
      </c>
      <c r="V573">
        <f t="shared" si="48"/>
        <v>21381.45</v>
      </c>
      <c r="W573">
        <f t="shared" si="49"/>
        <v>8141.2400000000016</v>
      </c>
      <c r="X573">
        <f t="shared" si="50"/>
        <v>0.38076182859441243</v>
      </c>
      <c r="Y573" t="str">
        <f>_xlfn.TEXTJOIN(", ",TRUE,IF(G573="Unknown","Missing Region",""),IF(M573="Unknown","Missing Ship Mode",""),IF(P573&lt;0,"Negative Discount",""),IF(P573&gt;0.7,"High Discount",""),IF(C573&lt;B573,"Ship Before Order",""))</f>
        <v>Missing Ship Mode</v>
      </c>
      <c r="Z573" s="2">
        <f>IFERROR(
  IF(ISNUMBER(B573),B573,
    IF(ISNUMBER(SEARCH("-",B573)*1),
      IF(LEN(LEFT(B573,FIND("-",B573)-1))=4,
        DATE(VALUE(LEFT(B573,4)),VALUE(MID(B573,6,2)),VALUE(RIGHT(B573,2))),
        DATE(VALUE(RIGHT(B573,4)),VALUE(MID(B573,4,2)),VALUE(LEFT(B573,2)))
      ),
      IF(ISNUMBER(SEARCH("/",B573)*1),
        DATE(VALUE(RIGHT(B573,4)),VALUE(LEFT(B573,2)),VALUE(MID(B573,4,2))),
        DATEVALUE(B573)
      )
    )
  ),
"INVALID_DATE")</f>
        <v>45698</v>
      </c>
      <c r="AA573" s="2">
        <f>IFERROR(
  IF(ISNUMBER(C573),C573,
    IF(ISNUMBER(SEARCH("-",C573)*1),
      IF(LEN(LEFT(C573,FIND("-",C573)-1))=4,
        DATE(VALUE(LEFT(C573,4)),VALUE(MID(C573,6,2)),VALUE(RIGHT(C573,2))),
        DATE(VALUE(RIGHT(C573,4)),VALUE(MID(C573,4,2)),VALUE(LEFT(C573,2)))
      ),
      IF(ISNUMBER(SEARCH("/",C573)*1),
        DATE(VALUE(RIGHT(C573,4)),VALUE(LEFT(C573,2)),VALUE(MID(C573,4,2))),
        DATEVALUE(C573)
      )
    )
  ),
"INVALID_DATE")</f>
        <v>45702</v>
      </c>
      <c r="AB573">
        <f t="shared" si="51"/>
        <v>4</v>
      </c>
      <c r="AC573" t="str">
        <f t="shared" si="52"/>
        <v>February</v>
      </c>
      <c r="AD573">
        <f t="shared" si="53"/>
        <v>2025</v>
      </c>
    </row>
    <row r="574" spans="1:30">
      <c r="A574" t="s">
        <v>2751</v>
      </c>
      <c r="B574" t="s">
        <v>2752</v>
      </c>
      <c r="C574" t="s">
        <v>2753</v>
      </c>
      <c r="D574" t="s">
        <v>2754</v>
      </c>
      <c r="E574" t="s">
        <v>217</v>
      </c>
      <c r="F574" t="s">
        <v>115</v>
      </c>
      <c r="G574" t="s">
        <v>34</v>
      </c>
      <c r="H574" t="s">
        <v>514</v>
      </c>
      <c r="I574" t="s">
        <v>515</v>
      </c>
      <c r="J574" t="s">
        <v>93</v>
      </c>
      <c r="K574" t="s">
        <v>230</v>
      </c>
      <c r="L574" t="s">
        <v>2755</v>
      </c>
      <c r="M574" t="s">
        <v>74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41</v>
      </c>
      <c r="U574" t="s">
        <v>42</v>
      </c>
      <c r="V574">
        <f t="shared" si="48"/>
        <v>1774.944</v>
      </c>
      <c r="W574">
        <f t="shared" si="49"/>
        <v>767.54000000000008</v>
      </c>
      <c r="X574">
        <f t="shared" si="50"/>
        <v>0.43243151881190345</v>
      </c>
      <c r="Y574" t="str">
        <f>_xlfn.TEXTJOIN(", ",TRUE,IF(G574="Unknown","Missing Region",""),IF(M574="Unknown","Missing Ship Mode",""),IF(P574&lt;0,"Negative Discount",""),IF(P574&gt;0.7,"High Discount",""),IF(C574&lt;B574,"Ship Before Order",""))</f>
        <v/>
      </c>
      <c r="Z574" s="2">
        <f>IFERROR(
  IF(ISNUMBER(B574),B574,
    IF(ISNUMBER(SEARCH("-",B574)*1),
      IF(LEN(LEFT(B574,FIND("-",B574)-1))=4,
        DATE(VALUE(LEFT(B574,4)),VALUE(MID(B574,6,2)),VALUE(RIGHT(B574,2))),
        DATE(VALUE(RIGHT(B574,4)),VALUE(MID(B574,4,2)),VALUE(LEFT(B574,2)))
      ),
      IF(ISNUMBER(SEARCH("/",B574)*1),
        DATE(VALUE(RIGHT(B574,4)),VALUE(LEFT(B574,2)),VALUE(MID(B574,4,2))),
        DATEVALUE(B574)
      )
    )
  ),
"INVALID_DATE")</f>
        <v>45293</v>
      </c>
      <c r="AA574" s="2">
        <f>IFERROR(
  IF(ISNUMBER(C574),C574,
    IF(ISNUMBER(SEARCH("-",C574)*1),
      IF(LEN(LEFT(C574,FIND("-",C574)-1))=4,
        DATE(VALUE(LEFT(C574,4)),VALUE(MID(C574,6,2)),VALUE(RIGHT(C574,2))),
        DATE(VALUE(RIGHT(C574,4)),VALUE(MID(C574,4,2)),VALUE(LEFT(C574,2)))
      ),
      IF(ISNUMBER(SEARCH("/",C574)*1),
        DATE(VALUE(RIGHT(C574,4)),VALUE(LEFT(C574,2)),VALUE(MID(C574,4,2))),
        DATEVALUE(C574)
      )
    )
  ),
"INVALID_DATE")</f>
        <v>45300</v>
      </c>
      <c r="AB574">
        <f t="shared" si="51"/>
        <v>7</v>
      </c>
      <c r="AC574" t="str">
        <f t="shared" si="52"/>
        <v>January</v>
      </c>
      <c r="AD574">
        <f t="shared" si="53"/>
        <v>2024</v>
      </c>
    </row>
    <row r="575" spans="1:30">
      <c r="A575" t="s">
        <v>2756</v>
      </c>
      <c r="B575" t="s">
        <v>2757</v>
      </c>
      <c r="C575" t="s">
        <v>2758</v>
      </c>
      <c r="D575" t="s">
        <v>2759</v>
      </c>
      <c r="E575" t="s">
        <v>60</v>
      </c>
      <c r="F575" t="s">
        <v>33</v>
      </c>
      <c r="G575" t="s">
        <v>69</v>
      </c>
      <c r="H575" t="s">
        <v>107</v>
      </c>
      <c r="I575" t="s">
        <v>108</v>
      </c>
      <c r="J575" t="s">
        <v>93</v>
      </c>
      <c r="K575" t="s">
        <v>230</v>
      </c>
      <c r="L575" t="s">
        <v>2760</v>
      </c>
      <c r="M575" t="s">
        <v>74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41</v>
      </c>
      <c r="U575" t="s">
        <v>42</v>
      </c>
      <c r="V575">
        <f t="shared" si="48"/>
        <v>573.65</v>
      </c>
      <c r="W575">
        <f t="shared" si="49"/>
        <v>250.97999999999996</v>
      </c>
      <c r="X575">
        <f t="shared" si="50"/>
        <v>0.43751416368866031</v>
      </c>
      <c r="Y575" t="str">
        <f>_xlfn.TEXTJOIN(", ",TRUE,IF(G575="Unknown","Missing Region",""),IF(M575="Unknown","Missing Ship Mode",""),IF(P575&lt;0,"Negative Discount",""),IF(P575&gt;0.7,"High Discount",""),IF(C575&lt;B575,"Ship Before Order",""))</f>
        <v/>
      </c>
      <c r="Z575" s="2">
        <f>IFERROR(
  IF(ISNUMBER(B575),B575,
    IF(ISNUMBER(SEARCH("-",B575)*1),
      IF(LEN(LEFT(B575,FIND("-",B575)-1))=4,
        DATE(VALUE(LEFT(B575,4)),VALUE(MID(B575,6,2)),VALUE(RIGHT(B575,2))),
        DATE(VALUE(RIGHT(B575,4)),VALUE(MID(B575,4,2)),VALUE(LEFT(B575,2)))
      ),
      IF(ISNUMBER(SEARCH("/",B575)*1),
        DATE(VALUE(RIGHT(B575,4)),VALUE(LEFT(B575,2)),VALUE(MID(B575,4,2))),
        DATEVALUE(B575)
      )
    )
  ),
"INVALID_DATE")</f>
        <v>45922</v>
      </c>
      <c r="AA575" s="2">
        <f>IFERROR(
  IF(ISNUMBER(C575),C575,
    IF(ISNUMBER(SEARCH("-",C575)*1),
      IF(LEN(LEFT(C575,FIND("-",C575)-1))=4,
        DATE(VALUE(LEFT(C575,4)),VALUE(MID(C575,6,2)),VALUE(RIGHT(C575,2))),
        DATE(VALUE(RIGHT(C575,4)),VALUE(MID(C575,4,2)),VALUE(LEFT(C575,2)))
      ),
      IF(ISNUMBER(SEARCH("/",C575)*1),
        DATE(VALUE(RIGHT(C575,4)),VALUE(LEFT(C575,2)),VALUE(MID(C575,4,2))),
        DATEVALUE(C575)
      )
    )
  ),
"INVALID_DATE")</f>
        <v>45926</v>
      </c>
      <c r="AB575">
        <f t="shared" si="51"/>
        <v>4</v>
      </c>
      <c r="AC575" t="str">
        <f t="shared" si="52"/>
        <v>September</v>
      </c>
      <c r="AD575">
        <f t="shared" si="53"/>
        <v>2025</v>
      </c>
    </row>
    <row r="576" spans="1:30">
      <c r="A576" t="s">
        <v>2761</v>
      </c>
      <c r="B576" t="s">
        <v>2762</v>
      </c>
      <c r="C576" t="s">
        <v>1653</v>
      </c>
      <c r="D576" t="s">
        <v>1234</v>
      </c>
      <c r="E576" t="s">
        <v>217</v>
      </c>
      <c r="F576" t="s">
        <v>122</v>
      </c>
      <c r="G576" t="s">
        <v>34</v>
      </c>
      <c r="H576" t="s">
        <v>161</v>
      </c>
      <c r="I576" t="s">
        <v>162</v>
      </c>
      <c r="J576" t="s">
        <v>93</v>
      </c>
      <c r="K576" t="s">
        <v>390</v>
      </c>
      <c r="L576" t="s">
        <v>2763</v>
      </c>
      <c r="M576" t="s">
        <v>74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41</v>
      </c>
      <c r="U576" t="s">
        <v>42</v>
      </c>
      <c r="V576">
        <f t="shared" si="48"/>
        <v>5423.2</v>
      </c>
      <c r="W576">
        <f t="shared" si="49"/>
        <v>1350.7599999999998</v>
      </c>
      <c r="X576">
        <f t="shared" si="50"/>
        <v>0.24907065938929046</v>
      </c>
      <c r="Y576" t="str">
        <f>_xlfn.TEXTJOIN(", ",TRUE,IF(G576="Unknown","Missing Region",""),IF(M576="Unknown","Missing Ship Mode",""),IF(P576&lt;0,"Negative Discount",""),IF(P576&gt;0.7,"High Discount",""),IF(C576&lt;B576,"Ship Before Order",""))</f>
        <v/>
      </c>
      <c r="Z576" s="2">
        <f>IFERROR(
  IF(ISNUMBER(B576),B576,
    IF(ISNUMBER(SEARCH("-",B576)*1),
      IF(LEN(LEFT(B576,FIND("-",B576)-1))=4,
        DATE(VALUE(LEFT(B576,4)),VALUE(MID(B576,6,2)),VALUE(RIGHT(B576,2))),
        DATE(VALUE(RIGHT(B576,4)),VALUE(MID(B576,4,2)),VALUE(LEFT(B576,2)))
      ),
      IF(ISNUMBER(SEARCH("/",B576)*1),
        DATE(VALUE(RIGHT(B576,4)),VALUE(LEFT(B576,2)),VALUE(MID(B576,4,2))),
        DATEVALUE(B576)
      )
    )
  ),
"INVALID_DATE")</f>
        <v>45342</v>
      </c>
      <c r="AA576" s="2">
        <f>IFERROR(
  IF(ISNUMBER(C576),C576,
    IF(ISNUMBER(SEARCH("-",C576)*1),
      IF(LEN(LEFT(C576,FIND("-",C576)-1))=4,
        DATE(VALUE(LEFT(C576,4)),VALUE(MID(C576,6,2)),VALUE(RIGHT(C576,2))),
        DATE(VALUE(RIGHT(C576,4)),VALUE(MID(C576,4,2)),VALUE(LEFT(C576,2)))
      ),
      IF(ISNUMBER(SEARCH("/",C576)*1),
        DATE(VALUE(RIGHT(C576,4)),VALUE(LEFT(C576,2)),VALUE(MID(C576,4,2))),
        DATEVALUE(C576)
      )
    )
  ),
"INVALID_DATE")</f>
        <v>45347</v>
      </c>
      <c r="AB576">
        <f t="shared" si="51"/>
        <v>5</v>
      </c>
      <c r="AC576" t="str">
        <f t="shared" si="52"/>
        <v>February</v>
      </c>
      <c r="AD576">
        <f t="shared" si="53"/>
        <v>2024</v>
      </c>
    </row>
    <row r="577" spans="1:30">
      <c r="A577" t="s">
        <v>2764</v>
      </c>
      <c r="B577" t="s">
        <v>2765</v>
      </c>
      <c r="C577" t="s">
        <v>2766</v>
      </c>
      <c r="D577" t="s">
        <v>2767</v>
      </c>
      <c r="E577" t="s">
        <v>175</v>
      </c>
      <c r="F577" t="s">
        <v>122</v>
      </c>
      <c r="G577" t="s">
        <v>69</v>
      </c>
      <c r="H577" t="s">
        <v>249</v>
      </c>
      <c r="I577" t="s">
        <v>250</v>
      </c>
      <c r="J577" t="s">
        <v>52</v>
      </c>
      <c r="K577" t="s">
        <v>72</v>
      </c>
      <c r="L577" t="s">
        <v>2768</v>
      </c>
      <c r="M577" t="s">
        <v>55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207</v>
      </c>
      <c r="U577" t="s">
        <v>132</v>
      </c>
      <c r="V577">
        <f t="shared" si="48"/>
        <v>3983.424</v>
      </c>
      <c r="W577">
        <f t="shared" si="49"/>
        <v>808.51000000000022</v>
      </c>
      <c r="X577">
        <f t="shared" si="50"/>
        <v>0.20296880569962494</v>
      </c>
      <c r="Y577" t="str">
        <f>_xlfn.TEXTJOIN(", ",TRUE,IF(G577="Unknown","Missing Region",""),IF(M577="Unknown","Missing Ship Mode",""),IF(P577&lt;0,"Negative Discount",""),IF(P577&gt;0.7,"High Discount",""),IF(C577&lt;B577,"Ship Before Order",""))</f>
        <v/>
      </c>
      <c r="Z577" s="2">
        <f>IFERROR(
  IF(ISNUMBER(B577),B577,
    IF(ISNUMBER(SEARCH("-",B577)*1),
      IF(LEN(LEFT(B577,FIND("-",B577)-1))=4,
        DATE(VALUE(LEFT(B577,4)),VALUE(MID(B577,6,2)),VALUE(RIGHT(B577,2))),
        DATE(VALUE(RIGHT(B577,4)),VALUE(MID(B577,4,2)),VALUE(LEFT(B577,2)))
      ),
      IF(ISNUMBER(SEARCH("/",B577)*1),
        DATE(VALUE(RIGHT(B577,4)),VALUE(LEFT(B577,2)),VALUE(MID(B577,4,2))),
        DATEVALUE(B577)
      )
    )
  ),
"INVALID_DATE")</f>
        <v>45727</v>
      </c>
      <c r="AA577" s="2">
        <f>IFERROR(
  IF(ISNUMBER(C577),C577,
    IF(ISNUMBER(SEARCH("-",C577)*1),
      IF(LEN(LEFT(C577,FIND("-",C577)-1))=4,
        DATE(VALUE(LEFT(C577,4)),VALUE(MID(C577,6,2)),VALUE(RIGHT(C577,2))),
        DATE(VALUE(RIGHT(C577,4)),VALUE(MID(C577,4,2)),VALUE(LEFT(C577,2)))
      ),
      IF(ISNUMBER(SEARCH("/",C577)*1),
        DATE(VALUE(RIGHT(C577,4)),VALUE(LEFT(C577,2)),VALUE(MID(C577,4,2))),
        DATEVALUE(C577)
      )
    )
  ),
"INVALID_DATE")</f>
        <v>45730</v>
      </c>
      <c r="AB577">
        <f t="shared" si="51"/>
        <v>3</v>
      </c>
      <c r="AC577" t="str">
        <f t="shared" si="52"/>
        <v>March</v>
      </c>
      <c r="AD577">
        <f t="shared" si="53"/>
        <v>2025</v>
      </c>
    </row>
    <row r="578" spans="1:30">
      <c r="A578" t="s">
        <v>2769</v>
      </c>
      <c r="B578" t="s">
        <v>2770</v>
      </c>
      <c r="C578" t="s">
        <v>2771</v>
      </c>
      <c r="D578" t="s">
        <v>2772</v>
      </c>
      <c r="E578" t="s">
        <v>187</v>
      </c>
      <c r="F578" t="s">
        <v>122</v>
      </c>
      <c r="G578" t="s">
        <v>279</v>
      </c>
      <c r="H578" t="s">
        <v>193</v>
      </c>
      <c r="I578" t="s">
        <v>194</v>
      </c>
      <c r="J578" t="s">
        <v>37</v>
      </c>
      <c r="K578" t="s">
        <v>205</v>
      </c>
      <c r="L578" t="s">
        <v>2773</v>
      </c>
      <c r="M578" t="s">
        <v>74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131</v>
      </c>
      <c r="U578" t="s">
        <v>132</v>
      </c>
      <c r="V578">
        <f t="shared" ref="V578:V641" si="54">O578*(1-P578)*N578</f>
        <v>23530.14</v>
      </c>
      <c r="W578">
        <f t="shared" ref="W578:W641" si="55">Q578-R578</f>
        <v>3992.3499999999985</v>
      </c>
      <c r="X578">
        <f t="shared" ref="X578:X641" si="56">IF(Q578=0,"",S578/Q578)</f>
        <v>0.16966962372514571</v>
      </c>
      <c r="Y578" t="str">
        <f>_xlfn.TEXTJOIN(", ",TRUE,IF(G578="Unknown","Missing Region",""),IF(M578="Unknown","Missing Ship Mode",""),IF(P578&lt;0,"Negative Discount",""),IF(P578&gt;0.7,"High Discount",""),IF(C578&lt;B578,"Ship Before Order",""))</f>
        <v>Missing Region, Ship Before Order</v>
      </c>
      <c r="Z578" s="2">
        <f>IFERROR(
  IF(ISNUMBER(B578),B578,
    IF(ISNUMBER(SEARCH("-",B578)*1),
      IF(LEN(LEFT(B578,FIND("-",B578)-1))=4,
        DATE(VALUE(LEFT(B578,4)),VALUE(MID(B578,6,2)),VALUE(RIGHT(B578,2))),
        DATE(VALUE(RIGHT(B578,4)),VALUE(MID(B578,4,2)),VALUE(LEFT(B578,2)))
      ),
      IF(ISNUMBER(SEARCH("/",B578)*1),
        DATE(VALUE(RIGHT(B578,4)),VALUE(LEFT(B578,2)),VALUE(MID(B578,4,2))),
        DATEVALUE(B578)
      )
    )
  ),
"INVALID_DATE")</f>
        <v>45339</v>
      </c>
      <c r="AA578" s="2">
        <f>IFERROR(
  IF(ISNUMBER(C578),C578,
    IF(ISNUMBER(SEARCH("-",C578)*1),
      IF(LEN(LEFT(C578,FIND("-",C578)-1))=4,
        DATE(VALUE(LEFT(C578,4)),VALUE(MID(C578,6,2)),VALUE(RIGHT(C578,2))),
        DATE(VALUE(RIGHT(C578,4)),VALUE(MID(C578,4,2)),VALUE(LEFT(C578,2)))
      ),
      IF(ISNUMBER(SEARCH("/",C578)*1),
        DATE(VALUE(RIGHT(C578,4)),VALUE(LEFT(C578,2)),VALUE(MID(C578,4,2))),
        DATEVALUE(C578)
      )
    )
  ),
"INVALID_DATE")</f>
        <v>45345</v>
      </c>
      <c r="AB578">
        <f t="shared" si="51"/>
        <v>6</v>
      </c>
      <c r="AC578" t="str">
        <f t="shared" si="52"/>
        <v>February</v>
      </c>
      <c r="AD578">
        <f t="shared" si="53"/>
        <v>2024</v>
      </c>
    </row>
    <row r="579" spans="1:30">
      <c r="A579" t="s">
        <v>2774</v>
      </c>
      <c r="B579" t="s">
        <v>443</v>
      </c>
      <c r="C579" t="s">
        <v>2775</v>
      </c>
      <c r="D579" t="s">
        <v>2776</v>
      </c>
      <c r="E579" t="s">
        <v>149</v>
      </c>
      <c r="F579" t="s">
        <v>115</v>
      </c>
      <c r="G579" t="s">
        <v>80</v>
      </c>
      <c r="H579" t="s">
        <v>91</v>
      </c>
      <c r="I579" t="s">
        <v>92</v>
      </c>
      <c r="J579" t="s">
        <v>52</v>
      </c>
      <c r="K579" t="s">
        <v>72</v>
      </c>
      <c r="L579" t="s">
        <v>2777</v>
      </c>
      <c r="M579" t="s">
        <v>74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41</v>
      </c>
      <c r="U579" t="s">
        <v>42</v>
      </c>
      <c r="V579">
        <f t="shared" si="54"/>
        <v>1879.1499999999999</v>
      </c>
      <c r="W579">
        <f t="shared" si="55"/>
        <v>744.25</v>
      </c>
      <c r="X579">
        <f t="shared" si="56"/>
        <v>0.3960567277758561</v>
      </c>
      <c r="Y579" t="str">
        <f>_xlfn.TEXTJOIN(", ",TRUE,IF(G579="Unknown","Missing Region",""),IF(M579="Unknown","Missing Ship Mode",""),IF(P579&lt;0,"Negative Discount",""),IF(P579&gt;0.7,"High Discount",""),IF(C579&lt;B579,"Ship Before Order",""))</f>
        <v/>
      </c>
      <c r="Z579" s="2">
        <f>IFERROR(
  IF(ISNUMBER(B579),B579,
    IF(ISNUMBER(SEARCH("-",B579)*1),
      IF(LEN(LEFT(B579,FIND("-",B579)-1))=4,
        DATE(VALUE(LEFT(B579,4)),VALUE(MID(B579,6,2)),VALUE(RIGHT(B579,2))),
        DATE(VALUE(RIGHT(B579,4)),VALUE(MID(B579,4,2)),VALUE(LEFT(B579,2)))
      ),
      IF(ISNUMBER(SEARCH("/",B579)*1),
        DATE(VALUE(RIGHT(B579,4)),VALUE(LEFT(B579,2)),VALUE(MID(B579,4,2))),
        DATEVALUE(B579)
      )
    )
  ),
"INVALID_DATE")</f>
        <v>45897</v>
      </c>
      <c r="AA579" s="2">
        <f>IFERROR(
  IF(ISNUMBER(C579),C579,
    IF(ISNUMBER(SEARCH("-",C579)*1),
      IF(LEN(LEFT(C579,FIND("-",C579)-1))=4,
        DATE(VALUE(LEFT(C579,4)),VALUE(MID(C579,6,2)),VALUE(RIGHT(C579,2))),
        DATE(VALUE(RIGHT(C579,4)),VALUE(MID(C579,4,2)),VALUE(LEFT(C579,2)))
      ),
      IF(ISNUMBER(SEARCH("/",C579)*1),
        DATE(VALUE(RIGHT(C579,4)),VALUE(LEFT(C579,2)),VALUE(MID(C579,4,2))),
        DATEVALUE(C579)
      )
    )
  ),
"INVALID_DATE")</f>
        <v>45903</v>
      </c>
      <c r="AB579">
        <f t="shared" ref="AB579:AB642" si="57">AA579-Z579</f>
        <v>6</v>
      </c>
      <c r="AC579" t="str">
        <f t="shared" ref="AC579:AC642" si="58">TEXT(Z579,"mmmm")</f>
        <v>August</v>
      </c>
      <c r="AD579">
        <f t="shared" ref="AD579:AD642" si="59">YEAR(Z579)</f>
        <v>2025</v>
      </c>
    </row>
    <row r="580" spans="1:30">
      <c r="A580" t="s">
        <v>2778</v>
      </c>
      <c r="B580" t="s">
        <v>2779</v>
      </c>
      <c r="C580" t="s">
        <v>2780</v>
      </c>
      <c r="D580" t="s">
        <v>425</v>
      </c>
      <c r="E580" t="s">
        <v>100</v>
      </c>
      <c r="F580" t="s">
        <v>48</v>
      </c>
      <c r="G580" t="s">
        <v>80</v>
      </c>
      <c r="H580" t="s">
        <v>242</v>
      </c>
      <c r="I580" t="s">
        <v>243</v>
      </c>
      <c r="J580" t="s">
        <v>93</v>
      </c>
      <c r="K580" t="s">
        <v>101</v>
      </c>
      <c r="L580" t="s">
        <v>2781</v>
      </c>
      <c r="M580" t="s">
        <v>63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41</v>
      </c>
      <c r="U580" t="s">
        <v>42</v>
      </c>
      <c r="V580">
        <f t="shared" si="54"/>
        <v>15011.804999999998</v>
      </c>
      <c r="W580">
        <f t="shared" si="55"/>
        <v>5351.4499999999989</v>
      </c>
      <c r="X580">
        <f t="shared" si="56"/>
        <v>0.35648266265027334</v>
      </c>
      <c r="Y580" t="str">
        <f>_xlfn.TEXTJOIN(", ",TRUE,IF(G580="Unknown","Missing Region",""),IF(M580="Unknown","Missing Ship Mode",""),IF(P580&lt;0,"Negative Discount",""),IF(P580&gt;0.7,"High Discount",""),IF(C580&lt;B580,"Ship Before Order",""))</f>
        <v/>
      </c>
      <c r="Z580" s="2">
        <f>IFERROR(
  IF(ISNUMBER(B580),B580,
    IF(ISNUMBER(SEARCH("-",B580)*1),
      IF(LEN(LEFT(B580,FIND("-",B580)-1))=4,
        DATE(VALUE(LEFT(B580,4)),VALUE(MID(B580,6,2)),VALUE(RIGHT(B580,2))),
        DATE(VALUE(RIGHT(B580,4)),VALUE(MID(B580,4,2)),VALUE(LEFT(B580,2)))
      ),
      IF(ISNUMBER(SEARCH("/",B580)*1),
        DATE(VALUE(RIGHT(B580,4)),VALUE(LEFT(B580,2)),VALUE(MID(B580,4,2))),
        DATEVALUE(B580)
      )
    )
  ),
"INVALID_DATE")</f>
        <v>45343</v>
      </c>
      <c r="AA580" s="2">
        <f>IFERROR(
  IF(ISNUMBER(C580),C580,
    IF(ISNUMBER(SEARCH("-",C580)*1),
      IF(LEN(LEFT(C580,FIND("-",C580)-1))=4,
        DATE(VALUE(LEFT(C580,4)),VALUE(MID(C580,6,2)),VALUE(RIGHT(C580,2))),
        DATE(VALUE(RIGHT(C580,4)),VALUE(MID(C580,4,2)),VALUE(LEFT(C580,2)))
      ),
      IF(ISNUMBER(SEARCH("/",C580)*1),
        DATE(VALUE(RIGHT(C580,4)),VALUE(LEFT(C580,2)),VALUE(MID(C580,4,2))),
        DATEVALUE(C580)
      )
    )
  ),
"INVALID_DATE")</f>
        <v>45345</v>
      </c>
      <c r="AB580">
        <f t="shared" si="57"/>
        <v>2</v>
      </c>
      <c r="AC580" t="str">
        <f t="shared" si="58"/>
        <v>February</v>
      </c>
      <c r="AD580">
        <f t="shared" si="59"/>
        <v>2024</v>
      </c>
    </row>
    <row r="581" spans="1:30">
      <c r="A581" t="s">
        <v>2782</v>
      </c>
      <c r="B581" t="s">
        <v>2783</v>
      </c>
      <c r="C581" t="s">
        <v>2784</v>
      </c>
      <c r="D581" t="s">
        <v>2785</v>
      </c>
      <c r="E581" t="s">
        <v>169</v>
      </c>
      <c r="F581" t="s">
        <v>48</v>
      </c>
      <c r="G581" t="s">
        <v>69</v>
      </c>
      <c r="H581" t="s">
        <v>347</v>
      </c>
      <c r="I581" t="s">
        <v>348</v>
      </c>
      <c r="J581" t="s">
        <v>37</v>
      </c>
      <c r="K581" t="s">
        <v>163</v>
      </c>
      <c r="L581" t="s">
        <v>2786</v>
      </c>
      <c r="M581" t="s">
        <v>55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41</v>
      </c>
      <c r="U581" t="s">
        <v>42</v>
      </c>
      <c r="V581">
        <f t="shared" si="54"/>
        <v>3202.41</v>
      </c>
      <c r="W581">
        <f t="shared" si="55"/>
        <v>593.9699999999998</v>
      </c>
      <c r="X581">
        <f t="shared" si="56"/>
        <v>0.185475938433867</v>
      </c>
      <c r="Y581" t="str">
        <f>_xlfn.TEXTJOIN(", ",TRUE,IF(G581="Unknown","Missing Region",""),IF(M581="Unknown","Missing Ship Mode",""),IF(P581&lt;0,"Negative Discount",""),IF(P581&gt;0.7,"High Discount",""),IF(C581&lt;B581,"Ship Before Order",""))</f>
        <v/>
      </c>
      <c r="Z581" s="2">
        <f>IFERROR(
  IF(ISNUMBER(B581),B581,
    IF(ISNUMBER(SEARCH("-",B581)*1),
      IF(LEN(LEFT(B581,FIND("-",B581)-1))=4,
        DATE(VALUE(LEFT(B581,4)),VALUE(MID(B581,6,2)),VALUE(RIGHT(B581,2))),
        DATE(VALUE(RIGHT(B581,4)),VALUE(MID(B581,4,2)),VALUE(LEFT(B581,2)))
      ),
      IF(ISNUMBER(SEARCH("/",B581)*1),
        DATE(VALUE(RIGHT(B581,4)),VALUE(LEFT(B581,2)),VALUE(MID(B581,4,2))),
        DATEVALUE(B581)
      )
    )
  ),
"INVALID_DATE")</f>
        <v>45462</v>
      </c>
      <c r="AA581" s="2">
        <f>IFERROR(
  IF(ISNUMBER(C581),C581,
    IF(ISNUMBER(SEARCH("-",C581)*1),
      IF(LEN(LEFT(C581,FIND("-",C581)-1))=4,
        DATE(VALUE(LEFT(C581,4)),VALUE(MID(C581,6,2)),VALUE(RIGHT(C581,2))),
        DATE(VALUE(RIGHT(C581,4)),VALUE(MID(C581,4,2)),VALUE(LEFT(C581,2)))
      ),
      IF(ISNUMBER(SEARCH("/",C581)*1),
        DATE(VALUE(RIGHT(C581,4)),VALUE(LEFT(C581,2)),VALUE(MID(C581,4,2))),
        DATEVALUE(C581)
      )
    )
  ),
"INVALID_DATE")</f>
        <v>45467</v>
      </c>
      <c r="AB581">
        <f t="shared" si="57"/>
        <v>5</v>
      </c>
      <c r="AC581" t="str">
        <f t="shared" si="58"/>
        <v>June</v>
      </c>
      <c r="AD581">
        <f t="shared" si="59"/>
        <v>2024</v>
      </c>
    </row>
    <row r="582" spans="1:30">
      <c r="A582" t="s">
        <v>2787</v>
      </c>
      <c r="B582" t="s">
        <v>2788</v>
      </c>
      <c r="C582" t="s">
        <v>1467</v>
      </c>
      <c r="D582" t="s">
        <v>2789</v>
      </c>
      <c r="E582" t="s">
        <v>374</v>
      </c>
      <c r="F582" t="s">
        <v>33</v>
      </c>
      <c r="G582" t="s">
        <v>69</v>
      </c>
      <c r="H582" t="s">
        <v>249</v>
      </c>
      <c r="I582" t="s">
        <v>250</v>
      </c>
      <c r="J582" t="s">
        <v>52</v>
      </c>
      <c r="K582" t="s">
        <v>83</v>
      </c>
      <c r="L582" t="s">
        <v>2790</v>
      </c>
      <c r="M582" t="s">
        <v>74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207</v>
      </c>
      <c r="U582" t="s">
        <v>132</v>
      </c>
      <c r="V582">
        <f t="shared" si="54"/>
        <v>417.48599999999999</v>
      </c>
      <c r="W582">
        <f t="shared" si="55"/>
        <v>155.82</v>
      </c>
      <c r="X582">
        <f t="shared" si="56"/>
        <v>0.37323049653883922</v>
      </c>
      <c r="Y582" t="str">
        <f>_xlfn.TEXTJOIN(", ",TRUE,IF(G582="Unknown","Missing Region",""),IF(M582="Unknown","Missing Ship Mode",""),IF(P582&lt;0,"Negative Discount",""),IF(P582&gt;0.7,"High Discount",""),IF(C582&lt;B582,"Ship Before Order",""))</f>
        <v>Ship Before Order</v>
      </c>
      <c r="Z582" s="2">
        <f>IFERROR(
  IF(ISNUMBER(B582),B582,
    IF(ISNUMBER(SEARCH("-",B582)*1),
      IF(LEN(LEFT(B582,FIND("-",B582)-1))=4,
        DATE(VALUE(LEFT(B582,4)),VALUE(MID(B582,6,2)),VALUE(RIGHT(B582,2))),
        DATE(VALUE(RIGHT(B582,4)),VALUE(MID(B582,4,2)),VALUE(LEFT(B582,2)))
      ),
      IF(ISNUMBER(SEARCH("/",B582)*1),
        DATE(VALUE(RIGHT(B582,4)),VALUE(LEFT(B582,2)),VALUE(MID(B582,4,2))),
        DATEVALUE(B582)
      )
    )
  ),
"INVALID_DATE")</f>
        <v>45722</v>
      </c>
      <c r="AA582" s="2">
        <f>IFERROR(
  IF(ISNUMBER(C582),C582,
    IF(ISNUMBER(SEARCH("-",C582)*1),
      IF(LEN(LEFT(C582,FIND("-",C582)-1))=4,
        DATE(VALUE(LEFT(C582,4)),VALUE(MID(C582,6,2)),VALUE(RIGHT(C582,2))),
        DATE(VALUE(RIGHT(C582,4)),VALUE(MID(C582,4,2)),VALUE(LEFT(C582,2)))
      ),
      IF(ISNUMBER(SEARCH("/",C582)*1),
        DATE(VALUE(RIGHT(C582,4)),VALUE(LEFT(C582,2)),VALUE(MID(C582,4,2))),
        DATEVALUE(C582)
      )
    )
  ),
"INVALID_DATE")</f>
        <v>45729</v>
      </c>
      <c r="AB582">
        <f t="shared" si="57"/>
        <v>7</v>
      </c>
      <c r="AC582" t="str">
        <f t="shared" si="58"/>
        <v>March</v>
      </c>
      <c r="AD582">
        <f t="shared" si="59"/>
        <v>2025</v>
      </c>
    </row>
    <row r="583" spans="1:30">
      <c r="A583" t="s">
        <v>2791</v>
      </c>
      <c r="B583" t="s">
        <v>1351</v>
      </c>
      <c r="C583" t="s">
        <v>2792</v>
      </c>
      <c r="D583" t="s">
        <v>2793</v>
      </c>
      <c r="E583" t="s">
        <v>100</v>
      </c>
      <c r="F583" t="s">
        <v>33</v>
      </c>
      <c r="G583" t="s">
        <v>34</v>
      </c>
      <c r="H583" t="s">
        <v>514</v>
      </c>
      <c r="I583" t="s">
        <v>515</v>
      </c>
      <c r="J583" t="s">
        <v>37</v>
      </c>
      <c r="K583" t="s">
        <v>61</v>
      </c>
      <c r="L583" t="s">
        <v>2794</v>
      </c>
      <c r="M583" t="s">
        <v>40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131</v>
      </c>
      <c r="U583" t="s">
        <v>132</v>
      </c>
      <c r="V583">
        <f t="shared" si="54"/>
        <v>16323.8</v>
      </c>
      <c r="W583">
        <f t="shared" si="55"/>
        <v>6358.0099999999984</v>
      </c>
      <c r="X583">
        <f t="shared" si="56"/>
        <v>0.38949325524694006</v>
      </c>
      <c r="Y583" t="str">
        <f>_xlfn.TEXTJOIN(", ",TRUE,IF(G583="Unknown","Missing Region",""),IF(M583="Unknown","Missing Ship Mode",""),IF(P583&lt;0,"Negative Discount",""),IF(P583&gt;0.7,"High Discount",""),IF(C583&lt;B583,"Ship Before Order",""))</f>
        <v>Ship Before Order</v>
      </c>
      <c r="Z583" s="2">
        <f>IFERROR(
  IF(ISNUMBER(B583),B583,
    IF(ISNUMBER(SEARCH("-",B583)*1),
      IF(LEN(LEFT(B583,FIND("-",B583)-1))=4,
        DATE(VALUE(LEFT(B583,4)),VALUE(MID(B583,6,2)),VALUE(RIGHT(B583,2))),
        DATE(VALUE(RIGHT(B583,4)),VALUE(MID(B583,4,2)),VALUE(LEFT(B583,2)))
      ),
      IF(ISNUMBER(SEARCH("/",B583)*1),
        DATE(VALUE(RIGHT(B583,4)),VALUE(LEFT(B583,2)),VALUE(MID(B583,4,2))),
        DATEVALUE(B583)
      )
    )
  ),
"INVALID_DATE")</f>
        <v>45878</v>
      </c>
      <c r="AA583" s="2">
        <f>IFERROR(
  IF(ISNUMBER(C583),C583,
    IF(ISNUMBER(SEARCH("-",C583)*1),
      IF(LEN(LEFT(C583,FIND("-",C583)-1))=4,
        DATE(VALUE(LEFT(C583,4)),VALUE(MID(C583,6,2)),VALUE(RIGHT(C583,2))),
        DATE(VALUE(RIGHT(C583,4)),VALUE(MID(C583,4,2)),VALUE(LEFT(C583,2)))
      ),
      IF(ISNUMBER(SEARCH("/",C583)*1),
        DATE(VALUE(RIGHT(C583,4)),VALUE(LEFT(C583,2)),VALUE(MID(C583,4,2))),
        DATEVALUE(C583)
      )
    )
  ),
"INVALID_DATE")</f>
        <v>45879</v>
      </c>
      <c r="AB583">
        <f t="shared" si="57"/>
        <v>1</v>
      </c>
      <c r="AC583" t="str">
        <f t="shared" si="58"/>
        <v>August</v>
      </c>
      <c r="AD583">
        <f t="shared" si="59"/>
        <v>2025</v>
      </c>
    </row>
    <row r="584" spans="1:30">
      <c r="A584" t="s">
        <v>2795</v>
      </c>
      <c r="B584" t="s">
        <v>2796</v>
      </c>
      <c r="C584" t="s">
        <v>2797</v>
      </c>
      <c r="D584" t="s">
        <v>2798</v>
      </c>
      <c r="E584" t="s">
        <v>79</v>
      </c>
      <c r="F584" t="s">
        <v>33</v>
      </c>
      <c r="G584" t="s">
        <v>49</v>
      </c>
      <c r="H584" t="s">
        <v>50</v>
      </c>
      <c r="I584" t="s">
        <v>51</v>
      </c>
      <c r="J584" t="s">
        <v>37</v>
      </c>
      <c r="K584" t="s">
        <v>61</v>
      </c>
      <c r="L584" t="s">
        <v>2799</v>
      </c>
      <c r="M584" t="s">
        <v>63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144</v>
      </c>
      <c r="U584" t="s">
        <v>132</v>
      </c>
      <c r="V584">
        <f t="shared" si="54"/>
        <v>3356.2</v>
      </c>
      <c r="W584">
        <f t="shared" si="55"/>
        <v>1150.48</v>
      </c>
      <c r="X584">
        <f t="shared" si="56"/>
        <v>0.34279244383528995</v>
      </c>
      <c r="Y584" t="str">
        <f>_xlfn.TEXTJOIN(", ",TRUE,IF(G584="Unknown","Missing Region",""),IF(M584="Unknown","Missing Ship Mode",""),IF(P584&lt;0,"Negative Discount",""),IF(P584&gt;0.7,"High Discount",""),IF(C584&lt;B584,"Ship Before Order",""))</f>
        <v>Ship Before Order</v>
      </c>
      <c r="Z584" s="2">
        <f>IFERROR(
  IF(ISNUMBER(B584),B584,
    IF(ISNUMBER(SEARCH("-",B584)*1),
      IF(LEN(LEFT(B584,FIND("-",B584)-1))=4,
        DATE(VALUE(LEFT(B584,4)),VALUE(MID(B584,6,2)),VALUE(RIGHT(B584,2))),
        DATE(VALUE(RIGHT(B584,4)),VALUE(MID(B584,4,2)),VALUE(LEFT(B584,2)))
      ),
      IF(ISNUMBER(SEARCH("/",B584)*1),
        DATE(VALUE(RIGHT(B584,4)),VALUE(LEFT(B584,2)),VALUE(MID(B584,4,2))),
        DATEVALUE(B584)
      )
    )
  ),
"INVALID_DATE")</f>
        <v>45580</v>
      </c>
      <c r="AA584" s="2">
        <f>IFERROR(
  IF(ISNUMBER(C584),C584,
    IF(ISNUMBER(SEARCH("-",C584)*1),
      IF(LEN(LEFT(C584,FIND("-",C584)-1))=4,
        DATE(VALUE(LEFT(C584,4)),VALUE(MID(C584,6,2)),VALUE(RIGHT(C584,2))),
        DATE(VALUE(RIGHT(C584,4)),VALUE(MID(C584,4,2)),VALUE(LEFT(C584,2)))
      ),
      IF(ISNUMBER(SEARCH("/",C584)*1),
        DATE(VALUE(RIGHT(C584,4)),VALUE(LEFT(C584,2)),VALUE(MID(C584,4,2))),
        DATEVALUE(C584)
      )
    )
  ),
"INVALID_DATE")</f>
        <v>45585</v>
      </c>
      <c r="AB584">
        <f t="shared" si="57"/>
        <v>5</v>
      </c>
      <c r="AC584" t="str">
        <f t="shared" si="58"/>
        <v>October</v>
      </c>
      <c r="AD584">
        <f t="shared" si="59"/>
        <v>2024</v>
      </c>
    </row>
    <row r="585" spans="1:30">
      <c r="A585" t="s">
        <v>2800</v>
      </c>
      <c r="B585" t="s">
        <v>634</v>
      </c>
      <c r="C585" t="s">
        <v>2801</v>
      </c>
      <c r="D585" t="s">
        <v>2802</v>
      </c>
      <c r="E585" t="s">
        <v>187</v>
      </c>
      <c r="F585" t="s">
        <v>48</v>
      </c>
      <c r="G585" t="s">
        <v>49</v>
      </c>
      <c r="H585" t="s">
        <v>128</v>
      </c>
      <c r="I585" t="s">
        <v>129</v>
      </c>
      <c r="J585" t="s">
        <v>37</v>
      </c>
      <c r="K585" t="s">
        <v>163</v>
      </c>
      <c r="L585" t="s">
        <v>2803</v>
      </c>
      <c r="M585" t="s">
        <v>63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207</v>
      </c>
      <c r="U585" t="s">
        <v>132</v>
      </c>
      <c r="V585">
        <f t="shared" si="54"/>
        <v>2101.4720000000002</v>
      </c>
      <c r="W585">
        <f t="shared" si="55"/>
        <v>883.63999999999987</v>
      </c>
      <c r="X585">
        <f t="shared" si="56"/>
        <v>0.4204866117527255</v>
      </c>
      <c r="Y585" t="str">
        <f>_xlfn.TEXTJOIN(", ",TRUE,IF(G585="Unknown","Missing Region",""),IF(M585="Unknown","Missing Ship Mode",""),IF(P585&lt;0,"Negative Discount",""),IF(P585&gt;0.7,"High Discount",""),IF(C585&lt;B585,"Ship Before Order",""))</f>
        <v>Ship Before Order</v>
      </c>
      <c r="Z585" s="2">
        <f>IFERROR(
  IF(ISNUMBER(B585),B585,
    IF(ISNUMBER(SEARCH("-",B585)*1),
      IF(LEN(LEFT(B585,FIND("-",B585)-1))=4,
        DATE(VALUE(LEFT(B585,4)),VALUE(MID(B585,6,2)),VALUE(RIGHT(B585,2))),
        DATE(VALUE(RIGHT(B585,4)),VALUE(MID(B585,4,2)),VALUE(LEFT(B585,2)))
      ),
      IF(ISNUMBER(SEARCH("/",B585)*1),
        DATE(VALUE(RIGHT(B585,4)),VALUE(LEFT(B585,2)),VALUE(MID(B585,4,2))),
        DATEVALUE(B585)
      )
    )
  ),
"INVALID_DATE")</f>
        <v>45350</v>
      </c>
      <c r="AA585" s="2">
        <f>IFERROR(
  IF(ISNUMBER(C585),C585,
    IF(ISNUMBER(SEARCH("-",C585)*1),
      IF(LEN(LEFT(C585,FIND("-",C585)-1))=4,
        DATE(VALUE(LEFT(C585,4)),VALUE(MID(C585,6,2)),VALUE(RIGHT(C585,2))),
        DATE(VALUE(RIGHT(C585,4)),VALUE(MID(C585,4,2)),VALUE(LEFT(C585,2)))
      ),
      IF(ISNUMBER(SEARCH("/",C585)*1),
        DATE(VALUE(RIGHT(C585,4)),VALUE(LEFT(C585,2)),VALUE(MID(C585,4,2))),
        DATEVALUE(C585)
      )
    )
  ),
"INVALID_DATE")</f>
        <v>45350</v>
      </c>
      <c r="AB585">
        <f t="shared" si="57"/>
        <v>0</v>
      </c>
      <c r="AC585" t="str">
        <f t="shared" si="58"/>
        <v>February</v>
      </c>
      <c r="AD585">
        <f t="shared" si="59"/>
        <v>2024</v>
      </c>
    </row>
    <row r="586" spans="1:30">
      <c r="A586" t="s">
        <v>2804</v>
      </c>
      <c r="B586" t="s">
        <v>2805</v>
      </c>
      <c r="C586" t="s">
        <v>2806</v>
      </c>
      <c r="D586" t="s">
        <v>2807</v>
      </c>
      <c r="E586" t="s">
        <v>90</v>
      </c>
      <c r="F586" t="s">
        <v>33</v>
      </c>
      <c r="G586" t="s">
        <v>49</v>
      </c>
      <c r="H586" t="s">
        <v>193</v>
      </c>
      <c r="I586" t="s">
        <v>194</v>
      </c>
      <c r="J586" t="s">
        <v>37</v>
      </c>
      <c r="K586" t="s">
        <v>61</v>
      </c>
      <c r="L586" t="s">
        <v>2808</v>
      </c>
      <c r="M586" t="s">
        <v>55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144</v>
      </c>
      <c r="U586" t="s">
        <v>132</v>
      </c>
      <c r="V586">
        <f t="shared" si="54"/>
        <v>837.19049999999993</v>
      </c>
      <c r="W586">
        <f t="shared" si="55"/>
        <v>253.40000000000009</v>
      </c>
      <c r="X586">
        <f t="shared" si="56"/>
        <v>0.3026792006593485</v>
      </c>
      <c r="Y586" t="str">
        <f>_xlfn.TEXTJOIN(", ",TRUE,IF(G586="Unknown","Missing Region",""),IF(M586="Unknown","Missing Ship Mode",""),IF(P586&lt;0,"Negative Discount",""),IF(P586&gt;0.7,"High Discount",""),IF(C586&lt;B586,"Ship Before Order",""))</f>
        <v/>
      </c>
      <c r="Z586" s="2">
        <f>IFERROR(
  IF(ISNUMBER(B586),B586,
    IF(ISNUMBER(SEARCH("-",B586)*1),
      IF(LEN(LEFT(B586,FIND("-",B586)-1))=4,
        DATE(VALUE(LEFT(B586,4)),VALUE(MID(B586,6,2)),VALUE(RIGHT(B586,2))),
        DATE(VALUE(RIGHT(B586,4)),VALUE(MID(B586,4,2)),VALUE(LEFT(B586,2)))
      ),
      IF(ISNUMBER(SEARCH("/",B586)*1),
        DATE(VALUE(RIGHT(B586,4)),VALUE(LEFT(B586,2)),VALUE(MID(B586,4,2))),
        DATEVALUE(B586)
      )
    )
  ),
"INVALID_DATE")</f>
        <v>45508</v>
      </c>
      <c r="AA586" s="2">
        <f>IFERROR(
  IF(ISNUMBER(C586),C586,
    IF(ISNUMBER(SEARCH("-",C586)*1),
      IF(LEN(LEFT(C586,FIND("-",C586)-1))=4,
        DATE(VALUE(LEFT(C586,4)),VALUE(MID(C586,6,2)),VALUE(RIGHT(C586,2))),
        DATE(VALUE(RIGHT(C586,4)),VALUE(MID(C586,4,2)),VALUE(LEFT(C586,2)))
      ),
      IF(ISNUMBER(SEARCH("/",C586)*1),
        DATE(VALUE(RIGHT(C586,4)),VALUE(LEFT(C586,2)),VALUE(MID(C586,4,2))),
        DATEVALUE(C586)
      )
    )
  ),
"INVALID_DATE")</f>
        <v>45514</v>
      </c>
      <c r="AB586">
        <f t="shared" si="57"/>
        <v>6</v>
      </c>
      <c r="AC586" t="str">
        <f t="shared" si="58"/>
        <v>August</v>
      </c>
      <c r="AD586">
        <f t="shared" si="59"/>
        <v>2024</v>
      </c>
    </row>
    <row r="587" spans="1:30">
      <c r="A587" t="s">
        <v>2809</v>
      </c>
      <c r="B587" t="s">
        <v>1696</v>
      </c>
      <c r="C587" t="s">
        <v>2810</v>
      </c>
      <c r="D587" t="s">
        <v>2811</v>
      </c>
      <c r="E587" t="s">
        <v>217</v>
      </c>
      <c r="F587" t="s">
        <v>48</v>
      </c>
      <c r="G587" t="s">
        <v>1058</v>
      </c>
      <c r="H587" t="s">
        <v>81</v>
      </c>
      <c r="I587" t="s">
        <v>82</v>
      </c>
      <c r="J587" t="s">
        <v>93</v>
      </c>
      <c r="K587" t="s">
        <v>230</v>
      </c>
      <c r="L587" t="s">
        <v>2812</v>
      </c>
      <c r="M587" t="s">
        <v>63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41</v>
      </c>
      <c r="U587" t="s">
        <v>42</v>
      </c>
      <c r="V587">
        <f t="shared" si="54"/>
        <v>27629.279999999999</v>
      </c>
      <c r="W587">
        <f t="shared" si="55"/>
        <v>5602.7999999999993</v>
      </c>
      <c r="X587">
        <f t="shared" si="56"/>
        <v>0.20278487170132556</v>
      </c>
      <c r="Y587" t="str">
        <f>_xlfn.TEXTJOIN(", ",TRUE,IF(G587="Unknown","Missing Region",""),IF(M587="Unknown","Missing Ship Mode",""),IF(P587&lt;0,"Negative Discount",""),IF(P587&gt;0.7,"High Discount",""),IF(C587&lt;B587,"Ship Before Order",""))</f>
        <v>Ship Before Order</v>
      </c>
      <c r="Z587" s="2">
        <f>IFERROR(
  IF(ISNUMBER(B587),B587,
    IF(ISNUMBER(SEARCH("-",B587)*1),
      IF(LEN(LEFT(B587,FIND("-",B587)-1))=4,
        DATE(VALUE(LEFT(B587,4)),VALUE(MID(B587,6,2)),VALUE(RIGHT(B587,2))),
        DATE(VALUE(RIGHT(B587,4)),VALUE(MID(B587,4,2)),VALUE(LEFT(B587,2)))
      ),
      IF(ISNUMBER(SEARCH("/",B587)*1),
        DATE(VALUE(RIGHT(B587,4)),VALUE(LEFT(B587,2)),VALUE(MID(B587,4,2))),
        DATEVALUE(B587)
      )
    )
  ),
"INVALID_DATE")</f>
        <v>45830</v>
      </c>
      <c r="AA587" s="2">
        <f>IFERROR(
  IF(ISNUMBER(C587),C587,
    IF(ISNUMBER(SEARCH("-",C587)*1),
      IF(LEN(LEFT(C587,FIND("-",C587)-1))=4,
        DATE(VALUE(LEFT(C587,4)),VALUE(MID(C587,6,2)),VALUE(RIGHT(C587,2))),
        DATE(VALUE(RIGHT(C587,4)),VALUE(MID(C587,4,2)),VALUE(LEFT(C587,2)))
      ),
      IF(ISNUMBER(SEARCH("/",C587)*1),
        DATE(VALUE(RIGHT(C587,4)),VALUE(LEFT(C587,2)),VALUE(MID(C587,4,2))),
        DATEVALUE(C587)
      )
    )
  ),
"INVALID_DATE")</f>
        <v>45833</v>
      </c>
      <c r="AB587">
        <f t="shared" si="57"/>
        <v>3</v>
      </c>
      <c r="AC587" t="str">
        <f t="shared" si="58"/>
        <v>June</v>
      </c>
      <c r="AD587">
        <f t="shared" si="59"/>
        <v>2025</v>
      </c>
    </row>
    <row r="588" spans="1:30">
      <c r="A588" t="s">
        <v>2813</v>
      </c>
      <c r="B588" t="s">
        <v>2814</v>
      </c>
      <c r="C588" t="s">
        <v>2815</v>
      </c>
      <c r="D588" t="s">
        <v>2816</v>
      </c>
      <c r="E588" t="s">
        <v>47</v>
      </c>
      <c r="F588" t="s">
        <v>122</v>
      </c>
      <c r="G588" t="s">
        <v>34</v>
      </c>
      <c r="H588" t="s">
        <v>161</v>
      </c>
      <c r="I588" t="s">
        <v>162</v>
      </c>
      <c r="J588" t="s">
        <v>37</v>
      </c>
      <c r="K588" t="s">
        <v>205</v>
      </c>
      <c r="L588" t="s">
        <v>2817</v>
      </c>
      <c r="M588" t="s">
        <v>40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41</v>
      </c>
      <c r="U588" t="s">
        <v>42</v>
      </c>
      <c r="V588">
        <f t="shared" si="54"/>
        <v>7471.52</v>
      </c>
      <c r="W588">
        <f t="shared" si="55"/>
        <v>1287.2000000000007</v>
      </c>
      <c r="X588">
        <f t="shared" si="56"/>
        <v>0.17228087457438379</v>
      </c>
      <c r="Y588" t="str">
        <f>_xlfn.TEXTJOIN(", ",TRUE,IF(G588="Unknown","Missing Region",""),IF(M588="Unknown","Missing Ship Mode",""),IF(P588&lt;0,"Negative Discount",""),IF(P588&gt;0.7,"High Discount",""),IF(C588&lt;B588,"Ship Before Order",""))</f>
        <v>Ship Before Order</v>
      </c>
      <c r="Z588" s="2">
        <f>IFERROR(
  IF(ISNUMBER(B588),B588,
    IF(ISNUMBER(SEARCH("-",B588)*1),
      IF(LEN(LEFT(B588,FIND("-",B588)-1))=4,
        DATE(VALUE(LEFT(B588,4)),VALUE(MID(B588,6,2)),VALUE(RIGHT(B588,2))),
        DATE(VALUE(RIGHT(B588,4)),VALUE(MID(B588,4,2)),VALUE(LEFT(B588,2)))
      ),
      IF(ISNUMBER(SEARCH("/",B588)*1),
        DATE(VALUE(RIGHT(B588,4)),VALUE(LEFT(B588,2)),VALUE(MID(B588,4,2))),
        DATEVALUE(B588)
      )
    )
  ),
"INVALID_DATE")</f>
        <v>45759</v>
      </c>
      <c r="AA588" s="2">
        <f>IFERROR(
  IF(ISNUMBER(C588),C588,
    IF(ISNUMBER(SEARCH("-",C588)*1),
      IF(LEN(LEFT(C588,FIND("-",C588)-1))=4,
        DATE(VALUE(LEFT(C588,4)),VALUE(MID(C588,6,2)),VALUE(RIGHT(C588,2))),
        DATE(VALUE(RIGHT(C588,4)),VALUE(MID(C588,4,2)),VALUE(LEFT(C588,2)))
      ),
      IF(ISNUMBER(SEARCH("/",C588)*1),
        DATE(VALUE(RIGHT(C588,4)),VALUE(LEFT(C588,2)),VALUE(MID(C588,4,2))),
        DATEVALUE(C588)
      )
    )
  ),
"INVALID_DATE")</f>
        <v>45759</v>
      </c>
      <c r="AB588">
        <f t="shared" si="57"/>
        <v>0</v>
      </c>
      <c r="AC588" t="str">
        <f t="shared" si="58"/>
        <v>April</v>
      </c>
      <c r="AD588">
        <f t="shared" si="59"/>
        <v>2025</v>
      </c>
    </row>
    <row r="589" spans="1:30">
      <c r="A589" t="s">
        <v>2818</v>
      </c>
      <c r="B589" t="s">
        <v>2819</v>
      </c>
      <c r="C589" t="s">
        <v>2820</v>
      </c>
      <c r="D589" t="s">
        <v>2821</v>
      </c>
      <c r="E589" t="s">
        <v>374</v>
      </c>
      <c r="F589" t="s">
        <v>122</v>
      </c>
      <c r="G589" t="s">
        <v>80</v>
      </c>
      <c r="H589" t="s">
        <v>91</v>
      </c>
      <c r="I589" t="s">
        <v>92</v>
      </c>
      <c r="J589" t="s">
        <v>93</v>
      </c>
      <c r="K589" t="s">
        <v>94</v>
      </c>
      <c r="L589" t="s">
        <v>2822</v>
      </c>
      <c r="M589" t="s">
        <v>63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131</v>
      </c>
      <c r="U589" t="s">
        <v>85</v>
      </c>
      <c r="V589">
        <f t="shared" si="54"/>
        <v>3615.7640000000001</v>
      </c>
      <c r="W589">
        <f t="shared" si="55"/>
        <v>664.24000000000024</v>
      </c>
      <c r="X589">
        <f t="shared" si="56"/>
        <v>0.18370688320021239</v>
      </c>
      <c r="Y589" t="str">
        <f>_xlfn.TEXTJOIN(", ",TRUE,IF(G589="Unknown","Missing Region",""),IF(M589="Unknown","Missing Ship Mode",""),IF(P589&lt;0,"Negative Discount",""),IF(P589&gt;0.7,"High Discount",""),IF(C589&lt;B589,"Ship Before Order",""))</f>
        <v>Ship Before Order</v>
      </c>
      <c r="Z589" s="2">
        <f>IFERROR(
  IF(ISNUMBER(B589),B589,
    IF(ISNUMBER(SEARCH("-",B589)*1),
      IF(LEN(LEFT(B589,FIND("-",B589)-1))=4,
        DATE(VALUE(LEFT(B589,4)),VALUE(MID(B589,6,2)),VALUE(RIGHT(B589,2))),
        DATE(VALUE(RIGHT(B589,4)),VALUE(MID(B589,4,2)),VALUE(LEFT(B589,2)))
      ),
      IF(ISNUMBER(SEARCH("/",B589)*1),
        DATE(VALUE(RIGHT(B589,4)),VALUE(LEFT(B589,2)),VALUE(MID(B589,4,2))),
        DATEVALUE(B589)
      )
    )
  ),
"INVALID_DATE")</f>
        <v>45861</v>
      </c>
      <c r="AA589" s="2">
        <f>IFERROR(
  IF(ISNUMBER(C589),C589,
    IF(ISNUMBER(SEARCH("-",C589)*1),
      IF(LEN(LEFT(C589,FIND("-",C589)-1))=4,
        DATE(VALUE(LEFT(C589,4)),VALUE(MID(C589,6,2)),VALUE(RIGHT(C589,2))),
        DATE(VALUE(RIGHT(C589,4)),VALUE(MID(C589,4,2)),VALUE(LEFT(C589,2)))
      ),
      IF(ISNUMBER(SEARCH("/",C589)*1),
        DATE(VALUE(RIGHT(C589,4)),VALUE(LEFT(C589,2)),VALUE(MID(C589,4,2))),
        DATEVALUE(C589)
      )
    )
  ),
"INVALID_DATE")</f>
        <v>45869</v>
      </c>
      <c r="AB589">
        <f t="shared" si="57"/>
        <v>8</v>
      </c>
      <c r="AC589" t="str">
        <f t="shared" si="58"/>
        <v>July</v>
      </c>
      <c r="AD589">
        <f t="shared" si="59"/>
        <v>2025</v>
      </c>
    </row>
    <row r="590" spans="1:30">
      <c r="A590" t="s">
        <v>2823</v>
      </c>
      <c r="B590" t="s">
        <v>2824</v>
      </c>
      <c r="C590" t="s">
        <v>2825</v>
      </c>
      <c r="D590" t="s">
        <v>2826</v>
      </c>
      <c r="E590" t="s">
        <v>169</v>
      </c>
      <c r="F590" t="s">
        <v>122</v>
      </c>
      <c r="G590" t="s">
        <v>69</v>
      </c>
      <c r="H590" t="s">
        <v>236</v>
      </c>
      <c r="I590" t="s">
        <v>237</v>
      </c>
      <c r="J590" t="s">
        <v>93</v>
      </c>
      <c r="K590" t="s">
        <v>94</v>
      </c>
      <c r="L590" t="s">
        <v>2827</v>
      </c>
      <c r="M590" t="s">
        <v>40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131</v>
      </c>
      <c r="U590" t="s">
        <v>85</v>
      </c>
      <c r="V590">
        <f t="shared" si="54"/>
        <v>32013.791999999998</v>
      </c>
      <c r="W590">
        <f t="shared" si="55"/>
        <v>11116.91</v>
      </c>
      <c r="X590">
        <f t="shared" si="56"/>
        <v>0.3472537928186572</v>
      </c>
      <c r="Y590" t="str">
        <f>_xlfn.TEXTJOIN(", ",TRUE,IF(G590="Unknown","Missing Region",""),IF(M590="Unknown","Missing Ship Mode",""),IF(P590&lt;0,"Negative Discount",""),IF(P590&gt;0.7,"High Discount",""),IF(C590&lt;B590,"Ship Before Order",""))</f>
        <v>Ship Before Order</v>
      </c>
      <c r="Z590" s="2">
        <f>IFERROR(
  IF(ISNUMBER(B590),B590,
    IF(ISNUMBER(SEARCH("-",B590)*1),
      IF(LEN(LEFT(B590,FIND("-",B590)-1))=4,
        DATE(VALUE(LEFT(B590,4)),VALUE(MID(B590,6,2)),VALUE(RIGHT(B590,2))),
        DATE(VALUE(RIGHT(B590,4)),VALUE(MID(B590,4,2)),VALUE(LEFT(B590,2)))
      ),
      IF(ISNUMBER(SEARCH("/",B590)*1),
        DATE(VALUE(RIGHT(B590,4)),VALUE(LEFT(B590,2)),VALUE(MID(B590,4,2))),
        DATEVALUE(B590)
      )
    )
  ),
"INVALID_DATE")</f>
        <v>45727</v>
      </c>
      <c r="AA590" s="2">
        <f>IFERROR(
  IF(ISNUMBER(C590),C590,
    IF(ISNUMBER(SEARCH("-",C590)*1),
      IF(LEN(LEFT(C590,FIND("-",C590)-1))=4,
        DATE(VALUE(LEFT(C590,4)),VALUE(MID(C590,6,2)),VALUE(RIGHT(C590,2))),
        DATE(VALUE(RIGHT(C590,4)),VALUE(MID(C590,4,2)),VALUE(LEFT(C590,2)))
      ),
      IF(ISNUMBER(SEARCH("/",C590)*1),
        DATE(VALUE(RIGHT(C590,4)),VALUE(LEFT(C590,2)),VALUE(MID(C590,4,2))),
        DATEVALUE(C590)
      )
    )
  ),
"INVALID_DATE")</f>
        <v>45731</v>
      </c>
      <c r="AB590">
        <f t="shared" si="57"/>
        <v>4</v>
      </c>
      <c r="AC590" t="str">
        <f t="shared" si="58"/>
        <v>March</v>
      </c>
      <c r="AD590">
        <f t="shared" si="59"/>
        <v>2025</v>
      </c>
    </row>
    <row r="591" spans="1:30">
      <c r="A591" t="s">
        <v>2828</v>
      </c>
      <c r="B591" t="s">
        <v>2829</v>
      </c>
      <c r="C591" t="s">
        <v>2830</v>
      </c>
      <c r="D591" t="s">
        <v>2831</v>
      </c>
      <c r="E591" t="s">
        <v>187</v>
      </c>
      <c r="F591" t="s">
        <v>115</v>
      </c>
      <c r="G591" t="s">
        <v>34</v>
      </c>
      <c r="H591" t="s">
        <v>181</v>
      </c>
      <c r="I591" t="s">
        <v>182</v>
      </c>
      <c r="J591" t="s">
        <v>93</v>
      </c>
      <c r="K591" t="s">
        <v>230</v>
      </c>
      <c r="L591" t="s">
        <v>2832</v>
      </c>
      <c r="M591" t="s">
        <v>63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41</v>
      </c>
      <c r="U591" t="s">
        <v>42</v>
      </c>
      <c r="V591">
        <f t="shared" si="54"/>
        <v>1574.25</v>
      </c>
      <c r="W591">
        <f t="shared" si="55"/>
        <v>248.13000000000011</v>
      </c>
      <c r="X591">
        <f t="shared" si="56"/>
        <v>0.15761791329204383</v>
      </c>
      <c r="Y591" t="str">
        <f>_xlfn.TEXTJOIN(", ",TRUE,IF(G591="Unknown","Missing Region",""),IF(M591="Unknown","Missing Ship Mode",""),IF(P591&lt;0,"Negative Discount",""),IF(P591&gt;0.7,"High Discount",""),IF(C591&lt;B591,"Ship Before Order",""))</f>
        <v/>
      </c>
      <c r="Z591" s="2">
        <f>IFERROR(
  IF(ISNUMBER(B591),B591,
    IF(ISNUMBER(SEARCH("-",B591)*1),
      IF(LEN(LEFT(B591,FIND("-",B591)-1))=4,
        DATE(VALUE(LEFT(B591,4)),VALUE(MID(B591,6,2)),VALUE(RIGHT(B591,2))),
        DATE(VALUE(RIGHT(B591,4)),VALUE(MID(B591,4,2)),VALUE(LEFT(B591,2)))
      ),
      IF(ISNUMBER(SEARCH("/",B591)*1),
        DATE(VALUE(RIGHT(B591,4)),VALUE(LEFT(B591,2)),VALUE(MID(B591,4,2))),
        DATEVALUE(B591)
      )
    )
  ),
"INVALID_DATE")</f>
        <v>45632</v>
      </c>
      <c r="AA591" s="2">
        <f>IFERROR(
  IF(ISNUMBER(C591),C591,
    IF(ISNUMBER(SEARCH("-",C591)*1),
      IF(LEN(LEFT(C591,FIND("-",C591)-1))=4,
        DATE(VALUE(LEFT(C591,4)),VALUE(MID(C591,6,2)),VALUE(RIGHT(C591,2))),
        DATE(VALUE(RIGHT(C591,4)),VALUE(MID(C591,4,2)),VALUE(LEFT(C591,2)))
      ),
      IF(ISNUMBER(SEARCH("/",C591)*1),
        DATE(VALUE(RIGHT(C591,4)),VALUE(LEFT(C591,2)),VALUE(MID(C591,4,2))),
        DATEVALUE(C591)
      )
    )
  ),
"INVALID_DATE")</f>
        <v>45638</v>
      </c>
      <c r="AB591">
        <f t="shared" si="57"/>
        <v>6</v>
      </c>
      <c r="AC591" t="str">
        <f t="shared" si="58"/>
        <v>December</v>
      </c>
      <c r="AD591">
        <f t="shared" si="59"/>
        <v>2024</v>
      </c>
    </row>
    <row r="592" spans="1:30">
      <c r="A592" t="s">
        <v>2833</v>
      </c>
      <c r="B592" t="s">
        <v>281</v>
      </c>
      <c r="C592" t="s">
        <v>2834</v>
      </c>
      <c r="D592" t="s">
        <v>2835</v>
      </c>
      <c r="E592" t="s">
        <v>169</v>
      </c>
      <c r="F592" t="s">
        <v>122</v>
      </c>
      <c r="G592" t="s">
        <v>34</v>
      </c>
      <c r="H592" t="s">
        <v>514</v>
      </c>
      <c r="I592" t="s">
        <v>515</v>
      </c>
      <c r="J592" t="s">
        <v>52</v>
      </c>
      <c r="K592" t="s">
        <v>83</v>
      </c>
      <c r="L592" t="s">
        <v>2836</v>
      </c>
      <c r="M592" t="s">
        <v>55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144</v>
      </c>
      <c r="U592" t="s">
        <v>85</v>
      </c>
      <c r="V592">
        <f t="shared" si="54"/>
        <v>20582.099999999999</v>
      </c>
      <c r="W592">
        <f t="shared" si="55"/>
        <v>4684.4499999999989</v>
      </c>
      <c r="X592">
        <f t="shared" si="56"/>
        <v>0.22759825285077812</v>
      </c>
      <c r="Y592" t="str">
        <f>_xlfn.TEXTJOIN(", ",TRUE,IF(G592="Unknown","Missing Region",""),IF(M592="Unknown","Missing Ship Mode",""),IF(P592&lt;0,"Negative Discount",""),IF(P592&gt;0.7,"High Discount",""),IF(C592&lt;B592,"Ship Before Order",""))</f>
        <v>Ship Before Order</v>
      </c>
      <c r="Z592" s="2">
        <f>IFERROR(
  IF(ISNUMBER(B592),B592,
    IF(ISNUMBER(SEARCH("-",B592)*1),
      IF(LEN(LEFT(B592,FIND("-",B592)-1))=4,
        DATE(VALUE(LEFT(B592,4)),VALUE(MID(B592,6,2)),VALUE(RIGHT(B592,2))),
        DATE(VALUE(RIGHT(B592,4)),VALUE(MID(B592,4,2)),VALUE(LEFT(B592,2)))
      ),
      IF(ISNUMBER(SEARCH("/",B592)*1),
        DATE(VALUE(RIGHT(B592,4)),VALUE(LEFT(B592,2)),VALUE(MID(B592,4,2))),
        DATEVALUE(B592)
      )
    )
  ),
"INVALID_DATE")</f>
        <v>45441</v>
      </c>
      <c r="AA592" s="2">
        <f>IFERROR(
  IF(ISNUMBER(C592),C592,
    IF(ISNUMBER(SEARCH("-",C592)*1),
      IF(LEN(LEFT(C592,FIND("-",C592)-1))=4,
        DATE(VALUE(LEFT(C592,4)),VALUE(MID(C592,6,2)),VALUE(RIGHT(C592,2))),
        DATE(VALUE(RIGHT(C592,4)),VALUE(MID(C592,4,2)),VALUE(LEFT(C592,2)))
      ),
      IF(ISNUMBER(SEARCH("/",C592)*1),
        DATE(VALUE(RIGHT(C592,4)),VALUE(LEFT(C592,2)),VALUE(MID(C592,4,2))),
        DATEVALUE(C592)
      )
    )
  ),
"INVALID_DATE")</f>
        <v>45441</v>
      </c>
      <c r="AB592">
        <f t="shared" si="57"/>
        <v>0</v>
      </c>
      <c r="AC592" t="str">
        <f t="shared" si="58"/>
        <v>May</v>
      </c>
      <c r="AD592">
        <f t="shared" si="59"/>
        <v>2024</v>
      </c>
    </row>
    <row r="593" spans="1:30">
      <c r="A593" t="s">
        <v>2837</v>
      </c>
      <c r="B593" t="s">
        <v>2838</v>
      </c>
      <c r="C593" t="s">
        <v>2839</v>
      </c>
      <c r="D593" t="s">
        <v>2840</v>
      </c>
      <c r="E593" t="s">
        <v>175</v>
      </c>
      <c r="F593" t="s">
        <v>33</v>
      </c>
      <c r="G593" t="s">
        <v>69</v>
      </c>
      <c r="H593" t="s">
        <v>236</v>
      </c>
      <c r="I593" t="s">
        <v>237</v>
      </c>
      <c r="J593" t="s">
        <v>93</v>
      </c>
      <c r="K593" t="s">
        <v>101</v>
      </c>
      <c r="L593" t="s">
        <v>2841</v>
      </c>
      <c r="M593" t="s">
        <v>63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207</v>
      </c>
      <c r="U593" t="s">
        <v>132</v>
      </c>
      <c r="V593">
        <f t="shared" si="54"/>
        <v>10635.24</v>
      </c>
      <c r="W593">
        <f t="shared" si="55"/>
        <v>4603.3599999999997</v>
      </c>
      <c r="X593">
        <f t="shared" si="56"/>
        <v>0.43284025560307055</v>
      </c>
      <c r="Y593" t="str">
        <f>_xlfn.TEXTJOIN(", ",TRUE,IF(G593="Unknown","Missing Region",""),IF(M593="Unknown","Missing Ship Mode",""),IF(P593&lt;0,"Negative Discount",""),IF(P593&gt;0.7,"High Discount",""),IF(C593&lt;B593,"Ship Before Order",""))</f>
        <v/>
      </c>
      <c r="Z593" s="2">
        <f>IFERROR(
  IF(ISNUMBER(B593),B593,
    IF(ISNUMBER(SEARCH("-",B593)*1),
      IF(LEN(LEFT(B593,FIND("-",B593)-1))=4,
        DATE(VALUE(LEFT(B593,4)),VALUE(MID(B593,6,2)),VALUE(RIGHT(B593,2))),
        DATE(VALUE(RIGHT(B593,4)),VALUE(MID(B593,4,2)),VALUE(LEFT(B593,2)))
      ),
      IF(ISNUMBER(SEARCH("/",B593)*1),
        DATE(VALUE(RIGHT(B593,4)),VALUE(LEFT(B593,2)),VALUE(MID(B593,4,2))),
        DATEVALUE(B593)
      )
    )
  ),
"INVALID_DATE")</f>
        <v>45344</v>
      </c>
      <c r="AA593" s="2">
        <f>IFERROR(
  IF(ISNUMBER(C593),C593,
    IF(ISNUMBER(SEARCH("-",C593)*1),
      IF(LEN(LEFT(C593,FIND("-",C593)-1))=4,
        DATE(VALUE(LEFT(C593,4)),VALUE(MID(C593,6,2)),VALUE(RIGHT(C593,2))),
        DATE(VALUE(RIGHT(C593,4)),VALUE(MID(C593,4,2)),VALUE(LEFT(C593,2)))
      ),
      IF(ISNUMBER(SEARCH("/",C593)*1),
        DATE(VALUE(RIGHT(C593,4)),VALUE(LEFT(C593,2)),VALUE(MID(C593,4,2))),
        DATEVALUE(C593)
      )
    )
  ),
"INVALID_DATE")</f>
        <v>45346</v>
      </c>
      <c r="AB593">
        <f t="shared" si="57"/>
        <v>2</v>
      </c>
      <c r="AC593" t="str">
        <f t="shared" si="58"/>
        <v>February</v>
      </c>
      <c r="AD593">
        <f t="shared" si="59"/>
        <v>2024</v>
      </c>
    </row>
    <row r="594" spans="1:30">
      <c r="A594" t="s">
        <v>2842</v>
      </c>
      <c r="B594" t="s">
        <v>847</v>
      </c>
      <c r="C594" t="s">
        <v>905</v>
      </c>
      <c r="D594" t="s">
        <v>2843</v>
      </c>
      <c r="E594" t="s">
        <v>47</v>
      </c>
      <c r="F594" t="s">
        <v>33</v>
      </c>
      <c r="G594" t="s">
        <v>49</v>
      </c>
      <c r="H594" t="s">
        <v>128</v>
      </c>
      <c r="I594" t="s">
        <v>129</v>
      </c>
      <c r="J594" t="s">
        <v>93</v>
      </c>
      <c r="K594" t="s">
        <v>94</v>
      </c>
      <c r="L594" t="s">
        <v>2844</v>
      </c>
      <c r="M594" t="s">
        <v>55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41</v>
      </c>
      <c r="U594" t="s">
        <v>42</v>
      </c>
      <c r="V594">
        <f t="shared" si="54"/>
        <v>29929.588</v>
      </c>
      <c r="W594">
        <f t="shared" si="55"/>
        <v>7493.5600000000013</v>
      </c>
      <c r="X594">
        <f t="shared" si="56"/>
        <v>0.25037295866732556</v>
      </c>
      <c r="Y594" t="str">
        <f>_xlfn.TEXTJOIN(", ",TRUE,IF(G594="Unknown","Missing Region",""),IF(M594="Unknown","Missing Ship Mode",""),IF(P594&lt;0,"Negative Discount",""),IF(P594&gt;0.7,"High Discount",""),IF(C594&lt;B594,"Ship Before Order",""))</f>
        <v/>
      </c>
      <c r="Z594" s="2">
        <f>IFERROR(
  IF(ISNUMBER(B594),B594,
    IF(ISNUMBER(SEARCH("-",B594)*1),
      IF(LEN(LEFT(B594,FIND("-",B594)-1))=4,
        DATE(VALUE(LEFT(B594,4)),VALUE(MID(B594,6,2)),VALUE(RIGHT(B594,2))),
        DATE(VALUE(RIGHT(B594,4)),VALUE(MID(B594,4,2)),VALUE(LEFT(B594,2)))
      ),
      IF(ISNUMBER(SEARCH("/",B594)*1),
        DATE(VALUE(RIGHT(B594,4)),VALUE(LEFT(B594,2)),VALUE(MID(B594,4,2))),
        DATEVALUE(B594)
      )
    )
  ),
"INVALID_DATE")</f>
        <v>45355</v>
      </c>
      <c r="AA594" s="2">
        <f>IFERROR(
  IF(ISNUMBER(C594),C594,
    IF(ISNUMBER(SEARCH("-",C594)*1),
      IF(LEN(LEFT(C594,FIND("-",C594)-1))=4,
        DATE(VALUE(LEFT(C594,4)),VALUE(MID(C594,6,2)),VALUE(RIGHT(C594,2))),
        DATE(VALUE(RIGHT(C594,4)),VALUE(MID(C594,4,2)),VALUE(LEFT(C594,2)))
      ),
      IF(ISNUMBER(SEARCH("/",C594)*1),
        DATE(VALUE(RIGHT(C594,4)),VALUE(LEFT(C594,2)),VALUE(MID(C594,4,2))),
        DATEVALUE(C594)
      )
    )
  ),
"INVALID_DATE")</f>
        <v>45360</v>
      </c>
      <c r="AB594">
        <f t="shared" si="57"/>
        <v>5</v>
      </c>
      <c r="AC594" t="str">
        <f t="shared" si="58"/>
        <v>March</v>
      </c>
      <c r="AD594">
        <f t="shared" si="59"/>
        <v>2024</v>
      </c>
    </row>
    <row r="595" spans="1:30">
      <c r="A595" t="s">
        <v>2845</v>
      </c>
      <c r="B595" t="s">
        <v>1366</v>
      </c>
      <c r="C595" t="s">
        <v>2846</v>
      </c>
      <c r="D595" t="s">
        <v>2537</v>
      </c>
      <c r="E595" t="s">
        <v>68</v>
      </c>
      <c r="F595" t="s">
        <v>122</v>
      </c>
      <c r="G595" t="s">
        <v>34</v>
      </c>
      <c r="H595" t="s">
        <v>181</v>
      </c>
      <c r="I595" t="s">
        <v>182</v>
      </c>
      <c r="J595" t="s">
        <v>52</v>
      </c>
      <c r="K595" t="s">
        <v>53</v>
      </c>
      <c r="L595" t="s">
        <v>2847</v>
      </c>
      <c r="M595" t="s">
        <v>40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41</v>
      </c>
      <c r="U595" t="s">
        <v>42</v>
      </c>
      <c r="V595">
        <f t="shared" si="54"/>
        <v>27675.742499999997</v>
      </c>
      <c r="W595">
        <f t="shared" si="55"/>
        <v>12104.660000000002</v>
      </c>
      <c r="X595">
        <f t="shared" si="56"/>
        <v>0.43737439360248359</v>
      </c>
      <c r="Y595" t="str">
        <f>_xlfn.TEXTJOIN(", ",TRUE,IF(G595="Unknown","Missing Region",""),IF(M595="Unknown","Missing Ship Mode",""),IF(P595&lt;0,"Negative Discount",""),IF(P595&gt;0.7,"High Discount",""),IF(C595&lt;B595,"Ship Before Order",""))</f>
        <v/>
      </c>
      <c r="Z595" s="2">
        <f>IFERROR(
  IF(ISNUMBER(B595),B595,
    IF(ISNUMBER(SEARCH("-",B595)*1),
      IF(LEN(LEFT(B595,FIND("-",B595)-1))=4,
        DATE(VALUE(LEFT(B595,4)),VALUE(MID(B595,6,2)),VALUE(RIGHT(B595,2))),
        DATE(VALUE(RIGHT(B595,4)),VALUE(MID(B595,4,2)),VALUE(LEFT(B595,2)))
      ),
      IF(ISNUMBER(SEARCH("/",B595)*1),
        DATE(VALUE(RIGHT(B595,4)),VALUE(LEFT(B595,2)),VALUE(MID(B595,4,2))),
        DATEVALUE(B595)
      )
    )
  ),
"INVALID_DATE")</f>
        <v>45927</v>
      </c>
      <c r="AA595" s="2">
        <f>IFERROR(
  IF(ISNUMBER(C595),C595,
    IF(ISNUMBER(SEARCH("-",C595)*1),
      IF(LEN(LEFT(C595,FIND("-",C595)-1))=4,
        DATE(VALUE(LEFT(C595,4)),VALUE(MID(C595,6,2)),VALUE(RIGHT(C595,2))),
        DATE(VALUE(RIGHT(C595,4)),VALUE(MID(C595,4,2)),VALUE(LEFT(C595,2)))
      ),
      IF(ISNUMBER(SEARCH("/",C595)*1),
        DATE(VALUE(RIGHT(C595,4)),VALUE(LEFT(C595,2)),VALUE(MID(C595,4,2))),
        DATEVALUE(C595)
      )
    )
  ),
"INVALID_DATE")</f>
        <v>45929</v>
      </c>
      <c r="AB595">
        <f t="shared" si="57"/>
        <v>2</v>
      </c>
      <c r="AC595" t="str">
        <f t="shared" si="58"/>
        <v>September</v>
      </c>
      <c r="AD595">
        <f t="shared" si="59"/>
        <v>2025</v>
      </c>
    </row>
    <row r="596" spans="1:30">
      <c r="A596" t="s">
        <v>2848</v>
      </c>
      <c r="B596" t="s">
        <v>2849</v>
      </c>
      <c r="C596" t="s">
        <v>1143</v>
      </c>
      <c r="D596" t="s">
        <v>2850</v>
      </c>
      <c r="E596" t="s">
        <v>32</v>
      </c>
      <c r="F596" t="s">
        <v>48</v>
      </c>
      <c r="G596" t="s">
        <v>49</v>
      </c>
      <c r="H596" t="s">
        <v>128</v>
      </c>
      <c r="I596" t="s">
        <v>129</v>
      </c>
      <c r="J596" t="s">
        <v>52</v>
      </c>
      <c r="K596" t="s">
        <v>83</v>
      </c>
      <c r="L596" t="s">
        <v>2851</v>
      </c>
      <c r="M596" t="s">
        <v>63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41</v>
      </c>
      <c r="U596" t="s">
        <v>42</v>
      </c>
      <c r="V596">
        <f t="shared" si="54"/>
        <v>11945.28</v>
      </c>
      <c r="W596">
        <f t="shared" si="55"/>
        <v>2244.9700000000012</v>
      </c>
      <c r="X596">
        <f t="shared" si="56"/>
        <v>0.18793782983739182</v>
      </c>
      <c r="Y596" t="str">
        <f>_xlfn.TEXTJOIN(", ",TRUE,IF(G596="Unknown","Missing Region",""),IF(M596="Unknown","Missing Ship Mode",""),IF(P596&lt;0,"Negative Discount",""),IF(P596&gt;0.7,"High Discount",""),IF(C596&lt;B596,"Ship Before Order",""))</f>
        <v/>
      </c>
      <c r="Z596" s="2">
        <f>IFERROR(
  IF(ISNUMBER(B596),B596,
    IF(ISNUMBER(SEARCH("-",B596)*1),
      IF(LEN(LEFT(B596,FIND("-",B596)-1))=4,
        DATE(VALUE(LEFT(B596,4)),VALUE(MID(B596,6,2)),VALUE(RIGHT(B596,2))),
        DATE(VALUE(RIGHT(B596,4)),VALUE(MID(B596,4,2)),VALUE(LEFT(B596,2)))
      ),
      IF(ISNUMBER(SEARCH("/",B596)*1),
        DATE(VALUE(RIGHT(B596,4)),VALUE(LEFT(B596,2)),VALUE(MID(B596,4,2))),
        DATEVALUE(B596)
      )
    )
  ),
"INVALID_DATE")</f>
        <v>45554</v>
      </c>
      <c r="AA596" s="2">
        <f>IFERROR(
  IF(ISNUMBER(C596),C596,
    IF(ISNUMBER(SEARCH("-",C596)*1),
      IF(LEN(LEFT(C596,FIND("-",C596)-1))=4,
        DATE(VALUE(LEFT(C596,4)),VALUE(MID(C596,6,2)),VALUE(RIGHT(C596,2))),
        DATE(VALUE(RIGHT(C596,4)),VALUE(MID(C596,4,2)),VALUE(LEFT(C596,2)))
      ),
      IF(ISNUMBER(SEARCH("/",C596)*1),
        DATE(VALUE(RIGHT(C596,4)),VALUE(LEFT(C596,2)),VALUE(MID(C596,4,2))),
        DATEVALUE(C596)
      )
    )
  ),
"INVALID_DATE")</f>
        <v>45556</v>
      </c>
      <c r="AB596">
        <f t="shared" si="57"/>
        <v>2</v>
      </c>
      <c r="AC596" t="str">
        <f t="shared" si="58"/>
        <v>September</v>
      </c>
      <c r="AD596">
        <f t="shared" si="59"/>
        <v>2024</v>
      </c>
    </row>
    <row r="597" spans="1:30">
      <c r="A597" t="s">
        <v>2852</v>
      </c>
      <c r="B597" t="s">
        <v>2853</v>
      </c>
      <c r="C597" t="s">
        <v>2854</v>
      </c>
      <c r="D597" t="s">
        <v>2855</v>
      </c>
      <c r="E597" t="s">
        <v>47</v>
      </c>
      <c r="F597" t="s">
        <v>115</v>
      </c>
      <c r="G597" t="s">
        <v>34</v>
      </c>
      <c r="H597" t="s">
        <v>181</v>
      </c>
      <c r="I597" t="s">
        <v>182</v>
      </c>
      <c r="J597" t="s">
        <v>93</v>
      </c>
      <c r="K597" t="s">
        <v>230</v>
      </c>
      <c r="L597" t="s">
        <v>2856</v>
      </c>
      <c r="M597" t="s">
        <v>63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41</v>
      </c>
      <c r="U597" t="s">
        <v>42</v>
      </c>
      <c r="V597">
        <f t="shared" si="54"/>
        <v>13144.031999999999</v>
      </c>
      <c r="W597">
        <f t="shared" si="55"/>
        <v>3380.0300000000007</v>
      </c>
      <c r="X597">
        <f t="shared" si="56"/>
        <v>0.25715324751997676</v>
      </c>
      <c r="Y597" t="str">
        <f>_xlfn.TEXTJOIN(", ",TRUE,IF(G597="Unknown","Missing Region",""),IF(M597="Unknown","Missing Ship Mode",""),IF(P597&lt;0,"Negative Discount",""),IF(P597&gt;0.7,"High Discount",""),IF(C597&lt;B597,"Ship Before Order",""))</f>
        <v/>
      </c>
      <c r="Z597" s="2">
        <f>IFERROR(
  IF(ISNUMBER(B597),B597,
    IF(ISNUMBER(SEARCH("-",B597)*1),
      IF(LEN(LEFT(B597,FIND("-",B597)-1))=4,
        DATE(VALUE(LEFT(B597,4)),VALUE(MID(B597,6,2)),VALUE(RIGHT(B597,2))),
        DATE(VALUE(RIGHT(B597,4)),VALUE(MID(B597,4,2)),VALUE(LEFT(B597,2)))
      ),
      IF(ISNUMBER(SEARCH("/",B597)*1),
        DATE(VALUE(RIGHT(B597,4)),VALUE(LEFT(B597,2)),VALUE(MID(B597,4,2))),
        DATEVALUE(B597)
      )
    )
  ),
"INVALID_DATE")</f>
        <v>45699</v>
      </c>
      <c r="AA597" s="2">
        <f>IFERROR(
  IF(ISNUMBER(C597),C597,
    IF(ISNUMBER(SEARCH("-",C597)*1),
      IF(LEN(LEFT(C597,FIND("-",C597)-1))=4,
        DATE(VALUE(LEFT(C597,4)),VALUE(MID(C597,6,2)),VALUE(RIGHT(C597,2))),
        DATE(VALUE(RIGHT(C597,4)),VALUE(MID(C597,4,2)),VALUE(LEFT(C597,2)))
      ),
      IF(ISNUMBER(SEARCH("/",C597)*1),
        DATE(VALUE(RIGHT(C597,4)),VALUE(LEFT(C597,2)),VALUE(MID(C597,4,2))),
        DATEVALUE(C597)
      )
    )
  ),
"INVALID_DATE")</f>
        <v>45704</v>
      </c>
      <c r="AB597">
        <f t="shared" si="57"/>
        <v>5</v>
      </c>
      <c r="AC597" t="str">
        <f t="shared" si="58"/>
        <v>February</v>
      </c>
      <c r="AD597">
        <f t="shared" si="59"/>
        <v>2025</v>
      </c>
    </row>
    <row r="598" spans="1:30">
      <c r="A598" t="s">
        <v>2857</v>
      </c>
      <c r="B598" t="s">
        <v>1448</v>
      </c>
      <c r="C598" t="s">
        <v>419</v>
      </c>
      <c r="D598" t="s">
        <v>2858</v>
      </c>
      <c r="E598" t="s">
        <v>114</v>
      </c>
      <c r="F598" t="s">
        <v>33</v>
      </c>
      <c r="G598" t="s">
        <v>69</v>
      </c>
      <c r="H598" t="s">
        <v>249</v>
      </c>
      <c r="I598" t="s">
        <v>250</v>
      </c>
      <c r="J598" t="s">
        <v>52</v>
      </c>
      <c r="K598" t="s">
        <v>83</v>
      </c>
      <c r="L598" t="s">
        <v>2859</v>
      </c>
      <c r="M598" t="s">
        <v>40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41</v>
      </c>
      <c r="U598" t="s">
        <v>42</v>
      </c>
      <c r="V598">
        <f t="shared" si="54"/>
        <v>18382.005000000001</v>
      </c>
      <c r="W598">
        <f t="shared" si="55"/>
        <v>5273.8099999999977</v>
      </c>
      <c r="X598">
        <f t="shared" si="56"/>
        <v>0.28690061641789993</v>
      </c>
      <c r="Y598" t="str">
        <f>_xlfn.TEXTJOIN(", ",TRUE,IF(G598="Unknown","Missing Region",""),IF(M598="Unknown","Missing Ship Mode",""),IF(P598&lt;0,"Negative Discount",""),IF(P598&gt;0.7,"High Discount",""),IF(C598&lt;B598,"Ship Before Order",""))</f>
        <v>Ship Before Order</v>
      </c>
      <c r="Z598" s="2">
        <f>IFERROR(
  IF(ISNUMBER(B598),B598,
    IF(ISNUMBER(SEARCH("-",B598)*1),
      IF(LEN(LEFT(B598,FIND("-",B598)-1))=4,
        DATE(VALUE(LEFT(B598,4)),VALUE(MID(B598,6,2)),VALUE(RIGHT(B598,2))),
        DATE(VALUE(RIGHT(B598,4)),VALUE(MID(B598,4,2)),VALUE(LEFT(B598,2)))
      ),
      IF(ISNUMBER(SEARCH("/",B598)*1),
        DATE(VALUE(RIGHT(B598,4)),VALUE(LEFT(B598,2)),VALUE(MID(B598,4,2))),
        DATEVALUE(B598)
      )
    )
  ),
"INVALID_DATE")</f>
        <v>45392</v>
      </c>
      <c r="AA598" s="2">
        <f>IFERROR(
  IF(ISNUMBER(C598),C598,
    IF(ISNUMBER(SEARCH("-",C598)*1),
      IF(LEN(LEFT(C598,FIND("-",C598)-1))=4,
        DATE(VALUE(LEFT(C598,4)),VALUE(MID(C598,6,2)),VALUE(RIGHT(C598,2))),
        DATE(VALUE(RIGHT(C598,4)),VALUE(MID(C598,4,2)),VALUE(LEFT(C598,2)))
      ),
      IF(ISNUMBER(SEARCH("/",C598)*1),
        DATE(VALUE(RIGHT(C598,4)),VALUE(LEFT(C598,2)),VALUE(MID(C598,4,2))),
        DATEVALUE(C598)
      )
    )
  ),
"INVALID_DATE")</f>
        <v>45398</v>
      </c>
      <c r="AB598">
        <f t="shared" si="57"/>
        <v>6</v>
      </c>
      <c r="AC598" t="str">
        <f t="shared" si="58"/>
        <v>April</v>
      </c>
      <c r="AD598">
        <f t="shared" si="59"/>
        <v>2024</v>
      </c>
    </row>
    <row r="599" spans="1:30">
      <c r="A599" t="s">
        <v>2860</v>
      </c>
      <c r="B599" t="s">
        <v>2861</v>
      </c>
      <c r="C599" t="s">
        <v>496</v>
      </c>
      <c r="D599" t="s">
        <v>2862</v>
      </c>
      <c r="E599" t="s">
        <v>114</v>
      </c>
      <c r="F599" t="s">
        <v>33</v>
      </c>
      <c r="G599" t="s">
        <v>69</v>
      </c>
      <c r="H599" t="s">
        <v>70</v>
      </c>
      <c r="I599" t="s">
        <v>71</v>
      </c>
      <c r="J599" t="s">
        <v>93</v>
      </c>
      <c r="K599" t="s">
        <v>101</v>
      </c>
      <c r="L599" t="s">
        <v>2863</v>
      </c>
      <c r="M599" t="s">
        <v>55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41</v>
      </c>
      <c r="U599" t="s">
        <v>42</v>
      </c>
      <c r="V599">
        <f t="shared" si="54"/>
        <v>1855.44</v>
      </c>
      <c r="W599">
        <f t="shared" si="55"/>
        <v>592.70000000000005</v>
      </c>
      <c r="X599">
        <f t="shared" si="56"/>
        <v>0.3194390548872505</v>
      </c>
      <c r="Y599" t="str">
        <f>_xlfn.TEXTJOIN(", ",TRUE,IF(G599="Unknown","Missing Region",""),IF(M599="Unknown","Missing Ship Mode",""),IF(P599&lt;0,"Negative Discount",""),IF(P599&gt;0.7,"High Discount",""),IF(C599&lt;B599,"Ship Before Order",""))</f>
        <v>Ship Before Order</v>
      </c>
      <c r="Z599" s="2">
        <f>IFERROR(
  IF(ISNUMBER(B599),B599,
    IF(ISNUMBER(SEARCH("-",B599)*1),
      IF(LEN(LEFT(B599,FIND("-",B599)-1))=4,
        DATE(VALUE(LEFT(B599,4)),VALUE(MID(B599,6,2)),VALUE(RIGHT(B599,2))),
        DATE(VALUE(RIGHT(B599,4)),VALUE(MID(B599,4,2)),VALUE(LEFT(B599,2)))
      ),
      IF(ISNUMBER(SEARCH("/",B599)*1),
        DATE(VALUE(RIGHT(B599,4)),VALUE(LEFT(B599,2)),VALUE(MID(B599,4,2))),
        DATEVALUE(B599)
      )
    )
  ),
"INVALID_DATE")</f>
        <v>45846</v>
      </c>
      <c r="AA599" s="2">
        <f>IFERROR(
  IF(ISNUMBER(C599),C599,
    IF(ISNUMBER(SEARCH("-",C599)*1),
      IF(LEN(LEFT(C599,FIND("-",C599)-1))=4,
        DATE(VALUE(LEFT(C599,4)),VALUE(MID(C599,6,2)),VALUE(RIGHT(C599,2))),
        DATE(VALUE(RIGHT(C599,4)),VALUE(MID(C599,4,2)),VALUE(LEFT(C599,2)))
      ),
      IF(ISNUMBER(SEARCH("/",C599)*1),
        DATE(VALUE(RIGHT(C599,4)),VALUE(LEFT(C599,2)),VALUE(MID(C599,4,2))),
        DATEVALUE(C599)
      )
    )
  ),
"INVALID_DATE")</f>
        <v>45846</v>
      </c>
      <c r="AB599">
        <f t="shared" si="57"/>
        <v>0</v>
      </c>
      <c r="AC599" t="str">
        <f t="shared" si="58"/>
        <v>July</v>
      </c>
      <c r="AD599">
        <f t="shared" si="59"/>
        <v>2025</v>
      </c>
    </row>
    <row r="600" spans="1:30">
      <c r="A600" t="s">
        <v>2864</v>
      </c>
      <c r="B600" t="s">
        <v>2447</v>
      </c>
      <c r="C600" t="s">
        <v>2865</v>
      </c>
      <c r="D600" t="s">
        <v>2866</v>
      </c>
      <c r="E600" t="s">
        <v>79</v>
      </c>
      <c r="F600" t="s">
        <v>115</v>
      </c>
      <c r="G600" t="s">
        <v>49</v>
      </c>
      <c r="H600" t="s">
        <v>128</v>
      </c>
      <c r="I600" t="s">
        <v>129</v>
      </c>
      <c r="J600" t="s">
        <v>93</v>
      </c>
      <c r="K600" t="s">
        <v>101</v>
      </c>
      <c r="L600" t="s">
        <v>2867</v>
      </c>
      <c r="M600" t="s">
        <v>55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41</v>
      </c>
      <c r="U600" t="s">
        <v>42</v>
      </c>
      <c r="V600">
        <f t="shared" si="54"/>
        <v>3354.0524999999998</v>
      </c>
      <c r="W600">
        <f t="shared" si="55"/>
        <v>681.38000000000011</v>
      </c>
      <c r="X600">
        <f t="shared" si="56"/>
        <v>0.20315141396222475</v>
      </c>
      <c r="Y600" t="str">
        <f>_xlfn.TEXTJOIN(", ",TRUE,IF(G600="Unknown","Missing Region",""),IF(M600="Unknown","Missing Ship Mode",""),IF(P600&lt;0,"Negative Discount",""),IF(P600&gt;0.7,"High Discount",""),IF(C600&lt;B600,"Ship Before Order",""))</f>
        <v/>
      </c>
      <c r="Z600" s="2">
        <f>IFERROR(
  IF(ISNUMBER(B600),B600,
    IF(ISNUMBER(SEARCH("-",B600)*1),
      IF(LEN(LEFT(B600,FIND("-",B600)-1))=4,
        DATE(VALUE(LEFT(B600,4)),VALUE(MID(B600,6,2)),VALUE(RIGHT(B600,2))),
        DATE(VALUE(RIGHT(B600,4)),VALUE(MID(B600,4,2)),VALUE(LEFT(B600,2)))
      ),
      IF(ISNUMBER(SEARCH("/",B600)*1),
        DATE(VALUE(RIGHT(B600,4)),VALUE(LEFT(B600,2)),VALUE(MID(B600,4,2))),
        DATEVALUE(B600)
      )
    )
  ),
"INVALID_DATE")</f>
        <v>45521</v>
      </c>
      <c r="AA600" s="2">
        <f>IFERROR(
  IF(ISNUMBER(C600),C600,
    IF(ISNUMBER(SEARCH("-",C600)*1),
      IF(LEN(LEFT(C600,FIND("-",C600)-1))=4,
        DATE(VALUE(LEFT(C600,4)),VALUE(MID(C600,6,2)),VALUE(RIGHT(C600,2))),
        DATE(VALUE(RIGHT(C600,4)),VALUE(MID(C600,4,2)),VALUE(LEFT(C600,2)))
      ),
      IF(ISNUMBER(SEARCH("/",C600)*1),
        DATE(VALUE(RIGHT(C600,4)),VALUE(LEFT(C600,2)),VALUE(MID(C600,4,2))),
        DATEVALUE(C600)
      )
    )
  ),
"INVALID_DATE")</f>
        <v>45528</v>
      </c>
      <c r="AB600">
        <f t="shared" si="57"/>
        <v>7</v>
      </c>
      <c r="AC600" t="str">
        <f t="shared" si="58"/>
        <v>August</v>
      </c>
      <c r="AD600">
        <f t="shared" si="59"/>
        <v>2024</v>
      </c>
    </row>
    <row r="601" spans="1:30">
      <c r="A601" t="s">
        <v>2868</v>
      </c>
      <c r="B601" t="s">
        <v>2869</v>
      </c>
      <c r="C601" t="s">
        <v>1634</v>
      </c>
      <c r="D601" t="s">
        <v>2870</v>
      </c>
      <c r="E601" t="s">
        <v>68</v>
      </c>
      <c r="F601" t="s">
        <v>33</v>
      </c>
      <c r="G601" t="s">
        <v>34</v>
      </c>
      <c r="H601" t="s">
        <v>161</v>
      </c>
      <c r="I601" t="s">
        <v>162</v>
      </c>
      <c r="J601" t="s">
        <v>93</v>
      </c>
      <c r="K601" t="s">
        <v>230</v>
      </c>
      <c r="L601" t="s">
        <v>2871</v>
      </c>
      <c r="M601" t="s">
        <v>63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41</v>
      </c>
      <c r="U601" t="s">
        <v>42</v>
      </c>
      <c r="V601">
        <f t="shared" si="54"/>
        <v>2482.9650000000001</v>
      </c>
      <c r="W601">
        <f t="shared" si="55"/>
        <v>861.24999999999977</v>
      </c>
      <c r="X601">
        <f t="shared" si="56"/>
        <v>0.34686282959520254</v>
      </c>
      <c r="Y601" t="str">
        <f>_xlfn.TEXTJOIN(", ",TRUE,IF(G601="Unknown","Missing Region",""),IF(M601="Unknown","Missing Ship Mode",""),IF(P601&lt;0,"Negative Discount",""),IF(P601&gt;0.7,"High Discount",""),IF(C601&lt;B601,"Ship Before Order",""))</f>
        <v/>
      </c>
      <c r="Z601" s="2">
        <f>IFERROR(
  IF(ISNUMBER(B601),B601,
    IF(ISNUMBER(SEARCH("-",B601)*1),
      IF(LEN(LEFT(B601,FIND("-",B601)-1))=4,
        DATE(VALUE(LEFT(B601,4)),VALUE(MID(B601,6,2)),VALUE(RIGHT(B601,2))),
        DATE(VALUE(RIGHT(B601,4)),VALUE(MID(B601,4,2)),VALUE(LEFT(B601,2)))
      ),
      IF(ISNUMBER(SEARCH("/",B601)*1),
        DATE(VALUE(RIGHT(B601,4)),VALUE(LEFT(B601,2)),VALUE(MID(B601,4,2))),
        DATEVALUE(B601)
      )
    )
  ),
"INVALID_DATE")</f>
        <v>45523</v>
      </c>
      <c r="AA601" s="2">
        <f>IFERROR(
  IF(ISNUMBER(C601),C601,
    IF(ISNUMBER(SEARCH("-",C601)*1),
      IF(LEN(LEFT(C601,FIND("-",C601)-1))=4,
        DATE(VALUE(LEFT(C601,4)),VALUE(MID(C601,6,2)),VALUE(RIGHT(C601,2))),
        DATE(VALUE(RIGHT(C601,4)),VALUE(MID(C601,4,2)),VALUE(LEFT(C601,2)))
      ),
      IF(ISNUMBER(SEARCH("/",C601)*1),
        DATE(VALUE(RIGHT(C601,4)),VALUE(LEFT(C601,2)),VALUE(MID(C601,4,2))),
        DATEVALUE(C601)
      )
    )
  ),
"INVALID_DATE")</f>
        <v>45525</v>
      </c>
      <c r="AB601">
        <f t="shared" si="57"/>
        <v>2</v>
      </c>
      <c r="AC601" t="str">
        <f t="shared" si="58"/>
        <v>August</v>
      </c>
      <c r="AD601">
        <f t="shared" si="59"/>
        <v>2024</v>
      </c>
    </row>
    <row r="602" spans="1:30">
      <c r="A602" t="s">
        <v>2872</v>
      </c>
      <c r="B602" t="s">
        <v>2873</v>
      </c>
      <c r="C602" t="s">
        <v>2874</v>
      </c>
      <c r="D602" t="s">
        <v>2875</v>
      </c>
      <c r="E602" t="s">
        <v>79</v>
      </c>
      <c r="F602" t="s">
        <v>115</v>
      </c>
      <c r="G602" t="s">
        <v>80</v>
      </c>
      <c r="H602" t="s">
        <v>91</v>
      </c>
      <c r="I602" t="s">
        <v>92</v>
      </c>
      <c r="J602" t="s">
        <v>37</v>
      </c>
      <c r="K602" t="s">
        <v>163</v>
      </c>
      <c r="L602" t="s">
        <v>2876</v>
      </c>
      <c r="M602" t="s">
        <v>55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41</v>
      </c>
      <c r="U602" t="s">
        <v>42</v>
      </c>
      <c r="V602">
        <f t="shared" si="54"/>
        <v>11048.25</v>
      </c>
      <c r="W602">
        <f t="shared" si="55"/>
        <v>1985.5300000000007</v>
      </c>
      <c r="X602">
        <f t="shared" si="56"/>
        <v>0.17971443441268978</v>
      </c>
      <c r="Y602" t="str">
        <f>_xlfn.TEXTJOIN(", ",TRUE,IF(G602="Unknown","Missing Region",""),IF(M602="Unknown","Missing Ship Mode",""),IF(P602&lt;0,"Negative Discount",""),IF(P602&gt;0.7,"High Discount",""),IF(C602&lt;B602,"Ship Before Order",""))</f>
        <v/>
      </c>
      <c r="Z602" s="2">
        <f>IFERROR(
  IF(ISNUMBER(B602),B602,
    IF(ISNUMBER(SEARCH("-",B602)*1),
      IF(LEN(LEFT(B602,FIND("-",B602)-1))=4,
        DATE(VALUE(LEFT(B602,4)),VALUE(MID(B602,6,2)),VALUE(RIGHT(B602,2))),
        DATE(VALUE(RIGHT(B602,4)),VALUE(MID(B602,4,2)),VALUE(LEFT(B602,2)))
      ),
      IF(ISNUMBER(SEARCH("/",B602)*1),
        DATE(VALUE(RIGHT(B602,4)),VALUE(LEFT(B602,2)),VALUE(MID(B602,4,2))),
        DATEVALUE(B602)
      )
    )
  ),
"INVALID_DATE")</f>
        <v>45721</v>
      </c>
      <c r="AA602" s="2">
        <f>IFERROR(
  IF(ISNUMBER(C602),C602,
    IF(ISNUMBER(SEARCH("-",C602)*1),
      IF(LEN(LEFT(C602,FIND("-",C602)-1))=4,
        DATE(VALUE(LEFT(C602,4)),VALUE(MID(C602,6,2)),VALUE(RIGHT(C602,2))),
        DATE(VALUE(RIGHT(C602,4)),VALUE(MID(C602,4,2)),VALUE(LEFT(C602,2)))
      ),
      IF(ISNUMBER(SEARCH("/",C602)*1),
        DATE(VALUE(RIGHT(C602,4)),VALUE(LEFT(C602,2)),VALUE(MID(C602,4,2))),
        DATEVALUE(C602)
      )
    )
  ),
"INVALID_DATE")</f>
        <v>45728</v>
      </c>
      <c r="AB602">
        <f t="shared" si="57"/>
        <v>7</v>
      </c>
      <c r="AC602" t="str">
        <f t="shared" si="58"/>
        <v>March</v>
      </c>
      <c r="AD602">
        <f t="shared" si="59"/>
        <v>2025</v>
      </c>
    </row>
    <row r="603" spans="1:30">
      <c r="A603" t="s">
        <v>2877</v>
      </c>
      <c r="B603" t="s">
        <v>2878</v>
      </c>
      <c r="C603" t="s">
        <v>2879</v>
      </c>
      <c r="D603" t="s">
        <v>2880</v>
      </c>
      <c r="E603" t="s">
        <v>79</v>
      </c>
      <c r="F603" t="s">
        <v>122</v>
      </c>
      <c r="G603" t="s">
        <v>49</v>
      </c>
      <c r="H603" t="s">
        <v>128</v>
      </c>
      <c r="I603" t="s">
        <v>129</v>
      </c>
      <c r="J603" t="s">
        <v>37</v>
      </c>
      <c r="K603" t="s">
        <v>38</v>
      </c>
      <c r="L603" t="s">
        <v>2881</v>
      </c>
      <c r="M603" t="s">
        <v>40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41</v>
      </c>
      <c r="U603" t="s">
        <v>42</v>
      </c>
      <c r="V603">
        <f t="shared" si="54"/>
        <v>6460.1200000000008</v>
      </c>
      <c r="W603">
        <f t="shared" si="55"/>
        <v>2856.0899999999997</v>
      </c>
      <c r="X603">
        <f t="shared" si="56"/>
        <v>0.4421109824585302</v>
      </c>
      <c r="Y603" t="str">
        <f>_xlfn.TEXTJOIN(", ",TRUE,IF(G603="Unknown","Missing Region",""),IF(M603="Unknown","Missing Ship Mode",""),IF(P603&lt;0,"Negative Discount",""),IF(P603&gt;0.7,"High Discount",""),IF(C603&lt;B603,"Ship Before Order",""))</f>
        <v>Ship Before Order</v>
      </c>
      <c r="Z603" s="2">
        <f>IFERROR(
  IF(ISNUMBER(B603),B603,
    IF(ISNUMBER(SEARCH("-",B603)*1),
      IF(LEN(LEFT(B603,FIND("-",B603)-1))=4,
        DATE(VALUE(LEFT(B603,4)),VALUE(MID(B603,6,2)),VALUE(RIGHT(B603,2))),
        DATE(VALUE(RIGHT(B603,4)),VALUE(MID(B603,4,2)),VALUE(LEFT(B603,2)))
      ),
      IF(ISNUMBER(SEARCH("/",B603)*1),
        DATE(VALUE(RIGHT(B603,4)),VALUE(LEFT(B603,2)),VALUE(MID(B603,4,2))),
        DATEVALUE(B603)
      )
    )
  ),
"INVALID_DATE")</f>
        <v>45317</v>
      </c>
      <c r="AA603" s="2">
        <f>IFERROR(
  IF(ISNUMBER(C603),C603,
    IF(ISNUMBER(SEARCH("-",C603)*1),
      IF(LEN(LEFT(C603,FIND("-",C603)-1))=4,
        DATE(VALUE(LEFT(C603,4)),VALUE(MID(C603,6,2)),VALUE(RIGHT(C603,2))),
        DATE(VALUE(RIGHT(C603,4)),VALUE(MID(C603,4,2)),VALUE(LEFT(C603,2)))
      ),
      IF(ISNUMBER(SEARCH("/",C603)*1),
        DATE(VALUE(RIGHT(C603,4)),VALUE(LEFT(C603,2)),VALUE(MID(C603,4,2))),
        DATEVALUE(C603)
      )
    )
  ),
"INVALID_DATE")</f>
        <v>45322</v>
      </c>
      <c r="AB603">
        <f t="shared" si="57"/>
        <v>5</v>
      </c>
      <c r="AC603" t="str">
        <f t="shared" si="58"/>
        <v>January</v>
      </c>
      <c r="AD603">
        <f t="shared" si="59"/>
        <v>2024</v>
      </c>
    </row>
    <row r="604" spans="1:30">
      <c r="A604" t="s">
        <v>2882</v>
      </c>
      <c r="B604" t="s">
        <v>2883</v>
      </c>
      <c r="C604" t="s">
        <v>2884</v>
      </c>
      <c r="D604" t="s">
        <v>2885</v>
      </c>
      <c r="E604" t="s">
        <v>169</v>
      </c>
      <c r="F604" t="s">
        <v>33</v>
      </c>
      <c r="G604" t="s">
        <v>49</v>
      </c>
      <c r="H604" t="s">
        <v>319</v>
      </c>
      <c r="I604" t="s">
        <v>320</v>
      </c>
      <c r="J604" t="s">
        <v>93</v>
      </c>
      <c r="K604" t="s">
        <v>101</v>
      </c>
      <c r="L604" t="s">
        <v>2886</v>
      </c>
      <c r="M604" t="s">
        <v>40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41</v>
      </c>
      <c r="U604" t="s">
        <v>42</v>
      </c>
      <c r="V604">
        <f t="shared" si="54"/>
        <v>26192.222999999998</v>
      </c>
      <c r="W604">
        <f t="shared" si="55"/>
        <v>5396.6700000000019</v>
      </c>
      <c r="X604">
        <f t="shared" si="56"/>
        <v>0.20604095414592577</v>
      </c>
      <c r="Y604" t="str">
        <f>_xlfn.TEXTJOIN(", ",TRUE,IF(G604="Unknown","Missing Region",""),IF(M604="Unknown","Missing Ship Mode",""),IF(P604&lt;0,"Negative Discount",""),IF(P604&gt;0.7,"High Discount",""),IF(C604&lt;B604,"Ship Before Order",""))</f>
        <v>Ship Before Order</v>
      </c>
      <c r="Z604" s="2">
        <f>IFERROR(
  IF(ISNUMBER(B604),B604,
    IF(ISNUMBER(SEARCH("-",B604)*1),
      IF(LEN(LEFT(B604,FIND("-",B604)-1))=4,
        DATE(VALUE(LEFT(B604,4)),VALUE(MID(B604,6,2)),VALUE(RIGHT(B604,2))),
        DATE(VALUE(RIGHT(B604,4)),VALUE(MID(B604,4,2)),VALUE(LEFT(B604,2)))
      ),
      IF(ISNUMBER(SEARCH("/",B604)*1),
        DATE(VALUE(RIGHT(B604,4)),VALUE(LEFT(B604,2)),VALUE(MID(B604,4,2))),
        DATEVALUE(B604)
      )
    )
  ),
"INVALID_DATE")</f>
        <v>45588</v>
      </c>
      <c r="AA604" s="2">
        <f>IFERROR(
  IF(ISNUMBER(C604),C604,
    IF(ISNUMBER(SEARCH("-",C604)*1),
      IF(LEN(LEFT(C604,FIND("-",C604)-1))=4,
        DATE(VALUE(LEFT(C604,4)),VALUE(MID(C604,6,2)),VALUE(RIGHT(C604,2))),
        DATE(VALUE(RIGHT(C604,4)),VALUE(MID(C604,4,2)),VALUE(LEFT(C604,2)))
      ),
      IF(ISNUMBER(SEARCH("/",C604)*1),
        DATE(VALUE(RIGHT(C604,4)),VALUE(LEFT(C604,2)),VALUE(MID(C604,4,2))),
        DATEVALUE(C604)
      )
    )
  ),
"INVALID_DATE")</f>
        <v>45595</v>
      </c>
      <c r="AB604">
        <f t="shared" si="57"/>
        <v>7</v>
      </c>
      <c r="AC604" t="str">
        <f t="shared" si="58"/>
        <v>October</v>
      </c>
      <c r="AD604">
        <f t="shared" si="59"/>
        <v>2024</v>
      </c>
    </row>
    <row r="605" spans="1:30">
      <c r="A605" t="s">
        <v>2887</v>
      </c>
      <c r="B605" t="s">
        <v>2888</v>
      </c>
      <c r="C605" t="s">
        <v>600</v>
      </c>
      <c r="D605" t="s">
        <v>488</v>
      </c>
      <c r="E605" t="s">
        <v>90</v>
      </c>
      <c r="F605" t="s">
        <v>115</v>
      </c>
      <c r="G605" t="s">
        <v>49</v>
      </c>
      <c r="H605" t="s">
        <v>193</v>
      </c>
      <c r="I605" t="s">
        <v>194</v>
      </c>
      <c r="J605" t="s">
        <v>93</v>
      </c>
      <c r="K605" t="s">
        <v>94</v>
      </c>
      <c r="L605" t="s">
        <v>2889</v>
      </c>
      <c r="M605" t="s">
        <v>63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144</v>
      </c>
      <c r="U605" t="s">
        <v>85</v>
      </c>
      <c r="V605">
        <f t="shared" si="54"/>
        <v>19564.603999999999</v>
      </c>
      <c r="W605">
        <f t="shared" si="55"/>
        <v>8410.0099999999984</v>
      </c>
      <c r="X605">
        <f t="shared" si="56"/>
        <v>0.42985851997996388</v>
      </c>
      <c r="Y605" t="str">
        <f>_xlfn.TEXTJOIN(", ",TRUE,IF(G605="Unknown","Missing Region",""),IF(M605="Unknown","Missing Ship Mode",""),IF(P605&lt;0,"Negative Discount",""),IF(P605&gt;0.7,"High Discount",""),IF(C605&lt;B605,"Ship Before Order",""))</f>
        <v/>
      </c>
      <c r="Z605" s="2">
        <f>IFERROR(
  IF(ISNUMBER(B605),B605,
    IF(ISNUMBER(SEARCH("-",B605)*1),
      IF(LEN(LEFT(B605,FIND("-",B605)-1))=4,
        DATE(VALUE(LEFT(B605,4)),VALUE(MID(B605,6,2)),VALUE(RIGHT(B605,2))),
        DATE(VALUE(RIGHT(B605,4)),VALUE(MID(B605,4,2)),VALUE(LEFT(B605,2)))
      ),
      IF(ISNUMBER(SEARCH("/",B605)*1),
        DATE(VALUE(RIGHT(B605,4)),VALUE(LEFT(B605,2)),VALUE(MID(B605,4,2))),
        DATEVALUE(B605)
      )
    )
  ),
"INVALID_DATE")</f>
        <v>45660</v>
      </c>
      <c r="AA605" s="2">
        <f>IFERROR(
  IF(ISNUMBER(C605),C605,
    IF(ISNUMBER(SEARCH("-",C605)*1),
      IF(LEN(LEFT(C605,FIND("-",C605)-1))=4,
        DATE(VALUE(LEFT(C605,4)),VALUE(MID(C605,6,2)),VALUE(RIGHT(C605,2))),
        DATE(VALUE(RIGHT(C605,4)),VALUE(MID(C605,4,2)),VALUE(LEFT(C605,2)))
      ),
      IF(ISNUMBER(SEARCH("/",C605)*1),
        DATE(VALUE(RIGHT(C605,4)),VALUE(LEFT(C605,2)),VALUE(MID(C605,4,2))),
        DATEVALUE(C605)
      )
    )
  ),
"INVALID_DATE")</f>
        <v>45668</v>
      </c>
      <c r="AB605">
        <f t="shared" si="57"/>
        <v>8</v>
      </c>
      <c r="AC605" t="str">
        <f t="shared" si="58"/>
        <v>January</v>
      </c>
      <c r="AD605">
        <f t="shared" si="59"/>
        <v>2025</v>
      </c>
    </row>
    <row r="606" spans="1:30">
      <c r="A606" t="s">
        <v>2890</v>
      </c>
      <c r="B606" t="s">
        <v>2891</v>
      </c>
      <c r="C606" t="s">
        <v>2892</v>
      </c>
      <c r="D606" t="s">
        <v>2893</v>
      </c>
      <c r="E606" t="s">
        <v>79</v>
      </c>
      <c r="F606" t="s">
        <v>33</v>
      </c>
      <c r="G606" t="s">
        <v>80</v>
      </c>
      <c r="H606" t="s">
        <v>91</v>
      </c>
      <c r="I606" t="s">
        <v>92</v>
      </c>
      <c r="J606" t="s">
        <v>37</v>
      </c>
      <c r="K606" t="s">
        <v>205</v>
      </c>
      <c r="L606" t="s">
        <v>2894</v>
      </c>
      <c r="M606" t="s">
        <v>55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41</v>
      </c>
      <c r="U606" t="s">
        <v>42</v>
      </c>
      <c r="V606">
        <f t="shared" si="54"/>
        <v>3228.8999999999996</v>
      </c>
      <c r="W606">
        <f t="shared" si="55"/>
        <v>1375.67</v>
      </c>
      <c r="X606">
        <f t="shared" si="56"/>
        <v>0.42604911889497971</v>
      </c>
      <c r="Y606" t="str">
        <f>_xlfn.TEXTJOIN(", ",TRUE,IF(G606="Unknown","Missing Region",""),IF(M606="Unknown","Missing Ship Mode",""),IF(P606&lt;0,"Negative Discount",""),IF(P606&gt;0.7,"High Discount",""),IF(C606&lt;B606,"Ship Before Order",""))</f>
        <v>Ship Before Order</v>
      </c>
      <c r="Z606" s="2">
        <f>IFERROR(
  IF(ISNUMBER(B606),B606,
    IF(ISNUMBER(SEARCH("-",B606)*1),
      IF(LEN(LEFT(B606,FIND("-",B606)-1))=4,
        DATE(VALUE(LEFT(B606,4)),VALUE(MID(B606,6,2)),VALUE(RIGHT(B606,2))),
        DATE(VALUE(RIGHT(B606,4)),VALUE(MID(B606,4,2)),VALUE(LEFT(B606,2)))
      ),
      IF(ISNUMBER(SEARCH("/",B606)*1),
        DATE(VALUE(RIGHT(B606,4)),VALUE(LEFT(B606,2)),VALUE(MID(B606,4,2))),
        DATEVALUE(B606)
      )
    )
  ),
"INVALID_DATE")</f>
        <v>45693</v>
      </c>
      <c r="AA606" s="2">
        <f>IFERROR(
  IF(ISNUMBER(C606),C606,
    IF(ISNUMBER(SEARCH("-",C606)*1),
      IF(LEN(LEFT(C606,FIND("-",C606)-1))=4,
        DATE(VALUE(LEFT(C606,4)),VALUE(MID(C606,6,2)),VALUE(RIGHT(C606,2))),
        DATE(VALUE(RIGHT(C606,4)),VALUE(MID(C606,4,2)),VALUE(LEFT(C606,2)))
      ),
      IF(ISNUMBER(SEARCH("/",C606)*1),
        DATE(VALUE(RIGHT(C606,4)),VALUE(LEFT(C606,2)),VALUE(MID(C606,4,2))),
        DATEVALUE(C606)
      )
    )
  ),
"INVALID_DATE")</f>
        <v>45694</v>
      </c>
      <c r="AB606">
        <f t="shared" si="57"/>
        <v>1</v>
      </c>
      <c r="AC606" t="str">
        <f t="shared" si="58"/>
        <v>February</v>
      </c>
      <c r="AD606">
        <f t="shared" si="59"/>
        <v>2025</v>
      </c>
    </row>
    <row r="607" spans="1:30">
      <c r="A607" t="s">
        <v>2895</v>
      </c>
      <c r="B607" t="s">
        <v>2621</v>
      </c>
      <c r="C607" t="s">
        <v>2896</v>
      </c>
      <c r="D607" t="s">
        <v>2897</v>
      </c>
      <c r="E607" t="s">
        <v>374</v>
      </c>
      <c r="F607" t="s">
        <v>115</v>
      </c>
      <c r="G607" t="s">
        <v>80</v>
      </c>
      <c r="H607" t="s">
        <v>256</v>
      </c>
      <c r="I607" t="s">
        <v>257</v>
      </c>
      <c r="J607" t="s">
        <v>52</v>
      </c>
      <c r="K607" t="s">
        <v>72</v>
      </c>
      <c r="L607" t="s">
        <v>2898</v>
      </c>
      <c r="M607" t="s">
        <v>40</v>
      </c>
      <c r="N607">
        <v>5</v>
      </c>
      <c r="O607">
        <v>1680.01</v>
      </c>
      <c r="P607" t="s">
        <v>1178</v>
      </c>
      <c r="Q607">
        <v>7560.04</v>
      </c>
      <c r="R607">
        <v>6448.05</v>
      </c>
      <c r="S607">
        <v>1111.99</v>
      </c>
      <c r="T607" t="s">
        <v>41</v>
      </c>
      <c r="U607" t="s">
        <v>85</v>
      </c>
      <c r="V607">
        <f t="shared" si="54"/>
        <v>1260.0075000000002</v>
      </c>
      <c r="W607">
        <f t="shared" si="55"/>
        <v>1111.9899999999998</v>
      </c>
      <c r="X607">
        <f t="shared" si="56"/>
        <v>0.14708784609605241</v>
      </c>
      <c r="Y607" t="str">
        <f>_xlfn.TEXTJOIN(", ",TRUE,IF(G607="Unknown","Missing Region",""),IF(M607="Unknown","Missing Ship Mode",""),IF(P607&lt;0,"Negative Discount",""),IF(P607&gt;0.7,"High Discount",""),IF(C607&lt;B607,"Ship Before Order",""))</f>
        <v>High Discount, Ship Before Order</v>
      </c>
      <c r="Z607" s="2">
        <f>IFERROR(
  IF(ISNUMBER(B607),B607,
    IF(ISNUMBER(SEARCH("-",B607)*1),
      IF(LEN(LEFT(B607,FIND("-",B607)-1))=4,
        DATE(VALUE(LEFT(B607,4)),VALUE(MID(B607,6,2)),VALUE(RIGHT(B607,2))),
        DATE(VALUE(RIGHT(B607,4)),VALUE(MID(B607,4,2)),VALUE(LEFT(B607,2)))
      ),
      IF(ISNUMBER(SEARCH("/",B607)*1),
        DATE(VALUE(RIGHT(B607,4)),VALUE(LEFT(B607,2)),VALUE(MID(B607,4,2))),
        DATEVALUE(B607)
      )
    )
  ),
"INVALID_DATE")</f>
        <v>45847</v>
      </c>
      <c r="AA607" s="2">
        <f>IFERROR(
  IF(ISNUMBER(C607),C607,
    IF(ISNUMBER(SEARCH("-",C607)*1),
      IF(LEN(LEFT(C607,FIND("-",C607)-1))=4,
        DATE(VALUE(LEFT(C607,4)),VALUE(MID(C607,6,2)),VALUE(RIGHT(C607,2))),
        DATE(VALUE(RIGHT(C607,4)),VALUE(MID(C607,4,2)),VALUE(LEFT(C607,2)))
      ),
      IF(ISNUMBER(SEARCH("/",C607)*1),
        DATE(VALUE(RIGHT(C607,4)),VALUE(LEFT(C607,2)),VALUE(MID(C607,4,2))),
        DATEVALUE(C607)
      )
    )
  ),
"INVALID_DATE")</f>
        <v>45851</v>
      </c>
      <c r="AB607">
        <f t="shared" si="57"/>
        <v>4</v>
      </c>
      <c r="AC607" t="str">
        <f t="shared" si="58"/>
        <v>July</v>
      </c>
      <c r="AD607">
        <f t="shared" si="59"/>
        <v>2025</v>
      </c>
    </row>
    <row r="608" spans="1:30">
      <c r="A608" t="s">
        <v>2899</v>
      </c>
      <c r="B608" t="s">
        <v>2900</v>
      </c>
      <c r="C608" t="s">
        <v>2536</v>
      </c>
      <c r="D608" t="s">
        <v>2901</v>
      </c>
      <c r="E608" t="s">
        <v>155</v>
      </c>
      <c r="F608" t="s">
        <v>122</v>
      </c>
      <c r="G608" t="s">
        <v>80</v>
      </c>
      <c r="H608" t="s">
        <v>91</v>
      </c>
      <c r="I608" t="s">
        <v>92</v>
      </c>
      <c r="J608" t="s">
        <v>93</v>
      </c>
      <c r="K608" t="s">
        <v>101</v>
      </c>
      <c r="L608" t="s">
        <v>2902</v>
      </c>
      <c r="M608" t="s">
        <v>55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41</v>
      </c>
      <c r="U608" t="s">
        <v>42</v>
      </c>
      <c r="V608">
        <f t="shared" si="54"/>
        <v>8754.3225000000002</v>
      </c>
      <c r="W608">
        <f t="shared" si="55"/>
        <v>2515.42</v>
      </c>
      <c r="X608">
        <f t="shared" si="56"/>
        <v>0.28733471017737533</v>
      </c>
      <c r="Y608" t="str">
        <f>_xlfn.TEXTJOIN(", ",TRUE,IF(G608="Unknown","Missing Region",""),IF(M608="Unknown","Missing Ship Mode",""),IF(P608&lt;0,"Negative Discount",""),IF(P608&gt;0.7,"High Discount",""),IF(C608&lt;B608,"Ship Before Order",""))</f>
        <v>Ship Before Order</v>
      </c>
      <c r="Z608" s="2">
        <f>IFERROR(
  IF(ISNUMBER(B608),B608,
    IF(ISNUMBER(SEARCH("-",B608)*1),
      IF(LEN(LEFT(B608,FIND("-",B608)-1))=4,
        DATE(VALUE(LEFT(B608,4)),VALUE(MID(B608,6,2)),VALUE(RIGHT(B608,2))),
        DATE(VALUE(RIGHT(B608,4)),VALUE(MID(B608,4,2)),VALUE(LEFT(B608,2)))
      ),
      IF(ISNUMBER(SEARCH("/",B608)*1),
        DATE(VALUE(RIGHT(B608,4)),VALUE(LEFT(B608,2)),VALUE(MID(B608,4,2))),
        DATEVALUE(B608)
      )
    )
  ),
"INVALID_DATE")</f>
        <v>45710</v>
      </c>
      <c r="AA608" s="2">
        <f>IFERROR(
  IF(ISNUMBER(C608),C608,
    IF(ISNUMBER(SEARCH("-",C608)*1),
      IF(LEN(LEFT(C608,FIND("-",C608)-1))=4,
        DATE(VALUE(LEFT(C608,4)),VALUE(MID(C608,6,2)),VALUE(RIGHT(C608,2))),
        DATE(VALUE(RIGHT(C608,4)),VALUE(MID(C608,4,2)),VALUE(LEFT(C608,2)))
      ),
      IF(ISNUMBER(SEARCH("/",C608)*1),
        DATE(VALUE(RIGHT(C608,4)),VALUE(LEFT(C608,2)),VALUE(MID(C608,4,2))),
        DATEVALUE(C608)
      )
    )
  ),
"INVALID_DATE")</f>
        <v>45716</v>
      </c>
      <c r="AB608">
        <f t="shared" si="57"/>
        <v>6</v>
      </c>
      <c r="AC608" t="str">
        <f t="shared" si="58"/>
        <v>February</v>
      </c>
      <c r="AD608">
        <f t="shared" si="59"/>
        <v>2025</v>
      </c>
    </row>
    <row r="609" spans="1:30">
      <c r="A609" t="s">
        <v>2903</v>
      </c>
      <c r="B609" t="s">
        <v>2854</v>
      </c>
      <c r="C609" t="s">
        <v>2900</v>
      </c>
      <c r="D609" t="s">
        <v>2904</v>
      </c>
      <c r="E609" t="s">
        <v>175</v>
      </c>
      <c r="F609" t="s">
        <v>122</v>
      </c>
      <c r="G609" t="s">
        <v>49</v>
      </c>
      <c r="H609" t="s">
        <v>193</v>
      </c>
      <c r="I609" t="s">
        <v>194</v>
      </c>
      <c r="J609" t="s">
        <v>37</v>
      </c>
      <c r="K609" t="s">
        <v>163</v>
      </c>
      <c r="L609" t="s">
        <v>2905</v>
      </c>
      <c r="M609" t="s">
        <v>55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41</v>
      </c>
      <c r="U609" t="s">
        <v>42</v>
      </c>
      <c r="V609">
        <f t="shared" si="54"/>
        <v>4057.3474999999999</v>
      </c>
      <c r="W609">
        <f t="shared" si="55"/>
        <v>1195.3199999999997</v>
      </c>
      <c r="X609">
        <f t="shared" si="56"/>
        <v>0.29460608525268955</v>
      </c>
      <c r="Y609" t="str">
        <f>_xlfn.TEXTJOIN(", ",TRUE,IF(G609="Unknown","Missing Region",""),IF(M609="Unknown","Missing Ship Mode",""),IF(P609&lt;0,"Negative Discount",""),IF(P609&gt;0.7,"High Discount",""),IF(C609&lt;B609,"Ship Before Order",""))</f>
        <v/>
      </c>
      <c r="Z609" s="2">
        <f>IFERROR(
  IF(ISNUMBER(B609),B609,
    IF(ISNUMBER(SEARCH("-",B609)*1),
      IF(LEN(LEFT(B609,FIND("-",B609)-1))=4,
        DATE(VALUE(LEFT(B609,4)),VALUE(MID(B609,6,2)),VALUE(RIGHT(B609,2))),
        DATE(VALUE(RIGHT(B609,4)),VALUE(MID(B609,4,2)),VALUE(LEFT(B609,2)))
      ),
      IF(ISNUMBER(SEARCH("/",B609)*1),
        DATE(VALUE(RIGHT(B609,4)),VALUE(LEFT(B609,2)),VALUE(MID(B609,4,2))),
        DATEVALUE(B609)
      )
    )
  ),
"INVALID_DATE")</f>
        <v>45704</v>
      </c>
      <c r="AA609" s="2">
        <f>IFERROR(
  IF(ISNUMBER(C609),C609,
    IF(ISNUMBER(SEARCH("-",C609)*1),
      IF(LEN(LEFT(C609,FIND("-",C609)-1))=4,
        DATE(VALUE(LEFT(C609,4)),VALUE(MID(C609,6,2)),VALUE(RIGHT(C609,2))),
        DATE(VALUE(RIGHT(C609,4)),VALUE(MID(C609,4,2)),VALUE(LEFT(C609,2)))
      ),
      IF(ISNUMBER(SEARCH("/",C609)*1),
        DATE(VALUE(RIGHT(C609,4)),VALUE(LEFT(C609,2)),VALUE(MID(C609,4,2))),
        DATEVALUE(C609)
      )
    )
  ),
"INVALID_DATE")</f>
        <v>45710</v>
      </c>
      <c r="AB609">
        <f t="shared" si="57"/>
        <v>6</v>
      </c>
      <c r="AC609" t="str">
        <f t="shared" si="58"/>
        <v>February</v>
      </c>
      <c r="AD609">
        <f t="shared" si="59"/>
        <v>2025</v>
      </c>
    </row>
    <row r="610" spans="1:30">
      <c r="A610" t="s">
        <v>2906</v>
      </c>
      <c r="B610" t="s">
        <v>2160</v>
      </c>
      <c r="C610" t="s">
        <v>1561</v>
      </c>
      <c r="D610" t="s">
        <v>2582</v>
      </c>
      <c r="E610" t="s">
        <v>32</v>
      </c>
      <c r="F610" t="s">
        <v>122</v>
      </c>
      <c r="G610" t="s">
        <v>80</v>
      </c>
      <c r="H610" t="s">
        <v>256</v>
      </c>
      <c r="I610" t="s">
        <v>257</v>
      </c>
      <c r="J610" t="s">
        <v>52</v>
      </c>
      <c r="K610" t="s">
        <v>72</v>
      </c>
      <c r="L610" t="s">
        <v>2907</v>
      </c>
      <c r="M610" t="s">
        <v>40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41</v>
      </c>
      <c r="U610" t="s">
        <v>42</v>
      </c>
      <c r="V610">
        <f t="shared" si="54"/>
        <v>19383.75</v>
      </c>
      <c r="W610">
        <f t="shared" si="55"/>
        <v>7716.32</v>
      </c>
      <c r="X610">
        <f t="shared" si="56"/>
        <v>0.39808189849745274</v>
      </c>
      <c r="Y610" t="str">
        <f>_xlfn.TEXTJOIN(", ",TRUE,IF(G610="Unknown","Missing Region",""),IF(M610="Unknown","Missing Ship Mode",""),IF(P610&lt;0,"Negative Discount",""),IF(P610&gt;0.7,"High Discount",""),IF(C610&lt;B610,"Ship Before Order",""))</f>
        <v/>
      </c>
      <c r="Z610" s="2">
        <f>IFERROR(
  IF(ISNUMBER(B610),B610,
    IF(ISNUMBER(SEARCH("-",B610)*1),
      IF(LEN(LEFT(B610,FIND("-",B610)-1))=4,
        DATE(VALUE(LEFT(B610,4)),VALUE(MID(B610,6,2)),VALUE(RIGHT(B610,2))),
        DATE(VALUE(RIGHT(B610,4)),VALUE(MID(B610,4,2)),VALUE(LEFT(B610,2)))
      ),
      IF(ISNUMBER(SEARCH("/",B610)*1),
        DATE(VALUE(RIGHT(B610,4)),VALUE(LEFT(B610,2)),VALUE(MID(B610,4,2))),
        DATEVALUE(B610)
      )
    )
  ),
"INVALID_DATE")</f>
        <v>45464</v>
      </c>
      <c r="AA610" s="2">
        <f>IFERROR(
  IF(ISNUMBER(C610),C610,
    IF(ISNUMBER(SEARCH("-",C610)*1),
      IF(LEN(LEFT(C610,FIND("-",C610)-1))=4,
        DATE(VALUE(LEFT(C610,4)),VALUE(MID(C610,6,2)),VALUE(RIGHT(C610,2))),
        DATE(VALUE(RIGHT(C610,4)),VALUE(MID(C610,4,2)),VALUE(LEFT(C610,2)))
      ),
      IF(ISNUMBER(SEARCH("/",C610)*1),
        DATE(VALUE(RIGHT(C610,4)),VALUE(LEFT(C610,2)),VALUE(MID(C610,4,2))),
        DATEVALUE(C610)
      )
    )
  ),
"INVALID_DATE")</f>
        <v>45466</v>
      </c>
      <c r="AB610">
        <f t="shared" si="57"/>
        <v>2</v>
      </c>
      <c r="AC610" t="str">
        <f t="shared" si="58"/>
        <v>June</v>
      </c>
      <c r="AD610">
        <f t="shared" si="59"/>
        <v>2024</v>
      </c>
    </row>
    <row r="611" spans="1:30">
      <c r="A611" t="s">
        <v>2908</v>
      </c>
      <c r="B611" t="s">
        <v>2063</v>
      </c>
      <c r="C611" t="s">
        <v>1184</v>
      </c>
      <c r="D611" t="s">
        <v>2909</v>
      </c>
      <c r="E611" t="s">
        <v>175</v>
      </c>
      <c r="F611" t="s">
        <v>122</v>
      </c>
      <c r="G611" t="s">
        <v>69</v>
      </c>
      <c r="H611" t="s">
        <v>236</v>
      </c>
      <c r="I611" t="s">
        <v>237</v>
      </c>
      <c r="J611" t="s">
        <v>52</v>
      </c>
      <c r="K611" t="s">
        <v>83</v>
      </c>
      <c r="L611" t="s">
        <v>2910</v>
      </c>
      <c r="M611" t="s">
        <v>74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41</v>
      </c>
      <c r="U611" t="s">
        <v>42</v>
      </c>
      <c r="V611">
        <f t="shared" si="54"/>
        <v>30362.359999999997</v>
      </c>
      <c r="W611">
        <f t="shared" si="55"/>
        <v>5296.9599999999991</v>
      </c>
      <c r="X611">
        <f t="shared" si="56"/>
        <v>0.17445811195177185</v>
      </c>
      <c r="Y611" t="str">
        <f>_xlfn.TEXTJOIN(", ",TRUE,IF(G611="Unknown","Missing Region",""),IF(M611="Unknown","Missing Ship Mode",""),IF(P611&lt;0,"Negative Discount",""),IF(P611&gt;0.7,"High Discount",""),IF(C611&lt;B611,"Ship Before Order",""))</f>
        <v>Ship Before Order</v>
      </c>
      <c r="Z611" s="2">
        <f>IFERROR(
  IF(ISNUMBER(B611),B611,
    IF(ISNUMBER(SEARCH("-",B611)*1),
      IF(LEN(LEFT(B611,FIND("-",B611)-1))=4,
        DATE(VALUE(LEFT(B611,4)),VALUE(MID(B611,6,2)),VALUE(RIGHT(B611,2))),
        DATE(VALUE(RIGHT(B611,4)),VALUE(MID(B611,4,2)),VALUE(LEFT(B611,2)))
      ),
      IF(ISNUMBER(SEARCH("/",B611)*1),
        DATE(VALUE(RIGHT(B611,4)),VALUE(LEFT(B611,2)),VALUE(MID(B611,4,2))),
        DATEVALUE(B611)
      )
    )
  ),
"INVALID_DATE")</f>
        <v>45665</v>
      </c>
      <c r="AA611" s="2">
        <f>IFERROR(
  IF(ISNUMBER(C611),C611,
    IF(ISNUMBER(SEARCH("-",C611)*1),
      IF(LEN(LEFT(C611,FIND("-",C611)-1))=4,
        DATE(VALUE(LEFT(C611,4)),VALUE(MID(C611,6,2)),VALUE(RIGHT(C611,2))),
        DATE(VALUE(RIGHT(C611,4)),VALUE(MID(C611,4,2)),VALUE(LEFT(C611,2)))
      ),
      IF(ISNUMBER(SEARCH("/",C611)*1),
        DATE(VALUE(RIGHT(C611,4)),VALUE(LEFT(C611,2)),VALUE(MID(C611,4,2))),
        DATEVALUE(C611)
      )
    )
  ),
"INVALID_DATE")</f>
        <v>45669</v>
      </c>
      <c r="AB611">
        <f t="shared" si="57"/>
        <v>4</v>
      </c>
      <c r="AC611" t="str">
        <f t="shared" si="58"/>
        <v>January</v>
      </c>
      <c r="AD611">
        <f t="shared" si="59"/>
        <v>2025</v>
      </c>
    </row>
    <row r="612" spans="1:30">
      <c r="A612" t="s">
        <v>2911</v>
      </c>
      <c r="B612" t="s">
        <v>2912</v>
      </c>
      <c r="C612" t="s">
        <v>2913</v>
      </c>
      <c r="D612" t="s">
        <v>2088</v>
      </c>
      <c r="E612" t="s">
        <v>32</v>
      </c>
      <c r="F612" t="s">
        <v>122</v>
      </c>
      <c r="G612" t="s">
        <v>80</v>
      </c>
      <c r="H612" t="s">
        <v>91</v>
      </c>
      <c r="I612" t="s">
        <v>92</v>
      </c>
      <c r="J612" t="s">
        <v>52</v>
      </c>
      <c r="K612" t="s">
        <v>83</v>
      </c>
      <c r="L612" t="s">
        <v>2914</v>
      </c>
      <c r="M612" t="s">
        <v>74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41</v>
      </c>
      <c r="U612" t="s">
        <v>42</v>
      </c>
      <c r="V612">
        <f t="shared" si="54"/>
        <v>2729.6549999999997</v>
      </c>
      <c r="W612">
        <f t="shared" si="55"/>
        <v>1014.2900000000002</v>
      </c>
      <c r="X612">
        <f t="shared" si="56"/>
        <v>0.37158243730881246</v>
      </c>
      <c r="Y612" t="str">
        <f>_xlfn.TEXTJOIN(", ",TRUE,IF(G612="Unknown","Missing Region",""),IF(M612="Unknown","Missing Ship Mode",""),IF(P612&lt;0,"Negative Discount",""),IF(P612&gt;0.7,"High Discount",""),IF(C612&lt;B612,"Ship Before Order",""))</f>
        <v>Ship Before Order</v>
      </c>
      <c r="Z612" s="2">
        <f>IFERROR(
  IF(ISNUMBER(B612),B612,
    IF(ISNUMBER(SEARCH("-",B612)*1),
      IF(LEN(LEFT(B612,FIND("-",B612)-1))=4,
        DATE(VALUE(LEFT(B612,4)),VALUE(MID(B612,6,2)),VALUE(RIGHT(B612,2))),
        DATE(VALUE(RIGHT(B612,4)),VALUE(MID(B612,4,2)),VALUE(LEFT(B612,2)))
      ),
      IF(ISNUMBER(SEARCH("/",B612)*1),
        DATE(VALUE(RIGHT(B612,4)),VALUE(LEFT(B612,2)),VALUE(MID(B612,4,2))),
        DATEVALUE(B612)
      )
    )
  ),
"INVALID_DATE")</f>
        <v>45432</v>
      </c>
      <c r="AA612" s="2">
        <f>IFERROR(
  IF(ISNUMBER(C612),C612,
    IF(ISNUMBER(SEARCH("-",C612)*1),
      IF(LEN(LEFT(C612,FIND("-",C612)-1))=4,
        DATE(VALUE(LEFT(C612,4)),VALUE(MID(C612,6,2)),VALUE(RIGHT(C612,2))),
        DATE(VALUE(RIGHT(C612,4)),VALUE(MID(C612,4,2)),VALUE(LEFT(C612,2)))
      ),
      IF(ISNUMBER(SEARCH("/",C612)*1),
        DATE(VALUE(RIGHT(C612,4)),VALUE(LEFT(C612,2)),VALUE(MID(C612,4,2))),
        DATEVALUE(C612)
      )
    )
  ),
"INVALID_DATE")</f>
        <v>45432</v>
      </c>
      <c r="AB612">
        <f t="shared" si="57"/>
        <v>0</v>
      </c>
      <c r="AC612" t="str">
        <f t="shared" si="58"/>
        <v>May</v>
      </c>
      <c r="AD612">
        <f t="shared" si="59"/>
        <v>2024</v>
      </c>
    </row>
    <row r="613" spans="1:30">
      <c r="A613" t="s">
        <v>2915</v>
      </c>
      <c r="B613" t="s">
        <v>2620</v>
      </c>
      <c r="C613" t="s">
        <v>2916</v>
      </c>
      <c r="D613" t="s">
        <v>2917</v>
      </c>
      <c r="E613" t="s">
        <v>79</v>
      </c>
      <c r="F613" t="s">
        <v>48</v>
      </c>
      <c r="G613" t="s">
        <v>34</v>
      </c>
      <c r="H613" t="s">
        <v>35</v>
      </c>
      <c r="I613" t="s">
        <v>36</v>
      </c>
      <c r="J613" t="s">
        <v>37</v>
      </c>
      <c r="K613" t="s">
        <v>205</v>
      </c>
      <c r="L613" t="s">
        <v>2918</v>
      </c>
      <c r="M613" t="s">
        <v>55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41</v>
      </c>
      <c r="U613" t="s">
        <v>42</v>
      </c>
      <c r="V613">
        <f t="shared" si="54"/>
        <v>4718.0159999999996</v>
      </c>
      <c r="W613">
        <f t="shared" si="55"/>
        <v>809.79000000000042</v>
      </c>
      <c r="X613">
        <f t="shared" si="56"/>
        <v>0.17163767851768325</v>
      </c>
      <c r="Y613" t="str">
        <f>_xlfn.TEXTJOIN(", ",TRUE,IF(G613="Unknown","Missing Region",""),IF(M613="Unknown","Missing Ship Mode",""),IF(P613&lt;0,"Negative Discount",""),IF(P613&gt;0.7,"High Discount",""),IF(C613&lt;B613,"Ship Before Order",""))</f>
        <v/>
      </c>
      <c r="Z613" s="2">
        <f>IFERROR(
  IF(ISNUMBER(B613),B613,
    IF(ISNUMBER(SEARCH("-",B613)*1),
      IF(LEN(LEFT(B613,FIND("-",B613)-1))=4,
        DATE(VALUE(LEFT(B613,4)),VALUE(MID(B613,6,2)),VALUE(RIGHT(B613,2))),
        DATE(VALUE(RIGHT(B613,4)),VALUE(MID(B613,4,2)),VALUE(LEFT(B613,2)))
      ),
      IF(ISNUMBER(SEARCH("/",B613)*1),
        DATE(VALUE(RIGHT(B613,4)),VALUE(LEFT(B613,2)),VALUE(MID(B613,4,2))),
        DATEVALUE(B613)
      )
    )
  ),
"INVALID_DATE")</f>
        <v>45846</v>
      </c>
      <c r="AA613" s="2">
        <f>IFERROR(
  IF(ISNUMBER(C613),C613,
    IF(ISNUMBER(SEARCH("-",C613)*1),
      IF(LEN(LEFT(C613,FIND("-",C613)-1))=4,
        DATE(VALUE(LEFT(C613,4)),VALUE(MID(C613,6,2)),VALUE(RIGHT(C613,2))),
        DATE(VALUE(RIGHT(C613,4)),VALUE(MID(C613,4,2)),VALUE(LEFT(C613,2)))
      ),
      IF(ISNUMBER(SEARCH("/",C613)*1),
        DATE(VALUE(RIGHT(C613,4)),VALUE(LEFT(C613,2)),VALUE(MID(C613,4,2))),
        DATEVALUE(C613)
      )
    )
  ),
"INVALID_DATE")</f>
        <v>45853</v>
      </c>
      <c r="AB613">
        <f t="shared" si="57"/>
        <v>7</v>
      </c>
      <c r="AC613" t="str">
        <f t="shared" si="58"/>
        <v>July</v>
      </c>
      <c r="AD613">
        <f t="shared" si="59"/>
        <v>2025</v>
      </c>
    </row>
    <row r="614" spans="1:30">
      <c r="A614" t="s">
        <v>2919</v>
      </c>
      <c r="B614" t="s">
        <v>2920</v>
      </c>
      <c r="C614" t="s">
        <v>2921</v>
      </c>
      <c r="D614" t="s">
        <v>2922</v>
      </c>
      <c r="E614" t="s">
        <v>114</v>
      </c>
      <c r="F614" t="s">
        <v>33</v>
      </c>
      <c r="G614" t="s">
        <v>279</v>
      </c>
      <c r="H614" t="s">
        <v>50</v>
      </c>
      <c r="I614" t="s">
        <v>51</v>
      </c>
      <c r="J614" t="s">
        <v>93</v>
      </c>
      <c r="K614" t="s">
        <v>230</v>
      </c>
      <c r="L614" t="s">
        <v>2923</v>
      </c>
      <c r="M614" t="s">
        <v>74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41</v>
      </c>
      <c r="U614" t="s">
        <v>42</v>
      </c>
      <c r="V614">
        <f t="shared" si="54"/>
        <v>3844.01</v>
      </c>
      <c r="W614">
        <f t="shared" si="55"/>
        <v>1648.2200000000003</v>
      </c>
      <c r="X614">
        <f t="shared" si="56"/>
        <v>0.4287761998537985</v>
      </c>
      <c r="Y614" t="str">
        <f>_xlfn.TEXTJOIN(", ",TRUE,IF(G614="Unknown","Missing Region",""),IF(M614="Unknown","Missing Ship Mode",""),IF(P614&lt;0,"Negative Discount",""),IF(P614&gt;0.7,"High Discount",""),IF(C614&lt;B614,"Ship Before Order",""))</f>
        <v>Missing Region</v>
      </c>
      <c r="Z614" s="2">
        <f>IFERROR(
  IF(ISNUMBER(B614),B614,
    IF(ISNUMBER(SEARCH("-",B614)*1),
      IF(LEN(LEFT(B614,FIND("-",B614)-1))=4,
        DATE(VALUE(LEFT(B614,4)),VALUE(MID(B614,6,2)),VALUE(RIGHT(B614,2))),
        DATE(VALUE(RIGHT(B614,4)),VALUE(MID(B614,4,2)),VALUE(LEFT(B614,2)))
      ),
      IF(ISNUMBER(SEARCH("/",B614)*1),
        DATE(VALUE(RIGHT(B614,4)),VALUE(LEFT(B614,2)),VALUE(MID(B614,4,2))),
        DATEVALUE(B614)
      )
    )
  ),
"INVALID_DATE")</f>
        <v>45753</v>
      </c>
      <c r="AA614" s="2">
        <f>IFERROR(
  IF(ISNUMBER(C614),C614,
    IF(ISNUMBER(SEARCH("-",C614)*1),
      IF(LEN(LEFT(C614,FIND("-",C614)-1))=4,
        DATE(VALUE(LEFT(C614,4)),VALUE(MID(C614,6,2)),VALUE(RIGHT(C614,2))),
        DATE(VALUE(RIGHT(C614,4)),VALUE(MID(C614,4,2)),VALUE(LEFT(C614,2)))
      ),
      IF(ISNUMBER(SEARCH("/",C614)*1),
        DATE(VALUE(RIGHT(C614,4)),VALUE(LEFT(C614,2)),VALUE(MID(C614,4,2))),
        DATEVALUE(C614)
      )
    )
  ),
"INVALID_DATE")</f>
        <v>45760</v>
      </c>
      <c r="AB614">
        <f t="shared" si="57"/>
        <v>7</v>
      </c>
      <c r="AC614" t="str">
        <f t="shared" si="58"/>
        <v>April</v>
      </c>
      <c r="AD614">
        <f t="shared" si="59"/>
        <v>2025</v>
      </c>
    </row>
    <row r="615" spans="1:30">
      <c r="A615" t="s">
        <v>2924</v>
      </c>
      <c r="B615" t="s">
        <v>2456</v>
      </c>
      <c r="C615" t="s">
        <v>2925</v>
      </c>
      <c r="D615" t="s">
        <v>2926</v>
      </c>
      <c r="E615" t="s">
        <v>217</v>
      </c>
      <c r="F615" t="s">
        <v>122</v>
      </c>
      <c r="G615" t="s">
        <v>80</v>
      </c>
      <c r="H615" t="s">
        <v>242</v>
      </c>
      <c r="I615" t="s">
        <v>243</v>
      </c>
      <c r="J615" t="s">
        <v>93</v>
      </c>
      <c r="K615" t="s">
        <v>390</v>
      </c>
      <c r="L615" t="s">
        <v>2927</v>
      </c>
      <c r="M615" t="s">
        <v>55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41</v>
      </c>
      <c r="U615" t="s">
        <v>42</v>
      </c>
      <c r="V615">
        <f t="shared" si="54"/>
        <v>22688.775000000001</v>
      </c>
      <c r="W615">
        <f t="shared" si="55"/>
        <v>8016.369999999999</v>
      </c>
      <c r="X615">
        <f t="shared" si="56"/>
        <v>0.35331868879684147</v>
      </c>
      <c r="Y615" t="str">
        <f>_xlfn.TEXTJOIN(", ",TRUE,IF(G615="Unknown","Missing Region",""),IF(M615="Unknown","Missing Ship Mode",""),IF(P615&lt;0,"Negative Discount",""),IF(P615&gt;0.7,"High Discount",""),IF(C615&lt;B615,"Ship Before Order",""))</f>
        <v>Ship Before Order</v>
      </c>
      <c r="Z615" s="2">
        <f>IFERROR(
  IF(ISNUMBER(B615),B615,
    IF(ISNUMBER(SEARCH("-",B615)*1),
      IF(LEN(LEFT(B615,FIND("-",B615)-1))=4,
        DATE(VALUE(LEFT(B615,4)),VALUE(MID(B615,6,2)),VALUE(RIGHT(B615,2))),
        DATE(VALUE(RIGHT(B615,4)),VALUE(MID(B615,4,2)),VALUE(LEFT(B615,2)))
      ),
      IF(ISNUMBER(SEARCH("/",B615)*1),
        DATE(VALUE(RIGHT(B615,4)),VALUE(LEFT(B615,2)),VALUE(MID(B615,4,2))),
        DATEVALUE(B615)
      )
    )
  ),
"INVALID_DATE")</f>
        <v>45570</v>
      </c>
      <c r="AA615" s="2">
        <f>IFERROR(
  IF(ISNUMBER(C615),C615,
    IF(ISNUMBER(SEARCH("-",C615)*1),
      IF(LEN(LEFT(C615,FIND("-",C615)-1))=4,
        DATE(VALUE(LEFT(C615,4)),VALUE(MID(C615,6,2)),VALUE(RIGHT(C615,2))),
        DATE(VALUE(RIGHT(C615,4)),VALUE(MID(C615,4,2)),VALUE(LEFT(C615,2)))
      ),
      IF(ISNUMBER(SEARCH("/",C615)*1),
        DATE(VALUE(RIGHT(C615,4)),VALUE(LEFT(C615,2)),VALUE(MID(C615,4,2))),
        DATEVALUE(C615)
      )
    )
  ),
"INVALID_DATE")</f>
        <v>45575</v>
      </c>
      <c r="AB615">
        <f t="shared" si="57"/>
        <v>5</v>
      </c>
      <c r="AC615" t="str">
        <f t="shared" si="58"/>
        <v>October</v>
      </c>
      <c r="AD615">
        <f t="shared" si="59"/>
        <v>2024</v>
      </c>
    </row>
    <row r="616" spans="1:30">
      <c r="A616" t="s">
        <v>2928</v>
      </c>
      <c r="B616" t="s">
        <v>2314</v>
      </c>
      <c r="C616" t="s">
        <v>2929</v>
      </c>
      <c r="D616" t="s">
        <v>2930</v>
      </c>
      <c r="E616" t="s">
        <v>79</v>
      </c>
      <c r="F616" t="s">
        <v>122</v>
      </c>
      <c r="G616" t="s">
        <v>69</v>
      </c>
      <c r="H616" t="s">
        <v>70</v>
      </c>
      <c r="I616" t="s">
        <v>71</v>
      </c>
      <c r="J616" t="s">
        <v>52</v>
      </c>
      <c r="K616" t="s">
        <v>83</v>
      </c>
      <c r="L616" t="s">
        <v>2931</v>
      </c>
      <c r="M616" t="s">
        <v>74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131</v>
      </c>
      <c r="U616" t="s">
        <v>85</v>
      </c>
      <c r="V616">
        <f t="shared" si="54"/>
        <v>20389.920000000002</v>
      </c>
      <c r="W616">
        <f t="shared" si="55"/>
        <v>3728.8399999999965</v>
      </c>
      <c r="X616">
        <f t="shared" si="56"/>
        <v>0.18287663708342164</v>
      </c>
      <c r="Y616" t="str">
        <f>_xlfn.TEXTJOIN(", ",TRUE,IF(G616="Unknown","Missing Region",""),IF(M616="Unknown","Missing Ship Mode",""),IF(P616&lt;0,"Negative Discount",""),IF(P616&gt;0.7,"High Discount",""),IF(C616&lt;B616,"Ship Before Order",""))</f>
        <v/>
      </c>
      <c r="Z616" s="2">
        <f>IFERROR(
  IF(ISNUMBER(B616),B616,
    IF(ISNUMBER(SEARCH("-",B616)*1),
      IF(LEN(LEFT(B616,FIND("-",B616)-1))=4,
        DATE(VALUE(LEFT(B616,4)),VALUE(MID(B616,6,2)),VALUE(RIGHT(B616,2))),
        DATE(VALUE(RIGHT(B616,4)),VALUE(MID(B616,4,2)),VALUE(LEFT(B616,2)))
      ),
      IF(ISNUMBER(SEARCH("/",B616)*1),
        DATE(VALUE(RIGHT(B616,4)),VALUE(LEFT(B616,2)),VALUE(MID(B616,4,2))),
        DATEVALUE(B616)
      )
    )
  ),
"INVALID_DATE")</f>
        <v>45333</v>
      </c>
      <c r="AA616" s="2">
        <f>IFERROR(
  IF(ISNUMBER(C616),C616,
    IF(ISNUMBER(SEARCH("-",C616)*1),
      IF(LEN(LEFT(C616,FIND("-",C616)-1))=4,
        DATE(VALUE(LEFT(C616,4)),VALUE(MID(C616,6,2)),VALUE(RIGHT(C616,2))),
        DATE(VALUE(RIGHT(C616,4)),VALUE(MID(C616,4,2)),VALUE(LEFT(C616,2)))
      ),
      IF(ISNUMBER(SEARCH("/",C616)*1),
        DATE(VALUE(RIGHT(C616,4)),VALUE(LEFT(C616,2)),VALUE(MID(C616,4,2))),
        DATEVALUE(C616)
      )
    )
  ),
"INVALID_DATE")</f>
        <v>45341</v>
      </c>
      <c r="AB616">
        <f t="shared" si="57"/>
        <v>8</v>
      </c>
      <c r="AC616" t="str">
        <f t="shared" si="58"/>
        <v>February</v>
      </c>
      <c r="AD616">
        <f t="shared" si="59"/>
        <v>2024</v>
      </c>
    </row>
    <row r="617" spans="1:30">
      <c r="A617" t="s">
        <v>2932</v>
      </c>
      <c r="B617" t="s">
        <v>2933</v>
      </c>
      <c r="C617" t="s">
        <v>2934</v>
      </c>
      <c r="D617" t="s">
        <v>2935</v>
      </c>
      <c r="E617" t="s">
        <v>155</v>
      </c>
      <c r="F617" t="s">
        <v>115</v>
      </c>
      <c r="G617" t="s">
        <v>69</v>
      </c>
      <c r="H617" t="s">
        <v>249</v>
      </c>
      <c r="I617" t="s">
        <v>250</v>
      </c>
      <c r="J617" t="s">
        <v>37</v>
      </c>
      <c r="K617" t="s">
        <v>61</v>
      </c>
      <c r="L617" t="s">
        <v>2936</v>
      </c>
      <c r="M617" t="s">
        <v>40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41</v>
      </c>
      <c r="U617" t="s">
        <v>42</v>
      </c>
      <c r="V617">
        <f t="shared" si="54"/>
        <v>5659.884</v>
      </c>
      <c r="W617">
        <f t="shared" si="55"/>
        <v>1566.7799999999997</v>
      </c>
      <c r="X617">
        <f t="shared" si="56"/>
        <v>0.22390961577219001</v>
      </c>
      <c r="Y617" t="str">
        <f>_xlfn.TEXTJOIN(", ",TRUE,IF(G617="Unknown","Missing Region",""),IF(M617="Unknown","Missing Ship Mode",""),IF(P617&lt;0,"Negative Discount",""),IF(P617&gt;0.7,"High Discount",""),IF(C617&lt;B617,"Ship Before Order",""))</f>
        <v>Ship Before Order</v>
      </c>
      <c r="Z617" s="2">
        <f>IFERROR(
  IF(ISNUMBER(B617),B617,
    IF(ISNUMBER(SEARCH("-",B617)*1),
      IF(LEN(LEFT(B617,FIND("-",B617)-1))=4,
        DATE(VALUE(LEFT(B617,4)),VALUE(MID(B617,6,2)),VALUE(RIGHT(B617,2))),
        DATE(VALUE(RIGHT(B617,4)),VALUE(MID(B617,4,2)),VALUE(LEFT(B617,2)))
      ),
      IF(ISNUMBER(SEARCH("/",B617)*1),
        DATE(VALUE(RIGHT(B617,4)),VALUE(LEFT(B617,2)),VALUE(MID(B617,4,2))),
        DATEVALUE(B617)
      )
    )
  ),
"INVALID_DATE")</f>
        <v>45569</v>
      </c>
      <c r="AA617" s="2">
        <f>IFERROR(
  IF(ISNUMBER(C617),C617,
    IF(ISNUMBER(SEARCH("-",C617)*1),
      IF(LEN(LEFT(C617,FIND("-",C617)-1))=4,
        DATE(VALUE(LEFT(C617,4)),VALUE(MID(C617,6,2)),VALUE(RIGHT(C617,2))),
        DATE(VALUE(RIGHT(C617,4)),VALUE(MID(C617,4,2)),VALUE(LEFT(C617,2)))
      ),
      IF(ISNUMBER(SEARCH("/",C617)*1),
        DATE(VALUE(RIGHT(C617,4)),VALUE(LEFT(C617,2)),VALUE(MID(C617,4,2))),
        DATEVALUE(C617)
      )
    )
  ),
"INVALID_DATE")</f>
        <v>45572</v>
      </c>
      <c r="AB617">
        <f t="shared" si="57"/>
        <v>3</v>
      </c>
      <c r="AC617" t="str">
        <f t="shared" si="58"/>
        <v>October</v>
      </c>
      <c r="AD617">
        <f t="shared" si="59"/>
        <v>2024</v>
      </c>
    </row>
    <row r="618" spans="1:30">
      <c r="A618" t="s">
        <v>2937</v>
      </c>
      <c r="B618" t="s">
        <v>2938</v>
      </c>
      <c r="C618" t="s">
        <v>2869</v>
      </c>
      <c r="D618" t="s">
        <v>2939</v>
      </c>
      <c r="E618" t="s">
        <v>374</v>
      </c>
      <c r="F618" t="s">
        <v>33</v>
      </c>
      <c r="G618" t="s">
        <v>69</v>
      </c>
      <c r="H618" t="s">
        <v>70</v>
      </c>
      <c r="I618" t="s">
        <v>71</v>
      </c>
      <c r="J618" t="s">
        <v>37</v>
      </c>
      <c r="K618" t="s">
        <v>38</v>
      </c>
      <c r="L618" t="s">
        <v>2940</v>
      </c>
      <c r="M618" t="s">
        <v>74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41</v>
      </c>
      <c r="U618" t="s">
        <v>42</v>
      </c>
      <c r="V618">
        <f t="shared" si="54"/>
        <v>18842.640000000003</v>
      </c>
      <c r="W618">
        <f t="shared" si="55"/>
        <v>7002.0599999999995</v>
      </c>
      <c r="X618">
        <f t="shared" si="56"/>
        <v>0.37160716332743188</v>
      </c>
      <c r="Y618" t="str">
        <f>_xlfn.TEXTJOIN(", ",TRUE,IF(G618="Unknown","Missing Region",""),IF(M618="Unknown","Missing Ship Mode",""),IF(P618&lt;0,"Negative Discount",""),IF(P618&gt;0.7,"High Discount",""),IF(C618&lt;B618,"Ship Before Order",""))</f>
        <v/>
      </c>
      <c r="Z618" s="2">
        <f>IFERROR(
  IF(ISNUMBER(B618),B618,
    IF(ISNUMBER(SEARCH("-",B618)*1),
      IF(LEN(LEFT(B618,FIND("-",B618)-1))=4,
        DATE(VALUE(LEFT(B618,4)),VALUE(MID(B618,6,2)),VALUE(RIGHT(B618,2))),
        DATE(VALUE(RIGHT(B618,4)),VALUE(MID(B618,4,2)),VALUE(LEFT(B618,2)))
      ),
      IF(ISNUMBER(SEARCH("/",B618)*1),
        DATE(VALUE(RIGHT(B618,4)),VALUE(LEFT(B618,2)),VALUE(MID(B618,4,2))),
        DATEVALUE(B618)
      )
    )
  ),
"INVALID_DATE")</f>
        <v>45520</v>
      </c>
      <c r="AA618" s="2">
        <f>IFERROR(
  IF(ISNUMBER(C618),C618,
    IF(ISNUMBER(SEARCH("-",C618)*1),
      IF(LEN(LEFT(C618,FIND("-",C618)-1))=4,
        DATE(VALUE(LEFT(C618,4)),VALUE(MID(C618,6,2)),VALUE(RIGHT(C618,2))),
        DATE(VALUE(RIGHT(C618,4)),VALUE(MID(C618,4,2)),VALUE(LEFT(C618,2)))
      ),
      IF(ISNUMBER(SEARCH("/",C618)*1),
        DATE(VALUE(RIGHT(C618,4)),VALUE(LEFT(C618,2)),VALUE(MID(C618,4,2))),
        DATEVALUE(C618)
      )
    )
  ),
"INVALID_DATE")</f>
        <v>45523</v>
      </c>
      <c r="AB618">
        <f t="shared" si="57"/>
        <v>3</v>
      </c>
      <c r="AC618" t="str">
        <f t="shared" si="58"/>
        <v>August</v>
      </c>
      <c r="AD618">
        <f t="shared" si="59"/>
        <v>2024</v>
      </c>
    </row>
    <row r="619" spans="1:30">
      <c r="A619" t="s">
        <v>2941</v>
      </c>
      <c r="B619" t="s">
        <v>2942</v>
      </c>
      <c r="C619" t="s">
        <v>982</v>
      </c>
      <c r="D619" t="s">
        <v>2943</v>
      </c>
      <c r="E619" t="s">
        <v>47</v>
      </c>
      <c r="F619" t="s">
        <v>122</v>
      </c>
      <c r="G619" t="s">
        <v>69</v>
      </c>
      <c r="H619" t="s">
        <v>70</v>
      </c>
      <c r="I619" t="s">
        <v>71</v>
      </c>
      <c r="J619" t="s">
        <v>93</v>
      </c>
      <c r="K619" t="s">
        <v>230</v>
      </c>
      <c r="L619" t="s">
        <v>2944</v>
      </c>
      <c r="M619" t="s">
        <v>74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41</v>
      </c>
      <c r="U619" t="s">
        <v>42</v>
      </c>
      <c r="V619">
        <f t="shared" si="54"/>
        <v>24677.19</v>
      </c>
      <c r="W619">
        <f t="shared" si="55"/>
        <v>4326.34</v>
      </c>
      <c r="X619">
        <f t="shared" si="56"/>
        <v>0.17531736798233513</v>
      </c>
      <c r="Y619" t="str">
        <f>_xlfn.TEXTJOIN(", ",TRUE,IF(G619="Unknown","Missing Region",""),IF(M619="Unknown","Missing Ship Mode",""),IF(P619&lt;0,"Negative Discount",""),IF(P619&gt;0.7,"High Discount",""),IF(C619&lt;B619,"Ship Before Order",""))</f>
        <v/>
      </c>
      <c r="Z619" s="2">
        <f>IFERROR(
  IF(ISNUMBER(B619),B619,
    IF(ISNUMBER(SEARCH("-",B619)*1),
      IF(LEN(LEFT(B619,FIND("-",B619)-1))=4,
        DATE(VALUE(LEFT(B619,4)),VALUE(MID(B619,6,2)),VALUE(RIGHT(B619,2))),
        DATE(VALUE(RIGHT(B619,4)),VALUE(MID(B619,4,2)),VALUE(LEFT(B619,2)))
      ),
      IF(ISNUMBER(SEARCH("/",B619)*1),
        DATE(VALUE(RIGHT(B619,4)),VALUE(LEFT(B619,2)),VALUE(MID(B619,4,2))),
        DATEVALUE(B619)
      )
    )
  ),
"INVALID_DATE")</f>
        <v>45564</v>
      </c>
      <c r="AA619" s="2">
        <f>IFERROR(
  IF(ISNUMBER(C619),C619,
    IF(ISNUMBER(SEARCH("-",C619)*1),
      IF(LEN(LEFT(C619,FIND("-",C619)-1))=4,
        DATE(VALUE(LEFT(C619,4)),VALUE(MID(C619,6,2)),VALUE(RIGHT(C619,2))),
        DATE(VALUE(RIGHT(C619,4)),VALUE(MID(C619,4,2)),VALUE(LEFT(C619,2)))
      ),
      IF(ISNUMBER(SEARCH("/",C619)*1),
        DATE(VALUE(RIGHT(C619,4)),VALUE(LEFT(C619,2)),VALUE(MID(C619,4,2))),
        DATEVALUE(C619)
      )
    )
  ),
"INVALID_DATE")</f>
        <v>45565</v>
      </c>
      <c r="AB619">
        <f t="shared" si="57"/>
        <v>1</v>
      </c>
      <c r="AC619" t="str">
        <f t="shared" si="58"/>
        <v>September</v>
      </c>
      <c r="AD619">
        <f t="shared" si="59"/>
        <v>2024</v>
      </c>
    </row>
    <row r="620" spans="1:30">
      <c r="A620" t="s">
        <v>2945</v>
      </c>
      <c r="B620" t="s">
        <v>2946</v>
      </c>
      <c r="C620" t="s">
        <v>537</v>
      </c>
      <c r="D620" t="s">
        <v>2947</v>
      </c>
      <c r="E620" t="s">
        <v>374</v>
      </c>
      <c r="F620" t="s">
        <v>115</v>
      </c>
      <c r="G620" t="s">
        <v>34</v>
      </c>
      <c r="H620" t="s">
        <v>35</v>
      </c>
      <c r="I620" t="s">
        <v>36</v>
      </c>
      <c r="J620" t="s">
        <v>52</v>
      </c>
      <c r="K620" t="s">
        <v>53</v>
      </c>
      <c r="L620" t="s">
        <v>2948</v>
      </c>
      <c r="M620" t="s">
        <v>55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207</v>
      </c>
      <c r="U620" t="s">
        <v>85</v>
      </c>
      <c r="V620">
        <f t="shared" si="54"/>
        <v>12623.2425</v>
      </c>
      <c r="W620">
        <f t="shared" si="55"/>
        <v>2082.4400000000005</v>
      </c>
      <c r="X620">
        <f t="shared" si="56"/>
        <v>0.16496874019665317</v>
      </c>
      <c r="Y620" t="str">
        <f>_xlfn.TEXTJOIN(", ",TRUE,IF(G620="Unknown","Missing Region",""),IF(M620="Unknown","Missing Ship Mode",""),IF(P620&lt;0,"Negative Discount",""),IF(P620&gt;0.7,"High Discount",""),IF(C620&lt;B620,"Ship Before Order",""))</f>
        <v/>
      </c>
      <c r="Z620" s="2">
        <f>IFERROR(
  IF(ISNUMBER(B620),B620,
    IF(ISNUMBER(SEARCH("-",B620)*1),
      IF(LEN(LEFT(B620,FIND("-",B620)-1))=4,
        DATE(VALUE(LEFT(B620,4)),VALUE(MID(B620,6,2)),VALUE(RIGHT(B620,2))),
        DATE(VALUE(RIGHT(B620,4)),VALUE(MID(B620,4,2)),VALUE(LEFT(B620,2)))
      ),
      IF(ISNUMBER(SEARCH("/",B620)*1),
        DATE(VALUE(RIGHT(B620,4)),VALUE(LEFT(B620,2)),VALUE(MID(B620,4,2))),
        DATEVALUE(B620)
      )
    )
  ),
"INVALID_DATE")</f>
        <v>45496</v>
      </c>
      <c r="AA620" s="2">
        <f>IFERROR(
  IF(ISNUMBER(C620),C620,
    IF(ISNUMBER(SEARCH("-",C620)*1),
      IF(LEN(LEFT(C620,FIND("-",C620)-1))=4,
        DATE(VALUE(LEFT(C620,4)),VALUE(MID(C620,6,2)),VALUE(RIGHT(C620,2))),
        DATE(VALUE(RIGHT(C620,4)),VALUE(MID(C620,4,2)),VALUE(LEFT(C620,2)))
      ),
      IF(ISNUMBER(SEARCH("/",C620)*1),
        DATE(VALUE(RIGHT(C620,4)),VALUE(LEFT(C620,2)),VALUE(MID(C620,4,2))),
        DATEVALUE(C620)
      )
    )
  ),
"INVALID_DATE")</f>
        <v>45503</v>
      </c>
      <c r="AB620">
        <f t="shared" si="57"/>
        <v>7</v>
      </c>
      <c r="AC620" t="str">
        <f t="shared" si="58"/>
        <v>July</v>
      </c>
      <c r="AD620">
        <f t="shared" si="59"/>
        <v>2024</v>
      </c>
    </row>
    <row r="621" spans="1:30">
      <c r="A621" t="s">
        <v>2949</v>
      </c>
      <c r="B621" t="s">
        <v>919</v>
      </c>
      <c r="C621" t="s">
        <v>2950</v>
      </c>
      <c r="D621" t="s">
        <v>2951</v>
      </c>
      <c r="E621" t="s">
        <v>149</v>
      </c>
      <c r="F621" t="s">
        <v>115</v>
      </c>
      <c r="G621" t="s">
        <v>69</v>
      </c>
      <c r="H621" t="s">
        <v>347</v>
      </c>
      <c r="I621" t="s">
        <v>348</v>
      </c>
      <c r="J621" t="s">
        <v>37</v>
      </c>
      <c r="K621" t="s">
        <v>205</v>
      </c>
      <c r="L621" t="s">
        <v>2952</v>
      </c>
      <c r="M621" t="s">
        <v>63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131</v>
      </c>
      <c r="U621" t="s">
        <v>132</v>
      </c>
      <c r="V621">
        <f t="shared" si="54"/>
        <v>3401.0080000000003</v>
      </c>
      <c r="W621">
        <f t="shared" si="55"/>
        <v>483.47000000000025</v>
      </c>
      <c r="X621">
        <f t="shared" si="56"/>
        <v>0.14215483047682895</v>
      </c>
      <c r="Y621" t="str">
        <f>_xlfn.TEXTJOIN(", ",TRUE,IF(G621="Unknown","Missing Region",""),IF(M621="Unknown","Missing Ship Mode",""),IF(P621&lt;0,"Negative Discount",""),IF(P621&gt;0.7,"High Discount",""),IF(C621&lt;B621,"Ship Before Order",""))</f>
        <v/>
      </c>
      <c r="Z621" s="2">
        <f>IFERROR(
  IF(ISNUMBER(B621),B621,
    IF(ISNUMBER(SEARCH("-",B621)*1),
      IF(LEN(LEFT(B621,FIND("-",B621)-1))=4,
        DATE(VALUE(LEFT(B621,4)),VALUE(MID(B621,6,2)),VALUE(RIGHT(B621,2))),
        DATE(VALUE(RIGHT(B621,4)),VALUE(MID(B621,4,2)),VALUE(LEFT(B621,2)))
      ),
      IF(ISNUMBER(SEARCH("/",B621)*1),
        DATE(VALUE(RIGHT(B621,4)),VALUE(LEFT(B621,2)),VALUE(MID(B621,4,2))),
        DATEVALUE(B621)
      )
    )
  ),
"INVALID_DATE")</f>
        <v>45618</v>
      </c>
      <c r="AA621" s="2">
        <f>IFERROR(
  IF(ISNUMBER(C621),C621,
    IF(ISNUMBER(SEARCH("-",C621)*1),
      IF(LEN(LEFT(C621,FIND("-",C621)-1))=4,
        DATE(VALUE(LEFT(C621,4)),VALUE(MID(C621,6,2)),VALUE(RIGHT(C621,2))),
        DATE(VALUE(RIGHT(C621,4)),VALUE(MID(C621,4,2)),VALUE(LEFT(C621,2)))
      ),
      IF(ISNUMBER(SEARCH("/",C621)*1),
        DATE(VALUE(RIGHT(C621,4)),VALUE(LEFT(C621,2)),VALUE(MID(C621,4,2))),
        DATEVALUE(C621)
      )
    )
  ),
"INVALID_DATE")</f>
        <v>45623</v>
      </c>
      <c r="AB621">
        <f t="shared" si="57"/>
        <v>5</v>
      </c>
      <c r="AC621" t="str">
        <f t="shared" si="58"/>
        <v>November</v>
      </c>
      <c r="AD621">
        <f t="shared" si="59"/>
        <v>2024</v>
      </c>
    </row>
    <row r="622" spans="1:30">
      <c r="A622" t="s">
        <v>2953</v>
      </c>
      <c r="B622" t="s">
        <v>2954</v>
      </c>
      <c r="C622" t="s">
        <v>2955</v>
      </c>
      <c r="D622" t="s">
        <v>2956</v>
      </c>
      <c r="E622" t="s">
        <v>90</v>
      </c>
      <c r="F622" t="s">
        <v>33</v>
      </c>
      <c r="G622" t="s">
        <v>34</v>
      </c>
      <c r="H622" t="s">
        <v>181</v>
      </c>
      <c r="I622" t="s">
        <v>182</v>
      </c>
      <c r="J622" t="s">
        <v>93</v>
      </c>
      <c r="K622" t="s">
        <v>390</v>
      </c>
      <c r="L622" t="s">
        <v>2957</v>
      </c>
      <c r="M622" t="s">
        <v>74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41</v>
      </c>
      <c r="U622" t="s">
        <v>42</v>
      </c>
      <c r="V622">
        <f t="shared" si="54"/>
        <v>6609.06</v>
      </c>
      <c r="W622">
        <f t="shared" si="55"/>
        <v>1662.2800000000007</v>
      </c>
      <c r="X622">
        <f t="shared" si="56"/>
        <v>0.2515153440882667</v>
      </c>
      <c r="Y622" t="str">
        <f>_xlfn.TEXTJOIN(", ",TRUE,IF(G622="Unknown","Missing Region",""),IF(M622="Unknown","Missing Ship Mode",""),IF(P622&lt;0,"Negative Discount",""),IF(P622&gt;0.7,"High Discount",""),IF(C622&lt;B622,"Ship Before Order",""))</f>
        <v>Ship Before Order</v>
      </c>
      <c r="Z622" s="2">
        <f>IFERROR(
  IF(ISNUMBER(B622),B622,
    IF(ISNUMBER(SEARCH("-",B622)*1),
      IF(LEN(LEFT(B622,FIND("-",B622)-1))=4,
        DATE(VALUE(LEFT(B622,4)),VALUE(MID(B622,6,2)),VALUE(RIGHT(B622,2))),
        DATE(VALUE(RIGHT(B622,4)),VALUE(MID(B622,4,2)),VALUE(LEFT(B622,2)))
      ),
      IF(ISNUMBER(SEARCH("/",B622)*1),
        DATE(VALUE(RIGHT(B622,4)),VALUE(LEFT(B622,2)),VALUE(MID(B622,4,2))),
        DATEVALUE(B622)
      )
    )
  ),
"INVALID_DATE")</f>
        <v>45522</v>
      </c>
      <c r="AA622" s="2">
        <f>IFERROR(
  IF(ISNUMBER(C622),C622,
    IF(ISNUMBER(SEARCH("-",C622)*1),
      IF(LEN(LEFT(C622,FIND("-",C622)-1))=4,
        DATE(VALUE(LEFT(C622,4)),VALUE(MID(C622,6,2)),VALUE(RIGHT(C622,2))),
        DATE(VALUE(RIGHT(C622,4)),VALUE(MID(C622,4,2)),VALUE(LEFT(C622,2)))
      ),
      IF(ISNUMBER(SEARCH("/",C622)*1),
        DATE(VALUE(RIGHT(C622,4)),VALUE(LEFT(C622,2)),VALUE(MID(C622,4,2))),
        DATEVALUE(C622)
      )
    )
  ),
"INVALID_DATE")</f>
        <v>45525</v>
      </c>
      <c r="AB622">
        <f t="shared" si="57"/>
        <v>3</v>
      </c>
      <c r="AC622" t="str">
        <f t="shared" si="58"/>
        <v>August</v>
      </c>
      <c r="AD622">
        <f t="shared" si="59"/>
        <v>2024</v>
      </c>
    </row>
    <row r="623" spans="1:30">
      <c r="A623" t="s">
        <v>2958</v>
      </c>
      <c r="B623" t="s">
        <v>65</v>
      </c>
      <c r="C623" t="s">
        <v>2959</v>
      </c>
      <c r="D623" t="s">
        <v>2960</v>
      </c>
      <c r="E623" t="s">
        <v>114</v>
      </c>
      <c r="F623" t="s">
        <v>33</v>
      </c>
      <c r="G623" t="s">
        <v>80</v>
      </c>
      <c r="H623" t="s">
        <v>81</v>
      </c>
      <c r="I623" t="s">
        <v>82</v>
      </c>
      <c r="J623" t="s">
        <v>52</v>
      </c>
      <c r="K623" t="s">
        <v>83</v>
      </c>
      <c r="L623" t="s">
        <v>2961</v>
      </c>
      <c r="M623" t="s">
        <v>55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41</v>
      </c>
      <c r="U623" t="s">
        <v>42</v>
      </c>
      <c r="V623">
        <f t="shared" si="54"/>
        <v>5464.2</v>
      </c>
      <c r="W623">
        <f t="shared" si="55"/>
        <v>2146.1099999999997</v>
      </c>
      <c r="X623">
        <f t="shared" si="56"/>
        <v>0.39275831777753378</v>
      </c>
      <c r="Y623" t="str">
        <f>_xlfn.TEXTJOIN(", ",TRUE,IF(G623="Unknown","Missing Region",""),IF(M623="Unknown","Missing Ship Mode",""),IF(P623&lt;0,"Negative Discount",""),IF(P623&gt;0.7,"High Discount",""),IF(C623&lt;B623,"Ship Before Order",""))</f>
        <v>Ship Before Order</v>
      </c>
      <c r="Z623" s="2">
        <f>IFERROR(
  IF(ISNUMBER(B623),B623,
    IF(ISNUMBER(SEARCH("-",B623)*1),
      IF(LEN(LEFT(B623,FIND("-",B623)-1))=4,
        DATE(VALUE(LEFT(B623,4)),VALUE(MID(B623,6,2)),VALUE(RIGHT(B623,2))),
        DATE(VALUE(RIGHT(B623,4)),VALUE(MID(B623,4,2)),VALUE(LEFT(B623,2)))
      ),
      IF(ISNUMBER(SEARCH("/",B623)*1),
        DATE(VALUE(RIGHT(B623,4)),VALUE(LEFT(B623,2)),VALUE(MID(B623,4,2))),
        DATEVALUE(B623)
      )
    )
  ),
"INVALID_DATE")</f>
        <v>45624</v>
      </c>
      <c r="AA623" s="2">
        <f>IFERROR(
  IF(ISNUMBER(C623),C623,
    IF(ISNUMBER(SEARCH("-",C623)*1),
      IF(LEN(LEFT(C623,FIND("-",C623)-1))=4,
        DATE(VALUE(LEFT(C623,4)),VALUE(MID(C623,6,2)),VALUE(RIGHT(C623,2))),
        DATE(VALUE(RIGHT(C623,4)),VALUE(MID(C623,4,2)),VALUE(LEFT(C623,2)))
      ),
      IF(ISNUMBER(SEARCH("/",C623)*1),
        DATE(VALUE(RIGHT(C623,4)),VALUE(LEFT(C623,2)),VALUE(MID(C623,4,2))),
        DATEVALUE(C623)
      )
    )
  ),
"INVALID_DATE")</f>
        <v>45632</v>
      </c>
      <c r="AB623">
        <f t="shared" si="57"/>
        <v>8</v>
      </c>
      <c r="AC623" t="str">
        <f t="shared" si="58"/>
        <v>November</v>
      </c>
      <c r="AD623">
        <f t="shared" si="59"/>
        <v>2024</v>
      </c>
    </row>
    <row r="624" spans="1:30">
      <c r="A624" t="s">
        <v>2962</v>
      </c>
      <c r="B624" t="s">
        <v>2963</v>
      </c>
      <c r="C624" t="s">
        <v>2964</v>
      </c>
      <c r="D624" t="s">
        <v>2965</v>
      </c>
      <c r="E624" t="s">
        <v>90</v>
      </c>
      <c r="F624" t="s">
        <v>33</v>
      </c>
      <c r="G624" t="s">
        <v>49</v>
      </c>
      <c r="H624" t="s">
        <v>193</v>
      </c>
      <c r="I624" t="s">
        <v>194</v>
      </c>
      <c r="J624" t="s">
        <v>37</v>
      </c>
      <c r="K624" t="s">
        <v>163</v>
      </c>
      <c r="L624" t="s">
        <v>2966</v>
      </c>
      <c r="M624" t="s">
        <v>74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41</v>
      </c>
      <c r="U624" t="s">
        <v>42</v>
      </c>
      <c r="V624">
        <f t="shared" si="54"/>
        <v>10484.238000000001</v>
      </c>
      <c r="W624">
        <f t="shared" si="55"/>
        <v>3804.09</v>
      </c>
      <c r="X624">
        <f t="shared" si="56"/>
        <v>0.3628388896095473</v>
      </c>
      <c r="Y624" t="str">
        <f>_xlfn.TEXTJOIN(", ",TRUE,IF(G624="Unknown","Missing Region",""),IF(M624="Unknown","Missing Ship Mode",""),IF(P624&lt;0,"Negative Discount",""),IF(P624&gt;0.7,"High Discount",""),IF(C624&lt;B624,"Ship Before Order",""))</f>
        <v>Ship Before Order</v>
      </c>
      <c r="Z624" s="2">
        <f>IFERROR(
  IF(ISNUMBER(B624),B624,
    IF(ISNUMBER(SEARCH("-",B624)*1),
      IF(LEN(LEFT(B624,FIND("-",B624)-1))=4,
        DATE(VALUE(LEFT(B624,4)),VALUE(MID(B624,6,2)),VALUE(RIGHT(B624,2))),
        DATE(VALUE(RIGHT(B624,4)),VALUE(MID(B624,4,2)),VALUE(LEFT(B624,2)))
      ),
      IF(ISNUMBER(SEARCH("/",B624)*1),
        DATE(VALUE(RIGHT(B624,4)),VALUE(LEFT(B624,2)),VALUE(MID(B624,4,2))),
        DATEVALUE(B624)
      )
    )
  ),
"INVALID_DATE")</f>
        <v>45686</v>
      </c>
      <c r="AA624" s="2">
        <f>IFERROR(
  IF(ISNUMBER(C624),C624,
    IF(ISNUMBER(SEARCH("-",C624)*1),
      IF(LEN(LEFT(C624,FIND("-",C624)-1))=4,
        DATE(VALUE(LEFT(C624,4)),VALUE(MID(C624,6,2)),VALUE(RIGHT(C624,2))),
        DATE(VALUE(RIGHT(C624,4)),VALUE(MID(C624,4,2)),VALUE(LEFT(C624,2)))
      ),
      IF(ISNUMBER(SEARCH("/",C624)*1),
        DATE(VALUE(RIGHT(C624,4)),VALUE(LEFT(C624,2)),VALUE(MID(C624,4,2))),
        DATEVALUE(C624)
      )
    )
  ),
"INVALID_DATE")</f>
        <v>45694</v>
      </c>
      <c r="AB624">
        <f t="shared" si="57"/>
        <v>8</v>
      </c>
      <c r="AC624" t="str">
        <f t="shared" si="58"/>
        <v>January</v>
      </c>
      <c r="AD624">
        <f t="shared" si="59"/>
        <v>2025</v>
      </c>
    </row>
    <row r="625" spans="1:30">
      <c r="A625" t="s">
        <v>2967</v>
      </c>
      <c r="B625" t="s">
        <v>2968</v>
      </c>
      <c r="C625" t="s">
        <v>2969</v>
      </c>
      <c r="D625" t="s">
        <v>2970</v>
      </c>
      <c r="E625" t="s">
        <v>90</v>
      </c>
      <c r="F625" t="s">
        <v>122</v>
      </c>
      <c r="G625" t="s">
        <v>34</v>
      </c>
      <c r="H625" t="s">
        <v>161</v>
      </c>
      <c r="I625" t="s">
        <v>162</v>
      </c>
      <c r="J625" t="s">
        <v>37</v>
      </c>
      <c r="K625" t="s">
        <v>163</v>
      </c>
      <c r="L625" t="s">
        <v>2971</v>
      </c>
      <c r="M625" t="s">
        <v>40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41</v>
      </c>
      <c r="U625" t="s">
        <v>42</v>
      </c>
      <c r="V625">
        <f t="shared" si="54"/>
        <v>10329.843999999999</v>
      </c>
      <c r="W625">
        <f t="shared" si="55"/>
        <v>2817.62</v>
      </c>
      <c r="X625">
        <f t="shared" si="56"/>
        <v>0.27276511543257204</v>
      </c>
      <c r="Y625" t="str">
        <f>_xlfn.TEXTJOIN(", ",TRUE,IF(G625="Unknown","Missing Region",""),IF(M625="Unknown","Missing Ship Mode",""),IF(P625&lt;0,"Negative Discount",""),IF(P625&gt;0.7,"High Discount",""),IF(C625&lt;B625,"Ship Before Order",""))</f>
        <v/>
      </c>
      <c r="Z625" s="2">
        <f>IFERROR(
  IF(ISNUMBER(B625),B625,
    IF(ISNUMBER(SEARCH("-",B625)*1),
      IF(LEN(LEFT(B625,FIND("-",B625)-1))=4,
        DATE(VALUE(LEFT(B625,4)),VALUE(MID(B625,6,2)),VALUE(RIGHT(B625,2))),
        DATE(VALUE(RIGHT(B625,4)),VALUE(MID(B625,4,2)),VALUE(LEFT(B625,2)))
      ),
      IF(ISNUMBER(SEARCH("/",B625)*1),
        DATE(VALUE(RIGHT(B625,4)),VALUE(LEFT(B625,2)),VALUE(MID(B625,4,2))),
        DATEVALUE(B625)
      )
    )
  ),
"INVALID_DATE")</f>
        <v>45512</v>
      </c>
      <c r="AA625" s="2">
        <f>IFERROR(
  IF(ISNUMBER(C625),C625,
    IF(ISNUMBER(SEARCH("-",C625)*1),
      IF(LEN(LEFT(C625,FIND("-",C625)-1))=4,
        DATE(VALUE(LEFT(C625,4)),VALUE(MID(C625,6,2)),VALUE(RIGHT(C625,2))),
        DATE(VALUE(RIGHT(C625,4)),VALUE(MID(C625,4,2)),VALUE(LEFT(C625,2)))
      ),
      IF(ISNUMBER(SEARCH("/",C625)*1),
        DATE(VALUE(RIGHT(C625,4)),VALUE(LEFT(C625,2)),VALUE(MID(C625,4,2))),
        DATEVALUE(C625)
      )
    )
  ),
"INVALID_DATE")</f>
        <v>45518</v>
      </c>
      <c r="AB625">
        <f t="shared" si="57"/>
        <v>6</v>
      </c>
      <c r="AC625" t="str">
        <f t="shared" si="58"/>
        <v>August</v>
      </c>
      <c r="AD625">
        <f t="shared" si="59"/>
        <v>2024</v>
      </c>
    </row>
    <row r="626" spans="1:30">
      <c r="A626" t="s">
        <v>2972</v>
      </c>
      <c r="B626" t="s">
        <v>2973</v>
      </c>
      <c r="C626" t="s">
        <v>2974</v>
      </c>
      <c r="D626" t="s">
        <v>2975</v>
      </c>
      <c r="E626" t="s">
        <v>100</v>
      </c>
      <c r="F626" t="s">
        <v>122</v>
      </c>
      <c r="G626" t="s">
        <v>49</v>
      </c>
      <c r="H626" t="s">
        <v>223</v>
      </c>
      <c r="I626" t="s">
        <v>224</v>
      </c>
      <c r="J626" t="s">
        <v>52</v>
      </c>
      <c r="K626" t="s">
        <v>83</v>
      </c>
      <c r="L626" t="s">
        <v>2976</v>
      </c>
      <c r="M626" t="s">
        <v>63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41</v>
      </c>
      <c r="U626" t="s">
        <v>42</v>
      </c>
      <c r="V626">
        <f t="shared" si="54"/>
        <v>8456.9569999999985</v>
      </c>
      <c r="W626">
        <f t="shared" si="55"/>
        <v>2994.1099999999988</v>
      </c>
      <c r="X626">
        <f t="shared" si="56"/>
        <v>0.35404093196609659</v>
      </c>
      <c r="Y626" t="str">
        <f>_xlfn.TEXTJOIN(", ",TRUE,IF(G626="Unknown","Missing Region",""),IF(M626="Unknown","Missing Ship Mode",""),IF(P626&lt;0,"Negative Discount",""),IF(P626&gt;0.7,"High Discount",""),IF(C626&lt;B626,"Ship Before Order",""))</f>
        <v/>
      </c>
      <c r="Z626" s="2">
        <f>IFERROR(
  IF(ISNUMBER(B626),B626,
    IF(ISNUMBER(SEARCH("-",B626)*1),
      IF(LEN(LEFT(B626,FIND("-",B626)-1))=4,
        DATE(VALUE(LEFT(B626,4)),VALUE(MID(B626,6,2)),VALUE(RIGHT(B626,2))),
        DATE(VALUE(RIGHT(B626,4)),VALUE(MID(B626,4,2)),VALUE(LEFT(B626,2)))
      ),
      IF(ISNUMBER(SEARCH("/",B626)*1),
        DATE(VALUE(RIGHT(B626,4)),VALUE(LEFT(B626,2)),VALUE(MID(B626,4,2))),
        DATEVALUE(B626)
      )
    )
  ),
"INVALID_DATE")</f>
        <v>45321</v>
      </c>
      <c r="AA626" s="2">
        <f>IFERROR(
  IF(ISNUMBER(C626),C626,
    IF(ISNUMBER(SEARCH("-",C626)*1),
      IF(LEN(LEFT(C626,FIND("-",C626)-1))=4,
        DATE(VALUE(LEFT(C626,4)),VALUE(MID(C626,6,2)),VALUE(RIGHT(C626,2))),
        DATE(VALUE(RIGHT(C626,4)),VALUE(MID(C626,4,2)),VALUE(LEFT(C626,2)))
      ),
      IF(ISNUMBER(SEARCH("/",C626)*1),
        DATE(VALUE(RIGHT(C626,4)),VALUE(LEFT(C626,2)),VALUE(MID(C626,4,2))),
        DATEVALUE(C626)
      )
    )
  ),
"INVALID_DATE")</f>
        <v>45323</v>
      </c>
      <c r="AB626">
        <f t="shared" si="57"/>
        <v>2</v>
      </c>
      <c r="AC626" t="str">
        <f t="shared" si="58"/>
        <v>January</v>
      </c>
      <c r="AD626">
        <f t="shared" si="59"/>
        <v>2024</v>
      </c>
    </row>
    <row r="627" spans="1:30">
      <c r="A627" t="s">
        <v>2977</v>
      </c>
      <c r="B627" t="s">
        <v>2978</v>
      </c>
      <c r="C627" t="s">
        <v>1412</v>
      </c>
      <c r="D627" t="s">
        <v>2979</v>
      </c>
      <c r="E627" t="s">
        <v>217</v>
      </c>
      <c r="F627" t="s">
        <v>115</v>
      </c>
      <c r="G627" t="s">
        <v>80</v>
      </c>
      <c r="H627" t="s">
        <v>35</v>
      </c>
      <c r="I627" t="s">
        <v>142</v>
      </c>
      <c r="J627" t="s">
        <v>52</v>
      </c>
      <c r="K627" t="s">
        <v>83</v>
      </c>
      <c r="L627" t="s">
        <v>2980</v>
      </c>
      <c r="M627" t="s">
        <v>55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41</v>
      </c>
      <c r="U627" t="s">
        <v>42</v>
      </c>
      <c r="V627">
        <f t="shared" si="54"/>
        <v>1266.4079999999999</v>
      </c>
      <c r="W627">
        <f t="shared" si="55"/>
        <v>282.49000000000012</v>
      </c>
      <c r="X627">
        <f t="shared" si="56"/>
        <v>0.22306362078631722</v>
      </c>
      <c r="Y627" t="str">
        <f>_xlfn.TEXTJOIN(", ",TRUE,IF(G627="Unknown","Missing Region",""),IF(M627="Unknown","Missing Ship Mode",""),IF(P627&lt;0,"Negative Discount",""),IF(P627&gt;0.7,"High Discount",""),IF(C627&lt;B627,"Ship Before Order",""))</f>
        <v/>
      </c>
      <c r="Z627" s="2">
        <f>IFERROR(
  IF(ISNUMBER(B627),B627,
    IF(ISNUMBER(SEARCH("-",B627)*1),
      IF(LEN(LEFT(B627,FIND("-",B627)-1))=4,
        DATE(VALUE(LEFT(B627,4)),VALUE(MID(B627,6,2)),VALUE(RIGHT(B627,2))),
        DATE(VALUE(RIGHT(B627,4)),VALUE(MID(B627,4,2)),VALUE(LEFT(B627,2)))
      ),
      IF(ISNUMBER(SEARCH("/",B627)*1),
        DATE(VALUE(RIGHT(B627,4)),VALUE(LEFT(B627,2)),VALUE(MID(B627,4,2))),
        DATEVALUE(B627)
      )
    )
  ),
"INVALID_DATE")</f>
        <v>45641</v>
      </c>
      <c r="AA627" s="2">
        <f>IFERROR(
  IF(ISNUMBER(C627),C627,
    IF(ISNUMBER(SEARCH("-",C627)*1),
      IF(LEN(LEFT(C627,FIND("-",C627)-1))=4,
        DATE(VALUE(LEFT(C627,4)),VALUE(MID(C627,6,2)),VALUE(RIGHT(C627,2))),
        DATE(VALUE(RIGHT(C627,4)),VALUE(MID(C627,4,2)),VALUE(LEFT(C627,2)))
      ),
      IF(ISNUMBER(SEARCH("/",C627)*1),
        DATE(VALUE(RIGHT(C627,4)),VALUE(LEFT(C627,2)),VALUE(MID(C627,4,2))),
        DATEVALUE(C627)
      )
    )
  ),
"INVALID_DATE")</f>
        <v>45647</v>
      </c>
      <c r="AB627">
        <f t="shared" si="57"/>
        <v>6</v>
      </c>
      <c r="AC627" t="str">
        <f t="shared" si="58"/>
        <v>December</v>
      </c>
      <c r="AD627">
        <f t="shared" si="59"/>
        <v>2024</v>
      </c>
    </row>
    <row r="628" spans="1:30">
      <c r="A628" t="s">
        <v>2981</v>
      </c>
      <c r="B628" t="s">
        <v>1397</v>
      </c>
      <c r="C628" t="s">
        <v>2982</v>
      </c>
      <c r="D628" t="s">
        <v>2983</v>
      </c>
      <c r="E628" t="s">
        <v>175</v>
      </c>
      <c r="F628" t="s">
        <v>122</v>
      </c>
      <c r="G628" t="s">
        <v>49</v>
      </c>
      <c r="H628" t="s">
        <v>223</v>
      </c>
      <c r="I628" t="s">
        <v>224</v>
      </c>
      <c r="J628" t="s">
        <v>93</v>
      </c>
      <c r="K628" t="s">
        <v>390</v>
      </c>
      <c r="L628" t="s">
        <v>2984</v>
      </c>
      <c r="M628" t="s">
        <v>74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144</v>
      </c>
      <c r="U628" t="s">
        <v>132</v>
      </c>
      <c r="V628">
        <f t="shared" si="54"/>
        <v>11473.04</v>
      </c>
      <c r="W628">
        <f t="shared" si="55"/>
        <v>2541.7100000000009</v>
      </c>
      <c r="X628">
        <f t="shared" si="56"/>
        <v>0.22153762211236078</v>
      </c>
      <c r="Y628" t="str">
        <f>_xlfn.TEXTJOIN(", ",TRUE,IF(G628="Unknown","Missing Region",""),IF(M628="Unknown","Missing Ship Mode",""),IF(P628&lt;0,"Negative Discount",""),IF(P628&gt;0.7,"High Discount",""),IF(C628&lt;B628,"Ship Before Order",""))</f>
        <v/>
      </c>
      <c r="Z628" s="2">
        <f>IFERROR(
  IF(ISNUMBER(B628),B628,
    IF(ISNUMBER(SEARCH("-",B628)*1),
      IF(LEN(LEFT(B628,FIND("-",B628)-1))=4,
        DATE(VALUE(LEFT(B628,4)),VALUE(MID(B628,6,2)),VALUE(RIGHT(B628,2))),
        DATE(VALUE(RIGHT(B628,4)),VALUE(MID(B628,4,2)),VALUE(LEFT(B628,2)))
      ),
      IF(ISNUMBER(SEARCH("/",B628)*1),
        DATE(VALUE(RIGHT(B628,4)),VALUE(LEFT(B628,2)),VALUE(MID(B628,4,2))),
        DATEVALUE(B628)
      )
    )
  ),
"INVALID_DATE")</f>
        <v>45812</v>
      </c>
      <c r="AA628" s="2">
        <f>IFERROR(
  IF(ISNUMBER(C628),C628,
    IF(ISNUMBER(SEARCH("-",C628)*1),
      IF(LEN(LEFT(C628,FIND("-",C628)-1))=4,
        DATE(VALUE(LEFT(C628,4)),VALUE(MID(C628,6,2)),VALUE(RIGHT(C628,2))),
        DATE(VALUE(RIGHT(C628,4)),VALUE(MID(C628,4,2)),VALUE(LEFT(C628,2)))
      ),
      IF(ISNUMBER(SEARCH("/",C628)*1),
        DATE(VALUE(RIGHT(C628,4)),VALUE(LEFT(C628,2)),VALUE(MID(C628,4,2))),
        DATEVALUE(C628)
      )
    )
  ),
"INVALID_DATE")</f>
        <v>45815</v>
      </c>
      <c r="AB628">
        <f t="shared" si="57"/>
        <v>3</v>
      </c>
      <c r="AC628" t="str">
        <f t="shared" si="58"/>
        <v>June</v>
      </c>
      <c r="AD628">
        <f t="shared" si="59"/>
        <v>2025</v>
      </c>
    </row>
    <row r="629" spans="1:30">
      <c r="A629" t="s">
        <v>2985</v>
      </c>
      <c r="B629" t="s">
        <v>1422</v>
      </c>
      <c r="C629" t="s">
        <v>1783</v>
      </c>
      <c r="D629" t="s">
        <v>2986</v>
      </c>
      <c r="E629" t="s">
        <v>32</v>
      </c>
      <c r="F629" t="s">
        <v>48</v>
      </c>
      <c r="G629" t="s">
        <v>69</v>
      </c>
      <c r="H629" t="s">
        <v>249</v>
      </c>
      <c r="I629" t="s">
        <v>250</v>
      </c>
      <c r="J629" t="s">
        <v>93</v>
      </c>
      <c r="K629" t="s">
        <v>230</v>
      </c>
      <c r="L629" t="s">
        <v>2987</v>
      </c>
      <c r="M629" t="s">
        <v>40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144</v>
      </c>
      <c r="U629" t="s">
        <v>85</v>
      </c>
      <c r="V629">
        <f t="shared" si="54"/>
        <v>4012.0339999999997</v>
      </c>
      <c r="W629">
        <f t="shared" si="55"/>
        <v>869.11000000000013</v>
      </c>
      <c r="X629">
        <f t="shared" si="56"/>
        <v>0.21662599731308091</v>
      </c>
      <c r="Y629" t="str">
        <f>_xlfn.TEXTJOIN(", ",TRUE,IF(G629="Unknown","Missing Region",""),IF(M629="Unknown","Missing Ship Mode",""),IF(P629&lt;0,"Negative Discount",""),IF(P629&gt;0.7,"High Discount",""),IF(C629&lt;B629,"Ship Before Order",""))</f>
        <v/>
      </c>
      <c r="Z629" s="2">
        <f>IFERROR(
  IF(ISNUMBER(B629),B629,
    IF(ISNUMBER(SEARCH("-",B629)*1),
      IF(LEN(LEFT(B629,FIND("-",B629)-1))=4,
        DATE(VALUE(LEFT(B629,4)),VALUE(MID(B629,6,2)),VALUE(RIGHT(B629,2))),
        DATE(VALUE(RIGHT(B629,4)),VALUE(MID(B629,4,2)),VALUE(LEFT(B629,2)))
      ),
      IF(ISNUMBER(SEARCH("/",B629)*1),
        DATE(VALUE(RIGHT(B629,4)),VALUE(LEFT(B629,2)),VALUE(MID(B629,4,2))),
        DATEVALUE(B629)
      )
    )
  ),
"INVALID_DATE")</f>
        <v>45701</v>
      </c>
      <c r="AA629" s="2">
        <f>IFERROR(
  IF(ISNUMBER(C629),C629,
    IF(ISNUMBER(SEARCH("-",C629)*1),
      IF(LEN(LEFT(C629,FIND("-",C629)-1))=4,
        DATE(VALUE(LEFT(C629,4)),VALUE(MID(C629,6,2)),VALUE(RIGHT(C629,2))),
        DATE(VALUE(RIGHT(C629,4)),VALUE(MID(C629,4,2)),VALUE(LEFT(C629,2)))
      ),
      IF(ISNUMBER(SEARCH("/",C629)*1),
        DATE(VALUE(RIGHT(C629,4)),VALUE(LEFT(C629,2)),VALUE(MID(C629,4,2))),
        DATEVALUE(C629)
      )
    )
  ),
"INVALID_DATE")</f>
        <v>45709</v>
      </c>
      <c r="AB629">
        <f t="shared" si="57"/>
        <v>8</v>
      </c>
      <c r="AC629" t="str">
        <f t="shared" si="58"/>
        <v>February</v>
      </c>
      <c r="AD629">
        <f t="shared" si="59"/>
        <v>2025</v>
      </c>
    </row>
    <row r="630" spans="1:30">
      <c r="A630" t="s">
        <v>2988</v>
      </c>
      <c r="B630" t="s">
        <v>2561</v>
      </c>
      <c r="C630" t="s">
        <v>2989</v>
      </c>
      <c r="D630" t="s">
        <v>2990</v>
      </c>
      <c r="E630" t="s">
        <v>79</v>
      </c>
      <c r="F630" t="s">
        <v>122</v>
      </c>
      <c r="G630" t="s">
        <v>49</v>
      </c>
      <c r="H630" t="s">
        <v>319</v>
      </c>
      <c r="I630" t="s">
        <v>320</v>
      </c>
      <c r="J630" t="s">
        <v>93</v>
      </c>
      <c r="K630" t="s">
        <v>94</v>
      </c>
      <c r="L630" t="s">
        <v>2991</v>
      </c>
      <c r="M630" t="s">
        <v>55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41</v>
      </c>
      <c r="U630" t="s">
        <v>42</v>
      </c>
      <c r="V630">
        <f t="shared" si="54"/>
        <v>5364.3554999999997</v>
      </c>
      <c r="W630">
        <f t="shared" si="55"/>
        <v>973.06999999999971</v>
      </c>
      <c r="X630">
        <f t="shared" si="56"/>
        <v>0.18139535750769897</v>
      </c>
      <c r="Y630" t="str">
        <f>_xlfn.TEXTJOIN(", ",TRUE,IF(G630="Unknown","Missing Region",""),IF(M630="Unknown","Missing Ship Mode",""),IF(P630&lt;0,"Negative Discount",""),IF(P630&gt;0.7,"High Discount",""),IF(C630&lt;B630,"Ship Before Order",""))</f>
        <v>Ship Before Order</v>
      </c>
      <c r="Z630" s="2">
        <f>IFERROR(
  IF(ISNUMBER(B630),B630,
    IF(ISNUMBER(SEARCH("-",B630)*1),
      IF(LEN(LEFT(B630,FIND("-",B630)-1))=4,
        DATE(VALUE(LEFT(B630,4)),VALUE(MID(B630,6,2)),VALUE(RIGHT(B630,2))),
        DATE(VALUE(RIGHT(B630,4)),VALUE(MID(B630,4,2)),VALUE(LEFT(B630,2)))
      ),
      IF(ISNUMBER(SEARCH("/",B630)*1),
        DATE(VALUE(RIGHT(B630,4)),VALUE(LEFT(B630,2)),VALUE(MID(B630,4,2))),
        DATEVALUE(B630)
      )
    )
  ),
"INVALID_DATE")</f>
        <v>45935</v>
      </c>
      <c r="AA630" s="2">
        <f>IFERROR(
  IF(ISNUMBER(C630),C630,
    IF(ISNUMBER(SEARCH("-",C630)*1),
      IF(LEN(LEFT(C630,FIND("-",C630)-1))=4,
        DATE(VALUE(LEFT(C630,4)),VALUE(MID(C630,6,2)),VALUE(RIGHT(C630,2))),
        DATE(VALUE(RIGHT(C630,4)),VALUE(MID(C630,4,2)),VALUE(LEFT(C630,2)))
      ),
      IF(ISNUMBER(SEARCH("/",C630)*1),
        DATE(VALUE(RIGHT(C630,4)),VALUE(LEFT(C630,2)),VALUE(MID(C630,4,2))),
        DATEVALUE(C630)
      )
    )
  ),
"INVALID_DATE")</f>
        <v>45942</v>
      </c>
      <c r="AB630">
        <f t="shared" si="57"/>
        <v>7</v>
      </c>
      <c r="AC630" t="str">
        <f t="shared" si="58"/>
        <v>October</v>
      </c>
      <c r="AD630">
        <f t="shared" si="59"/>
        <v>2025</v>
      </c>
    </row>
    <row r="631" spans="1:30">
      <c r="A631" t="s">
        <v>2992</v>
      </c>
      <c r="B631" t="s">
        <v>581</v>
      </c>
      <c r="C631" t="s">
        <v>2993</v>
      </c>
      <c r="D631" t="s">
        <v>2994</v>
      </c>
      <c r="E631" t="s">
        <v>68</v>
      </c>
      <c r="F631" t="s">
        <v>122</v>
      </c>
      <c r="G631" t="s">
        <v>80</v>
      </c>
      <c r="H631" t="s">
        <v>242</v>
      </c>
      <c r="I631" t="s">
        <v>243</v>
      </c>
      <c r="J631" t="s">
        <v>52</v>
      </c>
      <c r="K631" t="s">
        <v>53</v>
      </c>
      <c r="L631" t="s">
        <v>2995</v>
      </c>
      <c r="M631" t="s">
        <v>55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41</v>
      </c>
      <c r="U631" t="s">
        <v>42</v>
      </c>
      <c r="V631">
        <f t="shared" si="54"/>
        <v>10706.073</v>
      </c>
      <c r="W631">
        <f t="shared" si="55"/>
        <v>4778.9699999999993</v>
      </c>
      <c r="X631">
        <f t="shared" si="56"/>
        <v>0.44637948378816883</v>
      </c>
      <c r="Y631" t="str">
        <f>_xlfn.TEXTJOIN(", ",TRUE,IF(G631="Unknown","Missing Region",""),IF(M631="Unknown","Missing Ship Mode",""),IF(P631&lt;0,"Negative Discount",""),IF(P631&gt;0.7,"High Discount",""),IF(C631&lt;B631,"Ship Before Order",""))</f>
        <v/>
      </c>
      <c r="Z631" s="2">
        <f>IFERROR(
  IF(ISNUMBER(B631),B631,
    IF(ISNUMBER(SEARCH("-",B631)*1),
      IF(LEN(LEFT(B631,FIND("-",B631)-1))=4,
        DATE(VALUE(LEFT(B631,4)),VALUE(MID(B631,6,2)),VALUE(RIGHT(B631,2))),
        DATE(VALUE(RIGHT(B631,4)),VALUE(MID(B631,4,2)),VALUE(LEFT(B631,2)))
      ),
      IF(ISNUMBER(SEARCH("/",B631)*1),
        DATE(VALUE(RIGHT(B631,4)),VALUE(LEFT(B631,2)),VALUE(MID(B631,4,2))),
        DATEVALUE(B631)
      )
    )
  ),
"INVALID_DATE")</f>
        <v>45910</v>
      </c>
      <c r="AA631" s="2">
        <f>IFERROR(
  IF(ISNUMBER(C631),C631,
    IF(ISNUMBER(SEARCH("-",C631)*1),
      IF(LEN(LEFT(C631,FIND("-",C631)-1))=4,
        DATE(VALUE(LEFT(C631,4)),VALUE(MID(C631,6,2)),VALUE(RIGHT(C631,2))),
        DATE(VALUE(RIGHT(C631,4)),VALUE(MID(C631,4,2)),VALUE(LEFT(C631,2)))
      ),
      IF(ISNUMBER(SEARCH("/",C631)*1),
        DATE(VALUE(RIGHT(C631,4)),VALUE(LEFT(C631,2)),VALUE(MID(C631,4,2))),
        DATEVALUE(C631)
      )
    )
  ),
"INVALID_DATE")</f>
        <v>45914</v>
      </c>
      <c r="AB631">
        <f t="shared" si="57"/>
        <v>4</v>
      </c>
      <c r="AC631" t="str">
        <f t="shared" si="58"/>
        <v>September</v>
      </c>
      <c r="AD631">
        <f t="shared" si="59"/>
        <v>2025</v>
      </c>
    </row>
    <row r="632" spans="1:30">
      <c r="A632" t="s">
        <v>2996</v>
      </c>
      <c r="B632" t="s">
        <v>2451</v>
      </c>
      <c r="C632" t="s">
        <v>1505</v>
      </c>
      <c r="D632" t="s">
        <v>2997</v>
      </c>
      <c r="E632" t="s">
        <v>149</v>
      </c>
      <c r="F632" t="s">
        <v>115</v>
      </c>
      <c r="G632" t="s">
        <v>49</v>
      </c>
      <c r="H632" t="s">
        <v>223</v>
      </c>
      <c r="I632" t="s">
        <v>224</v>
      </c>
      <c r="J632" t="s">
        <v>37</v>
      </c>
      <c r="K632" t="s">
        <v>38</v>
      </c>
      <c r="L632" t="s">
        <v>2998</v>
      </c>
      <c r="M632" t="s">
        <v>74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41</v>
      </c>
      <c r="U632" t="s">
        <v>42</v>
      </c>
      <c r="V632">
        <f t="shared" si="54"/>
        <v>10969.380000000001</v>
      </c>
      <c r="W632">
        <f t="shared" si="55"/>
        <v>1714.92</v>
      </c>
      <c r="X632">
        <f t="shared" si="56"/>
        <v>0.15633700354988159</v>
      </c>
      <c r="Y632" t="str">
        <f>_xlfn.TEXTJOIN(", ",TRUE,IF(G632="Unknown","Missing Region",""),IF(M632="Unknown","Missing Ship Mode",""),IF(P632&lt;0,"Negative Discount",""),IF(P632&gt;0.7,"High Discount",""),IF(C632&lt;B632,"Ship Before Order",""))</f>
        <v/>
      </c>
      <c r="Z632" s="2">
        <f>IFERROR(
  IF(ISNUMBER(B632),B632,
    IF(ISNUMBER(SEARCH("-",B632)*1),
      IF(LEN(LEFT(B632,FIND("-",B632)-1))=4,
        DATE(VALUE(LEFT(B632,4)),VALUE(MID(B632,6,2)),VALUE(RIGHT(B632,2))),
        DATE(VALUE(RIGHT(B632,4)),VALUE(MID(B632,4,2)),VALUE(LEFT(B632,2)))
      ),
      IF(ISNUMBER(SEARCH("/",B632)*1),
        DATE(VALUE(RIGHT(B632,4)),VALUE(LEFT(B632,2)),VALUE(MID(B632,4,2))),
        DATEVALUE(B632)
      )
    )
  ),
"INVALID_DATE")</f>
        <v>45391</v>
      </c>
      <c r="AA632" s="2">
        <f>IFERROR(
  IF(ISNUMBER(C632),C632,
    IF(ISNUMBER(SEARCH("-",C632)*1),
      IF(LEN(LEFT(C632,FIND("-",C632)-1))=4,
        DATE(VALUE(LEFT(C632,4)),VALUE(MID(C632,6,2)),VALUE(RIGHT(C632,2))),
        DATE(VALUE(RIGHT(C632,4)),VALUE(MID(C632,4,2)),VALUE(LEFT(C632,2)))
      ),
      IF(ISNUMBER(SEARCH("/",C632)*1),
        DATE(VALUE(RIGHT(C632,4)),VALUE(LEFT(C632,2)),VALUE(MID(C632,4,2))),
        DATEVALUE(C632)
      )
    )
  ),
"INVALID_DATE")</f>
        <v>45392</v>
      </c>
      <c r="AB632">
        <f t="shared" si="57"/>
        <v>1</v>
      </c>
      <c r="AC632" t="str">
        <f t="shared" si="58"/>
        <v>April</v>
      </c>
      <c r="AD632">
        <f t="shared" si="59"/>
        <v>2024</v>
      </c>
    </row>
    <row r="633" spans="1:30">
      <c r="A633" t="s">
        <v>2999</v>
      </c>
      <c r="B633" t="s">
        <v>1448</v>
      </c>
      <c r="C633" t="s">
        <v>1548</v>
      </c>
      <c r="D633" t="s">
        <v>3000</v>
      </c>
      <c r="E633" t="s">
        <v>169</v>
      </c>
      <c r="F633" t="s">
        <v>122</v>
      </c>
      <c r="G633" t="s">
        <v>80</v>
      </c>
      <c r="H633" t="s">
        <v>35</v>
      </c>
      <c r="I633" t="s">
        <v>142</v>
      </c>
      <c r="J633" t="s">
        <v>52</v>
      </c>
      <c r="K633" t="s">
        <v>83</v>
      </c>
      <c r="L633" t="s">
        <v>3001</v>
      </c>
      <c r="M633" t="s">
        <v>74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41</v>
      </c>
      <c r="U633" t="s">
        <v>42</v>
      </c>
      <c r="V633">
        <f t="shared" si="54"/>
        <v>31409.855999999996</v>
      </c>
      <c r="W633">
        <f t="shared" si="55"/>
        <v>8886.32</v>
      </c>
      <c r="X633">
        <f t="shared" si="56"/>
        <v>0.28291498274745575</v>
      </c>
      <c r="Y633" t="str">
        <f>_xlfn.TEXTJOIN(", ",TRUE,IF(G633="Unknown","Missing Region",""),IF(M633="Unknown","Missing Ship Mode",""),IF(P633&lt;0,"Negative Discount",""),IF(P633&gt;0.7,"High Discount",""),IF(C633&lt;B633,"Ship Before Order",""))</f>
        <v/>
      </c>
      <c r="Z633" s="2">
        <f>IFERROR(
  IF(ISNUMBER(B633),B633,
    IF(ISNUMBER(SEARCH("-",B633)*1),
      IF(LEN(LEFT(B633,FIND("-",B633)-1))=4,
        DATE(VALUE(LEFT(B633,4)),VALUE(MID(B633,6,2)),VALUE(RIGHT(B633,2))),
        DATE(VALUE(RIGHT(B633,4)),VALUE(MID(B633,4,2)),VALUE(LEFT(B633,2)))
      ),
      IF(ISNUMBER(SEARCH("/",B633)*1),
        DATE(VALUE(RIGHT(B633,4)),VALUE(LEFT(B633,2)),VALUE(MID(B633,4,2))),
        DATEVALUE(B633)
      )
    )
  ),
"INVALID_DATE")</f>
        <v>45392</v>
      </c>
      <c r="AA633" s="2">
        <f>IFERROR(
  IF(ISNUMBER(C633),C633,
    IF(ISNUMBER(SEARCH("-",C633)*1),
      IF(LEN(LEFT(C633,FIND("-",C633)-1))=4,
        DATE(VALUE(LEFT(C633,4)),VALUE(MID(C633,6,2)),VALUE(RIGHT(C633,2))),
        DATE(VALUE(RIGHT(C633,4)),VALUE(MID(C633,4,2)),VALUE(LEFT(C633,2)))
      ),
      IF(ISNUMBER(SEARCH("/",C633)*1),
        DATE(VALUE(RIGHT(C633,4)),VALUE(LEFT(C633,2)),VALUE(MID(C633,4,2))),
        DATEVALUE(C633)
      )
    )
  ),
"INVALID_DATE")</f>
        <v>45397</v>
      </c>
      <c r="AB633">
        <f t="shared" si="57"/>
        <v>5</v>
      </c>
      <c r="AC633" t="str">
        <f t="shared" si="58"/>
        <v>April</v>
      </c>
      <c r="AD633">
        <f t="shared" si="59"/>
        <v>2024</v>
      </c>
    </row>
    <row r="634" spans="1:30">
      <c r="A634" t="s">
        <v>3002</v>
      </c>
      <c r="B634" t="s">
        <v>3003</v>
      </c>
      <c r="C634" t="s">
        <v>3004</v>
      </c>
      <c r="D634" t="s">
        <v>3005</v>
      </c>
      <c r="E634" t="s">
        <v>175</v>
      </c>
      <c r="F634" t="s">
        <v>48</v>
      </c>
      <c r="G634" t="s">
        <v>69</v>
      </c>
      <c r="H634" t="s">
        <v>236</v>
      </c>
      <c r="I634" t="s">
        <v>237</v>
      </c>
      <c r="J634" t="s">
        <v>52</v>
      </c>
      <c r="K634" t="s">
        <v>72</v>
      </c>
      <c r="L634" t="s">
        <v>3006</v>
      </c>
      <c r="M634" t="s">
        <v>63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41</v>
      </c>
      <c r="U634" t="s">
        <v>42</v>
      </c>
      <c r="V634">
        <f t="shared" si="54"/>
        <v>14252.650000000001</v>
      </c>
      <c r="W634">
        <f t="shared" si="55"/>
        <v>2694.34</v>
      </c>
      <c r="X634">
        <f t="shared" si="56"/>
        <v>0.18904133617257143</v>
      </c>
      <c r="Y634" t="str">
        <f>_xlfn.TEXTJOIN(", ",TRUE,IF(G634="Unknown","Missing Region",""),IF(M634="Unknown","Missing Ship Mode",""),IF(P634&lt;0,"Negative Discount",""),IF(P634&gt;0.7,"High Discount",""),IF(C634&lt;B634,"Ship Before Order",""))</f>
        <v/>
      </c>
      <c r="Z634" s="2">
        <f>IFERROR(
  IF(ISNUMBER(B634),B634,
    IF(ISNUMBER(SEARCH("-",B634)*1),
      IF(LEN(LEFT(B634,FIND("-",B634)-1))=4,
        DATE(VALUE(LEFT(B634,4)),VALUE(MID(B634,6,2)),VALUE(RIGHT(B634,2))),
        DATE(VALUE(RIGHT(B634,4)),VALUE(MID(B634,4,2)),VALUE(LEFT(B634,2)))
      ),
      IF(ISNUMBER(SEARCH("/",B634)*1),
        DATE(VALUE(RIGHT(B634,4)),VALUE(LEFT(B634,2)),VALUE(MID(B634,4,2))),
        DATEVALUE(B634)
      )
    )
  ),
"INVALID_DATE")</f>
        <v>45762</v>
      </c>
      <c r="AA634" s="2">
        <f>IFERROR(
  IF(ISNUMBER(C634),C634,
    IF(ISNUMBER(SEARCH("-",C634)*1),
      IF(LEN(LEFT(C634,FIND("-",C634)-1))=4,
        DATE(VALUE(LEFT(C634,4)),VALUE(MID(C634,6,2)),VALUE(RIGHT(C634,2))),
        DATE(VALUE(RIGHT(C634,4)),VALUE(MID(C634,4,2)),VALUE(LEFT(C634,2)))
      ),
      IF(ISNUMBER(SEARCH("/",C634)*1),
        DATE(VALUE(RIGHT(C634,4)),VALUE(LEFT(C634,2)),VALUE(MID(C634,4,2))),
        DATEVALUE(C634)
      )
    )
  ),
"INVALID_DATE")</f>
        <v>45763</v>
      </c>
      <c r="AB634">
        <f t="shared" si="57"/>
        <v>1</v>
      </c>
      <c r="AC634" t="str">
        <f t="shared" si="58"/>
        <v>April</v>
      </c>
      <c r="AD634">
        <f t="shared" si="59"/>
        <v>2025</v>
      </c>
    </row>
    <row r="635" spans="1:30">
      <c r="A635" t="s">
        <v>3007</v>
      </c>
      <c r="B635" t="s">
        <v>3008</v>
      </c>
      <c r="C635" t="s">
        <v>3009</v>
      </c>
      <c r="D635" t="s">
        <v>3010</v>
      </c>
      <c r="E635" t="s">
        <v>169</v>
      </c>
      <c r="F635" t="s">
        <v>48</v>
      </c>
      <c r="G635" t="s">
        <v>69</v>
      </c>
      <c r="H635" t="s">
        <v>347</v>
      </c>
      <c r="I635" t="s">
        <v>348</v>
      </c>
      <c r="J635" t="s">
        <v>93</v>
      </c>
      <c r="K635" t="s">
        <v>94</v>
      </c>
      <c r="L635" t="s">
        <v>3011</v>
      </c>
      <c r="M635" t="s">
        <v>40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41</v>
      </c>
      <c r="U635" t="s">
        <v>42</v>
      </c>
      <c r="V635">
        <f t="shared" si="54"/>
        <v>1382.1679999999999</v>
      </c>
      <c r="W635">
        <f t="shared" si="55"/>
        <v>572.1400000000001</v>
      </c>
      <c r="X635">
        <f t="shared" si="56"/>
        <v>0.41394329206971642</v>
      </c>
      <c r="Y635" t="str">
        <f>_xlfn.TEXTJOIN(", ",TRUE,IF(G635="Unknown","Missing Region",""),IF(M635="Unknown","Missing Ship Mode",""),IF(P635&lt;0,"Negative Discount",""),IF(P635&gt;0.7,"High Discount",""),IF(C635&lt;B635,"Ship Before Order",""))</f>
        <v/>
      </c>
      <c r="Z635" s="2">
        <f>IFERROR(
  IF(ISNUMBER(B635),B635,
    IF(ISNUMBER(SEARCH("-",B635)*1),
      IF(LEN(LEFT(B635,FIND("-",B635)-1))=4,
        DATE(VALUE(LEFT(B635,4)),VALUE(MID(B635,6,2)),VALUE(RIGHT(B635,2))),
        DATE(VALUE(RIGHT(B635,4)),VALUE(MID(B635,4,2)),VALUE(LEFT(B635,2)))
      ),
      IF(ISNUMBER(SEARCH("/",B635)*1),
        DATE(VALUE(RIGHT(B635,4)),VALUE(LEFT(B635,2)),VALUE(MID(B635,4,2))),
        DATEVALUE(B635)
      )
    )
  ),
"INVALID_DATE")</f>
        <v>45765</v>
      </c>
      <c r="AA635" s="2">
        <f>IFERROR(
  IF(ISNUMBER(C635),C635,
    IF(ISNUMBER(SEARCH("-",C635)*1),
      IF(LEN(LEFT(C635,FIND("-",C635)-1))=4,
        DATE(VALUE(LEFT(C635,4)),VALUE(MID(C635,6,2)),VALUE(RIGHT(C635,2))),
        DATE(VALUE(RIGHT(C635,4)),VALUE(MID(C635,4,2)),VALUE(LEFT(C635,2)))
      ),
      IF(ISNUMBER(SEARCH("/",C635)*1),
        DATE(VALUE(RIGHT(C635,4)),VALUE(LEFT(C635,2)),VALUE(MID(C635,4,2))),
        DATEVALUE(C635)
      )
    )
  ),
"INVALID_DATE")</f>
        <v>45767</v>
      </c>
      <c r="AB635">
        <f t="shared" si="57"/>
        <v>2</v>
      </c>
      <c r="AC635" t="str">
        <f t="shared" si="58"/>
        <v>April</v>
      </c>
      <c r="AD635">
        <f t="shared" si="59"/>
        <v>2025</v>
      </c>
    </row>
    <row r="636" spans="1:30">
      <c r="A636" t="s">
        <v>3012</v>
      </c>
      <c r="B636" t="s">
        <v>3013</v>
      </c>
      <c r="C636" t="s">
        <v>2186</v>
      </c>
      <c r="D636" t="s">
        <v>3014</v>
      </c>
      <c r="E636" t="s">
        <v>114</v>
      </c>
      <c r="F636" t="s">
        <v>33</v>
      </c>
      <c r="G636" t="s">
        <v>69</v>
      </c>
      <c r="H636" t="s">
        <v>70</v>
      </c>
      <c r="I636" t="s">
        <v>71</v>
      </c>
      <c r="J636" t="s">
        <v>52</v>
      </c>
      <c r="K636" t="s">
        <v>83</v>
      </c>
      <c r="L636" t="s">
        <v>3015</v>
      </c>
      <c r="M636" t="s">
        <v>40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41</v>
      </c>
      <c r="U636" t="s">
        <v>42</v>
      </c>
      <c r="V636">
        <f t="shared" si="54"/>
        <v>9223.17</v>
      </c>
      <c r="W636">
        <f t="shared" si="55"/>
        <v>4119.47</v>
      </c>
      <c r="X636">
        <f t="shared" si="56"/>
        <v>0.44664361602355807</v>
      </c>
      <c r="Y636" t="str">
        <f>_xlfn.TEXTJOIN(", ",TRUE,IF(G636="Unknown","Missing Region",""),IF(M636="Unknown","Missing Ship Mode",""),IF(P636&lt;0,"Negative Discount",""),IF(P636&gt;0.7,"High Discount",""),IF(C636&lt;B636,"Ship Before Order",""))</f>
        <v/>
      </c>
      <c r="Z636" s="2">
        <f>IFERROR(
  IF(ISNUMBER(B636),B636,
    IF(ISNUMBER(SEARCH("-",B636)*1),
      IF(LEN(LEFT(B636,FIND("-",B636)-1))=4,
        DATE(VALUE(LEFT(B636,4)),VALUE(MID(B636,6,2)),VALUE(RIGHT(B636,2))),
        DATE(VALUE(RIGHT(B636,4)),VALUE(MID(B636,4,2)),VALUE(LEFT(B636,2)))
      ),
      IF(ISNUMBER(SEARCH("/",B636)*1),
        DATE(VALUE(RIGHT(B636,4)),VALUE(LEFT(B636,2)),VALUE(MID(B636,4,2))),
        DATEVALUE(B636)
      )
    )
  ),
"INVALID_DATE")</f>
        <v>45668</v>
      </c>
      <c r="AA636" s="2">
        <f>IFERROR(
  IF(ISNUMBER(C636),C636,
    IF(ISNUMBER(SEARCH("-",C636)*1),
      IF(LEN(LEFT(C636,FIND("-",C636)-1))=4,
        DATE(VALUE(LEFT(C636,4)),VALUE(MID(C636,6,2)),VALUE(RIGHT(C636,2))),
        DATE(VALUE(RIGHT(C636,4)),VALUE(MID(C636,4,2)),VALUE(LEFT(C636,2)))
      ),
      IF(ISNUMBER(SEARCH("/",C636)*1),
        DATE(VALUE(RIGHT(C636,4)),VALUE(LEFT(C636,2)),VALUE(MID(C636,4,2))),
        DATEVALUE(C636)
      )
    )
  ),
"INVALID_DATE")</f>
        <v>45669</v>
      </c>
      <c r="AB636">
        <f t="shared" si="57"/>
        <v>1</v>
      </c>
      <c r="AC636" t="str">
        <f t="shared" si="58"/>
        <v>January</v>
      </c>
      <c r="AD636">
        <f t="shared" si="59"/>
        <v>2025</v>
      </c>
    </row>
    <row r="637" spans="1:30">
      <c r="A637" t="s">
        <v>3016</v>
      </c>
      <c r="B637" t="s">
        <v>2912</v>
      </c>
      <c r="C637" t="s">
        <v>3017</v>
      </c>
      <c r="D637" t="s">
        <v>3018</v>
      </c>
      <c r="E637" t="s">
        <v>47</v>
      </c>
      <c r="F637" t="s">
        <v>115</v>
      </c>
      <c r="G637" t="s">
        <v>69</v>
      </c>
      <c r="H637" t="s">
        <v>107</v>
      </c>
      <c r="I637" t="s">
        <v>108</v>
      </c>
      <c r="J637" t="s">
        <v>52</v>
      </c>
      <c r="K637" t="s">
        <v>83</v>
      </c>
      <c r="L637" t="s">
        <v>3019</v>
      </c>
      <c r="M637" t="s">
        <v>55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41</v>
      </c>
      <c r="U637" t="s">
        <v>42</v>
      </c>
      <c r="V637">
        <f t="shared" si="54"/>
        <v>16394.962499999998</v>
      </c>
      <c r="W637">
        <f t="shared" si="55"/>
        <v>5990.7899999999991</v>
      </c>
      <c r="X637">
        <f t="shared" si="56"/>
        <v>0.36540436817168204</v>
      </c>
      <c r="Y637" t="str">
        <f>_xlfn.TEXTJOIN(", ",TRUE,IF(G637="Unknown","Missing Region",""),IF(M637="Unknown","Missing Ship Mode",""),IF(P637&lt;0,"Negative Discount",""),IF(P637&gt;0.7,"High Discount",""),IF(C637&lt;B637,"Ship Before Order",""))</f>
        <v/>
      </c>
      <c r="Z637" s="2">
        <f>IFERROR(
  IF(ISNUMBER(B637),B637,
    IF(ISNUMBER(SEARCH("-",B637)*1),
      IF(LEN(LEFT(B637,FIND("-",B637)-1))=4,
        DATE(VALUE(LEFT(B637,4)),VALUE(MID(B637,6,2)),VALUE(RIGHT(B637,2))),
        DATE(VALUE(RIGHT(B637,4)),VALUE(MID(B637,4,2)),VALUE(LEFT(B637,2)))
      ),
      IF(ISNUMBER(SEARCH("/",B637)*1),
        DATE(VALUE(RIGHT(B637,4)),VALUE(LEFT(B637,2)),VALUE(MID(B637,4,2))),
        DATEVALUE(B637)
      )
    )
  ),
"INVALID_DATE")</f>
        <v>45432</v>
      </c>
      <c r="AA637" s="2">
        <f>IFERROR(
  IF(ISNUMBER(C637),C637,
    IF(ISNUMBER(SEARCH("-",C637)*1),
      IF(LEN(LEFT(C637,FIND("-",C637)-1))=4,
        DATE(VALUE(LEFT(C637,4)),VALUE(MID(C637,6,2)),VALUE(RIGHT(C637,2))),
        DATE(VALUE(RIGHT(C637,4)),VALUE(MID(C637,4,2)),VALUE(LEFT(C637,2)))
      ),
      IF(ISNUMBER(SEARCH("/",C637)*1),
        DATE(VALUE(RIGHT(C637,4)),VALUE(LEFT(C637,2)),VALUE(MID(C637,4,2))),
        DATEVALUE(C637)
      )
    )
  ),
"INVALID_DATE")</f>
        <v>45437</v>
      </c>
      <c r="AB637">
        <f t="shared" si="57"/>
        <v>5</v>
      </c>
      <c r="AC637" t="str">
        <f t="shared" si="58"/>
        <v>May</v>
      </c>
      <c r="AD637">
        <f t="shared" si="59"/>
        <v>2024</v>
      </c>
    </row>
    <row r="638" spans="1:30">
      <c r="A638" t="s">
        <v>3020</v>
      </c>
      <c r="B638" t="s">
        <v>3021</v>
      </c>
      <c r="C638" t="s">
        <v>3022</v>
      </c>
      <c r="D638" t="s">
        <v>3023</v>
      </c>
      <c r="E638" t="s">
        <v>79</v>
      </c>
      <c r="F638" t="s">
        <v>33</v>
      </c>
      <c r="G638" t="s">
        <v>69</v>
      </c>
      <c r="H638" t="s">
        <v>347</v>
      </c>
      <c r="I638" t="s">
        <v>348</v>
      </c>
      <c r="J638" t="s">
        <v>37</v>
      </c>
      <c r="K638" t="s">
        <v>38</v>
      </c>
      <c r="L638" t="s">
        <v>3024</v>
      </c>
      <c r="M638" t="s">
        <v>74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41</v>
      </c>
      <c r="U638" t="s">
        <v>42</v>
      </c>
      <c r="V638">
        <f t="shared" si="54"/>
        <v>12990.108</v>
      </c>
      <c r="W638">
        <f t="shared" si="55"/>
        <v>2789.3100000000013</v>
      </c>
      <c r="X638">
        <f t="shared" si="56"/>
        <v>0.21472566437081747</v>
      </c>
      <c r="Y638" t="str">
        <f>_xlfn.TEXTJOIN(", ",TRUE,IF(G638="Unknown","Missing Region",""),IF(M638="Unknown","Missing Ship Mode",""),IF(P638&lt;0,"Negative Discount",""),IF(P638&gt;0.7,"High Discount",""),IF(C638&lt;B638,"Ship Before Order",""))</f>
        <v/>
      </c>
      <c r="Z638" s="2">
        <f>IFERROR(
  IF(ISNUMBER(B638),B638,
    IF(ISNUMBER(SEARCH("-",B638)*1),
      IF(LEN(LEFT(B638,FIND("-",B638)-1))=4,
        DATE(VALUE(LEFT(B638,4)),VALUE(MID(B638,6,2)),VALUE(RIGHT(B638,2))),
        DATE(VALUE(RIGHT(B638,4)),VALUE(MID(B638,4,2)),VALUE(LEFT(B638,2)))
      ),
      IF(ISNUMBER(SEARCH("/",B638)*1),
        DATE(VALUE(RIGHT(B638,4)),VALUE(LEFT(B638,2)),VALUE(MID(B638,4,2))),
        DATEVALUE(B638)
      )
    )
  ),
"INVALID_DATE")</f>
        <v>45567</v>
      </c>
      <c r="AA638" s="2">
        <f>IFERROR(
  IF(ISNUMBER(C638),C638,
    IF(ISNUMBER(SEARCH("-",C638)*1),
      IF(LEN(LEFT(C638,FIND("-",C638)-1))=4,
        DATE(VALUE(LEFT(C638,4)),VALUE(MID(C638,6,2)),VALUE(RIGHT(C638,2))),
        DATE(VALUE(RIGHT(C638,4)),VALUE(MID(C638,4,2)),VALUE(LEFT(C638,2)))
      ),
      IF(ISNUMBER(SEARCH("/",C638)*1),
        DATE(VALUE(RIGHT(C638,4)),VALUE(LEFT(C638,2)),VALUE(MID(C638,4,2))),
        DATEVALUE(C638)
      )
    )
  ),
"INVALID_DATE")</f>
        <v>45574</v>
      </c>
      <c r="AB638">
        <f t="shared" si="57"/>
        <v>7</v>
      </c>
      <c r="AC638" t="str">
        <f t="shared" si="58"/>
        <v>October</v>
      </c>
      <c r="AD638">
        <f t="shared" si="59"/>
        <v>2024</v>
      </c>
    </row>
    <row r="639" spans="1:30">
      <c r="A639" t="s">
        <v>3025</v>
      </c>
      <c r="B639" t="s">
        <v>3026</v>
      </c>
      <c r="C639" t="s">
        <v>3027</v>
      </c>
      <c r="D639" t="s">
        <v>3028</v>
      </c>
      <c r="E639" t="s">
        <v>155</v>
      </c>
      <c r="F639" t="s">
        <v>48</v>
      </c>
      <c r="G639" t="s">
        <v>80</v>
      </c>
      <c r="H639" t="s">
        <v>256</v>
      </c>
      <c r="I639" t="s">
        <v>257</v>
      </c>
      <c r="J639" t="s">
        <v>93</v>
      </c>
      <c r="K639" t="s">
        <v>101</v>
      </c>
      <c r="L639" t="s">
        <v>3029</v>
      </c>
      <c r="M639" t="s">
        <v>63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41</v>
      </c>
      <c r="U639" t="s">
        <v>42</v>
      </c>
      <c r="V639">
        <f t="shared" si="54"/>
        <v>5107.9520000000002</v>
      </c>
      <c r="W639">
        <f t="shared" si="55"/>
        <v>1974.87</v>
      </c>
      <c r="X639">
        <f t="shared" si="56"/>
        <v>0.38662672892256189</v>
      </c>
      <c r="Y639" t="str">
        <f>_xlfn.TEXTJOIN(", ",TRUE,IF(G639="Unknown","Missing Region",""),IF(M639="Unknown","Missing Ship Mode",""),IF(P639&lt;0,"Negative Discount",""),IF(P639&gt;0.7,"High Discount",""),IF(C639&lt;B639,"Ship Before Order",""))</f>
        <v>Ship Before Order</v>
      </c>
      <c r="Z639" s="2">
        <f>IFERROR(
  IF(ISNUMBER(B639),B639,
    IF(ISNUMBER(SEARCH("-",B639)*1),
      IF(LEN(LEFT(B639,FIND("-",B639)-1))=4,
        DATE(VALUE(LEFT(B639,4)),VALUE(MID(B639,6,2)),VALUE(RIGHT(B639,2))),
        DATE(VALUE(RIGHT(B639,4)),VALUE(MID(B639,4,2)),VALUE(LEFT(B639,2)))
      ),
      IF(ISNUMBER(SEARCH("/",B639)*1),
        DATE(VALUE(RIGHT(B639,4)),VALUE(LEFT(B639,2)),VALUE(MID(B639,4,2))),
        DATEVALUE(B639)
      )
    )
  ),
"INVALID_DATE")</f>
        <v>45438</v>
      </c>
      <c r="AA639" s="2">
        <f>IFERROR(
  IF(ISNUMBER(C639),C639,
    IF(ISNUMBER(SEARCH("-",C639)*1),
      IF(LEN(LEFT(C639,FIND("-",C639)-1))=4,
        DATE(VALUE(LEFT(C639,4)),VALUE(MID(C639,6,2)),VALUE(RIGHT(C639,2))),
        DATE(VALUE(RIGHT(C639,4)),VALUE(MID(C639,4,2)),VALUE(LEFT(C639,2)))
      ),
      IF(ISNUMBER(SEARCH("/",C639)*1),
        DATE(VALUE(RIGHT(C639,4)),VALUE(LEFT(C639,2)),VALUE(MID(C639,4,2))),
        DATEVALUE(C639)
      )
    )
  ),
"INVALID_DATE")</f>
        <v>45438</v>
      </c>
      <c r="AB639">
        <f t="shared" si="57"/>
        <v>0</v>
      </c>
      <c r="AC639" t="str">
        <f t="shared" si="58"/>
        <v>May</v>
      </c>
      <c r="AD639">
        <f t="shared" si="59"/>
        <v>2024</v>
      </c>
    </row>
    <row r="640" spans="1:30">
      <c r="A640" t="s">
        <v>3030</v>
      </c>
      <c r="B640" t="s">
        <v>2878</v>
      </c>
      <c r="C640" t="s">
        <v>3031</v>
      </c>
      <c r="D640" t="s">
        <v>3032</v>
      </c>
      <c r="E640" t="s">
        <v>32</v>
      </c>
      <c r="F640" t="s">
        <v>115</v>
      </c>
      <c r="G640" t="s">
        <v>69</v>
      </c>
      <c r="H640" t="s">
        <v>249</v>
      </c>
      <c r="I640" t="s">
        <v>250</v>
      </c>
      <c r="J640" t="s">
        <v>37</v>
      </c>
      <c r="K640" t="s">
        <v>163</v>
      </c>
      <c r="L640" t="s">
        <v>3033</v>
      </c>
      <c r="M640" t="s">
        <v>40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207</v>
      </c>
      <c r="U640" t="s">
        <v>132</v>
      </c>
      <c r="V640">
        <f t="shared" si="54"/>
        <v>7738.3680000000004</v>
      </c>
      <c r="W640">
        <f t="shared" si="55"/>
        <v>3111.5199999999995</v>
      </c>
      <c r="X640">
        <f t="shared" si="56"/>
        <v>0.40208984579439855</v>
      </c>
      <c r="Y640" t="str">
        <f>_xlfn.TEXTJOIN(", ",TRUE,IF(G640="Unknown","Missing Region",""),IF(M640="Unknown","Missing Ship Mode",""),IF(P640&lt;0,"Negative Discount",""),IF(P640&gt;0.7,"High Discount",""),IF(C640&lt;B640,"Ship Before Order",""))</f>
        <v/>
      </c>
      <c r="Z640" s="2">
        <f>IFERROR(
  IF(ISNUMBER(B640),B640,
    IF(ISNUMBER(SEARCH("-",B640)*1),
      IF(LEN(LEFT(B640,FIND("-",B640)-1))=4,
        DATE(VALUE(LEFT(B640,4)),VALUE(MID(B640,6,2)),VALUE(RIGHT(B640,2))),
        DATE(VALUE(RIGHT(B640,4)),VALUE(MID(B640,4,2)),VALUE(LEFT(B640,2)))
      ),
      IF(ISNUMBER(SEARCH("/",B640)*1),
        DATE(VALUE(RIGHT(B640,4)),VALUE(LEFT(B640,2)),VALUE(MID(B640,4,2))),
        DATEVALUE(B640)
      )
    )
  ),
"INVALID_DATE")</f>
        <v>45317</v>
      </c>
      <c r="AA640" s="2">
        <f>IFERROR(
  IF(ISNUMBER(C640),C640,
    IF(ISNUMBER(SEARCH("-",C640)*1),
      IF(LEN(LEFT(C640,FIND("-",C640)-1))=4,
        DATE(VALUE(LEFT(C640,4)),VALUE(MID(C640,6,2)),VALUE(RIGHT(C640,2))),
        DATE(VALUE(RIGHT(C640,4)),VALUE(MID(C640,4,2)),VALUE(LEFT(C640,2)))
      ),
      IF(ISNUMBER(SEARCH("/",C640)*1),
        DATE(VALUE(RIGHT(C640,4)),VALUE(LEFT(C640,2)),VALUE(MID(C640,4,2))),
        DATEVALUE(C640)
      )
    )
  ),
"INVALID_DATE")</f>
        <v>45322</v>
      </c>
      <c r="AB640">
        <f t="shared" si="57"/>
        <v>5</v>
      </c>
      <c r="AC640" t="str">
        <f t="shared" si="58"/>
        <v>January</v>
      </c>
      <c r="AD640">
        <f t="shared" si="59"/>
        <v>2024</v>
      </c>
    </row>
    <row r="641" spans="1:30">
      <c r="A641" t="s">
        <v>3034</v>
      </c>
      <c r="B641" t="s">
        <v>3035</v>
      </c>
      <c r="C641" t="s">
        <v>1879</v>
      </c>
      <c r="D641" t="s">
        <v>3036</v>
      </c>
      <c r="E641" t="s">
        <v>60</v>
      </c>
      <c r="F641" t="s">
        <v>48</v>
      </c>
      <c r="G641" t="s">
        <v>49</v>
      </c>
      <c r="H641" t="s">
        <v>50</v>
      </c>
      <c r="I641" t="s">
        <v>51</v>
      </c>
      <c r="J641" t="s">
        <v>52</v>
      </c>
      <c r="K641" t="s">
        <v>83</v>
      </c>
      <c r="L641" t="s">
        <v>3037</v>
      </c>
      <c r="M641" t="s">
        <v>40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41</v>
      </c>
      <c r="U641" t="s">
        <v>42</v>
      </c>
      <c r="V641">
        <f t="shared" si="54"/>
        <v>1514.9649999999999</v>
      </c>
      <c r="W641">
        <f t="shared" si="55"/>
        <v>468.78999999999996</v>
      </c>
      <c r="X641">
        <f t="shared" si="56"/>
        <v>0.30944051328087868</v>
      </c>
      <c r="Y641" t="str">
        <f>_xlfn.TEXTJOIN(", ",TRUE,IF(G641="Unknown","Missing Region",""),IF(M641="Unknown","Missing Ship Mode",""),IF(P641&lt;0,"Negative Discount",""),IF(P641&gt;0.7,"High Discount",""),IF(C641&lt;B641,"Ship Before Order",""))</f>
        <v/>
      </c>
      <c r="Z641" s="2">
        <f>IFERROR(
  IF(ISNUMBER(B641),B641,
    IF(ISNUMBER(SEARCH("-",B641)*1),
      IF(LEN(LEFT(B641,FIND("-",B641)-1))=4,
        DATE(VALUE(LEFT(B641,4)),VALUE(MID(B641,6,2)),VALUE(RIGHT(B641,2))),
        DATE(VALUE(RIGHT(B641,4)),VALUE(MID(B641,4,2)),VALUE(LEFT(B641,2)))
      ),
      IF(ISNUMBER(SEARCH("/",B641)*1),
        DATE(VALUE(RIGHT(B641,4)),VALUE(LEFT(B641,2)),VALUE(MID(B641,4,2))),
        DATEVALUE(B641)
      )
    )
  ),
"INVALID_DATE")</f>
        <v>45653</v>
      </c>
      <c r="AA641" s="2">
        <f>IFERROR(
  IF(ISNUMBER(C641),C641,
    IF(ISNUMBER(SEARCH("-",C641)*1),
      IF(LEN(LEFT(C641,FIND("-",C641)-1))=4,
        DATE(VALUE(LEFT(C641,4)),VALUE(MID(C641,6,2)),VALUE(RIGHT(C641,2))),
        DATE(VALUE(RIGHT(C641,4)),VALUE(MID(C641,4,2)),VALUE(LEFT(C641,2)))
      ),
      IF(ISNUMBER(SEARCH("/",C641)*1),
        DATE(VALUE(RIGHT(C641,4)),VALUE(LEFT(C641,2)),VALUE(MID(C641,4,2))),
        DATEVALUE(C641)
      )
    )
  ),
"INVALID_DATE")</f>
        <v>45657</v>
      </c>
      <c r="AB641">
        <f t="shared" si="57"/>
        <v>4</v>
      </c>
      <c r="AC641" t="str">
        <f t="shared" si="58"/>
        <v>December</v>
      </c>
      <c r="AD641">
        <f t="shared" si="59"/>
        <v>2024</v>
      </c>
    </row>
    <row r="642" spans="1:30">
      <c r="A642" t="s">
        <v>3038</v>
      </c>
      <c r="B642" t="s">
        <v>3039</v>
      </c>
      <c r="C642" t="s">
        <v>3040</v>
      </c>
      <c r="D642" t="s">
        <v>3041</v>
      </c>
      <c r="E642" t="s">
        <v>90</v>
      </c>
      <c r="F642" t="s">
        <v>33</v>
      </c>
      <c r="G642" t="s">
        <v>80</v>
      </c>
      <c r="H642" t="s">
        <v>256</v>
      </c>
      <c r="I642" t="s">
        <v>257</v>
      </c>
      <c r="J642" t="s">
        <v>37</v>
      </c>
      <c r="K642" t="s">
        <v>163</v>
      </c>
      <c r="L642" t="s">
        <v>3042</v>
      </c>
      <c r="M642" t="s">
        <v>63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41</v>
      </c>
      <c r="U642" t="s">
        <v>42</v>
      </c>
      <c r="V642">
        <f t="shared" ref="V642:V705" si="60">O642*(1-P642)*N642</f>
        <v>1267.296</v>
      </c>
      <c r="W642">
        <f t="shared" ref="W642:W705" si="61">Q642-R642</f>
        <v>343.77</v>
      </c>
      <c r="X642">
        <f t="shared" ref="X642:X705" si="62">IF(Q642=0,"",S642/Q642)</f>
        <v>0.27126173755227651</v>
      </c>
      <c r="Y642" t="str">
        <f>_xlfn.TEXTJOIN(", ",TRUE,IF(G642="Unknown","Missing Region",""),IF(M642="Unknown","Missing Ship Mode",""),IF(P642&lt;0,"Negative Discount",""),IF(P642&gt;0.7,"High Discount",""),IF(C642&lt;B642,"Ship Before Order",""))</f>
        <v/>
      </c>
      <c r="Z642" s="2">
        <f>IFERROR(
  IF(ISNUMBER(B642),B642,
    IF(ISNUMBER(SEARCH("-",B642)*1),
      IF(LEN(LEFT(B642,FIND("-",B642)-1))=4,
        DATE(VALUE(LEFT(B642,4)),VALUE(MID(B642,6,2)),VALUE(RIGHT(B642,2))),
        DATE(VALUE(RIGHT(B642,4)),VALUE(MID(B642,4,2)),VALUE(LEFT(B642,2)))
      ),
      IF(ISNUMBER(SEARCH("/",B642)*1),
        DATE(VALUE(RIGHT(B642,4)),VALUE(LEFT(B642,2)),VALUE(MID(B642,4,2))),
        DATEVALUE(B642)
      )
    )
  ),
"INVALID_DATE")</f>
        <v>45671</v>
      </c>
      <c r="AA642" s="2">
        <f>IFERROR(
  IF(ISNUMBER(C642),C642,
    IF(ISNUMBER(SEARCH("-",C642)*1),
      IF(LEN(LEFT(C642,FIND("-",C642)-1))=4,
        DATE(VALUE(LEFT(C642,4)),VALUE(MID(C642,6,2)),VALUE(RIGHT(C642,2))),
        DATE(VALUE(RIGHT(C642,4)),VALUE(MID(C642,4,2)),VALUE(LEFT(C642,2)))
      ),
      IF(ISNUMBER(SEARCH("/",C642)*1),
        DATE(VALUE(RIGHT(C642,4)),VALUE(LEFT(C642,2)),VALUE(MID(C642,4,2))),
        DATEVALUE(C642)
      )
    )
  ),
"INVALID_DATE")</f>
        <v>45674</v>
      </c>
      <c r="AB642">
        <f t="shared" si="57"/>
        <v>3</v>
      </c>
      <c r="AC642" t="str">
        <f t="shared" si="58"/>
        <v>January</v>
      </c>
      <c r="AD642">
        <f t="shared" si="59"/>
        <v>2025</v>
      </c>
    </row>
    <row r="643" spans="1:30">
      <c r="A643" t="s">
        <v>3043</v>
      </c>
      <c r="B643" t="s">
        <v>3044</v>
      </c>
      <c r="C643" t="s">
        <v>1970</v>
      </c>
      <c r="D643" t="s">
        <v>3045</v>
      </c>
      <c r="E643" t="s">
        <v>32</v>
      </c>
      <c r="F643" t="s">
        <v>33</v>
      </c>
      <c r="G643" t="s">
        <v>34</v>
      </c>
      <c r="H643" t="s">
        <v>514</v>
      </c>
      <c r="I643" t="s">
        <v>515</v>
      </c>
      <c r="J643" t="s">
        <v>52</v>
      </c>
      <c r="K643" t="s">
        <v>72</v>
      </c>
      <c r="L643" t="s">
        <v>3046</v>
      </c>
      <c r="M643" t="s">
        <v>55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41</v>
      </c>
      <c r="U643" t="s">
        <v>42</v>
      </c>
      <c r="V643">
        <f t="shared" si="60"/>
        <v>6405.74</v>
      </c>
      <c r="W643">
        <f t="shared" si="61"/>
        <v>2843.87</v>
      </c>
      <c r="X643">
        <f t="shared" si="62"/>
        <v>0.44395651400150488</v>
      </c>
      <c r="Y643" t="str">
        <f>_xlfn.TEXTJOIN(", ",TRUE,IF(G643="Unknown","Missing Region",""),IF(M643="Unknown","Missing Ship Mode",""),IF(P643&lt;0,"Negative Discount",""),IF(P643&gt;0.7,"High Discount",""),IF(C643&lt;B643,"Ship Before Order",""))</f>
        <v/>
      </c>
      <c r="Z643" s="2">
        <f>IFERROR(
  IF(ISNUMBER(B643),B643,
    IF(ISNUMBER(SEARCH("-",B643)*1),
      IF(LEN(LEFT(B643,FIND("-",B643)-1))=4,
        DATE(VALUE(LEFT(B643,4)),VALUE(MID(B643,6,2)),VALUE(RIGHT(B643,2))),
        DATE(VALUE(RIGHT(B643,4)),VALUE(MID(B643,4,2)),VALUE(LEFT(B643,2)))
      ),
      IF(ISNUMBER(SEARCH("/",B643)*1),
        DATE(VALUE(RIGHT(B643,4)),VALUE(LEFT(B643,2)),VALUE(MID(B643,4,2))),
        DATEVALUE(B643)
      )
    )
  ),
"INVALID_DATE")</f>
        <v>45756</v>
      </c>
      <c r="AA643" s="2">
        <f>IFERROR(
  IF(ISNUMBER(C643),C643,
    IF(ISNUMBER(SEARCH("-",C643)*1),
      IF(LEN(LEFT(C643,FIND("-",C643)-1))=4,
        DATE(VALUE(LEFT(C643,4)),VALUE(MID(C643,6,2)),VALUE(RIGHT(C643,2))),
        DATE(VALUE(RIGHT(C643,4)),VALUE(MID(C643,4,2)),VALUE(LEFT(C643,2)))
      ),
      IF(ISNUMBER(SEARCH("/",C643)*1),
        DATE(VALUE(RIGHT(C643,4)),VALUE(LEFT(C643,2)),VALUE(MID(C643,4,2))),
        DATEVALUE(C643)
      )
    )
  ),
"INVALID_DATE")</f>
        <v>45761</v>
      </c>
      <c r="AB643">
        <f t="shared" ref="AB643:AB706" si="63">AA643-Z643</f>
        <v>5</v>
      </c>
      <c r="AC643" t="str">
        <f t="shared" ref="AC643:AC706" si="64">TEXT(Z643,"mmmm")</f>
        <v>April</v>
      </c>
      <c r="AD643">
        <f t="shared" ref="AD643:AD706" si="65">YEAR(Z643)</f>
        <v>2025</v>
      </c>
    </row>
    <row r="644" spans="1:30">
      <c r="A644" t="s">
        <v>3047</v>
      </c>
      <c r="B644" t="s">
        <v>1958</v>
      </c>
      <c r="C644" t="s">
        <v>44</v>
      </c>
      <c r="D644" t="s">
        <v>3048</v>
      </c>
      <c r="E644" t="s">
        <v>60</v>
      </c>
      <c r="F644" t="s">
        <v>122</v>
      </c>
      <c r="G644" t="s">
        <v>49</v>
      </c>
      <c r="H644" t="s">
        <v>223</v>
      </c>
      <c r="I644" t="s">
        <v>224</v>
      </c>
      <c r="J644" t="s">
        <v>37</v>
      </c>
      <c r="K644" t="s">
        <v>3049</v>
      </c>
      <c r="L644" t="s">
        <v>3050</v>
      </c>
      <c r="M644" t="s">
        <v>40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207</v>
      </c>
      <c r="U644" t="s">
        <v>132</v>
      </c>
      <c r="V644">
        <f t="shared" si="60"/>
        <v>8607.6674999999996</v>
      </c>
      <c r="W644">
        <f t="shared" si="61"/>
        <v>3270.0299999999997</v>
      </c>
      <c r="X644">
        <f t="shared" si="62"/>
        <v>0.37989723119032215</v>
      </c>
      <c r="Y644" t="str">
        <f>_xlfn.TEXTJOIN(", ",TRUE,IF(G644="Unknown","Missing Region",""),IF(M644="Unknown","Missing Ship Mode",""),IF(P644&lt;0,"Negative Discount",""),IF(P644&gt;0.7,"High Discount",""),IF(C644&lt;B644,"Ship Before Order",""))</f>
        <v/>
      </c>
      <c r="Z644" s="2">
        <f>IFERROR(
  IF(ISNUMBER(B644),B644,
    IF(ISNUMBER(SEARCH("-",B644)*1),
      IF(LEN(LEFT(B644,FIND("-",B644)-1))=4,
        DATE(VALUE(LEFT(B644,4)),VALUE(MID(B644,6,2)),VALUE(RIGHT(B644,2))),
        DATE(VALUE(RIGHT(B644,4)),VALUE(MID(B644,4,2)),VALUE(LEFT(B644,2)))
      ),
      IF(ISNUMBER(SEARCH("/",B644)*1),
        DATE(VALUE(RIGHT(B644,4)),VALUE(LEFT(B644,2)),VALUE(MID(B644,4,2))),
        DATEVALUE(B644)
      )
    )
  ),
"INVALID_DATE")</f>
        <v>45533</v>
      </c>
      <c r="AA644" s="2">
        <f>IFERROR(
  IF(ISNUMBER(C644),C644,
    IF(ISNUMBER(SEARCH("-",C644)*1),
      IF(LEN(LEFT(C644,FIND("-",C644)-1))=4,
        DATE(VALUE(LEFT(C644,4)),VALUE(MID(C644,6,2)),VALUE(RIGHT(C644,2))),
        DATE(VALUE(RIGHT(C644,4)),VALUE(MID(C644,4,2)),VALUE(LEFT(C644,2)))
      ),
      IF(ISNUMBER(SEARCH("/",C644)*1),
        DATE(VALUE(RIGHT(C644,4)),VALUE(LEFT(C644,2)),VALUE(MID(C644,4,2))),
        DATEVALUE(C644)
      )
    )
  ),
"INVALID_DATE")</f>
        <v>45535</v>
      </c>
      <c r="AB644">
        <f t="shared" si="63"/>
        <v>2</v>
      </c>
      <c r="AC644" t="str">
        <f t="shared" si="64"/>
        <v>August</v>
      </c>
      <c r="AD644">
        <f t="shared" si="65"/>
        <v>2024</v>
      </c>
    </row>
    <row r="645" spans="1:30">
      <c r="A645" t="s">
        <v>3051</v>
      </c>
      <c r="B645" t="s">
        <v>3052</v>
      </c>
      <c r="C645" t="s">
        <v>3053</v>
      </c>
      <c r="D645" t="s">
        <v>1104</v>
      </c>
      <c r="E645" t="s">
        <v>169</v>
      </c>
      <c r="F645" t="s">
        <v>122</v>
      </c>
      <c r="G645" t="s">
        <v>34</v>
      </c>
      <c r="H645" t="s">
        <v>181</v>
      </c>
      <c r="I645" t="s">
        <v>182</v>
      </c>
      <c r="J645" t="s">
        <v>37</v>
      </c>
      <c r="K645" t="s">
        <v>116</v>
      </c>
      <c r="L645" t="s">
        <v>3054</v>
      </c>
      <c r="M645" t="s">
        <v>74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207</v>
      </c>
      <c r="U645" t="s">
        <v>132</v>
      </c>
      <c r="V645">
        <f t="shared" si="60"/>
        <v>26324.023999999998</v>
      </c>
      <c r="W645">
        <f t="shared" si="61"/>
        <v>10046.060000000001</v>
      </c>
      <c r="X645">
        <f t="shared" si="62"/>
        <v>0.38163092111311264</v>
      </c>
      <c r="Y645" t="str">
        <f>_xlfn.TEXTJOIN(", ",TRUE,IF(G645="Unknown","Missing Region",""),IF(M645="Unknown","Missing Ship Mode",""),IF(P645&lt;0,"Negative Discount",""),IF(P645&gt;0.7,"High Discount",""),IF(C645&lt;B645,"Ship Before Order",""))</f>
        <v/>
      </c>
      <c r="Z645" s="2">
        <f>IFERROR(
  IF(ISNUMBER(B645),B645,
    IF(ISNUMBER(SEARCH("-",B645)*1),
      IF(LEN(LEFT(B645,FIND("-",B645)-1))=4,
        DATE(VALUE(LEFT(B645,4)),VALUE(MID(B645,6,2)),VALUE(RIGHT(B645,2))),
        DATE(VALUE(RIGHT(B645,4)),VALUE(MID(B645,4,2)),VALUE(LEFT(B645,2)))
      ),
      IF(ISNUMBER(SEARCH("/",B645)*1),
        DATE(VALUE(RIGHT(B645,4)),VALUE(LEFT(B645,2)),VALUE(MID(B645,4,2))),
        DATEVALUE(B645)
      )
    )
  ),
"INVALID_DATE")</f>
        <v>45327</v>
      </c>
      <c r="AA645" s="2">
        <f>IFERROR(
  IF(ISNUMBER(C645),C645,
    IF(ISNUMBER(SEARCH("-",C645)*1),
      IF(LEN(LEFT(C645,FIND("-",C645)-1))=4,
        DATE(VALUE(LEFT(C645,4)),VALUE(MID(C645,6,2)),VALUE(RIGHT(C645,2))),
        DATE(VALUE(RIGHT(C645,4)),VALUE(MID(C645,4,2)),VALUE(LEFT(C645,2)))
      ),
      IF(ISNUMBER(SEARCH("/",C645)*1),
        DATE(VALUE(RIGHT(C645,4)),VALUE(LEFT(C645,2)),VALUE(MID(C645,4,2))),
        DATEVALUE(C645)
      )
    )
  ),
"INVALID_DATE")</f>
        <v>45335</v>
      </c>
      <c r="AB645">
        <f t="shared" si="63"/>
        <v>8</v>
      </c>
      <c r="AC645" t="str">
        <f t="shared" si="64"/>
        <v>February</v>
      </c>
      <c r="AD645">
        <f t="shared" si="65"/>
        <v>2024</v>
      </c>
    </row>
    <row r="646" spans="1:30">
      <c r="A646" t="s">
        <v>3055</v>
      </c>
      <c r="B646" t="s">
        <v>2599</v>
      </c>
      <c r="C646" t="s">
        <v>3056</v>
      </c>
      <c r="D646" t="s">
        <v>3057</v>
      </c>
      <c r="E646" t="s">
        <v>90</v>
      </c>
      <c r="F646" t="s">
        <v>33</v>
      </c>
      <c r="G646" t="s">
        <v>49</v>
      </c>
      <c r="H646" t="s">
        <v>128</v>
      </c>
      <c r="I646" t="s">
        <v>129</v>
      </c>
      <c r="J646" t="s">
        <v>52</v>
      </c>
      <c r="K646" t="s">
        <v>83</v>
      </c>
      <c r="L646" t="s">
        <v>3058</v>
      </c>
      <c r="M646" t="s">
        <v>74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41</v>
      </c>
      <c r="U646" t="s">
        <v>42</v>
      </c>
      <c r="V646">
        <f t="shared" si="60"/>
        <v>14250.075999999999</v>
      </c>
      <c r="W646">
        <f t="shared" si="61"/>
        <v>3335.16</v>
      </c>
      <c r="X646">
        <f t="shared" si="62"/>
        <v>0.23404500185262117</v>
      </c>
      <c r="Y646" t="str">
        <f>_xlfn.TEXTJOIN(", ",TRUE,IF(G646="Unknown","Missing Region",""),IF(M646="Unknown","Missing Ship Mode",""),IF(P646&lt;0,"Negative Discount",""),IF(P646&gt;0.7,"High Discount",""),IF(C646&lt;B646,"Ship Before Order",""))</f>
        <v>Ship Before Order</v>
      </c>
      <c r="Z646" s="2">
        <f>IFERROR(
  IF(ISNUMBER(B646),B646,
    IF(ISNUMBER(SEARCH("-",B646)*1),
      IF(LEN(LEFT(B646,FIND("-",B646)-1))=4,
        DATE(VALUE(LEFT(B646,4)),VALUE(MID(B646,6,2)),VALUE(RIGHT(B646,2))),
        DATE(VALUE(RIGHT(B646,4)),VALUE(MID(B646,4,2)),VALUE(LEFT(B646,2)))
      ),
      IF(ISNUMBER(SEARCH("/",B646)*1),
        DATE(VALUE(RIGHT(B646,4)),VALUE(LEFT(B646,2)),VALUE(MID(B646,4,2))),
        DATEVALUE(B646)
      )
    )
  ),
"INVALID_DATE")</f>
        <v>45757</v>
      </c>
      <c r="AA646" s="2">
        <f>IFERROR(
  IF(ISNUMBER(C646),C646,
    IF(ISNUMBER(SEARCH("-",C646)*1),
      IF(LEN(LEFT(C646,FIND("-",C646)-1))=4,
        DATE(VALUE(LEFT(C646,4)),VALUE(MID(C646,6,2)),VALUE(RIGHT(C646,2))),
        DATE(VALUE(RIGHT(C646,4)),VALUE(MID(C646,4,2)),VALUE(LEFT(C646,2)))
      ),
      IF(ISNUMBER(SEARCH("/",C646)*1),
        DATE(VALUE(RIGHT(C646,4)),VALUE(LEFT(C646,2)),VALUE(MID(C646,4,2))),
        DATEVALUE(C646)
      )
    )
  ),
"INVALID_DATE")</f>
        <v>45764</v>
      </c>
      <c r="AB646">
        <f t="shared" si="63"/>
        <v>7</v>
      </c>
      <c r="AC646" t="str">
        <f t="shared" si="64"/>
        <v>April</v>
      </c>
      <c r="AD646">
        <f t="shared" si="65"/>
        <v>2025</v>
      </c>
    </row>
    <row r="647" spans="1:30">
      <c r="A647" t="s">
        <v>3059</v>
      </c>
      <c r="B647" t="s">
        <v>3060</v>
      </c>
      <c r="C647" t="s">
        <v>2753</v>
      </c>
      <c r="D647" t="s">
        <v>3061</v>
      </c>
      <c r="E647" t="s">
        <v>374</v>
      </c>
      <c r="F647" t="s">
        <v>33</v>
      </c>
      <c r="G647" t="s">
        <v>49</v>
      </c>
      <c r="H647" t="s">
        <v>193</v>
      </c>
      <c r="I647" t="s">
        <v>194</v>
      </c>
      <c r="J647" t="s">
        <v>52</v>
      </c>
      <c r="K647" t="s">
        <v>83</v>
      </c>
      <c r="L647" t="s">
        <v>3062</v>
      </c>
      <c r="M647" t="s">
        <v>40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41</v>
      </c>
      <c r="U647" t="s">
        <v>42</v>
      </c>
      <c r="V647">
        <f t="shared" si="60"/>
        <v>13087.494000000002</v>
      </c>
      <c r="W647">
        <f t="shared" si="61"/>
        <v>5478.5999999999995</v>
      </c>
      <c r="X647">
        <f t="shared" si="62"/>
        <v>0.39222341335122324</v>
      </c>
      <c r="Y647" t="str">
        <f>_xlfn.TEXTJOIN(", ",TRUE,IF(G647="Unknown","Missing Region",""),IF(M647="Unknown","Missing Ship Mode",""),IF(P647&lt;0,"Negative Discount",""),IF(P647&gt;0.7,"High Discount",""),IF(C647&lt;B647,"Ship Before Order",""))</f>
        <v>Ship Before Order</v>
      </c>
      <c r="Z647" s="2">
        <f>IFERROR(
  IF(ISNUMBER(B647),B647,
    IF(ISNUMBER(SEARCH("-",B647)*1),
      IF(LEN(LEFT(B647,FIND("-",B647)-1))=4,
        DATE(VALUE(LEFT(B647,4)),VALUE(MID(B647,6,2)),VALUE(RIGHT(B647,2))),
        DATE(VALUE(RIGHT(B647,4)),VALUE(MID(B647,4,2)),VALUE(LEFT(B647,2)))
      ),
      IF(ISNUMBER(SEARCH("/",B647)*1),
        DATE(VALUE(RIGHT(B647,4)),VALUE(LEFT(B647,2)),VALUE(MID(B647,4,2))),
        DATEVALUE(B647)
      )
    )
  ),
"INVALID_DATE")</f>
        <v>45295</v>
      </c>
      <c r="AA647" s="2">
        <f>IFERROR(
  IF(ISNUMBER(C647),C647,
    IF(ISNUMBER(SEARCH("-",C647)*1),
      IF(LEN(LEFT(C647,FIND("-",C647)-1))=4,
        DATE(VALUE(LEFT(C647,4)),VALUE(MID(C647,6,2)),VALUE(RIGHT(C647,2))),
        DATE(VALUE(RIGHT(C647,4)),VALUE(MID(C647,4,2)),VALUE(LEFT(C647,2)))
      ),
      IF(ISNUMBER(SEARCH("/",C647)*1),
        DATE(VALUE(RIGHT(C647,4)),VALUE(LEFT(C647,2)),VALUE(MID(C647,4,2))),
        DATEVALUE(C647)
      )
    )
  ),
"INVALID_DATE")</f>
        <v>45300</v>
      </c>
      <c r="AB647">
        <f t="shared" si="63"/>
        <v>5</v>
      </c>
      <c r="AC647" t="str">
        <f t="shared" si="64"/>
        <v>January</v>
      </c>
      <c r="AD647">
        <f t="shared" si="65"/>
        <v>2024</v>
      </c>
    </row>
    <row r="648" spans="1:30">
      <c r="A648" t="s">
        <v>3063</v>
      </c>
      <c r="B648" t="s">
        <v>3064</v>
      </c>
      <c r="C648" t="s">
        <v>3065</v>
      </c>
      <c r="D648" t="s">
        <v>3066</v>
      </c>
      <c r="E648" t="s">
        <v>90</v>
      </c>
      <c r="F648" t="s">
        <v>48</v>
      </c>
      <c r="G648" t="s">
        <v>49</v>
      </c>
      <c r="H648" t="s">
        <v>319</v>
      </c>
      <c r="I648" t="s">
        <v>320</v>
      </c>
      <c r="J648" t="s">
        <v>93</v>
      </c>
      <c r="K648" t="s">
        <v>390</v>
      </c>
      <c r="L648" t="s">
        <v>3067</v>
      </c>
      <c r="M648" t="s">
        <v>63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41</v>
      </c>
      <c r="U648" t="s">
        <v>42</v>
      </c>
      <c r="V648">
        <f t="shared" si="60"/>
        <v>1640.5650000000001</v>
      </c>
      <c r="W648">
        <f t="shared" si="61"/>
        <v>503.58999999999992</v>
      </c>
      <c r="X648">
        <f t="shared" si="62"/>
        <v>0.30696038571959744</v>
      </c>
      <c r="Y648" t="str">
        <f>_xlfn.TEXTJOIN(", ",TRUE,IF(G648="Unknown","Missing Region",""),IF(M648="Unknown","Missing Ship Mode",""),IF(P648&lt;0,"Negative Discount",""),IF(P648&gt;0.7,"High Discount",""),IF(C648&lt;B648,"Ship Before Order",""))</f>
        <v/>
      </c>
      <c r="Z648" s="2">
        <f>IFERROR(
  IF(ISNUMBER(B648),B648,
    IF(ISNUMBER(SEARCH("-",B648)*1),
      IF(LEN(LEFT(B648,FIND("-",B648)-1))=4,
        DATE(VALUE(LEFT(B648,4)),VALUE(MID(B648,6,2)),VALUE(RIGHT(B648,2))),
        DATE(VALUE(RIGHT(B648,4)),VALUE(MID(B648,4,2)),VALUE(LEFT(B648,2)))
      ),
      IF(ISNUMBER(SEARCH("/",B648)*1),
        DATE(VALUE(RIGHT(B648,4)),VALUE(LEFT(B648,2)),VALUE(MID(B648,4,2))),
        DATEVALUE(B648)
      )
    )
  ),
"INVALID_DATE")</f>
        <v>45553</v>
      </c>
      <c r="AA648" s="2">
        <f>IFERROR(
  IF(ISNUMBER(C648),C648,
    IF(ISNUMBER(SEARCH("-",C648)*1),
      IF(LEN(LEFT(C648,FIND("-",C648)-1))=4,
        DATE(VALUE(LEFT(C648,4)),VALUE(MID(C648,6,2)),VALUE(RIGHT(C648,2))),
        DATE(VALUE(RIGHT(C648,4)),VALUE(MID(C648,4,2)),VALUE(LEFT(C648,2)))
      ),
      IF(ISNUMBER(SEARCH("/",C648)*1),
        DATE(VALUE(RIGHT(C648,4)),VALUE(LEFT(C648,2)),VALUE(MID(C648,4,2))),
        DATEVALUE(C648)
      )
    )
  ),
"INVALID_DATE")</f>
        <v>45559</v>
      </c>
      <c r="AB648">
        <f t="shared" si="63"/>
        <v>6</v>
      </c>
      <c r="AC648" t="str">
        <f t="shared" si="64"/>
        <v>September</v>
      </c>
      <c r="AD648">
        <f t="shared" si="65"/>
        <v>2024</v>
      </c>
    </row>
    <row r="649" spans="1:30">
      <c r="A649" t="s">
        <v>3068</v>
      </c>
      <c r="B649" t="s">
        <v>1337</v>
      </c>
      <c r="C649" t="s">
        <v>3069</v>
      </c>
      <c r="D649" t="s">
        <v>3070</v>
      </c>
      <c r="E649" t="s">
        <v>3071</v>
      </c>
      <c r="F649" t="s">
        <v>48</v>
      </c>
      <c r="G649" t="s">
        <v>34</v>
      </c>
      <c r="H649" t="s">
        <v>161</v>
      </c>
      <c r="I649" t="s">
        <v>162</v>
      </c>
      <c r="J649" t="s">
        <v>37</v>
      </c>
      <c r="K649" t="s">
        <v>61</v>
      </c>
      <c r="L649" t="s">
        <v>3072</v>
      </c>
      <c r="M649" t="s">
        <v>63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41</v>
      </c>
      <c r="U649" t="s">
        <v>42</v>
      </c>
      <c r="V649">
        <f t="shared" si="60"/>
        <v>14441.907999999999</v>
      </c>
      <c r="W649">
        <f t="shared" si="61"/>
        <v>3569.0200000000004</v>
      </c>
      <c r="X649">
        <f t="shared" si="62"/>
        <v>0.24712936169800256</v>
      </c>
      <c r="Y649" t="str">
        <f>_xlfn.TEXTJOIN(", ",TRUE,IF(G649="Unknown","Missing Region",""),IF(M649="Unknown","Missing Ship Mode",""),IF(P649&lt;0,"Negative Discount",""),IF(P649&gt;0.7,"High Discount",""),IF(C649&lt;B649,"Ship Before Order",""))</f>
        <v/>
      </c>
      <c r="Z649" s="2">
        <f>IFERROR(
  IF(ISNUMBER(B649),B649,
    IF(ISNUMBER(SEARCH("-",B649)*1),
      IF(LEN(LEFT(B649,FIND("-",B649)-1))=4,
        DATE(VALUE(LEFT(B649,4)),VALUE(MID(B649,6,2)),VALUE(RIGHT(B649,2))),
        DATE(VALUE(RIGHT(B649,4)),VALUE(MID(B649,4,2)),VALUE(LEFT(B649,2)))
      ),
      IF(ISNUMBER(SEARCH("/",B649)*1),
        DATE(VALUE(RIGHT(B649,4)),VALUE(LEFT(B649,2)),VALUE(MID(B649,4,2))),
        DATEVALUE(B649)
      )
    )
  ),
"INVALID_DATE")</f>
        <v>45658</v>
      </c>
      <c r="AA649" s="2">
        <f>IFERROR(
  IF(ISNUMBER(C649),C649,
    IF(ISNUMBER(SEARCH("-",C649)*1),
      IF(LEN(LEFT(C649,FIND("-",C649)-1))=4,
        DATE(VALUE(LEFT(C649,4)),VALUE(MID(C649,6,2)),VALUE(RIGHT(C649,2))),
        DATE(VALUE(RIGHT(C649,4)),VALUE(MID(C649,4,2)),VALUE(LEFT(C649,2)))
      ),
      IF(ISNUMBER(SEARCH("/",C649)*1),
        DATE(VALUE(RIGHT(C649,4)),VALUE(LEFT(C649,2)),VALUE(MID(C649,4,2))),
        DATEVALUE(C649)
      )
    )
  ),
"INVALID_DATE")</f>
        <v>45666</v>
      </c>
      <c r="AB649">
        <f t="shared" si="63"/>
        <v>8</v>
      </c>
      <c r="AC649" t="str">
        <f t="shared" si="64"/>
        <v>January</v>
      </c>
      <c r="AD649">
        <f t="shared" si="65"/>
        <v>2025</v>
      </c>
    </row>
    <row r="650" spans="1:30">
      <c r="A650" t="s">
        <v>3073</v>
      </c>
      <c r="B650" t="s">
        <v>3074</v>
      </c>
      <c r="C650" t="s">
        <v>366</v>
      </c>
      <c r="D650" t="s">
        <v>3075</v>
      </c>
      <c r="E650" t="s">
        <v>100</v>
      </c>
      <c r="F650" t="s">
        <v>48</v>
      </c>
      <c r="G650" t="s">
        <v>69</v>
      </c>
      <c r="H650" t="s">
        <v>107</v>
      </c>
      <c r="I650" t="s">
        <v>108</v>
      </c>
      <c r="J650" t="s">
        <v>37</v>
      </c>
      <c r="K650" t="s">
        <v>61</v>
      </c>
      <c r="L650" t="s">
        <v>3076</v>
      </c>
      <c r="M650" t="s">
        <v>55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207</v>
      </c>
      <c r="U650" t="s">
        <v>132</v>
      </c>
      <c r="V650">
        <f t="shared" si="60"/>
        <v>5065.8480000000009</v>
      </c>
      <c r="W650">
        <f t="shared" si="61"/>
        <v>1548.6200000000003</v>
      </c>
      <c r="X650">
        <f t="shared" si="62"/>
        <v>0.30569795789452903</v>
      </c>
      <c r="Y650" t="str">
        <f>_xlfn.TEXTJOIN(", ",TRUE,IF(G650="Unknown","Missing Region",""),IF(M650="Unknown","Missing Ship Mode",""),IF(P650&lt;0,"Negative Discount",""),IF(P650&gt;0.7,"High Discount",""),IF(C650&lt;B650,"Ship Before Order",""))</f>
        <v/>
      </c>
      <c r="Z650" s="2">
        <f>IFERROR(
  IF(ISNUMBER(B650),B650,
    IF(ISNUMBER(SEARCH("-",B650)*1),
      IF(LEN(LEFT(B650,FIND("-",B650)-1))=4,
        DATE(VALUE(LEFT(B650,4)),VALUE(MID(B650,6,2)),VALUE(RIGHT(B650,2))),
        DATE(VALUE(RIGHT(B650,4)),VALUE(MID(B650,4,2)),VALUE(LEFT(B650,2)))
      ),
      IF(ISNUMBER(SEARCH("/",B650)*1),
        DATE(VALUE(RIGHT(B650,4)),VALUE(LEFT(B650,2)),VALUE(MID(B650,4,2))),
        DATEVALUE(B650)
      )
    )
  ),
"INVALID_DATE")</f>
        <v>45403</v>
      </c>
      <c r="AA650" s="2">
        <f>IFERROR(
  IF(ISNUMBER(C650),C650,
    IF(ISNUMBER(SEARCH("-",C650)*1),
      IF(LEN(LEFT(C650,FIND("-",C650)-1))=4,
        DATE(VALUE(LEFT(C650,4)),VALUE(MID(C650,6,2)),VALUE(RIGHT(C650,2))),
        DATE(VALUE(RIGHT(C650,4)),VALUE(MID(C650,4,2)),VALUE(LEFT(C650,2)))
      ),
      IF(ISNUMBER(SEARCH("/",C650)*1),
        DATE(VALUE(RIGHT(C650,4)),VALUE(LEFT(C650,2)),VALUE(MID(C650,4,2))),
        DATEVALUE(C650)
      )
    )
  ),
"INVALID_DATE")</f>
        <v>45406</v>
      </c>
      <c r="AB650">
        <f t="shared" si="63"/>
        <v>3</v>
      </c>
      <c r="AC650" t="str">
        <f t="shared" si="64"/>
        <v>April</v>
      </c>
      <c r="AD650">
        <f t="shared" si="65"/>
        <v>2024</v>
      </c>
    </row>
    <row r="651" spans="1:30">
      <c r="A651" t="s">
        <v>3077</v>
      </c>
      <c r="B651" t="s">
        <v>3078</v>
      </c>
      <c r="C651" t="s">
        <v>3079</v>
      </c>
      <c r="D651" t="s">
        <v>3080</v>
      </c>
      <c r="E651" t="s">
        <v>374</v>
      </c>
      <c r="F651" t="s">
        <v>48</v>
      </c>
      <c r="G651" t="s">
        <v>69</v>
      </c>
      <c r="H651" t="s">
        <v>249</v>
      </c>
      <c r="I651" t="s">
        <v>250</v>
      </c>
      <c r="J651" t="s">
        <v>93</v>
      </c>
      <c r="K651" t="s">
        <v>94</v>
      </c>
      <c r="L651" t="s">
        <v>3081</v>
      </c>
      <c r="M651" t="s">
        <v>74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41</v>
      </c>
      <c r="U651" t="s">
        <v>42</v>
      </c>
      <c r="V651">
        <f t="shared" si="60"/>
        <v>6776.88</v>
      </c>
      <c r="W651">
        <f t="shared" si="61"/>
        <v>2940.6400000000003</v>
      </c>
      <c r="X651">
        <f t="shared" si="62"/>
        <v>0.43392239496641521</v>
      </c>
      <c r="Y651" t="str">
        <f>_xlfn.TEXTJOIN(", ",TRUE,IF(G651="Unknown","Missing Region",""),IF(M651="Unknown","Missing Ship Mode",""),IF(P651&lt;0,"Negative Discount",""),IF(P651&gt;0.7,"High Discount",""),IF(C651&lt;B651,"Ship Before Order",""))</f>
        <v/>
      </c>
      <c r="Z651" s="2">
        <f>IFERROR(
  IF(ISNUMBER(B651),B651,
    IF(ISNUMBER(SEARCH("-",B651)*1),
      IF(LEN(LEFT(B651,FIND("-",B651)-1))=4,
        DATE(VALUE(LEFT(B651,4)),VALUE(MID(B651,6,2)),VALUE(RIGHT(B651,2))),
        DATE(VALUE(RIGHT(B651,4)),VALUE(MID(B651,4,2)),VALUE(LEFT(B651,2)))
      ),
      IF(ISNUMBER(SEARCH("/",B651)*1),
        DATE(VALUE(RIGHT(B651,4)),VALUE(LEFT(B651,2)),VALUE(MID(B651,4,2))),
        DATEVALUE(B651)
      )
    )
  ),
"INVALID_DATE")</f>
        <v>45880</v>
      </c>
      <c r="AA651" s="2">
        <f>IFERROR(
  IF(ISNUMBER(C651),C651,
    IF(ISNUMBER(SEARCH("-",C651)*1),
      IF(LEN(LEFT(C651,FIND("-",C651)-1))=4,
        DATE(VALUE(LEFT(C651,4)),VALUE(MID(C651,6,2)),VALUE(RIGHT(C651,2))),
        DATE(VALUE(RIGHT(C651,4)),VALUE(MID(C651,4,2)),VALUE(LEFT(C651,2)))
      ),
      IF(ISNUMBER(SEARCH("/",C651)*1),
        DATE(VALUE(RIGHT(C651,4)),VALUE(LEFT(C651,2)),VALUE(MID(C651,4,2))),
        DATEVALUE(C651)
      )
    )
  ),
"INVALID_DATE")</f>
        <v>45888</v>
      </c>
      <c r="AB651">
        <f t="shared" si="63"/>
        <v>8</v>
      </c>
      <c r="AC651" t="str">
        <f t="shared" si="64"/>
        <v>August</v>
      </c>
      <c r="AD651">
        <f t="shared" si="65"/>
        <v>2025</v>
      </c>
    </row>
    <row r="652" spans="1:30">
      <c r="A652" t="s">
        <v>3082</v>
      </c>
      <c r="B652" t="s">
        <v>3083</v>
      </c>
      <c r="C652" t="s">
        <v>3084</v>
      </c>
      <c r="D652" t="s">
        <v>555</v>
      </c>
      <c r="E652" t="s">
        <v>169</v>
      </c>
      <c r="F652" t="s">
        <v>122</v>
      </c>
      <c r="G652" t="s">
        <v>49</v>
      </c>
      <c r="H652" t="s">
        <v>193</v>
      </c>
      <c r="I652" t="s">
        <v>194</v>
      </c>
      <c r="J652" t="s">
        <v>93</v>
      </c>
      <c r="K652" t="s">
        <v>94</v>
      </c>
      <c r="L652" t="s">
        <v>3085</v>
      </c>
      <c r="M652" t="s">
        <v>55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207</v>
      </c>
      <c r="U652" t="s">
        <v>132</v>
      </c>
      <c r="V652">
        <f t="shared" si="60"/>
        <v>15760.121999999999</v>
      </c>
      <c r="W652">
        <f t="shared" si="61"/>
        <v>5828.59</v>
      </c>
      <c r="X652">
        <f t="shared" si="62"/>
        <v>0.3698315748864856</v>
      </c>
      <c r="Y652" t="str">
        <f>_xlfn.TEXTJOIN(", ",TRUE,IF(G652="Unknown","Missing Region",""),IF(M652="Unknown","Missing Ship Mode",""),IF(P652&lt;0,"Negative Discount",""),IF(P652&gt;0.7,"High Discount",""),IF(C652&lt;B652,"Ship Before Order",""))</f>
        <v/>
      </c>
      <c r="Z652" s="2">
        <f>IFERROR(
  IF(ISNUMBER(B652),B652,
    IF(ISNUMBER(SEARCH("-",B652)*1),
      IF(LEN(LEFT(B652,FIND("-",B652)-1))=4,
        DATE(VALUE(LEFT(B652,4)),VALUE(MID(B652,6,2)),VALUE(RIGHT(B652,2))),
        DATE(VALUE(RIGHT(B652,4)),VALUE(MID(B652,4,2)),VALUE(LEFT(B652,2)))
      ),
      IF(ISNUMBER(SEARCH("/",B652)*1),
        DATE(VALUE(RIGHT(B652,4)),VALUE(LEFT(B652,2)),VALUE(MID(B652,4,2))),
        DATEVALUE(B652)
      )
    )
  ),
"INVALID_DATE")</f>
        <v>45395</v>
      </c>
      <c r="AA652" s="2">
        <f>IFERROR(
  IF(ISNUMBER(C652),C652,
    IF(ISNUMBER(SEARCH("-",C652)*1),
      IF(LEN(LEFT(C652,FIND("-",C652)-1))=4,
        DATE(VALUE(LEFT(C652,4)),VALUE(MID(C652,6,2)),VALUE(RIGHT(C652,2))),
        DATE(VALUE(RIGHT(C652,4)),VALUE(MID(C652,4,2)),VALUE(LEFT(C652,2)))
      ),
      IF(ISNUMBER(SEARCH("/",C652)*1),
        DATE(VALUE(RIGHT(C652,4)),VALUE(LEFT(C652,2)),VALUE(MID(C652,4,2))),
        DATEVALUE(C652)
      )
    )
  ),
"INVALID_DATE")</f>
        <v>45403</v>
      </c>
      <c r="AB652">
        <f t="shared" si="63"/>
        <v>8</v>
      </c>
      <c r="AC652" t="str">
        <f t="shared" si="64"/>
        <v>April</v>
      </c>
      <c r="AD652">
        <f t="shared" si="65"/>
        <v>2024</v>
      </c>
    </row>
    <row r="653" spans="1:30">
      <c r="A653" t="s">
        <v>3086</v>
      </c>
      <c r="B653" t="s">
        <v>1379</v>
      </c>
      <c r="C653" t="s">
        <v>3087</v>
      </c>
      <c r="D653" t="s">
        <v>3088</v>
      </c>
      <c r="E653" t="s">
        <v>47</v>
      </c>
      <c r="F653" t="s">
        <v>48</v>
      </c>
      <c r="G653" t="s">
        <v>69</v>
      </c>
      <c r="H653" t="s">
        <v>107</v>
      </c>
      <c r="I653" t="s">
        <v>108</v>
      </c>
      <c r="J653" t="s">
        <v>37</v>
      </c>
      <c r="K653" t="s">
        <v>38</v>
      </c>
      <c r="L653" t="s">
        <v>3089</v>
      </c>
      <c r="M653" t="s">
        <v>40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41</v>
      </c>
      <c r="U653" t="s">
        <v>42</v>
      </c>
      <c r="V653">
        <f t="shared" si="60"/>
        <v>1795.6499999999999</v>
      </c>
      <c r="W653">
        <f t="shared" si="61"/>
        <v>798.93000000000006</v>
      </c>
      <c r="X653">
        <f t="shared" si="62"/>
        <v>0.44492523598696848</v>
      </c>
      <c r="Y653" t="str">
        <f>_xlfn.TEXTJOIN(", ",TRUE,IF(G653="Unknown","Missing Region",""),IF(M653="Unknown","Missing Ship Mode",""),IF(P653&lt;0,"Negative Discount",""),IF(P653&gt;0.7,"High Discount",""),IF(C653&lt;B653,"Ship Before Order",""))</f>
        <v/>
      </c>
      <c r="Z653" s="2">
        <f>IFERROR(
  IF(ISNUMBER(B653),B653,
    IF(ISNUMBER(SEARCH("-",B653)*1),
      IF(LEN(LEFT(B653,FIND("-",B653)-1))=4,
        DATE(VALUE(LEFT(B653,4)),VALUE(MID(B653,6,2)),VALUE(RIGHT(B653,2))),
        DATE(VALUE(RIGHT(B653,4)),VALUE(MID(B653,4,2)),VALUE(LEFT(B653,2)))
      ),
      IF(ISNUMBER(SEARCH("/",B653)*1),
        DATE(VALUE(RIGHT(B653,4)),VALUE(LEFT(B653,2)),VALUE(MID(B653,4,2))),
        DATEVALUE(B653)
      )
    )
  ),
"INVALID_DATE")</f>
        <v>45875</v>
      </c>
      <c r="AA653" s="2">
        <f>IFERROR(
  IF(ISNUMBER(C653),C653,
    IF(ISNUMBER(SEARCH("-",C653)*1),
      IF(LEN(LEFT(C653,FIND("-",C653)-1))=4,
        DATE(VALUE(LEFT(C653,4)),VALUE(MID(C653,6,2)),VALUE(RIGHT(C653,2))),
        DATE(VALUE(RIGHT(C653,4)),VALUE(MID(C653,4,2)),VALUE(LEFT(C653,2)))
      ),
      IF(ISNUMBER(SEARCH("/",C653)*1),
        DATE(VALUE(RIGHT(C653,4)),VALUE(LEFT(C653,2)),VALUE(MID(C653,4,2))),
        DATEVALUE(C653)
      )
    )
  ),
"INVALID_DATE")</f>
        <v>45878</v>
      </c>
      <c r="AB653">
        <f t="shared" si="63"/>
        <v>3</v>
      </c>
      <c r="AC653" t="str">
        <f t="shared" si="64"/>
        <v>August</v>
      </c>
      <c r="AD653">
        <f t="shared" si="65"/>
        <v>2025</v>
      </c>
    </row>
    <row r="654" spans="1:30">
      <c r="A654" t="s">
        <v>3090</v>
      </c>
      <c r="B654" t="s">
        <v>3091</v>
      </c>
      <c r="C654" t="s">
        <v>3092</v>
      </c>
      <c r="D654" t="s">
        <v>2575</v>
      </c>
      <c r="E654" t="s">
        <v>175</v>
      </c>
      <c r="F654" t="s">
        <v>33</v>
      </c>
      <c r="G654" t="s">
        <v>34</v>
      </c>
      <c r="H654" t="s">
        <v>181</v>
      </c>
      <c r="I654" t="s">
        <v>182</v>
      </c>
      <c r="J654" t="s">
        <v>37</v>
      </c>
      <c r="K654" t="s">
        <v>205</v>
      </c>
      <c r="L654" t="s">
        <v>3093</v>
      </c>
      <c r="M654" t="s">
        <v>74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41</v>
      </c>
      <c r="U654" t="s">
        <v>42</v>
      </c>
      <c r="V654">
        <f t="shared" si="60"/>
        <v>18362.5075</v>
      </c>
      <c r="W654">
        <f t="shared" si="61"/>
        <v>7228.5399999999991</v>
      </c>
      <c r="X654">
        <f t="shared" si="62"/>
        <v>0.39365751196323384</v>
      </c>
      <c r="Y654" t="str">
        <f>_xlfn.TEXTJOIN(", ",TRUE,IF(G654="Unknown","Missing Region",""),IF(M654="Unknown","Missing Ship Mode",""),IF(P654&lt;0,"Negative Discount",""),IF(P654&gt;0.7,"High Discount",""),IF(C654&lt;B654,"Ship Before Order",""))</f>
        <v/>
      </c>
      <c r="Z654" s="2">
        <f>IFERROR(
  IF(ISNUMBER(B654),B654,
    IF(ISNUMBER(SEARCH("-",B654)*1),
      IF(LEN(LEFT(B654,FIND("-",B654)-1))=4,
        DATE(VALUE(LEFT(B654,4)),VALUE(MID(B654,6,2)),VALUE(RIGHT(B654,2))),
        DATE(VALUE(RIGHT(B654,4)),VALUE(MID(B654,4,2)),VALUE(LEFT(B654,2)))
      ),
      IF(ISNUMBER(SEARCH("/",B654)*1),
        DATE(VALUE(RIGHT(B654,4)),VALUE(LEFT(B654,2)),VALUE(MID(B654,4,2))),
        DATEVALUE(B654)
      )
    )
  ),
"INVALID_DATE")</f>
        <v>45733</v>
      </c>
      <c r="AA654" s="2">
        <f>IFERROR(
  IF(ISNUMBER(C654),C654,
    IF(ISNUMBER(SEARCH("-",C654)*1),
      IF(LEN(LEFT(C654,FIND("-",C654)-1))=4,
        DATE(VALUE(LEFT(C654,4)),VALUE(MID(C654,6,2)),VALUE(RIGHT(C654,2))),
        DATE(VALUE(RIGHT(C654,4)),VALUE(MID(C654,4,2)),VALUE(LEFT(C654,2)))
      ),
      IF(ISNUMBER(SEARCH("/",C654)*1),
        DATE(VALUE(RIGHT(C654,4)),VALUE(LEFT(C654,2)),VALUE(MID(C654,4,2))),
        DATEVALUE(C654)
      )
    )
  ),
"INVALID_DATE")</f>
        <v>45737</v>
      </c>
      <c r="AB654">
        <f t="shared" si="63"/>
        <v>4</v>
      </c>
      <c r="AC654" t="str">
        <f t="shared" si="64"/>
        <v>March</v>
      </c>
      <c r="AD654">
        <f t="shared" si="65"/>
        <v>2025</v>
      </c>
    </row>
    <row r="655" spans="1:30">
      <c r="A655" t="s">
        <v>3094</v>
      </c>
      <c r="B655" t="s">
        <v>3095</v>
      </c>
      <c r="C655" t="s">
        <v>3096</v>
      </c>
      <c r="D655" t="s">
        <v>3097</v>
      </c>
      <c r="E655" t="s">
        <v>149</v>
      </c>
      <c r="F655" t="s">
        <v>48</v>
      </c>
      <c r="G655" t="s">
        <v>69</v>
      </c>
      <c r="H655" t="s">
        <v>347</v>
      </c>
      <c r="I655" t="s">
        <v>348</v>
      </c>
      <c r="J655" t="s">
        <v>93</v>
      </c>
      <c r="K655" t="s">
        <v>101</v>
      </c>
      <c r="L655" t="s">
        <v>3098</v>
      </c>
      <c r="M655" t="s">
        <v>40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41</v>
      </c>
      <c r="U655" t="s">
        <v>42</v>
      </c>
      <c r="V655">
        <f t="shared" si="60"/>
        <v>26524.683500000003</v>
      </c>
      <c r="W655">
        <f t="shared" si="61"/>
        <v>5950.380000000001</v>
      </c>
      <c r="X655">
        <f t="shared" si="62"/>
        <v>0.22433371486479761</v>
      </c>
      <c r="Y655" t="str">
        <f>_xlfn.TEXTJOIN(", ",TRUE,IF(G655="Unknown","Missing Region",""),IF(M655="Unknown","Missing Ship Mode",""),IF(P655&lt;0,"Negative Discount",""),IF(P655&gt;0.7,"High Discount",""),IF(C655&lt;B655,"Ship Before Order",""))</f>
        <v>Ship Before Order</v>
      </c>
      <c r="Z655" s="2">
        <f>IFERROR(
  IF(ISNUMBER(B655),B655,
    IF(ISNUMBER(SEARCH("-",B655)*1),
      IF(LEN(LEFT(B655,FIND("-",B655)-1))=4,
        DATE(VALUE(LEFT(B655,4)),VALUE(MID(B655,6,2)),VALUE(RIGHT(B655,2))),
        DATE(VALUE(RIGHT(B655,4)),VALUE(MID(B655,4,2)),VALUE(LEFT(B655,2)))
      ),
      IF(ISNUMBER(SEARCH("/",B655)*1),
        DATE(VALUE(RIGHT(B655,4)),VALUE(LEFT(B655,2)),VALUE(MID(B655,4,2))),
        DATEVALUE(B655)
      )
    )
  ),
"INVALID_DATE")</f>
        <v>45751</v>
      </c>
      <c r="AA655" s="2">
        <f>IFERROR(
  IF(ISNUMBER(C655),C655,
    IF(ISNUMBER(SEARCH("-",C655)*1),
      IF(LEN(LEFT(C655,FIND("-",C655)-1))=4,
        DATE(VALUE(LEFT(C655,4)),VALUE(MID(C655,6,2)),VALUE(RIGHT(C655,2))),
        DATE(VALUE(RIGHT(C655,4)),VALUE(MID(C655,4,2)),VALUE(LEFT(C655,2)))
      ),
      IF(ISNUMBER(SEARCH("/",C655)*1),
        DATE(VALUE(RIGHT(C655,4)),VALUE(LEFT(C655,2)),VALUE(MID(C655,4,2))),
        DATEVALUE(C655)
      )
    )
  ),
"INVALID_DATE")</f>
        <v>45754</v>
      </c>
      <c r="AB655">
        <f t="shared" si="63"/>
        <v>3</v>
      </c>
      <c r="AC655" t="str">
        <f t="shared" si="64"/>
        <v>April</v>
      </c>
      <c r="AD655">
        <f t="shared" si="65"/>
        <v>2025</v>
      </c>
    </row>
    <row r="656" spans="1:30">
      <c r="A656" t="s">
        <v>3099</v>
      </c>
      <c r="B656" t="s">
        <v>3100</v>
      </c>
      <c r="C656" t="s">
        <v>147</v>
      </c>
      <c r="D656" t="s">
        <v>1424</v>
      </c>
      <c r="E656" t="s">
        <v>217</v>
      </c>
      <c r="F656" t="s">
        <v>115</v>
      </c>
      <c r="G656" t="s">
        <v>49</v>
      </c>
      <c r="H656" t="s">
        <v>193</v>
      </c>
      <c r="I656" t="s">
        <v>194</v>
      </c>
      <c r="J656" t="s">
        <v>93</v>
      </c>
      <c r="K656" t="s">
        <v>390</v>
      </c>
      <c r="L656" t="s">
        <v>3101</v>
      </c>
      <c r="M656" t="s">
        <v>55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41</v>
      </c>
      <c r="U656" t="s">
        <v>42</v>
      </c>
      <c r="V656">
        <f t="shared" si="60"/>
        <v>2056.0480000000002</v>
      </c>
      <c r="W656">
        <f t="shared" si="61"/>
        <v>393.66000000000008</v>
      </c>
      <c r="X656">
        <f t="shared" si="62"/>
        <v>0.19146421536441233</v>
      </c>
      <c r="Y656" t="str">
        <f>_xlfn.TEXTJOIN(", ",TRUE,IF(G656="Unknown","Missing Region",""),IF(M656="Unknown","Missing Ship Mode",""),IF(P656&lt;0,"Negative Discount",""),IF(P656&gt;0.7,"High Discount",""),IF(C656&lt;B656,"Ship Before Order",""))</f>
        <v/>
      </c>
      <c r="Z656" s="2">
        <f>IFERROR(
  IF(ISNUMBER(B656),B656,
    IF(ISNUMBER(SEARCH("-",B656)*1),
      IF(LEN(LEFT(B656,FIND("-",B656)-1))=4,
        DATE(VALUE(LEFT(B656,4)),VALUE(MID(B656,6,2)),VALUE(RIGHT(B656,2))),
        DATE(VALUE(RIGHT(B656,4)),VALUE(MID(B656,4,2)),VALUE(LEFT(B656,2)))
      ),
      IF(ISNUMBER(SEARCH("/",B656)*1),
        DATE(VALUE(RIGHT(B656,4)),VALUE(LEFT(B656,2)),VALUE(MID(B656,4,2))),
        DATEVALUE(B656)
      )
    )
  ),
"INVALID_DATE")</f>
        <v>45942</v>
      </c>
      <c r="AA656" s="2">
        <f>IFERROR(
  IF(ISNUMBER(C656),C656,
    IF(ISNUMBER(SEARCH("-",C656)*1),
      IF(LEN(LEFT(C656,FIND("-",C656)-1))=4,
        DATE(VALUE(LEFT(C656,4)),VALUE(MID(C656,6,2)),VALUE(RIGHT(C656,2))),
        DATE(VALUE(RIGHT(C656,4)),VALUE(MID(C656,4,2)),VALUE(LEFT(C656,2)))
      ),
      IF(ISNUMBER(SEARCH("/",C656)*1),
        DATE(VALUE(RIGHT(C656,4)),VALUE(LEFT(C656,2)),VALUE(MID(C656,4,2))),
        DATEVALUE(C656)
      )
    )
  ),
"INVALID_DATE")</f>
        <v>45946</v>
      </c>
      <c r="AB656">
        <f t="shared" si="63"/>
        <v>4</v>
      </c>
      <c r="AC656" t="str">
        <f t="shared" si="64"/>
        <v>October</v>
      </c>
      <c r="AD656">
        <f t="shared" si="65"/>
        <v>2025</v>
      </c>
    </row>
    <row r="657" spans="1:30">
      <c r="A657" t="s">
        <v>3102</v>
      </c>
      <c r="B657" t="s">
        <v>707</v>
      </c>
      <c r="C657" t="s">
        <v>707</v>
      </c>
      <c r="D657" t="s">
        <v>3103</v>
      </c>
      <c r="E657" t="s">
        <v>100</v>
      </c>
      <c r="F657" t="s">
        <v>122</v>
      </c>
      <c r="G657" t="s">
        <v>49</v>
      </c>
      <c r="H657" t="s">
        <v>128</v>
      </c>
      <c r="I657" t="s">
        <v>129</v>
      </c>
      <c r="J657" t="s">
        <v>52</v>
      </c>
      <c r="K657" t="s">
        <v>72</v>
      </c>
      <c r="L657" t="s">
        <v>3104</v>
      </c>
      <c r="M657" t="s">
        <v>74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41</v>
      </c>
      <c r="U657" t="s">
        <v>42</v>
      </c>
      <c r="V657">
        <f t="shared" si="60"/>
        <v>8607.2800000000007</v>
      </c>
      <c r="W657">
        <f t="shared" si="61"/>
        <v>3483.2700000000004</v>
      </c>
      <c r="X657">
        <f t="shared" si="62"/>
        <v>0.40468882155570629</v>
      </c>
      <c r="Y657" t="str">
        <f>_xlfn.TEXTJOIN(", ",TRUE,IF(G657="Unknown","Missing Region",""),IF(M657="Unknown","Missing Ship Mode",""),IF(P657&lt;0,"Negative Discount",""),IF(P657&gt;0.7,"High Discount",""),IF(C657&lt;B657,"Ship Before Order",""))</f>
        <v/>
      </c>
      <c r="Z657" s="2">
        <f>IFERROR(
  IF(ISNUMBER(B657),B657,
    IF(ISNUMBER(SEARCH("-",B657)*1),
      IF(LEN(LEFT(B657,FIND("-",B657)-1))=4,
        DATE(VALUE(LEFT(B657,4)),VALUE(MID(B657,6,2)),VALUE(RIGHT(B657,2))),
        DATE(VALUE(RIGHT(B657,4)),VALUE(MID(B657,4,2)),VALUE(LEFT(B657,2)))
      ),
      IF(ISNUMBER(SEARCH("/",B657)*1),
        DATE(VALUE(RIGHT(B657,4)),VALUE(LEFT(B657,2)),VALUE(MID(B657,4,2))),
        DATEVALUE(B657)
      )
    )
  ),
"INVALID_DATE")</f>
        <v>45895</v>
      </c>
      <c r="AA657" s="2">
        <f>IFERROR(
  IF(ISNUMBER(C657),C657,
    IF(ISNUMBER(SEARCH("-",C657)*1),
      IF(LEN(LEFT(C657,FIND("-",C657)-1))=4,
        DATE(VALUE(LEFT(C657,4)),VALUE(MID(C657,6,2)),VALUE(RIGHT(C657,2))),
        DATE(VALUE(RIGHT(C657,4)),VALUE(MID(C657,4,2)),VALUE(LEFT(C657,2)))
      ),
      IF(ISNUMBER(SEARCH("/",C657)*1),
        DATE(VALUE(RIGHT(C657,4)),VALUE(LEFT(C657,2)),VALUE(MID(C657,4,2))),
        DATEVALUE(C657)
      )
    )
  ),
"INVALID_DATE")</f>
        <v>45895</v>
      </c>
      <c r="AB657">
        <f t="shared" si="63"/>
        <v>0</v>
      </c>
      <c r="AC657" t="str">
        <f t="shared" si="64"/>
        <v>August</v>
      </c>
      <c r="AD657">
        <f t="shared" si="65"/>
        <v>2025</v>
      </c>
    </row>
    <row r="658" spans="1:30">
      <c r="A658" t="s">
        <v>3105</v>
      </c>
      <c r="B658" t="s">
        <v>3106</v>
      </c>
      <c r="C658" t="s">
        <v>2337</v>
      </c>
      <c r="D658" t="s">
        <v>3107</v>
      </c>
      <c r="E658" t="s">
        <v>100</v>
      </c>
      <c r="F658" t="s">
        <v>48</v>
      </c>
      <c r="G658" t="s">
        <v>34</v>
      </c>
      <c r="H658" t="s">
        <v>331</v>
      </c>
      <c r="I658" t="s">
        <v>332</v>
      </c>
      <c r="J658" t="s">
        <v>93</v>
      </c>
      <c r="K658" t="s">
        <v>390</v>
      </c>
      <c r="L658" t="s">
        <v>3108</v>
      </c>
      <c r="M658" t="s">
        <v>55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41</v>
      </c>
      <c r="U658" t="s">
        <v>42</v>
      </c>
      <c r="V658">
        <f t="shared" si="60"/>
        <v>11554.62</v>
      </c>
      <c r="W658">
        <f t="shared" si="61"/>
        <v>2207.6799999999994</v>
      </c>
      <c r="X658">
        <f t="shared" si="62"/>
        <v>0.22290881627147122</v>
      </c>
      <c r="Y658" t="str">
        <f>_xlfn.TEXTJOIN(", ",TRUE,IF(G658="Unknown","Missing Region",""),IF(M658="Unknown","Missing Ship Mode",""),IF(P658&lt;0,"Negative Discount",""),IF(P658&gt;0.7,"High Discount",""),IF(C658&lt;B658,"Ship Before Order",""))</f>
        <v>Negative Discount, Ship Before Order</v>
      </c>
      <c r="Z658" s="2">
        <f>IFERROR(
  IF(ISNUMBER(B658),B658,
    IF(ISNUMBER(SEARCH("-",B658)*1),
      IF(LEN(LEFT(B658,FIND("-",B658)-1))=4,
        DATE(VALUE(LEFT(B658,4)),VALUE(MID(B658,6,2)),VALUE(RIGHT(B658,2))),
        DATE(VALUE(RIGHT(B658,4)),VALUE(MID(B658,4,2)),VALUE(LEFT(B658,2)))
      ),
      IF(ISNUMBER(SEARCH("/",B658)*1),
        DATE(VALUE(RIGHT(B658,4)),VALUE(LEFT(B658,2)),VALUE(MID(B658,4,2))),
        DATEVALUE(B658)
      )
    )
  ),
"INVALID_DATE")</f>
        <v>45419</v>
      </c>
      <c r="AA658" s="2">
        <f>IFERROR(
  IF(ISNUMBER(C658),C658,
    IF(ISNUMBER(SEARCH("-",C658)*1),
      IF(LEN(LEFT(C658,FIND("-",C658)-1))=4,
        DATE(VALUE(LEFT(C658,4)),VALUE(MID(C658,6,2)),VALUE(RIGHT(C658,2))),
        DATE(VALUE(RIGHT(C658,4)),VALUE(MID(C658,4,2)),VALUE(LEFT(C658,2)))
      ),
      IF(ISNUMBER(SEARCH("/",C658)*1),
        DATE(VALUE(RIGHT(C658,4)),VALUE(LEFT(C658,2)),VALUE(MID(C658,4,2))),
        DATEVALUE(C658)
      )
    )
  ),
"INVALID_DATE")</f>
        <v>45426</v>
      </c>
      <c r="AB658">
        <f t="shared" si="63"/>
        <v>7</v>
      </c>
      <c r="AC658" t="str">
        <f t="shared" si="64"/>
        <v>May</v>
      </c>
      <c r="AD658">
        <f t="shared" si="65"/>
        <v>2024</v>
      </c>
    </row>
    <row r="659" spans="1:30">
      <c r="A659" t="s">
        <v>3109</v>
      </c>
      <c r="B659" t="s">
        <v>3110</v>
      </c>
      <c r="C659" t="s">
        <v>3111</v>
      </c>
      <c r="D659" t="s">
        <v>3112</v>
      </c>
      <c r="E659" t="s">
        <v>114</v>
      </c>
      <c r="F659" t="s">
        <v>122</v>
      </c>
      <c r="G659" t="s">
        <v>49</v>
      </c>
      <c r="H659" t="s">
        <v>193</v>
      </c>
      <c r="I659" t="s">
        <v>194</v>
      </c>
      <c r="J659" t="s">
        <v>37</v>
      </c>
      <c r="K659" t="s">
        <v>163</v>
      </c>
      <c r="L659" t="s">
        <v>3113</v>
      </c>
      <c r="M659" t="s">
        <v>40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41</v>
      </c>
      <c r="U659" t="s">
        <v>42</v>
      </c>
      <c r="V659">
        <f t="shared" si="60"/>
        <v>2033</v>
      </c>
      <c r="W659">
        <f t="shared" si="61"/>
        <v>741.58999999999992</v>
      </c>
      <c r="X659">
        <f t="shared" si="62"/>
        <v>0.36477619281849483</v>
      </c>
      <c r="Y659" t="str">
        <f>_xlfn.TEXTJOIN(", ",TRUE,IF(G659="Unknown","Missing Region",""),IF(M659="Unknown","Missing Ship Mode",""),IF(P659&lt;0,"Negative Discount",""),IF(P659&gt;0.7,"High Discount",""),IF(C659&lt;B659,"Ship Before Order",""))</f>
        <v/>
      </c>
      <c r="Z659" s="2">
        <f>IFERROR(
  IF(ISNUMBER(B659),B659,
    IF(ISNUMBER(SEARCH("-",B659)*1),
      IF(LEN(LEFT(B659,FIND("-",B659)-1))=4,
        DATE(VALUE(LEFT(B659,4)),VALUE(MID(B659,6,2)),VALUE(RIGHT(B659,2))),
        DATE(VALUE(RIGHT(B659,4)),VALUE(MID(B659,4,2)),VALUE(LEFT(B659,2)))
      ),
      IF(ISNUMBER(SEARCH("/",B659)*1),
        DATE(VALUE(RIGHT(B659,4)),VALUE(LEFT(B659,2)),VALUE(MID(B659,4,2))),
        DATEVALUE(B659)
      )
    )
  ),
"INVALID_DATE")</f>
        <v>45876</v>
      </c>
      <c r="AA659" s="2">
        <f>IFERROR(
  IF(ISNUMBER(C659),C659,
    IF(ISNUMBER(SEARCH("-",C659)*1),
      IF(LEN(LEFT(C659,FIND("-",C659)-1))=4,
        DATE(VALUE(LEFT(C659,4)),VALUE(MID(C659,6,2)),VALUE(RIGHT(C659,2))),
        DATE(VALUE(RIGHT(C659,4)),VALUE(MID(C659,4,2)),VALUE(LEFT(C659,2)))
      ),
      IF(ISNUMBER(SEARCH("/",C659)*1),
        DATE(VALUE(RIGHT(C659,4)),VALUE(LEFT(C659,2)),VALUE(MID(C659,4,2))),
        DATEVALUE(C659)
      )
    )
  ),
"INVALID_DATE")</f>
        <v>45879</v>
      </c>
      <c r="AB659">
        <f t="shared" si="63"/>
        <v>3</v>
      </c>
      <c r="AC659" t="str">
        <f t="shared" si="64"/>
        <v>August</v>
      </c>
      <c r="AD659">
        <f t="shared" si="65"/>
        <v>2025</v>
      </c>
    </row>
    <row r="660" spans="1:30">
      <c r="A660" t="s">
        <v>3114</v>
      </c>
      <c r="B660" t="s">
        <v>3115</v>
      </c>
      <c r="C660" t="s">
        <v>2221</v>
      </c>
      <c r="D660" t="s">
        <v>3116</v>
      </c>
      <c r="E660" t="s">
        <v>175</v>
      </c>
      <c r="F660" t="s">
        <v>33</v>
      </c>
      <c r="G660" t="s">
        <v>279</v>
      </c>
      <c r="H660" t="s">
        <v>193</v>
      </c>
      <c r="I660" t="s">
        <v>194</v>
      </c>
      <c r="J660" t="s">
        <v>37</v>
      </c>
      <c r="K660" t="s">
        <v>61</v>
      </c>
      <c r="L660" t="s">
        <v>3117</v>
      </c>
      <c r="M660" t="s">
        <v>63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131</v>
      </c>
      <c r="U660" t="s">
        <v>85</v>
      </c>
      <c r="V660">
        <f t="shared" si="60"/>
        <v>19966.940000000002</v>
      </c>
      <c r="W660">
        <f t="shared" si="61"/>
        <v>7276.1099999999988</v>
      </c>
      <c r="X660">
        <f t="shared" si="62"/>
        <v>0.36440786620283327</v>
      </c>
      <c r="Y660" t="str">
        <f>_xlfn.TEXTJOIN(", ",TRUE,IF(G660="Unknown","Missing Region",""),IF(M660="Unknown","Missing Ship Mode",""),IF(P660&lt;0,"Negative Discount",""),IF(P660&gt;0.7,"High Discount",""),IF(C660&lt;B660,"Ship Before Order",""))</f>
        <v>Missing Region, Ship Before Order</v>
      </c>
      <c r="Z660" s="2">
        <f>IFERROR(
  IF(ISNUMBER(B660),B660,
    IF(ISNUMBER(SEARCH("-",B660)*1),
      IF(LEN(LEFT(B660,FIND("-",B660)-1))=4,
        DATE(VALUE(LEFT(B660,4)),VALUE(MID(B660,6,2)),VALUE(RIGHT(B660,2))),
        DATE(VALUE(RIGHT(B660,4)),VALUE(MID(B660,4,2)),VALUE(LEFT(B660,2)))
      ),
      IF(ISNUMBER(SEARCH("/",B660)*1),
        DATE(VALUE(RIGHT(B660,4)),VALUE(LEFT(B660,2)),VALUE(MID(B660,4,2))),
        DATEVALUE(B660)
      )
    )
  ),
"INVALID_DATE")</f>
        <v>45817</v>
      </c>
      <c r="AA660" s="2">
        <f>IFERROR(
  IF(ISNUMBER(C660),C660,
    IF(ISNUMBER(SEARCH("-",C660)*1),
      IF(LEN(LEFT(C660,FIND("-",C660)-1))=4,
        DATE(VALUE(LEFT(C660,4)),VALUE(MID(C660,6,2)),VALUE(RIGHT(C660,2))),
        DATE(VALUE(RIGHT(C660,4)),VALUE(MID(C660,4,2)),VALUE(LEFT(C660,2)))
      ),
      IF(ISNUMBER(SEARCH("/",C660)*1),
        DATE(VALUE(RIGHT(C660,4)),VALUE(LEFT(C660,2)),VALUE(MID(C660,4,2))),
        DATEVALUE(C660)
      )
    )
  ),
"INVALID_DATE")</f>
        <v>45820</v>
      </c>
      <c r="AB660">
        <f t="shared" si="63"/>
        <v>3</v>
      </c>
      <c r="AC660" t="str">
        <f t="shared" si="64"/>
        <v>June</v>
      </c>
      <c r="AD660">
        <f t="shared" si="65"/>
        <v>2025</v>
      </c>
    </row>
    <row r="661" spans="1:30">
      <c r="A661" t="s">
        <v>3118</v>
      </c>
      <c r="B661" t="s">
        <v>190</v>
      </c>
      <c r="C661" t="s">
        <v>1845</v>
      </c>
      <c r="D661" t="s">
        <v>3119</v>
      </c>
      <c r="E661" t="s">
        <v>217</v>
      </c>
      <c r="F661" t="s">
        <v>115</v>
      </c>
      <c r="G661" t="s">
        <v>69</v>
      </c>
      <c r="H661" t="s">
        <v>236</v>
      </c>
      <c r="I661" t="s">
        <v>237</v>
      </c>
      <c r="J661" t="s">
        <v>93</v>
      </c>
      <c r="K661" t="s">
        <v>230</v>
      </c>
      <c r="L661" t="s">
        <v>3120</v>
      </c>
      <c r="M661" t="s">
        <v>40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131</v>
      </c>
      <c r="U661" t="s">
        <v>85</v>
      </c>
      <c r="V661">
        <f t="shared" si="60"/>
        <v>710.89600000000007</v>
      </c>
      <c r="W661">
        <f t="shared" si="61"/>
        <v>197.01999999999998</v>
      </c>
      <c r="X661">
        <f t="shared" si="62"/>
        <v>0.27714165142776764</v>
      </c>
      <c r="Y661" t="str">
        <f>_xlfn.TEXTJOIN(", ",TRUE,IF(G661="Unknown","Missing Region",""),IF(M661="Unknown","Missing Ship Mode",""),IF(P661&lt;0,"Negative Discount",""),IF(P661&gt;0.7,"High Discount",""),IF(C661&lt;B661,"Ship Before Order",""))</f>
        <v>Ship Before Order</v>
      </c>
      <c r="Z661" s="2">
        <f>IFERROR(
  IF(ISNUMBER(B661),B661,
    IF(ISNUMBER(SEARCH("-",B661)*1),
      IF(LEN(LEFT(B661,FIND("-",B661)-1))=4,
        DATE(VALUE(LEFT(B661,4)),VALUE(MID(B661,6,2)),VALUE(RIGHT(B661,2))),
        DATE(VALUE(RIGHT(B661,4)),VALUE(MID(B661,4,2)),VALUE(LEFT(B661,2)))
      ),
      IF(ISNUMBER(SEARCH("/",B661)*1),
        DATE(VALUE(RIGHT(B661,4)),VALUE(LEFT(B661,2)),VALUE(MID(B661,4,2))),
        DATEVALUE(B661)
      )
    )
  ),
"INVALID_DATE")</f>
        <v>45678</v>
      </c>
      <c r="AA661" s="2">
        <f>IFERROR(
  IF(ISNUMBER(C661),C661,
    IF(ISNUMBER(SEARCH("-",C661)*1),
      IF(LEN(LEFT(C661,FIND("-",C661)-1))=4,
        DATE(VALUE(LEFT(C661,4)),VALUE(MID(C661,6,2)),VALUE(RIGHT(C661,2))),
        DATE(VALUE(RIGHT(C661,4)),VALUE(MID(C661,4,2)),VALUE(LEFT(C661,2)))
      ),
      IF(ISNUMBER(SEARCH("/",C661)*1),
        DATE(VALUE(RIGHT(C661,4)),VALUE(LEFT(C661,2)),VALUE(MID(C661,4,2))),
        DATEVALUE(C661)
      )
    )
  ),
"INVALID_DATE")</f>
        <v>45679</v>
      </c>
      <c r="AB661">
        <f t="shared" si="63"/>
        <v>1</v>
      </c>
      <c r="AC661" t="str">
        <f t="shared" si="64"/>
        <v>January</v>
      </c>
      <c r="AD661">
        <f t="shared" si="65"/>
        <v>2025</v>
      </c>
    </row>
    <row r="662" spans="1:30">
      <c r="A662" t="s">
        <v>3121</v>
      </c>
      <c r="B662" t="s">
        <v>178</v>
      </c>
      <c r="C662" t="s">
        <v>3122</v>
      </c>
      <c r="D662" t="s">
        <v>3123</v>
      </c>
      <c r="E662" t="s">
        <v>68</v>
      </c>
      <c r="F662" t="s">
        <v>48</v>
      </c>
      <c r="G662" t="s">
        <v>49</v>
      </c>
      <c r="H662" t="s">
        <v>319</v>
      </c>
      <c r="I662" t="s">
        <v>320</v>
      </c>
      <c r="J662" t="s">
        <v>93</v>
      </c>
      <c r="K662" t="s">
        <v>230</v>
      </c>
      <c r="L662" t="s">
        <v>3124</v>
      </c>
      <c r="M662" t="s">
        <v>55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41</v>
      </c>
      <c r="U662" t="s">
        <v>42</v>
      </c>
      <c r="V662">
        <f t="shared" si="60"/>
        <v>15994.476000000001</v>
      </c>
      <c r="W662">
        <f t="shared" si="61"/>
        <v>6770.1999999999989</v>
      </c>
      <c r="X662">
        <f t="shared" si="62"/>
        <v>0.42328353281882247</v>
      </c>
      <c r="Y662" t="str">
        <f>_xlfn.TEXTJOIN(", ",TRUE,IF(G662="Unknown","Missing Region",""),IF(M662="Unknown","Missing Ship Mode",""),IF(P662&lt;0,"Negative Discount",""),IF(P662&gt;0.7,"High Discount",""),IF(C662&lt;B662,"Ship Before Order",""))</f>
        <v/>
      </c>
      <c r="Z662" s="2">
        <f>IFERROR(
  IF(ISNUMBER(B662),B662,
    IF(ISNUMBER(SEARCH("-",B662)*1),
      IF(LEN(LEFT(B662,FIND("-",B662)-1))=4,
        DATE(VALUE(LEFT(B662,4)),VALUE(MID(B662,6,2)),VALUE(RIGHT(B662,2))),
        DATE(VALUE(RIGHT(B662,4)),VALUE(MID(B662,4,2)),VALUE(LEFT(B662,2)))
      ),
      IF(ISNUMBER(SEARCH("/",B662)*1),
        DATE(VALUE(RIGHT(B662,4)),VALUE(LEFT(B662,2)),VALUE(MID(B662,4,2))),
        DATEVALUE(B662)
      )
    )
  ),
"INVALID_DATE")</f>
        <v>45853</v>
      </c>
      <c r="AA662" s="2">
        <f>IFERROR(
  IF(ISNUMBER(C662),C662,
    IF(ISNUMBER(SEARCH("-",C662)*1),
      IF(LEN(LEFT(C662,FIND("-",C662)-1))=4,
        DATE(VALUE(LEFT(C662,4)),VALUE(MID(C662,6,2)),VALUE(RIGHT(C662,2))),
        DATE(VALUE(RIGHT(C662,4)),VALUE(MID(C662,4,2)),VALUE(LEFT(C662,2)))
      ),
      IF(ISNUMBER(SEARCH("/",C662)*1),
        DATE(VALUE(RIGHT(C662,4)),VALUE(LEFT(C662,2)),VALUE(MID(C662,4,2))),
        DATEVALUE(C662)
      )
    )
  ),
"INVALID_DATE")</f>
        <v>45853</v>
      </c>
      <c r="AB662">
        <f t="shared" si="63"/>
        <v>0</v>
      </c>
      <c r="AC662" t="str">
        <f t="shared" si="64"/>
        <v>July</v>
      </c>
      <c r="AD662">
        <f t="shared" si="65"/>
        <v>2025</v>
      </c>
    </row>
    <row r="663" spans="1:30">
      <c r="A663" t="s">
        <v>3125</v>
      </c>
      <c r="B663" t="s">
        <v>3126</v>
      </c>
      <c r="C663" t="s">
        <v>3127</v>
      </c>
      <c r="D663" t="s">
        <v>3128</v>
      </c>
      <c r="E663" t="s">
        <v>175</v>
      </c>
      <c r="F663" t="s">
        <v>33</v>
      </c>
      <c r="G663" t="s">
        <v>69</v>
      </c>
      <c r="H663" t="s">
        <v>107</v>
      </c>
      <c r="I663" t="s">
        <v>108</v>
      </c>
      <c r="J663" t="s">
        <v>93</v>
      </c>
      <c r="K663" t="s">
        <v>390</v>
      </c>
      <c r="L663" t="s">
        <v>3129</v>
      </c>
      <c r="M663" t="s">
        <v>40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41</v>
      </c>
      <c r="U663" t="s">
        <v>42</v>
      </c>
      <c r="V663">
        <f t="shared" si="60"/>
        <v>1627.5</v>
      </c>
      <c r="W663">
        <f t="shared" si="61"/>
        <v>687.6</v>
      </c>
      <c r="X663">
        <f t="shared" si="62"/>
        <v>0.4224884792626728</v>
      </c>
      <c r="Y663" t="str">
        <f>_xlfn.TEXTJOIN(", ",TRUE,IF(G663="Unknown","Missing Region",""),IF(M663="Unknown","Missing Ship Mode",""),IF(P663&lt;0,"Negative Discount",""),IF(P663&gt;0.7,"High Discount",""),IF(C663&lt;B663,"Ship Before Order",""))</f>
        <v/>
      </c>
      <c r="Z663" s="2">
        <f>IFERROR(
  IF(ISNUMBER(B663),B663,
    IF(ISNUMBER(SEARCH("-",B663)*1),
      IF(LEN(LEFT(B663,FIND("-",B663)-1))=4,
        DATE(VALUE(LEFT(B663,4)),VALUE(MID(B663,6,2)),VALUE(RIGHT(B663,2))),
        DATE(VALUE(RIGHT(B663,4)),VALUE(MID(B663,4,2)),VALUE(LEFT(B663,2)))
      ),
      IF(ISNUMBER(SEARCH("/",B663)*1),
        DATE(VALUE(RIGHT(B663,4)),VALUE(LEFT(B663,2)),VALUE(MID(B663,4,2))),
        DATEVALUE(B663)
      )
    )
  ),
"INVALID_DATE")</f>
        <v>45429</v>
      </c>
      <c r="AA663" s="2">
        <f>IFERROR(
  IF(ISNUMBER(C663),C663,
    IF(ISNUMBER(SEARCH("-",C663)*1),
      IF(LEN(LEFT(C663,FIND("-",C663)-1))=4,
        DATE(VALUE(LEFT(C663,4)),VALUE(MID(C663,6,2)),VALUE(RIGHT(C663,2))),
        DATE(VALUE(RIGHT(C663,4)),VALUE(MID(C663,4,2)),VALUE(LEFT(C663,2)))
      ),
      IF(ISNUMBER(SEARCH("/",C663)*1),
        DATE(VALUE(RIGHT(C663,4)),VALUE(LEFT(C663,2)),VALUE(MID(C663,4,2))),
        DATEVALUE(C663)
      )
    )
  ),
"INVALID_DATE")</f>
        <v>45434</v>
      </c>
      <c r="AB663">
        <f t="shared" si="63"/>
        <v>5</v>
      </c>
      <c r="AC663" t="str">
        <f t="shared" si="64"/>
        <v>May</v>
      </c>
      <c r="AD663">
        <f t="shared" si="65"/>
        <v>2024</v>
      </c>
    </row>
    <row r="664" spans="1:30">
      <c r="A664" t="s">
        <v>3130</v>
      </c>
      <c r="B664" t="s">
        <v>3131</v>
      </c>
      <c r="C664" t="s">
        <v>3132</v>
      </c>
      <c r="D664" t="s">
        <v>3133</v>
      </c>
      <c r="E664" t="s">
        <v>47</v>
      </c>
      <c r="F664" t="s">
        <v>122</v>
      </c>
      <c r="G664" t="s">
        <v>80</v>
      </c>
      <c r="H664" t="s">
        <v>35</v>
      </c>
      <c r="I664" t="s">
        <v>142</v>
      </c>
      <c r="J664" t="s">
        <v>93</v>
      </c>
      <c r="K664" t="s">
        <v>390</v>
      </c>
      <c r="L664" t="s">
        <v>3134</v>
      </c>
      <c r="M664" t="s">
        <v>55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41</v>
      </c>
      <c r="U664" t="s">
        <v>42</v>
      </c>
      <c r="V664">
        <f t="shared" si="60"/>
        <v>9637.92</v>
      </c>
      <c r="W664">
        <f t="shared" si="61"/>
        <v>2308.63</v>
      </c>
      <c r="X664">
        <f t="shared" si="62"/>
        <v>0.2395361239769577</v>
      </c>
      <c r="Y664" t="str">
        <f>_xlfn.TEXTJOIN(", ",TRUE,IF(G664="Unknown","Missing Region",""),IF(M664="Unknown","Missing Ship Mode",""),IF(P664&lt;0,"Negative Discount",""),IF(P664&gt;0.7,"High Discount",""),IF(C664&lt;B664,"Ship Before Order",""))</f>
        <v>Ship Before Order</v>
      </c>
      <c r="Z664" s="2">
        <f>IFERROR(
  IF(ISNUMBER(B664),B664,
    IF(ISNUMBER(SEARCH("-",B664)*1),
      IF(LEN(LEFT(B664,FIND("-",B664)-1))=4,
        DATE(VALUE(LEFT(B664,4)),VALUE(MID(B664,6,2)),VALUE(RIGHT(B664,2))),
        DATE(VALUE(RIGHT(B664,4)),VALUE(MID(B664,4,2)),VALUE(LEFT(B664,2)))
      ),
      IF(ISNUMBER(SEARCH("/",B664)*1),
        DATE(VALUE(RIGHT(B664,4)),VALUE(LEFT(B664,2)),VALUE(MID(B664,4,2))),
        DATEVALUE(B664)
      )
    )
  ),
"INVALID_DATE")</f>
        <v>45305</v>
      </c>
      <c r="AA664" s="2">
        <f>IFERROR(
  IF(ISNUMBER(C664),C664,
    IF(ISNUMBER(SEARCH("-",C664)*1),
      IF(LEN(LEFT(C664,FIND("-",C664)-1))=4,
        DATE(VALUE(LEFT(C664,4)),VALUE(MID(C664,6,2)),VALUE(RIGHT(C664,2))),
        DATE(VALUE(RIGHT(C664,4)),VALUE(MID(C664,4,2)),VALUE(LEFT(C664,2)))
      ),
      IF(ISNUMBER(SEARCH("/",C664)*1),
        DATE(VALUE(RIGHT(C664,4)),VALUE(LEFT(C664,2)),VALUE(MID(C664,4,2))),
        DATEVALUE(C664)
      )
    )
  ),
"INVALID_DATE")</f>
        <v>45309</v>
      </c>
      <c r="AB664">
        <f t="shared" si="63"/>
        <v>4</v>
      </c>
      <c r="AC664" t="str">
        <f t="shared" si="64"/>
        <v>January</v>
      </c>
      <c r="AD664">
        <f t="shared" si="65"/>
        <v>2024</v>
      </c>
    </row>
    <row r="665" spans="1:30">
      <c r="A665" t="s">
        <v>3135</v>
      </c>
      <c r="B665" t="s">
        <v>1233</v>
      </c>
      <c r="C665" t="s">
        <v>2690</v>
      </c>
      <c r="D665" t="s">
        <v>3136</v>
      </c>
      <c r="E665" t="s">
        <v>155</v>
      </c>
      <c r="F665" t="s">
        <v>122</v>
      </c>
      <c r="G665" t="s">
        <v>49</v>
      </c>
      <c r="H665" t="s">
        <v>319</v>
      </c>
      <c r="I665" t="s">
        <v>320</v>
      </c>
      <c r="J665" t="s">
        <v>93</v>
      </c>
      <c r="K665" t="s">
        <v>101</v>
      </c>
      <c r="L665" t="s">
        <v>3137</v>
      </c>
      <c r="M665" t="s">
        <v>40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41</v>
      </c>
      <c r="U665" t="s">
        <v>42</v>
      </c>
      <c r="V665">
        <f t="shared" si="60"/>
        <v>7898.8248000000003</v>
      </c>
      <c r="W665">
        <f t="shared" si="61"/>
        <v>1624.5400000000004</v>
      </c>
      <c r="X665">
        <f t="shared" si="62"/>
        <v>0.34003834625496071</v>
      </c>
      <c r="Y665" t="str">
        <f>_xlfn.TEXTJOIN(", ",TRUE,IF(G665="Unknown","Missing Region",""),IF(M665="Unknown","Missing Ship Mode",""),IF(P665&lt;0,"Negative Discount",""),IF(P665&gt;0.7,"High Discount",""),IF(C665&lt;B665,"Ship Before Order",""))</f>
        <v>Negative Discount</v>
      </c>
      <c r="Z665" s="2">
        <f>IFERROR(
  IF(ISNUMBER(B665),B665,
    IF(ISNUMBER(SEARCH("-",B665)*1),
      IF(LEN(LEFT(B665,FIND("-",B665)-1))=4,
        DATE(VALUE(LEFT(B665,4)),VALUE(MID(B665,6,2)),VALUE(RIGHT(B665,2))),
        DATE(VALUE(RIGHT(B665,4)),VALUE(MID(B665,4,2)),VALUE(LEFT(B665,2)))
      ),
      IF(ISNUMBER(SEARCH("/",B665)*1),
        DATE(VALUE(RIGHT(B665,4)),VALUE(LEFT(B665,2)),VALUE(MID(B665,4,2))),
        DATEVALUE(B665)
      )
    )
  ),
"INVALID_DATE")</f>
        <v>45414</v>
      </c>
      <c r="AA665" s="2">
        <f>IFERROR(
  IF(ISNUMBER(C665),C665,
    IF(ISNUMBER(SEARCH("-",C665)*1),
      IF(LEN(LEFT(C665,FIND("-",C665)-1))=4,
        DATE(VALUE(LEFT(C665,4)),VALUE(MID(C665,6,2)),VALUE(RIGHT(C665,2))),
        DATE(VALUE(RIGHT(C665,4)),VALUE(MID(C665,4,2)),VALUE(LEFT(C665,2)))
      ),
      IF(ISNUMBER(SEARCH("/",C665)*1),
        DATE(VALUE(RIGHT(C665,4)),VALUE(LEFT(C665,2)),VALUE(MID(C665,4,2))),
        DATEVALUE(C665)
      )
    )
  ),
"INVALID_DATE")</f>
        <v>45420</v>
      </c>
      <c r="AB665">
        <f t="shared" si="63"/>
        <v>6</v>
      </c>
      <c r="AC665" t="str">
        <f t="shared" si="64"/>
        <v>May</v>
      </c>
      <c r="AD665">
        <f t="shared" si="65"/>
        <v>2024</v>
      </c>
    </row>
    <row r="666" spans="1:30">
      <c r="A666" t="s">
        <v>3138</v>
      </c>
      <c r="B666" t="s">
        <v>3139</v>
      </c>
      <c r="C666" t="s">
        <v>3140</v>
      </c>
      <c r="D666" t="s">
        <v>3141</v>
      </c>
      <c r="E666" t="s">
        <v>47</v>
      </c>
      <c r="F666" t="s">
        <v>122</v>
      </c>
      <c r="G666" t="s">
        <v>69</v>
      </c>
      <c r="H666" t="s">
        <v>70</v>
      </c>
      <c r="I666" t="s">
        <v>71</v>
      </c>
      <c r="J666" t="s">
        <v>93</v>
      </c>
      <c r="K666" t="s">
        <v>94</v>
      </c>
      <c r="L666" t="s">
        <v>3142</v>
      </c>
      <c r="M666" t="s">
        <v>74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41</v>
      </c>
      <c r="U666" t="s">
        <v>42</v>
      </c>
      <c r="V666">
        <f t="shared" si="60"/>
        <v>1527.0640000000001</v>
      </c>
      <c r="W666">
        <f t="shared" si="61"/>
        <v>471.16999999999985</v>
      </c>
      <c r="X666">
        <f t="shared" si="62"/>
        <v>0.30854714287585294</v>
      </c>
      <c r="Y666" t="str">
        <f>_xlfn.TEXTJOIN(", ",TRUE,IF(G666="Unknown","Missing Region",""),IF(M666="Unknown","Missing Ship Mode",""),IF(P666&lt;0,"Negative Discount",""),IF(P666&gt;0.7,"High Discount",""),IF(C666&lt;B666,"Ship Before Order",""))</f>
        <v/>
      </c>
      <c r="Z666" s="2">
        <f>IFERROR(
  IF(ISNUMBER(B666),B666,
    IF(ISNUMBER(SEARCH("-",B666)*1),
      IF(LEN(LEFT(B666,FIND("-",B666)-1))=4,
        DATE(VALUE(LEFT(B666,4)),VALUE(MID(B666,6,2)),VALUE(RIGHT(B666,2))),
        DATE(VALUE(RIGHT(B666,4)),VALUE(MID(B666,4,2)),VALUE(LEFT(B666,2)))
      ),
      IF(ISNUMBER(SEARCH("/",B666)*1),
        DATE(VALUE(RIGHT(B666,4)),VALUE(LEFT(B666,2)),VALUE(MID(B666,4,2))),
        DATEVALUE(B666)
      )
    )
  ),
"INVALID_DATE")</f>
        <v>45633</v>
      </c>
      <c r="AA666" s="2">
        <f>IFERROR(
  IF(ISNUMBER(C666),C666,
    IF(ISNUMBER(SEARCH("-",C666)*1),
      IF(LEN(LEFT(C666,FIND("-",C666)-1))=4,
        DATE(VALUE(LEFT(C666,4)),VALUE(MID(C666,6,2)),VALUE(RIGHT(C666,2))),
        DATE(VALUE(RIGHT(C666,4)),VALUE(MID(C666,4,2)),VALUE(LEFT(C666,2)))
      ),
      IF(ISNUMBER(SEARCH("/",C666)*1),
        DATE(VALUE(RIGHT(C666,4)),VALUE(LEFT(C666,2)),VALUE(MID(C666,4,2))),
        DATEVALUE(C666)
      )
    )
  ),
"INVALID_DATE")</f>
        <v>45636</v>
      </c>
      <c r="AB666">
        <f t="shared" si="63"/>
        <v>3</v>
      </c>
      <c r="AC666" t="str">
        <f t="shared" si="64"/>
        <v>December</v>
      </c>
      <c r="AD666">
        <f t="shared" si="65"/>
        <v>2024</v>
      </c>
    </row>
    <row r="667" spans="1:30">
      <c r="A667" t="s">
        <v>3143</v>
      </c>
      <c r="B667" t="s">
        <v>3144</v>
      </c>
      <c r="C667" t="s">
        <v>3145</v>
      </c>
      <c r="D667" t="s">
        <v>3146</v>
      </c>
      <c r="E667" t="s">
        <v>155</v>
      </c>
      <c r="F667" t="s">
        <v>122</v>
      </c>
      <c r="G667" t="s">
        <v>80</v>
      </c>
      <c r="H667" t="s">
        <v>242</v>
      </c>
      <c r="I667" t="s">
        <v>243</v>
      </c>
      <c r="J667" t="s">
        <v>37</v>
      </c>
      <c r="K667" t="s">
        <v>61</v>
      </c>
      <c r="L667" t="s">
        <v>3147</v>
      </c>
      <c r="M667" t="s">
        <v>74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207</v>
      </c>
      <c r="U667" t="s">
        <v>85</v>
      </c>
      <c r="V667">
        <f t="shared" si="60"/>
        <v>5698.4040000000005</v>
      </c>
      <c r="W667">
        <f t="shared" si="61"/>
        <v>2057.5099999999998</v>
      </c>
      <c r="X667">
        <f t="shared" si="62"/>
        <v>0.36106801909307884</v>
      </c>
      <c r="Y667" t="str">
        <f>_xlfn.TEXTJOIN(", ",TRUE,IF(G667="Unknown","Missing Region",""),IF(M667="Unknown","Missing Ship Mode",""),IF(P667&lt;0,"Negative Discount",""),IF(P667&gt;0.7,"High Discount",""),IF(C667&lt;B667,"Ship Before Order",""))</f>
        <v>Ship Before Order</v>
      </c>
      <c r="Z667" s="2">
        <f>IFERROR(
  IF(ISNUMBER(B667),B667,
    IF(ISNUMBER(SEARCH("-",B667)*1),
      IF(LEN(LEFT(B667,FIND("-",B667)-1))=4,
        DATE(VALUE(LEFT(B667,4)),VALUE(MID(B667,6,2)),VALUE(RIGHT(B667,2))),
        DATE(VALUE(RIGHT(B667,4)),VALUE(MID(B667,4,2)),VALUE(LEFT(B667,2)))
      ),
      IF(ISNUMBER(SEARCH("/",B667)*1),
        DATE(VALUE(RIGHT(B667,4)),VALUE(LEFT(B667,2)),VALUE(MID(B667,4,2))),
        DATEVALUE(B667)
      )
    )
  ),
"INVALID_DATE")</f>
        <v>45670</v>
      </c>
      <c r="AA667" s="2">
        <f>IFERROR(
  IF(ISNUMBER(C667),C667,
    IF(ISNUMBER(SEARCH("-",C667)*1),
      IF(LEN(LEFT(C667,FIND("-",C667)-1))=4,
        DATE(VALUE(LEFT(C667,4)),VALUE(MID(C667,6,2)),VALUE(RIGHT(C667,2))),
        DATE(VALUE(RIGHT(C667,4)),VALUE(MID(C667,4,2)),VALUE(LEFT(C667,2)))
      ),
      IF(ISNUMBER(SEARCH("/",C667)*1),
        DATE(VALUE(RIGHT(C667,4)),VALUE(LEFT(C667,2)),VALUE(MID(C667,4,2))),
        DATEVALUE(C667)
      )
    )
  ),
"INVALID_DATE")</f>
        <v>45670</v>
      </c>
      <c r="AB667">
        <f t="shared" si="63"/>
        <v>0</v>
      </c>
      <c r="AC667" t="str">
        <f t="shared" si="64"/>
        <v>January</v>
      </c>
      <c r="AD667">
        <f t="shared" si="65"/>
        <v>2025</v>
      </c>
    </row>
    <row r="668" spans="1:30">
      <c r="A668" t="s">
        <v>3148</v>
      </c>
      <c r="B668" t="s">
        <v>2160</v>
      </c>
      <c r="C668" t="s">
        <v>2102</v>
      </c>
      <c r="D668" t="s">
        <v>3149</v>
      </c>
      <c r="E668" t="s">
        <v>187</v>
      </c>
      <c r="F668" t="s">
        <v>48</v>
      </c>
      <c r="G668" t="s">
        <v>34</v>
      </c>
      <c r="H668" t="s">
        <v>161</v>
      </c>
      <c r="I668" t="s">
        <v>162</v>
      </c>
      <c r="J668" t="s">
        <v>93</v>
      </c>
      <c r="K668" t="s">
        <v>101</v>
      </c>
      <c r="L668" t="s">
        <v>3150</v>
      </c>
      <c r="M668" t="s">
        <v>55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41</v>
      </c>
      <c r="U668" t="s">
        <v>42</v>
      </c>
      <c r="V668">
        <f t="shared" si="60"/>
        <v>265.83849999999995</v>
      </c>
      <c r="W668">
        <f t="shared" si="61"/>
        <v>42.349999999999966</v>
      </c>
      <c r="X668">
        <f t="shared" si="62"/>
        <v>0.15930634968402049</v>
      </c>
      <c r="Y668" t="str">
        <f>_xlfn.TEXTJOIN(", ",TRUE,IF(G668="Unknown","Missing Region",""),IF(M668="Unknown","Missing Ship Mode",""),IF(P668&lt;0,"Negative Discount",""),IF(P668&gt;0.7,"High Discount",""),IF(C668&lt;B668,"Ship Before Order",""))</f>
        <v>Ship Before Order</v>
      </c>
      <c r="Z668" s="2">
        <f>IFERROR(
  IF(ISNUMBER(B668),B668,
    IF(ISNUMBER(SEARCH("-",B668)*1),
      IF(LEN(LEFT(B668,FIND("-",B668)-1))=4,
        DATE(VALUE(LEFT(B668,4)),VALUE(MID(B668,6,2)),VALUE(RIGHT(B668,2))),
        DATE(VALUE(RIGHT(B668,4)),VALUE(MID(B668,4,2)),VALUE(LEFT(B668,2)))
      ),
      IF(ISNUMBER(SEARCH("/",B668)*1),
        DATE(VALUE(RIGHT(B668,4)),VALUE(LEFT(B668,2)),VALUE(MID(B668,4,2))),
        DATEVALUE(B668)
      )
    )
  ),
"INVALID_DATE")</f>
        <v>45464</v>
      </c>
      <c r="AA668" s="2">
        <f>IFERROR(
  IF(ISNUMBER(C668),C668,
    IF(ISNUMBER(SEARCH("-",C668)*1),
      IF(LEN(LEFT(C668,FIND("-",C668)-1))=4,
        DATE(VALUE(LEFT(C668,4)),VALUE(MID(C668,6,2)),VALUE(RIGHT(C668,2))),
        DATE(VALUE(RIGHT(C668,4)),VALUE(MID(C668,4,2)),VALUE(LEFT(C668,2)))
      ),
      IF(ISNUMBER(SEARCH("/",C668)*1),
        DATE(VALUE(RIGHT(C668,4)),VALUE(LEFT(C668,2)),VALUE(MID(C668,4,2))),
        DATEVALUE(C668)
      )
    )
  ),
"INVALID_DATE")</f>
        <v>45469</v>
      </c>
      <c r="AB668">
        <f t="shared" si="63"/>
        <v>5</v>
      </c>
      <c r="AC668" t="str">
        <f t="shared" si="64"/>
        <v>June</v>
      </c>
      <c r="AD668">
        <f t="shared" si="65"/>
        <v>2024</v>
      </c>
    </row>
    <row r="669" spans="1:30">
      <c r="A669" t="s">
        <v>3151</v>
      </c>
      <c r="B669" t="s">
        <v>3152</v>
      </c>
      <c r="C669" t="s">
        <v>3153</v>
      </c>
      <c r="D669" t="s">
        <v>3154</v>
      </c>
      <c r="E669" t="s">
        <v>217</v>
      </c>
      <c r="F669" t="s">
        <v>48</v>
      </c>
      <c r="G669" t="s">
        <v>49</v>
      </c>
      <c r="H669" t="s">
        <v>193</v>
      </c>
      <c r="I669" t="s">
        <v>194</v>
      </c>
      <c r="J669" t="s">
        <v>93</v>
      </c>
      <c r="K669" t="s">
        <v>390</v>
      </c>
      <c r="L669" t="s">
        <v>3155</v>
      </c>
      <c r="M669" t="s">
        <v>74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144</v>
      </c>
      <c r="U669" t="s">
        <v>132</v>
      </c>
      <c r="V669">
        <f t="shared" si="60"/>
        <v>3959.14</v>
      </c>
      <c r="W669">
        <f t="shared" si="61"/>
        <v>719.60999999999967</v>
      </c>
      <c r="X669">
        <f t="shared" si="62"/>
        <v>0.18175916992074037</v>
      </c>
      <c r="Y669" t="str">
        <f>_xlfn.TEXTJOIN(", ",TRUE,IF(G669="Unknown","Missing Region",""),IF(M669="Unknown","Missing Ship Mode",""),IF(P669&lt;0,"Negative Discount",""),IF(P669&gt;0.7,"High Discount",""),IF(C669&lt;B669,"Ship Before Order",""))</f>
        <v/>
      </c>
      <c r="Z669" s="2">
        <f>IFERROR(
  IF(ISNUMBER(B669),B669,
    IF(ISNUMBER(SEARCH("-",B669)*1),
      IF(LEN(LEFT(B669,FIND("-",B669)-1))=4,
        DATE(VALUE(LEFT(B669,4)),VALUE(MID(B669,6,2)),VALUE(RIGHT(B669,2))),
        DATE(VALUE(RIGHT(B669,4)),VALUE(MID(B669,4,2)),VALUE(LEFT(B669,2)))
      ),
      IF(ISNUMBER(SEARCH("/",B669)*1),
        DATE(VALUE(RIGHT(B669,4)),VALUE(LEFT(B669,2)),VALUE(MID(B669,4,2))),
        DATEVALUE(B669)
      )
    )
  ),
"INVALID_DATE")</f>
        <v>45797</v>
      </c>
      <c r="AA669" s="2">
        <f>IFERROR(
  IF(ISNUMBER(C669),C669,
    IF(ISNUMBER(SEARCH("-",C669)*1),
      IF(LEN(LEFT(C669,FIND("-",C669)-1))=4,
        DATE(VALUE(LEFT(C669,4)),VALUE(MID(C669,6,2)),VALUE(RIGHT(C669,2))),
        DATE(VALUE(RIGHT(C669,4)),VALUE(MID(C669,4,2)),VALUE(LEFT(C669,2)))
      ),
      IF(ISNUMBER(SEARCH("/",C669)*1),
        DATE(VALUE(RIGHT(C669,4)),VALUE(LEFT(C669,2)),VALUE(MID(C669,4,2))),
        DATEVALUE(C669)
      )
    )
  ),
"INVALID_DATE")</f>
        <v>45804</v>
      </c>
      <c r="AB669">
        <f t="shared" si="63"/>
        <v>7</v>
      </c>
      <c r="AC669" t="str">
        <f t="shared" si="64"/>
        <v>May</v>
      </c>
      <c r="AD669">
        <f t="shared" si="65"/>
        <v>2025</v>
      </c>
    </row>
    <row r="670" spans="1:30">
      <c r="A670" t="s">
        <v>3156</v>
      </c>
      <c r="B670" t="s">
        <v>3157</v>
      </c>
      <c r="C670" t="s">
        <v>228</v>
      </c>
      <c r="D670" t="s">
        <v>3158</v>
      </c>
      <c r="E670" t="s">
        <v>47</v>
      </c>
      <c r="F670" t="s">
        <v>115</v>
      </c>
      <c r="G670" t="s">
        <v>80</v>
      </c>
      <c r="H670" t="s">
        <v>242</v>
      </c>
      <c r="I670" t="s">
        <v>243</v>
      </c>
      <c r="J670" t="s">
        <v>37</v>
      </c>
      <c r="K670" t="s">
        <v>38</v>
      </c>
      <c r="L670" t="s">
        <v>3159</v>
      </c>
      <c r="M670" t="s">
        <v>40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41</v>
      </c>
      <c r="U670" t="s">
        <v>42</v>
      </c>
      <c r="V670">
        <f t="shared" si="60"/>
        <v>2401.84</v>
      </c>
      <c r="W670">
        <f t="shared" si="61"/>
        <v>528.73000000000025</v>
      </c>
      <c r="X670">
        <f t="shared" si="62"/>
        <v>0.22013539619624953</v>
      </c>
      <c r="Y670" t="str">
        <f>_xlfn.TEXTJOIN(", ",TRUE,IF(G670="Unknown","Missing Region",""),IF(M670="Unknown","Missing Ship Mode",""),IF(P670&lt;0,"Negative Discount",""),IF(P670&gt;0.7,"High Discount",""),IF(C670&lt;B670,"Ship Before Order",""))</f>
        <v/>
      </c>
      <c r="Z670" s="2">
        <f>IFERROR(
  IF(ISNUMBER(B670),B670,
    IF(ISNUMBER(SEARCH("-",B670)*1),
      IF(LEN(LEFT(B670,FIND("-",B670)-1))=4,
        DATE(VALUE(LEFT(B670,4)),VALUE(MID(B670,6,2)),VALUE(RIGHT(B670,2))),
        DATE(VALUE(RIGHT(B670,4)),VALUE(MID(B670,4,2)),VALUE(LEFT(B670,2)))
      ),
      IF(ISNUMBER(SEARCH("/",B670)*1),
        DATE(VALUE(RIGHT(B670,4)),VALUE(LEFT(B670,2)),VALUE(MID(B670,4,2))),
        DATEVALUE(B670)
      )
    )
  ),
"INVALID_DATE")</f>
        <v>45617</v>
      </c>
      <c r="AA670" s="2">
        <f>IFERROR(
  IF(ISNUMBER(C670),C670,
    IF(ISNUMBER(SEARCH("-",C670)*1),
      IF(LEN(LEFT(C670,FIND("-",C670)-1))=4,
        DATE(VALUE(LEFT(C670,4)),VALUE(MID(C670,6,2)),VALUE(RIGHT(C670,2))),
        DATE(VALUE(RIGHT(C670,4)),VALUE(MID(C670,4,2)),VALUE(LEFT(C670,2)))
      ),
      IF(ISNUMBER(SEARCH("/",C670)*1),
        DATE(VALUE(RIGHT(C670,4)),VALUE(LEFT(C670,2)),VALUE(MID(C670,4,2))),
        DATEVALUE(C670)
      )
    )
  ),
"INVALID_DATE")</f>
        <v>45619</v>
      </c>
      <c r="AB670">
        <f t="shared" si="63"/>
        <v>2</v>
      </c>
      <c r="AC670" t="str">
        <f t="shared" si="64"/>
        <v>November</v>
      </c>
      <c r="AD670">
        <f t="shared" si="65"/>
        <v>2024</v>
      </c>
    </row>
    <row r="671" spans="1:30">
      <c r="A671" t="s">
        <v>3160</v>
      </c>
      <c r="B671" t="s">
        <v>3161</v>
      </c>
      <c r="C671" t="s">
        <v>3162</v>
      </c>
      <c r="D671" t="s">
        <v>3163</v>
      </c>
      <c r="E671" t="s">
        <v>79</v>
      </c>
      <c r="F671" t="s">
        <v>122</v>
      </c>
      <c r="G671" t="s">
        <v>80</v>
      </c>
      <c r="H671" t="s">
        <v>81</v>
      </c>
      <c r="I671" t="s">
        <v>82</v>
      </c>
      <c r="J671" t="s">
        <v>52</v>
      </c>
      <c r="K671" t="s">
        <v>53</v>
      </c>
      <c r="L671" t="s">
        <v>3164</v>
      </c>
      <c r="M671" t="s">
        <v>40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41</v>
      </c>
      <c r="U671" t="s">
        <v>42</v>
      </c>
      <c r="V671">
        <f t="shared" si="60"/>
        <v>5102.16</v>
      </c>
      <c r="W671">
        <f t="shared" si="61"/>
        <v>1875.71</v>
      </c>
      <c r="X671">
        <f t="shared" si="62"/>
        <v>0.36763057214983458</v>
      </c>
      <c r="Y671" t="str">
        <f>_xlfn.TEXTJOIN(", ",TRUE,IF(G671="Unknown","Missing Region",""),IF(M671="Unknown","Missing Ship Mode",""),IF(P671&lt;0,"Negative Discount",""),IF(P671&gt;0.7,"High Discount",""),IF(C671&lt;B671,"Ship Before Order",""))</f>
        <v>Ship Before Order</v>
      </c>
      <c r="Z671" s="2">
        <f>IFERROR(
  IF(ISNUMBER(B671),B671,
    IF(ISNUMBER(SEARCH("-",B671)*1),
      IF(LEN(LEFT(B671,FIND("-",B671)-1))=4,
        DATE(VALUE(LEFT(B671,4)),VALUE(MID(B671,6,2)),VALUE(RIGHT(B671,2))),
        DATE(VALUE(RIGHT(B671,4)),VALUE(MID(B671,4,2)),VALUE(LEFT(B671,2)))
      ),
      IF(ISNUMBER(SEARCH("/",B671)*1),
        DATE(VALUE(RIGHT(B671,4)),VALUE(LEFT(B671,2)),VALUE(MID(B671,4,2))),
        DATEVALUE(B671)
      )
    )
  ),
"INVALID_DATE")</f>
        <v>45375</v>
      </c>
      <c r="AA671" s="2">
        <f>IFERROR(
  IF(ISNUMBER(C671),C671,
    IF(ISNUMBER(SEARCH("-",C671)*1),
      IF(LEN(LEFT(C671,FIND("-",C671)-1))=4,
        DATE(VALUE(LEFT(C671,4)),VALUE(MID(C671,6,2)),VALUE(RIGHT(C671,2))),
        DATE(VALUE(RIGHT(C671,4)),VALUE(MID(C671,4,2)),VALUE(LEFT(C671,2)))
      ),
      IF(ISNUMBER(SEARCH("/",C671)*1),
        DATE(VALUE(RIGHT(C671,4)),VALUE(LEFT(C671,2)),VALUE(MID(C671,4,2))),
        DATEVALUE(C671)
      )
    )
  ),
"INVALID_DATE")</f>
        <v>45383</v>
      </c>
      <c r="AB671">
        <f t="shared" si="63"/>
        <v>8</v>
      </c>
      <c r="AC671" t="str">
        <f t="shared" si="64"/>
        <v>March</v>
      </c>
      <c r="AD671">
        <f t="shared" si="65"/>
        <v>2024</v>
      </c>
    </row>
    <row r="672" spans="1:30">
      <c r="A672" t="s">
        <v>3165</v>
      </c>
      <c r="B672" t="s">
        <v>3166</v>
      </c>
      <c r="C672" t="s">
        <v>2964</v>
      </c>
      <c r="D672" t="s">
        <v>2439</v>
      </c>
      <c r="E672" t="s">
        <v>175</v>
      </c>
      <c r="F672" t="s">
        <v>115</v>
      </c>
      <c r="G672" t="s">
        <v>34</v>
      </c>
      <c r="H672" t="s">
        <v>181</v>
      </c>
      <c r="I672" t="s">
        <v>182</v>
      </c>
      <c r="J672" t="s">
        <v>52</v>
      </c>
      <c r="K672" t="s">
        <v>53</v>
      </c>
      <c r="L672" t="s">
        <v>3167</v>
      </c>
      <c r="M672" t="s">
        <v>74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41</v>
      </c>
      <c r="U672" t="s">
        <v>42</v>
      </c>
      <c r="V672">
        <f t="shared" si="60"/>
        <v>6176.5920000000006</v>
      </c>
      <c r="W672">
        <f t="shared" si="61"/>
        <v>2615.63</v>
      </c>
      <c r="X672">
        <f t="shared" si="62"/>
        <v>0.42347476520215849</v>
      </c>
      <c r="Y672" t="str">
        <f>_xlfn.TEXTJOIN(", ",TRUE,IF(G672="Unknown","Missing Region",""),IF(M672="Unknown","Missing Ship Mode",""),IF(P672&lt;0,"Negative Discount",""),IF(P672&gt;0.7,"High Discount",""),IF(C672&lt;B672,"Ship Before Order",""))</f>
        <v/>
      </c>
      <c r="Z672" s="2">
        <f>IFERROR(
  IF(ISNUMBER(B672),B672,
    IF(ISNUMBER(SEARCH("-",B672)*1),
      IF(LEN(LEFT(B672,FIND("-",B672)-1))=4,
        DATE(VALUE(LEFT(B672,4)),VALUE(MID(B672,6,2)),VALUE(RIGHT(B672,2))),
        DATE(VALUE(RIGHT(B672,4)),VALUE(MID(B672,4,2)),VALUE(LEFT(B672,2)))
      ),
      IF(ISNUMBER(SEARCH("/",B672)*1),
        DATE(VALUE(RIGHT(B672,4)),VALUE(LEFT(B672,2)),VALUE(MID(B672,4,2))),
        DATEVALUE(B672)
      )
    )
  ),
"INVALID_DATE")</f>
        <v>45690</v>
      </c>
      <c r="AA672" s="2">
        <f>IFERROR(
  IF(ISNUMBER(C672),C672,
    IF(ISNUMBER(SEARCH("-",C672)*1),
      IF(LEN(LEFT(C672,FIND("-",C672)-1))=4,
        DATE(VALUE(LEFT(C672,4)),VALUE(MID(C672,6,2)),VALUE(RIGHT(C672,2))),
        DATE(VALUE(RIGHT(C672,4)),VALUE(MID(C672,4,2)),VALUE(LEFT(C672,2)))
      ),
      IF(ISNUMBER(SEARCH("/",C672)*1),
        DATE(VALUE(RIGHT(C672,4)),VALUE(LEFT(C672,2)),VALUE(MID(C672,4,2))),
        DATEVALUE(C672)
      )
    )
  ),
"INVALID_DATE")</f>
        <v>45694</v>
      </c>
      <c r="AB672">
        <f t="shared" si="63"/>
        <v>4</v>
      </c>
      <c r="AC672" t="str">
        <f t="shared" si="64"/>
        <v>February</v>
      </c>
      <c r="AD672">
        <f t="shared" si="65"/>
        <v>2025</v>
      </c>
    </row>
    <row r="673" spans="1:30">
      <c r="A673" t="s">
        <v>3168</v>
      </c>
      <c r="B673" t="s">
        <v>3169</v>
      </c>
      <c r="C673" t="s">
        <v>3170</v>
      </c>
      <c r="D673" t="s">
        <v>3171</v>
      </c>
      <c r="E673" t="s">
        <v>114</v>
      </c>
      <c r="F673" t="s">
        <v>122</v>
      </c>
      <c r="G673" t="s">
        <v>80</v>
      </c>
      <c r="H673" t="s">
        <v>256</v>
      </c>
      <c r="I673" t="s">
        <v>257</v>
      </c>
      <c r="J673" t="s">
        <v>93</v>
      </c>
      <c r="K673" t="s">
        <v>3172</v>
      </c>
      <c r="L673" t="s">
        <v>3173</v>
      </c>
      <c r="M673" t="s">
        <v>40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41</v>
      </c>
      <c r="U673" t="s">
        <v>42</v>
      </c>
      <c r="V673">
        <f t="shared" si="60"/>
        <v>31203.310500000003</v>
      </c>
      <c r="W673">
        <f t="shared" si="61"/>
        <v>13465.18</v>
      </c>
      <c r="X673">
        <f t="shared" si="62"/>
        <v>0.43153050109107016</v>
      </c>
      <c r="Y673" t="str">
        <f>_xlfn.TEXTJOIN(", ",TRUE,IF(G673="Unknown","Missing Region",""),IF(M673="Unknown","Missing Ship Mode",""),IF(P673&lt;0,"Negative Discount",""),IF(P673&gt;0.7,"High Discount",""),IF(C673&lt;B673,"Ship Before Order",""))</f>
        <v/>
      </c>
      <c r="Z673" s="2">
        <f>IFERROR(
  IF(ISNUMBER(B673),B673,
    IF(ISNUMBER(SEARCH("-",B673)*1),
      IF(LEN(LEFT(B673,FIND("-",B673)-1))=4,
        DATE(VALUE(LEFT(B673,4)),VALUE(MID(B673,6,2)),VALUE(RIGHT(B673,2))),
        DATE(VALUE(RIGHT(B673,4)),VALUE(MID(B673,4,2)),VALUE(LEFT(B673,2)))
      ),
      IF(ISNUMBER(SEARCH("/",B673)*1),
        DATE(VALUE(RIGHT(B673,4)),VALUE(LEFT(B673,2)),VALUE(MID(B673,4,2))),
        DATEVALUE(B673)
      )
    )
  ),
"INVALID_DATE")</f>
        <v>45373</v>
      </c>
      <c r="AA673" s="2">
        <f>IFERROR(
  IF(ISNUMBER(C673),C673,
    IF(ISNUMBER(SEARCH("-",C673)*1),
      IF(LEN(LEFT(C673,FIND("-",C673)-1))=4,
        DATE(VALUE(LEFT(C673,4)),VALUE(MID(C673,6,2)),VALUE(RIGHT(C673,2))),
        DATE(VALUE(RIGHT(C673,4)),VALUE(MID(C673,4,2)),VALUE(LEFT(C673,2)))
      ),
      IF(ISNUMBER(SEARCH("/",C673)*1),
        DATE(VALUE(RIGHT(C673,4)),VALUE(LEFT(C673,2)),VALUE(MID(C673,4,2))),
        DATEVALUE(C673)
      )
    )
  ),
"INVALID_DATE")</f>
        <v>45378</v>
      </c>
      <c r="AB673">
        <f t="shared" si="63"/>
        <v>5</v>
      </c>
      <c r="AC673" t="str">
        <f t="shared" si="64"/>
        <v>March</v>
      </c>
      <c r="AD673">
        <f t="shared" si="65"/>
        <v>2024</v>
      </c>
    </row>
    <row r="674" spans="1:30">
      <c r="A674" t="s">
        <v>3174</v>
      </c>
      <c r="B674" t="s">
        <v>3175</v>
      </c>
      <c r="C674" t="s">
        <v>3176</v>
      </c>
      <c r="D674" t="s">
        <v>3177</v>
      </c>
      <c r="E674" t="s">
        <v>114</v>
      </c>
      <c r="F674" t="s">
        <v>115</v>
      </c>
      <c r="G674" t="s">
        <v>80</v>
      </c>
      <c r="H674" t="s">
        <v>91</v>
      </c>
      <c r="I674" t="s">
        <v>92</v>
      </c>
      <c r="J674" t="s">
        <v>52</v>
      </c>
      <c r="K674" t="s">
        <v>83</v>
      </c>
      <c r="L674" t="s">
        <v>3178</v>
      </c>
      <c r="M674" t="s">
        <v>74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41</v>
      </c>
      <c r="U674" t="s">
        <v>132</v>
      </c>
      <c r="V674">
        <f t="shared" si="60"/>
        <v>12010.517500000002</v>
      </c>
      <c r="W674">
        <f t="shared" si="61"/>
        <v>4145.9100000000008</v>
      </c>
      <c r="X674">
        <f t="shared" si="62"/>
        <v>0.34518988353543389</v>
      </c>
      <c r="Y674" t="str">
        <f>_xlfn.TEXTJOIN(", ",TRUE,IF(G674="Unknown","Missing Region",""),IF(M674="Unknown","Missing Ship Mode",""),IF(P674&lt;0,"Negative Discount",""),IF(P674&gt;0.7,"High Discount",""),IF(C674&lt;B674,"Ship Before Order",""))</f>
        <v/>
      </c>
      <c r="Z674" s="2">
        <f>IFERROR(
  IF(ISNUMBER(B674),B674,
    IF(ISNUMBER(SEARCH("-",B674)*1),
      IF(LEN(LEFT(B674,FIND("-",B674)-1))=4,
        DATE(VALUE(LEFT(B674,4)),VALUE(MID(B674,6,2)),VALUE(RIGHT(B674,2))),
        DATE(VALUE(RIGHT(B674,4)),VALUE(MID(B674,4,2)),VALUE(LEFT(B674,2)))
      ),
      IF(ISNUMBER(SEARCH("/",B674)*1),
        DATE(VALUE(RIGHT(B674,4)),VALUE(LEFT(B674,2)),VALUE(MID(B674,4,2))),
        DATEVALUE(B674)
      )
    )
  ),
"INVALID_DATE")</f>
        <v>45539</v>
      </c>
      <c r="AA674" s="2">
        <f>IFERROR(
  IF(ISNUMBER(C674),C674,
    IF(ISNUMBER(SEARCH("-",C674)*1),
      IF(LEN(LEFT(C674,FIND("-",C674)-1))=4,
        DATE(VALUE(LEFT(C674,4)),VALUE(MID(C674,6,2)),VALUE(RIGHT(C674,2))),
        DATE(VALUE(RIGHT(C674,4)),VALUE(MID(C674,4,2)),VALUE(LEFT(C674,2)))
      ),
      IF(ISNUMBER(SEARCH("/",C674)*1),
        DATE(VALUE(RIGHT(C674,4)),VALUE(LEFT(C674,2)),VALUE(MID(C674,4,2))),
        DATEVALUE(C674)
      )
    )
  ),
"INVALID_DATE")</f>
        <v>45540</v>
      </c>
      <c r="AB674">
        <f t="shared" si="63"/>
        <v>1</v>
      </c>
      <c r="AC674" t="str">
        <f t="shared" si="64"/>
        <v>September</v>
      </c>
      <c r="AD674">
        <f t="shared" si="65"/>
        <v>2024</v>
      </c>
    </row>
    <row r="675" spans="1:30">
      <c r="A675" t="s">
        <v>3179</v>
      </c>
      <c r="B675" t="s">
        <v>2409</v>
      </c>
      <c r="C675" t="s">
        <v>3180</v>
      </c>
      <c r="D675" t="s">
        <v>3181</v>
      </c>
      <c r="E675" t="s">
        <v>68</v>
      </c>
      <c r="F675" t="s">
        <v>48</v>
      </c>
      <c r="G675" t="s">
        <v>80</v>
      </c>
      <c r="H675" t="s">
        <v>35</v>
      </c>
      <c r="I675" t="s">
        <v>142</v>
      </c>
      <c r="J675" t="s">
        <v>52</v>
      </c>
      <c r="K675" t="s">
        <v>211</v>
      </c>
      <c r="L675" t="s">
        <v>3182</v>
      </c>
      <c r="M675" t="s">
        <v>40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41</v>
      </c>
      <c r="U675" t="s">
        <v>42</v>
      </c>
      <c r="V675">
        <f t="shared" si="60"/>
        <v>13847.86</v>
      </c>
      <c r="W675">
        <f t="shared" si="61"/>
        <v>5376.08</v>
      </c>
      <c r="X675">
        <f t="shared" si="62"/>
        <v>0.38822460654570451</v>
      </c>
      <c r="Y675" t="str">
        <f>_xlfn.TEXTJOIN(", ",TRUE,IF(G675="Unknown","Missing Region",""),IF(M675="Unknown","Missing Ship Mode",""),IF(P675&lt;0,"Negative Discount",""),IF(P675&gt;0.7,"High Discount",""),IF(C675&lt;B675,"Ship Before Order",""))</f>
        <v>Ship Before Order</v>
      </c>
      <c r="Z675" s="2">
        <f>IFERROR(
  IF(ISNUMBER(B675),B675,
    IF(ISNUMBER(SEARCH("-",B675)*1),
      IF(LEN(LEFT(B675,FIND("-",B675)-1))=4,
        DATE(VALUE(LEFT(B675,4)),VALUE(MID(B675,6,2)),VALUE(RIGHT(B675,2))),
        DATE(VALUE(RIGHT(B675,4)),VALUE(MID(B675,4,2)),VALUE(LEFT(B675,2)))
      ),
      IF(ISNUMBER(SEARCH("/",B675)*1),
        DATE(VALUE(RIGHT(B675,4)),VALUE(LEFT(B675,2)),VALUE(MID(B675,4,2))),
        DATEVALUE(B675)
      )
    )
  ),
"INVALID_DATE")</f>
        <v>45701</v>
      </c>
      <c r="AA675" s="2">
        <f>IFERROR(
  IF(ISNUMBER(C675),C675,
    IF(ISNUMBER(SEARCH("-",C675)*1),
      IF(LEN(LEFT(C675,FIND("-",C675)-1))=4,
        DATE(VALUE(LEFT(C675,4)),VALUE(MID(C675,6,2)),VALUE(RIGHT(C675,2))),
        DATE(VALUE(RIGHT(C675,4)),VALUE(MID(C675,4,2)),VALUE(LEFT(C675,2)))
      ),
      IF(ISNUMBER(SEARCH("/",C675)*1),
        DATE(VALUE(RIGHT(C675,4)),VALUE(LEFT(C675,2)),VALUE(MID(C675,4,2))),
        DATEVALUE(C675)
      )
    )
  ),
"INVALID_DATE")</f>
        <v>45704</v>
      </c>
      <c r="AB675">
        <f t="shared" si="63"/>
        <v>3</v>
      </c>
      <c r="AC675" t="str">
        <f t="shared" si="64"/>
        <v>February</v>
      </c>
      <c r="AD675">
        <f t="shared" si="65"/>
        <v>2025</v>
      </c>
    </row>
    <row r="676" spans="1:30">
      <c r="A676" t="s">
        <v>3183</v>
      </c>
      <c r="B676" t="s">
        <v>3184</v>
      </c>
      <c r="C676" t="s">
        <v>3185</v>
      </c>
      <c r="D676" t="s">
        <v>3186</v>
      </c>
      <c r="E676" t="s">
        <v>90</v>
      </c>
      <c r="F676" t="s">
        <v>115</v>
      </c>
      <c r="G676" t="s">
        <v>49</v>
      </c>
      <c r="H676" t="s">
        <v>319</v>
      </c>
      <c r="I676" t="s">
        <v>320</v>
      </c>
      <c r="J676" t="s">
        <v>93</v>
      </c>
      <c r="K676" t="s">
        <v>94</v>
      </c>
      <c r="L676" t="s">
        <v>3187</v>
      </c>
      <c r="M676" t="s">
        <v>40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144</v>
      </c>
      <c r="U676" t="s">
        <v>132</v>
      </c>
      <c r="V676">
        <f t="shared" si="60"/>
        <v>1033.71</v>
      </c>
      <c r="W676">
        <f t="shared" si="61"/>
        <v>402.89</v>
      </c>
      <c r="X676">
        <f t="shared" si="62"/>
        <v>0.38975147768716562</v>
      </c>
      <c r="Y676" t="str">
        <f>_xlfn.TEXTJOIN(", ",TRUE,IF(G676="Unknown","Missing Region",""),IF(M676="Unknown","Missing Ship Mode",""),IF(P676&lt;0,"Negative Discount",""),IF(P676&gt;0.7,"High Discount",""),IF(C676&lt;B676,"Ship Before Order",""))</f>
        <v/>
      </c>
      <c r="Z676" s="2">
        <f>IFERROR(
  IF(ISNUMBER(B676),B676,
    IF(ISNUMBER(SEARCH("-",B676)*1),
      IF(LEN(LEFT(B676,FIND("-",B676)-1))=4,
        DATE(VALUE(LEFT(B676,4)),VALUE(MID(B676,6,2)),VALUE(RIGHT(B676,2))),
        DATE(VALUE(RIGHT(B676,4)),VALUE(MID(B676,4,2)),VALUE(LEFT(B676,2)))
      ),
      IF(ISNUMBER(SEARCH("/",B676)*1),
        DATE(VALUE(RIGHT(B676,4)),VALUE(LEFT(B676,2)),VALUE(MID(B676,4,2))),
        DATEVALUE(B676)
      )
    )
  ),
"INVALID_DATE")</f>
        <v>45430</v>
      </c>
      <c r="AA676" s="2">
        <f>IFERROR(
  IF(ISNUMBER(C676),C676,
    IF(ISNUMBER(SEARCH("-",C676)*1),
      IF(LEN(LEFT(C676,FIND("-",C676)-1))=4,
        DATE(VALUE(LEFT(C676,4)),VALUE(MID(C676,6,2)),VALUE(RIGHT(C676,2))),
        DATE(VALUE(RIGHT(C676,4)),VALUE(MID(C676,4,2)),VALUE(LEFT(C676,2)))
      ),
      IF(ISNUMBER(SEARCH("/",C676)*1),
        DATE(VALUE(RIGHT(C676,4)),VALUE(LEFT(C676,2)),VALUE(MID(C676,4,2))),
        DATEVALUE(C676)
      )
    )
  ),
"INVALID_DATE")</f>
        <v>45433</v>
      </c>
      <c r="AB676">
        <f t="shared" si="63"/>
        <v>3</v>
      </c>
      <c r="AC676" t="str">
        <f t="shared" si="64"/>
        <v>May</v>
      </c>
      <c r="AD676">
        <f t="shared" si="65"/>
        <v>2024</v>
      </c>
    </row>
    <row r="677" spans="1:30">
      <c r="A677" t="s">
        <v>3188</v>
      </c>
      <c r="B677" t="s">
        <v>3189</v>
      </c>
      <c r="C677" t="s">
        <v>3190</v>
      </c>
      <c r="D677" t="s">
        <v>3041</v>
      </c>
      <c r="E677" t="s">
        <v>169</v>
      </c>
      <c r="F677" t="s">
        <v>33</v>
      </c>
      <c r="G677" t="s">
        <v>34</v>
      </c>
      <c r="H677" t="s">
        <v>35</v>
      </c>
      <c r="I677" t="s">
        <v>36</v>
      </c>
      <c r="J677" t="s">
        <v>52</v>
      </c>
      <c r="K677" t="s">
        <v>72</v>
      </c>
      <c r="L677" t="s">
        <v>3191</v>
      </c>
      <c r="M677" t="s">
        <v>55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41</v>
      </c>
      <c r="U677" t="s">
        <v>42</v>
      </c>
      <c r="V677">
        <f t="shared" si="60"/>
        <v>2889.7799999999997</v>
      </c>
      <c r="W677">
        <f t="shared" si="61"/>
        <v>1078.5500000000002</v>
      </c>
      <c r="X677">
        <f t="shared" si="62"/>
        <v>0.37322910394562903</v>
      </c>
      <c r="Y677" t="str">
        <f>_xlfn.TEXTJOIN(", ",TRUE,IF(G677="Unknown","Missing Region",""),IF(M677="Unknown","Missing Ship Mode",""),IF(P677&lt;0,"Negative Discount",""),IF(P677&gt;0.7,"High Discount",""),IF(C677&lt;B677,"Ship Before Order",""))</f>
        <v>Ship Before Order</v>
      </c>
      <c r="Z677" s="2">
        <f>IFERROR(
  IF(ISNUMBER(B677),B677,
    IF(ISNUMBER(SEARCH("-",B677)*1),
      IF(LEN(LEFT(B677,FIND("-",B677)-1))=4,
        DATE(VALUE(LEFT(B677,4)),VALUE(MID(B677,6,2)),VALUE(RIGHT(B677,2))),
        DATE(VALUE(RIGHT(B677,4)),VALUE(MID(B677,4,2)),VALUE(LEFT(B677,2)))
      ),
      IF(ISNUMBER(SEARCH("/",B677)*1),
        DATE(VALUE(RIGHT(B677,4)),VALUE(LEFT(B677,2)),VALUE(MID(B677,4,2))),
        DATEVALUE(B677)
      )
    )
  ),
"INVALID_DATE")</f>
        <v>45815</v>
      </c>
      <c r="AA677" s="2">
        <f>IFERROR(
  IF(ISNUMBER(C677),C677,
    IF(ISNUMBER(SEARCH("-",C677)*1),
      IF(LEN(LEFT(C677,FIND("-",C677)-1))=4,
        DATE(VALUE(LEFT(C677,4)),VALUE(MID(C677,6,2)),VALUE(RIGHT(C677,2))),
        DATE(VALUE(RIGHT(C677,4)),VALUE(MID(C677,4,2)),VALUE(LEFT(C677,2)))
      ),
      IF(ISNUMBER(SEARCH("/",C677)*1),
        DATE(VALUE(RIGHT(C677,4)),VALUE(LEFT(C677,2)),VALUE(MID(C677,4,2))),
        DATEVALUE(C677)
      )
    )
  ),
"INVALID_DATE")</f>
        <v>45818</v>
      </c>
      <c r="AB677">
        <f t="shared" si="63"/>
        <v>3</v>
      </c>
      <c r="AC677" t="str">
        <f t="shared" si="64"/>
        <v>June</v>
      </c>
      <c r="AD677">
        <f t="shared" si="65"/>
        <v>2025</v>
      </c>
    </row>
    <row r="678" spans="1:30">
      <c r="A678" t="s">
        <v>3192</v>
      </c>
      <c r="B678" t="s">
        <v>3193</v>
      </c>
      <c r="C678" t="s">
        <v>3194</v>
      </c>
      <c r="D678" t="s">
        <v>3195</v>
      </c>
      <c r="E678" t="s">
        <v>155</v>
      </c>
      <c r="F678" t="s">
        <v>48</v>
      </c>
      <c r="G678" t="s">
        <v>34</v>
      </c>
      <c r="H678" t="s">
        <v>514</v>
      </c>
      <c r="I678" t="s">
        <v>515</v>
      </c>
      <c r="J678" t="s">
        <v>93</v>
      </c>
      <c r="K678" t="s">
        <v>230</v>
      </c>
      <c r="L678" t="s">
        <v>3196</v>
      </c>
      <c r="M678" t="s">
        <v>55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41</v>
      </c>
      <c r="U678" t="s">
        <v>42</v>
      </c>
      <c r="V678">
        <f t="shared" si="60"/>
        <v>20296.699499999999</v>
      </c>
      <c r="W678">
        <f t="shared" si="61"/>
        <v>5375.83</v>
      </c>
      <c r="X678">
        <f t="shared" si="62"/>
        <v>0.26486226825050374</v>
      </c>
      <c r="Y678" t="str">
        <f>_xlfn.TEXTJOIN(", ",TRUE,IF(G678="Unknown","Missing Region",""),IF(M678="Unknown","Missing Ship Mode",""),IF(P678&lt;0,"Negative Discount",""),IF(P678&gt;0.7,"High Discount",""),IF(C678&lt;B678,"Ship Before Order",""))</f>
        <v/>
      </c>
      <c r="Z678" s="2">
        <f>IFERROR(
  IF(ISNUMBER(B678),B678,
    IF(ISNUMBER(SEARCH("-",B678)*1),
      IF(LEN(LEFT(B678,FIND("-",B678)-1))=4,
        DATE(VALUE(LEFT(B678,4)),VALUE(MID(B678,6,2)),VALUE(RIGHT(B678,2))),
        DATE(VALUE(RIGHT(B678,4)),VALUE(MID(B678,4,2)),VALUE(LEFT(B678,2)))
      ),
      IF(ISNUMBER(SEARCH("/",B678)*1),
        DATE(VALUE(RIGHT(B678,4)),VALUE(LEFT(B678,2)),VALUE(MID(B678,4,2))),
        DATEVALUE(B678)
      )
    )
  ),
"INVALID_DATE")</f>
        <v>45911</v>
      </c>
      <c r="AA678" s="2">
        <f>IFERROR(
  IF(ISNUMBER(C678),C678,
    IF(ISNUMBER(SEARCH("-",C678)*1),
      IF(LEN(LEFT(C678,FIND("-",C678)-1))=4,
        DATE(VALUE(LEFT(C678,4)),VALUE(MID(C678,6,2)),VALUE(RIGHT(C678,2))),
        DATE(VALUE(RIGHT(C678,4)),VALUE(MID(C678,4,2)),VALUE(LEFT(C678,2)))
      ),
      IF(ISNUMBER(SEARCH("/",C678)*1),
        DATE(VALUE(RIGHT(C678,4)),VALUE(LEFT(C678,2)),VALUE(MID(C678,4,2))),
        DATEVALUE(C678)
      )
    )
  ),
"INVALID_DATE")</f>
        <v>45918</v>
      </c>
      <c r="AB678">
        <f t="shared" si="63"/>
        <v>7</v>
      </c>
      <c r="AC678" t="str">
        <f t="shared" si="64"/>
        <v>September</v>
      </c>
      <c r="AD678">
        <f t="shared" si="65"/>
        <v>2025</v>
      </c>
    </row>
    <row r="679" spans="1:30">
      <c r="A679" t="s">
        <v>3197</v>
      </c>
      <c r="B679" t="s">
        <v>3198</v>
      </c>
      <c r="C679" t="s">
        <v>3199</v>
      </c>
      <c r="D679" t="s">
        <v>31</v>
      </c>
      <c r="E679" t="s">
        <v>60</v>
      </c>
      <c r="F679" t="s">
        <v>122</v>
      </c>
      <c r="G679" t="s">
        <v>69</v>
      </c>
      <c r="H679" t="s">
        <v>236</v>
      </c>
      <c r="I679" t="s">
        <v>237</v>
      </c>
      <c r="J679" t="s">
        <v>52</v>
      </c>
      <c r="K679" t="s">
        <v>83</v>
      </c>
      <c r="L679" t="s">
        <v>3200</v>
      </c>
      <c r="M679" t="s">
        <v>55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41</v>
      </c>
      <c r="U679" t="s">
        <v>42</v>
      </c>
      <c r="V679">
        <f t="shared" si="60"/>
        <v>18364.36</v>
      </c>
      <c r="W679">
        <f t="shared" si="61"/>
        <v>2918.5500000000011</v>
      </c>
      <c r="X679">
        <f t="shared" si="62"/>
        <v>0.15892467801763852</v>
      </c>
      <c r="Y679" t="str">
        <f>_xlfn.TEXTJOIN(", ",TRUE,IF(G679="Unknown","Missing Region",""),IF(M679="Unknown","Missing Ship Mode",""),IF(P679&lt;0,"Negative Discount",""),IF(P679&gt;0.7,"High Discount",""),IF(C679&lt;B679,"Ship Before Order",""))</f>
        <v/>
      </c>
      <c r="Z679" s="2">
        <f>IFERROR(
  IF(ISNUMBER(B679),B679,
    IF(ISNUMBER(SEARCH("-",B679)*1),
      IF(LEN(LEFT(B679,FIND("-",B679)-1))=4,
        DATE(VALUE(LEFT(B679,4)),VALUE(MID(B679,6,2)),VALUE(RIGHT(B679,2))),
        DATE(VALUE(RIGHT(B679,4)),VALUE(MID(B679,4,2)),VALUE(LEFT(B679,2)))
      ),
      IF(ISNUMBER(SEARCH("/",B679)*1),
        DATE(VALUE(RIGHT(B679,4)),VALUE(LEFT(B679,2)),VALUE(MID(B679,4,2))),
        DATEVALUE(B679)
      )
    )
  ),
"INVALID_DATE")</f>
        <v>45465</v>
      </c>
      <c r="AA679" s="2">
        <f>IFERROR(
  IF(ISNUMBER(C679),C679,
    IF(ISNUMBER(SEARCH("-",C679)*1),
      IF(LEN(LEFT(C679,FIND("-",C679)-1))=4,
        DATE(VALUE(LEFT(C679,4)),VALUE(MID(C679,6,2)),VALUE(RIGHT(C679,2))),
        DATE(VALUE(RIGHT(C679,4)),VALUE(MID(C679,4,2)),VALUE(LEFT(C679,2)))
      ),
      IF(ISNUMBER(SEARCH("/",C679)*1),
        DATE(VALUE(RIGHT(C679,4)),VALUE(LEFT(C679,2)),VALUE(MID(C679,4,2))),
        DATEVALUE(C679)
      )
    )
  ),
"INVALID_DATE")</f>
        <v>45470</v>
      </c>
      <c r="AB679">
        <f t="shared" si="63"/>
        <v>5</v>
      </c>
      <c r="AC679" t="str">
        <f t="shared" si="64"/>
        <v>June</v>
      </c>
      <c r="AD679">
        <f t="shared" si="65"/>
        <v>2024</v>
      </c>
    </row>
    <row r="680" spans="1:30">
      <c r="A680" t="s">
        <v>3201</v>
      </c>
      <c r="B680" t="s">
        <v>3202</v>
      </c>
      <c r="C680" t="s">
        <v>3203</v>
      </c>
      <c r="D680" t="s">
        <v>3204</v>
      </c>
      <c r="E680" t="s">
        <v>374</v>
      </c>
      <c r="F680" t="s">
        <v>115</v>
      </c>
      <c r="G680" t="s">
        <v>69</v>
      </c>
      <c r="H680" t="s">
        <v>236</v>
      </c>
      <c r="I680" t="s">
        <v>237</v>
      </c>
      <c r="J680" t="s">
        <v>52</v>
      </c>
      <c r="K680" t="s">
        <v>53</v>
      </c>
      <c r="L680" t="s">
        <v>3205</v>
      </c>
      <c r="M680" t="s">
        <v>40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41</v>
      </c>
      <c r="U680" t="s">
        <v>42</v>
      </c>
      <c r="V680">
        <f t="shared" si="60"/>
        <v>21141.6165</v>
      </c>
      <c r="W680">
        <f t="shared" si="61"/>
        <v>9465.2899999999991</v>
      </c>
      <c r="X680">
        <f t="shared" si="62"/>
        <v>0.44770883215193547</v>
      </c>
      <c r="Y680" t="str">
        <f>_xlfn.TEXTJOIN(", ",TRUE,IF(G680="Unknown","Missing Region",""),IF(M680="Unknown","Missing Ship Mode",""),IF(P680&lt;0,"Negative Discount",""),IF(P680&gt;0.7,"High Discount",""),IF(C680&lt;B680,"Ship Before Order",""))</f>
        <v>Ship Before Order</v>
      </c>
      <c r="Z680" s="2">
        <f>IFERROR(
  IF(ISNUMBER(B680),B680,
    IF(ISNUMBER(SEARCH("-",B680)*1),
      IF(LEN(LEFT(B680,FIND("-",B680)-1))=4,
        DATE(VALUE(LEFT(B680,4)),VALUE(MID(B680,6,2)),VALUE(RIGHT(B680,2))),
        DATE(VALUE(RIGHT(B680,4)),VALUE(MID(B680,4,2)),VALUE(LEFT(B680,2)))
      ),
      IF(ISNUMBER(SEARCH("/",B680)*1),
        DATE(VALUE(RIGHT(B680,4)),VALUE(LEFT(B680,2)),VALUE(MID(B680,4,2))),
        DATEVALUE(B680)
      )
    )
  ),
"INVALID_DATE")</f>
        <v>45620</v>
      </c>
      <c r="AA680" s="2">
        <f>IFERROR(
  IF(ISNUMBER(C680),C680,
    IF(ISNUMBER(SEARCH("-",C680)*1),
      IF(LEN(LEFT(C680,FIND("-",C680)-1))=4,
        DATE(VALUE(LEFT(C680,4)),VALUE(MID(C680,6,2)),VALUE(RIGHT(C680,2))),
        DATE(VALUE(RIGHT(C680,4)),VALUE(MID(C680,4,2)),VALUE(LEFT(C680,2)))
      ),
      IF(ISNUMBER(SEARCH("/",C680)*1),
        DATE(VALUE(RIGHT(C680,4)),VALUE(LEFT(C680,2)),VALUE(MID(C680,4,2))),
        DATEVALUE(C680)
      )
    )
  ),
"INVALID_DATE")</f>
        <v>45627</v>
      </c>
      <c r="AB680">
        <f t="shared" si="63"/>
        <v>7</v>
      </c>
      <c r="AC680" t="str">
        <f t="shared" si="64"/>
        <v>November</v>
      </c>
      <c r="AD680">
        <f t="shared" si="65"/>
        <v>2024</v>
      </c>
    </row>
    <row r="681" spans="1:30">
      <c r="A681" t="s">
        <v>3206</v>
      </c>
      <c r="B681" t="s">
        <v>3207</v>
      </c>
      <c r="C681" t="s">
        <v>648</v>
      </c>
      <c r="D681" t="s">
        <v>3208</v>
      </c>
      <c r="E681" t="s">
        <v>187</v>
      </c>
      <c r="F681" t="s">
        <v>115</v>
      </c>
      <c r="G681" t="s">
        <v>34</v>
      </c>
      <c r="H681" t="s">
        <v>161</v>
      </c>
      <c r="I681" t="s">
        <v>162</v>
      </c>
      <c r="J681" t="s">
        <v>93</v>
      </c>
      <c r="K681" t="s">
        <v>101</v>
      </c>
      <c r="L681" t="s">
        <v>3209</v>
      </c>
      <c r="M681" t="s">
        <v>55</v>
      </c>
      <c r="N681">
        <v>4</v>
      </c>
      <c r="O681">
        <v>1410.57</v>
      </c>
      <c r="P681" t="s">
        <v>689</v>
      </c>
      <c r="Q681">
        <v>5360.17</v>
      </c>
      <c r="R681">
        <v>3881.51</v>
      </c>
      <c r="S681">
        <v>1478.66</v>
      </c>
      <c r="T681" t="s">
        <v>131</v>
      </c>
      <c r="U681" t="s">
        <v>85</v>
      </c>
      <c r="V681">
        <f t="shared" si="60"/>
        <v>1692.6840000000002</v>
      </c>
      <c r="W681">
        <f t="shared" si="61"/>
        <v>1478.6599999999999</v>
      </c>
      <c r="X681">
        <f t="shared" si="62"/>
        <v>0.27586065367329771</v>
      </c>
      <c r="Y681" t="str">
        <f>_xlfn.TEXTJOIN(", ",TRUE,IF(G681="Unknown","Missing Region",""),IF(M681="Unknown","Missing Ship Mode",""),IF(P681&lt;0,"Negative Discount",""),IF(P681&gt;0.7,"High Discount",""),IF(C681&lt;B681,"Ship Before Order",""))</f>
        <v>High Discount</v>
      </c>
      <c r="Z681" s="2">
        <f>IFERROR(
  IF(ISNUMBER(B681),B681,
    IF(ISNUMBER(SEARCH("-",B681)*1),
      IF(LEN(LEFT(B681,FIND("-",B681)-1))=4,
        DATE(VALUE(LEFT(B681,4)),VALUE(MID(B681,6,2)),VALUE(RIGHT(B681,2))),
        DATE(VALUE(RIGHT(B681,4)),VALUE(MID(B681,4,2)),VALUE(LEFT(B681,2)))
      ),
      IF(ISNUMBER(SEARCH("/",B681)*1),
        DATE(VALUE(RIGHT(B681,4)),VALUE(LEFT(B681,2)),VALUE(MID(B681,4,2))),
        DATEVALUE(B681)
      )
    )
  ),
"INVALID_DATE")</f>
        <v>45885</v>
      </c>
      <c r="AA681" s="2">
        <f>IFERROR(
  IF(ISNUMBER(C681),C681,
    IF(ISNUMBER(SEARCH("-",C681)*1),
      IF(LEN(LEFT(C681,FIND("-",C681)-1))=4,
        DATE(VALUE(LEFT(C681,4)),VALUE(MID(C681,6,2)),VALUE(RIGHT(C681,2))),
        DATE(VALUE(RIGHT(C681,4)),VALUE(MID(C681,4,2)),VALUE(LEFT(C681,2)))
      ),
      IF(ISNUMBER(SEARCH("/",C681)*1),
        DATE(VALUE(RIGHT(C681,4)),VALUE(LEFT(C681,2)),VALUE(MID(C681,4,2))),
        DATEVALUE(C681)
      )
    )
  ),
"INVALID_DATE")</f>
        <v>45892</v>
      </c>
      <c r="AB681">
        <f t="shared" si="63"/>
        <v>7</v>
      </c>
      <c r="AC681" t="str">
        <f t="shared" si="64"/>
        <v>August</v>
      </c>
      <c r="AD681">
        <f t="shared" si="65"/>
        <v>2025</v>
      </c>
    </row>
    <row r="682" spans="1:30">
      <c r="A682" t="s">
        <v>3210</v>
      </c>
      <c r="B682" t="s">
        <v>282</v>
      </c>
      <c r="C682" t="s">
        <v>585</v>
      </c>
      <c r="D682" t="s">
        <v>3211</v>
      </c>
      <c r="E682" t="s">
        <v>374</v>
      </c>
      <c r="F682" t="s">
        <v>115</v>
      </c>
      <c r="G682" t="s">
        <v>69</v>
      </c>
      <c r="H682" t="s">
        <v>347</v>
      </c>
      <c r="I682" t="s">
        <v>348</v>
      </c>
      <c r="J682" t="s">
        <v>93</v>
      </c>
      <c r="K682" t="s">
        <v>94</v>
      </c>
      <c r="L682" t="s">
        <v>3212</v>
      </c>
      <c r="M682" t="s">
        <v>63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41</v>
      </c>
      <c r="U682" t="s">
        <v>42</v>
      </c>
      <c r="V682">
        <f t="shared" si="60"/>
        <v>14800.96</v>
      </c>
      <c r="W682">
        <f t="shared" si="61"/>
        <v>2752.5699999999997</v>
      </c>
      <c r="X682">
        <f t="shared" si="62"/>
        <v>0.18597239638509935</v>
      </c>
      <c r="Y682" t="str">
        <f>_xlfn.TEXTJOIN(", ",TRUE,IF(G682="Unknown","Missing Region",""),IF(M682="Unknown","Missing Ship Mode",""),IF(P682&lt;0,"Negative Discount",""),IF(P682&gt;0.7,"High Discount",""),IF(C682&lt;B682,"Ship Before Order",""))</f>
        <v>Ship Before Order</v>
      </c>
      <c r="Z682" s="2">
        <f>IFERROR(
  IF(ISNUMBER(B682),B682,
    IF(ISNUMBER(SEARCH("-",B682)*1),
      IF(LEN(LEFT(B682,FIND("-",B682)-1))=4,
        DATE(VALUE(LEFT(B682,4)),VALUE(MID(B682,6,2)),VALUE(RIGHT(B682,2))),
        DATE(VALUE(RIGHT(B682,4)),VALUE(MID(B682,4,2)),VALUE(LEFT(B682,2)))
      ),
      IF(ISNUMBER(SEARCH("/",B682)*1),
        DATE(VALUE(RIGHT(B682,4)),VALUE(LEFT(B682,2)),VALUE(MID(B682,4,2))),
        DATEVALUE(B682)
      )
    )
  ),
"INVALID_DATE")</f>
        <v>45441</v>
      </c>
      <c r="AA682" s="2">
        <f>IFERROR(
  IF(ISNUMBER(C682),C682,
    IF(ISNUMBER(SEARCH("-",C682)*1),
      IF(LEN(LEFT(C682,FIND("-",C682)-1))=4,
        DATE(VALUE(LEFT(C682,4)),VALUE(MID(C682,6,2)),VALUE(RIGHT(C682,2))),
        DATE(VALUE(RIGHT(C682,4)),VALUE(MID(C682,4,2)),VALUE(LEFT(C682,2)))
      ),
      IF(ISNUMBER(SEARCH("/",C682)*1),
        DATE(VALUE(RIGHT(C682,4)),VALUE(LEFT(C682,2)),VALUE(MID(C682,4,2))),
        DATEVALUE(C682)
      )
    )
  ),
"INVALID_DATE")</f>
        <v>45448</v>
      </c>
      <c r="AB682">
        <f t="shared" si="63"/>
        <v>7</v>
      </c>
      <c r="AC682" t="str">
        <f t="shared" si="64"/>
        <v>May</v>
      </c>
      <c r="AD682">
        <f t="shared" si="65"/>
        <v>2024</v>
      </c>
    </row>
    <row r="683" spans="1:30">
      <c r="A683" t="s">
        <v>3213</v>
      </c>
      <c r="B683" t="s">
        <v>3214</v>
      </c>
      <c r="C683" t="s">
        <v>3215</v>
      </c>
      <c r="D683" t="s">
        <v>3216</v>
      </c>
      <c r="E683" t="s">
        <v>90</v>
      </c>
      <c r="F683" t="s">
        <v>115</v>
      </c>
      <c r="G683" t="s">
        <v>34</v>
      </c>
      <c r="H683" t="s">
        <v>514</v>
      </c>
      <c r="I683" t="s">
        <v>515</v>
      </c>
      <c r="J683" t="s">
        <v>52</v>
      </c>
      <c r="K683" t="s">
        <v>53</v>
      </c>
      <c r="L683" t="s">
        <v>3217</v>
      </c>
      <c r="M683" t="s">
        <v>40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41</v>
      </c>
      <c r="U683" t="s">
        <v>85</v>
      </c>
      <c r="V683">
        <f t="shared" si="60"/>
        <v>6001.35</v>
      </c>
      <c r="W683">
        <f t="shared" si="61"/>
        <v>1818.3600000000006</v>
      </c>
      <c r="X683">
        <f t="shared" si="62"/>
        <v>0.3029918268389612</v>
      </c>
      <c r="Y683" t="str">
        <f>_xlfn.TEXTJOIN(", ",TRUE,IF(G683="Unknown","Missing Region",""),IF(M683="Unknown","Missing Ship Mode",""),IF(P683&lt;0,"Negative Discount",""),IF(P683&gt;0.7,"High Discount",""),IF(C683&lt;B683,"Ship Before Order",""))</f>
        <v/>
      </c>
      <c r="Z683" s="2">
        <f>IFERROR(
  IF(ISNUMBER(B683),B683,
    IF(ISNUMBER(SEARCH("-",B683)*1),
      IF(LEN(LEFT(B683,FIND("-",B683)-1))=4,
        DATE(VALUE(LEFT(B683,4)),VALUE(MID(B683,6,2)),VALUE(RIGHT(B683,2))),
        DATE(VALUE(RIGHT(B683,4)),VALUE(MID(B683,4,2)),VALUE(LEFT(B683,2)))
      ),
      IF(ISNUMBER(SEARCH("/",B683)*1),
        DATE(VALUE(RIGHT(B683,4)),VALUE(LEFT(B683,2)),VALUE(MID(B683,4,2))),
        DATEVALUE(B683)
      )
    )
  ),
"INVALID_DATE")</f>
        <v>45477</v>
      </c>
      <c r="AA683" s="2">
        <f>IFERROR(
  IF(ISNUMBER(C683),C683,
    IF(ISNUMBER(SEARCH("-",C683)*1),
      IF(LEN(LEFT(C683,FIND("-",C683)-1))=4,
        DATE(VALUE(LEFT(C683,4)),VALUE(MID(C683,6,2)),VALUE(RIGHT(C683,2))),
        DATE(VALUE(RIGHT(C683,4)),VALUE(MID(C683,4,2)),VALUE(LEFT(C683,2)))
      ),
      IF(ISNUMBER(SEARCH("/",C683)*1),
        DATE(VALUE(RIGHT(C683,4)),VALUE(LEFT(C683,2)),VALUE(MID(C683,4,2))),
        DATEVALUE(C683)
      )
    )
  ),
"INVALID_DATE")</f>
        <v>45483</v>
      </c>
      <c r="AB683">
        <f t="shared" si="63"/>
        <v>6</v>
      </c>
      <c r="AC683" t="str">
        <f t="shared" si="64"/>
        <v>July</v>
      </c>
      <c r="AD683">
        <f t="shared" si="65"/>
        <v>2024</v>
      </c>
    </row>
    <row r="684" spans="1:30">
      <c r="A684" t="s">
        <v>3218</v>
      </c>
      <c r="B684" t="s">
        <v>352</v>
      </c>
      <c r="C684" t="s">
        <v>2891</v>
      </c>
      <c r="D684" t="s">
        <v>3219</v>
      </c>
      <c r="E684" t="s">
        <v>3220</v>
      </c>
      <c r="F684" t="s">
        <v>115</v>
      </c>
      <c r="G684" t="s">
        <v>34</v>
      </c>
      <c r="H684" t="s">
        <v>331</v>
      </c>
      <c r="I684" t="s">
        <v>332</v>
      </c>
      <c r="J684" t="s">
        <v>37</v>
      </c>
      <c r="K684" t="s">
        <v>163</v>
      </c>
      <c r="L684" t="s">
        <v>3221</v>
      </c>
      <c r="M684" t="s">
        <v>55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41</v>
      </c>
      <c r="U684" t="s">
        <v>42</v>
      </c>
      <c r="V684">
        <f t="shared" si="60"/>
        <v>7772.34</v>
      </c>
      <c r="W684">
        <f t="shared" si="61"/>
        <v>3270.0600000000004</v>
      </c>
      <c r="X684">
        <f t="shared" si="62"/>
        <v>0.44287432351172579</v>
      </c>
      <c r="Y684" t="str">
        <f>_xlfn.TEXTJOIN(", ",TRUE,IF(G684="Unknown","Missing Region",""),IF(M684="Unknown","Missing Ship Mode",""),IF(P684&lt;0,"Negative Discount",""),IF(P684&gt;0.7,"High Discount",""),IF(C684&lt;B684,"Ship Before Order",""))</f>
        <v/>
      </c>
      <c r="Z684" s="2">
        <f>IFERROR(
  IF(ISNUMBER(B684),B684,
    IF(ISNUMBER(SEARCH("-",B684)*1),
      IF(LEN(LEFT(B684,FIND("-",B684)-1))=4,
        DATE(VALUE(LEFT(B684,4)),VALUE(MID(B684,6,2)),VALUE(RIGHT(B684,2))),
        DATE(VALUE(RIGHT(B684,4)),VALUE(MID(B684,4,2)),VALUE(LEFT(B684,2)))
      ),
      IF(ISNUMBER(SEARCH("/",B684)*1),
        DATE(VALUE(RIGHT(B684,4)),VALUE(LEFT(B684,2)),VALUE(MID(B684,4,2))),
        DATEVALUE(B684)
      )
    )
  ),
"INVALID_DATE")</f>
        <v>45693</v>
      </c>
      <c r="AA684" s="2">
        <f>IFERROR(
  IF(ISNUMBER(C684),C684,
    IF(ISNUMBER(SEARCH("-",C684)*1),
      IF(LEN(LEFT(C684,FIND("-",C684)-1))=4,
        DATE(VALUE(LEFT(C684,4)),VALUE(MID(C684,6,2)),VALUE(RIGHT(C684,2))),
        DATE(VALUE(RIGHT(C684,4)),VALUE(MID(C684,4,2)),VALUE(LEFT(C684,2)))
      ),
      IF(ISNUMBER(SEARCH("/",C684)*1),
        DATE(VALUE(RIGHT(C684,4)),VALUE(LEFT(C684,2)),VALUE(MID(C684,4,2))),
        DATEVALUE(C684)
      )
    )
  ),
"INVALID_DATE")</f>
        <v>45693</v>
      </c>
      <c r="AB684">
        <f t="shared" si="63"/>
        <v>0</v>
      </c>
      <c r="AC684" t="str">
        <f t="shared" si="64"/>
        <v>February</v>
      </c>
      <c r="AD684">
        <f t="shared" si="65"/>
        <v>2025</v>
      </c>
    </row>
    <row r="685" spans="1:30">
      <c r="A685" t="s">
        <v>3222</v>
      </c>
      <c r="B685" t="s">
        <v>3223</v>
      </c>
      <c r="C685" t="s">
        <v>1737</v>
      </c>
      <c r="D685" t="s">
        <v>3224</v>
      </c>
      <c r="E685" t="s">
        <v>68</v>
      </c>
      <c r="F685" t="s">
        <v>48</v>
      </c>
      <c r="G685" t="s">
        <v>69</v>
      </c>
      <c r="H685" t="s">
        <v>70</v>
      </c>
      <c r="I685" t="s">
        <v>71</v>
      </c>
      <c r="J685" t="s">
        <v>52</v>
      </c>
      <c r="K685" t="s">
        <v>72</v>
      </c>
      <c r="L685" t="s">
        <v>3225</v>
      </c>
      <c r="M685" t="s">
        <v>40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131</v>
      </c>
      <c r="U685" t="s">
        <v>85</v>
      </c>
      <c r="V685">
        <f t="shared" si="60"/>
        <v>7902.9600000000009</v>
      </c>
      <c r="W685">
        <f t="shared" si="61"/>
        <v>2390.9300000000003</v>
      </c>
      <c r="X685">
        <f t="shared" si="62"/>
        <v>0.30253601182341805</v>
      </c>
      <c r="Y685" t="str">
        <f>_xlfn.TEXTJOIN(", ",TRUE,IF(G685="Unknown","Missing Region",""),IF(M685="Unknown","Missing Ship Mode",""),IF(P685&lt;0,"Negative Discount",""),IF(P685&gt;0.7,"High Discount",""),IF(C685&lt;B685,"Ship Before Order",""))</f>
        <v/>
      </c>
      <c r="Z685" s="2">
        <f>IFERROR(
  IF(ISNUMBER(B685),B685,
    IF(ISNUMBER(SEARCH("-",B685)*1),
      IF(LEN(LEFT(B685,FIND("-",B685)-1))=4,
        DATE(VALUE(LEFT(B685,4)),VALUE(MID(B685,6,2)),VALUE(RIGHT(B685,2))),
        DATE(VALUE(RIGHT(B685,4)),VALUE(MID(B685,4,2)),VALUE(LEFT(B685,2)))
      ),
      IF(ISNUMBER(SEARCH("/",B685)*1),
        DATE(VALUE(RIGHT(B685,4)),VALUE(LEFT(B685,2)),VALUE(MID(B685,4,2))),
        DATEVALUE(B685)
      )
    )
  ),
"INVALID_DATE")</f>
        <v>45858</v>
      </c>
      <c r="AA685" s="2">
        <f>IFERROR(
  IF(ISNUMBER(C685),C685,
    IF(ISNUMBER(SEARCH("-",C685)*1),
      IF(LEN(LEFT(C685,FIND("-",C685)-1))=4,
        DATE(VALUE(LEFT(C685,4)),VALUE(MID(C685,6,2)),VALUE(RIGHT(C685,2))),
        DATE(VALUE(RIGHT(C685,4)),VALUE(MID(C685,4,2)),VALUE(LEFT(C685,2)))
      ),
      IF(ISNUMBER(SEARCH("/",C685)*1),
        DATE(VALUE(RIGHT(C685,4)),VALUE(LEFT(C685,2)),VALUE(MID(C685,4,2))),
        DATEVALUE(C685)
      )
    )
  ),
"INVALID_DATE")</f>
        <v>45862</v>
      </c>
      <c r="AB685">
        <f t="shared" si="63"/>
        <v>4</v>
      </c>
      <c r="AC685" t="str">
        <f t="shared" si="64"/>
        <v>July</v>
      </c>
      <c r="AD685">
        <f t="shared" si="65"/>
        <v>2025</v>
      </c>
    </row>
    <row r="686" spans="1:30">
      <c r="A686" t="s">
        <v>3226</v>
      </c>
      <c r="B686" t="s">
        <v>3227</v>
      </c>
      <c r="C686" t="s">
        <v>502</v>
      </c>
      <c r="D686" t="s">
        <v>3228</v>
      </c>
      <c r="E686" t="s">
        <v>60</v>
      </c>
      <c r="F686" t="s">
        <v>122</v>
      </c>
      <c r="G686" t="s">
        <v>69</v>
      </c>
      <c r="H686" t="s">
        <v>347</v>
      </c>
      <c r="I686" t="s">
        <v>348</v>
      </c>
      <c r="J686" t="s">
        <v>52</v>
      </c>
      <c r="K686" t="s">
        <v>211</v>
      </c>
      <c r="L686" t="s">
        <v>3229</v>
      </c>
      <c r="M686" t="s">
        <v>63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131</v>
      </c>
      <c r="U686" t="s">
        <v>85</v>
      </c>
      <c r="V686">
        <f t="shared" si="60"/>
        <v>24621.239999999998</v>
      </c>
      <c r="W686">
        <f t="shared" si="61"/>
        <v>7465.760000000002</v>
      </c>
      <c r="X686">
        <f t="shared" si="62"/>
        <v>0.3032243705028666</v>
      </c>
      <c r="Y686" t="str">
        <f>_xlfn.TEXTJOIN(", ",TRUE,IF(G686="Unknown","Missing Region",""),IF(M686="Unknown","Missing Ship Mode",""),IF(P686&lt;0,"Negative Discount",""),IF(P686&gt;0.7,"High Discount",""),IF(C686&lt;B686,"Ship Before Order",""))</f>
        <v/>
      </c>
      <c r="Z686" s="2">
        <f>IFERROR(
  IF(ISNUMBER(B686),B686,
    IF(ISNUMBER(SEARCH("-",B686)*1),
      IF(LEN(LEFT(B686,FIND("-",B686)-1))=4,
        DATE(VALUE(LEFT(B686,4)),VALUE(MID(B686,6,2)),VALUE(RIGHT(B686,2))),
        DATE(VALUE(RIGHT(B686,4)),VALUE(MID(B686,4,2)),VALUE(LEFT(B686,2)))
      ),
      IF(ISNUMBER(SEARCH("/",B686)*1),
        DATE(VALUE(RIGHT(B686,4)),VALUE(LEFT(B686,2)),VALUE(MID(B686,4,2))),
        DATEVALUE(B686)
      )
    )
  ),
"INVALID_DATE")</f>
        <v>45859</v>
      </c>
      <c r="AA686" s="2">
        <f>IFERROR(
  IF(ISNUMBER(C686),C686,
    IF(ISNUMBER(SEARCH("-",C686)*1),
      IF(LEN(LEFT(C686,FIND("-",C686)-1))=4,
        DATE(VALUE(LEFT(C686,4)),VALUE(MID(C686,6,2)),VALUE(RIGHT(C686,2))),
        DATE(VALUE(RIGHT(C686,4)),VALUE(MID(C686,4,2)),VALUE(LEFT(C686,2)))
      ),
      IF(ISNUMBER(SEARCH("/",C686)*1),
        DATE(VALUE(RIGHT(C686,4)),VALUE(LEFT(C686,2)),VALUE(MID(C686,4,2))),
        DATEVALUE(C686)
      )
    )
  ),
"INVALID_DATE")</f>
        <v>45859</v>
      </c>
      <c r="AB686">
        <f t="shared" si="63"/>
        <v>0</v>
      </c>
      <c r="AC686" t="str">
        <f t="shared" si="64"/>
        <v>July</v>
      </c>
      <c r="AD686">
        <f t="shared" si="65"/>
        <v>2025</v>
      </c>
    </row>
    <row r="687" spans="1:30">
      <c r="A687" t="s">
        <v>3230</v>
      </c>
      <c r="B687" t="s">
        <v>3231</v>
      </c>
      <c r="C687" t="s">
        <v>507</v>
      </c>
      <c r="D687" t="s">
        <v>2742</v>
      </c>
      <c r="E687" t="s">
        <v>100</v>
      </c>
      <c r="F687" t="s">
        <v>115</v>
      </c>
      <c r="G687" t="s">
        <v>80</v>
      </c>
      <c r="H687" t="s">
        <v>256</v>
      </c>
      <c r="I687" t="s">
        <v>257</v>
      </c>
      <c r="J687" t="s">
        <v>37</v>
      </c>
      <c r="K687" t="s">
        <v>61</v>
      </c>
      <c r="L687" t="s">
        <v>3232</v>
      </c>
      <c r="M687" t="s">
        <v>74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207</v>
      </c>
      <c r="U687" t="s">
        <v>85</v>
      </c>
      <c r="V687">
        <f t="shared" si="60"/>
        <v>3313.5074999999997</v>
      </c>
      <c r="W687">
        <f t="shared" si="61"/>
        <v>1020.2200000000003</v>
      </c>
      <c r="X687">
        <f t="shared" si="62"/>
        <v>0.15394876422398637</v>
      </c>
      <c r="Y687" t="str">
        <f>_xlfn.TEXTJOIN(", ",TRUE,IF(G687="Unknown","Missing Region",""),IF(M687="Unknown","Missing Ship Mode",""),IF(P687&lt;0,"Negative Discount",""),IF(P687&gt;0.7,"High Discount",""),IF(C687&lt;B687,"Ship Before Order",""))</f>
        <v/>
      </c>
      <c r="Z687" s="2">
        <f>IFERROR(
  IF(ISNUMBER(B687),B687,
    IF(ISNUMBER(SEARCH("-",B687)*1),
      IF(LEN(LEFT(B687,FIND("-",B687)-1))=4,
        DATE(VALUE(LEFT(B687,4)),VALUE(MID(B687,6,2)),VALUE(RIGHT(B687,2))),
        DATE(VALUE(RIGHT(B687,4)),VALUE(MID(B687,4,2)),VALUE(LEFT(B687,2)))
      ),
      IF(ISNUMBER(SEARCH("/",B687)*1),
        DATE(VALUE(RIGHT(B687,4)),VALUE(LEFT(B687,2)),VALUE(MID(B687,4,2))),
        DATEVALUE(B687)
      )
    )
  ),
"INVALID_DATE")</f>
        <v>45931</v>
      </c>
      <c r="AA687" s="2">
        <f>IFERROR(
  IF(ISNUMBER(C687),C687,
    IF(ISNUMBER(SEARCH("-",C687)*1),
      IF(LEN(LEFT(C687,FIND("-",C687)-1))=4,
        DATE(VALUE(LEFT(C687,4)),VALUE(MID(C687,6,2)),VALUE(RIGHT(C687,2))),
        DATE(VALUE(RIGHT(C687,4)),VALUE(MID(C687,4,2)),VALUE(LEFT(C687,2)))
      ),
      IF(ISNUMBER(SEARCH("/",C687)*1),
        DATE(VALUE(RIGHT(C687,4)),VALUE(LEFT(C687,2)),VALUE(MID(C687,4,2))),
        DATEVALUE(C687)
      )
    )
  ),
"INVALID_DATE")</f>
        <v>45933</v>
      </c>
      <c r="AB687">
        <f t="shared" si="63"/>
        <v>2</v>
      </c>
      <c r="AC687" t="str">
        <f t="shared" si="64"/>
        <v>October</v>
      </c>
      <c r="AD687">
        <f t="shared" si="65"/>
        <v>2025</v>
      </c>
    </row>
    <row r="688" spans="1:30">
      <c r="A688" t="s">
        <v>3233</v>
      </c>
      <c r="B688" t="s">
        <v>3234</v>
      </c>
      <c r="C688" t="s">
        <v>2178</v>
      </c>
      <c r="D688" t="s">
        <v>3235</v>
      </c>
      <c r="E688" t="s">
        <v>175</v>
      </c>
      <c r="F688" t="s">
        <v>122</v>
      </c>
      <c r="G688" t="s">
        <v>69</v>
      </c>
      <c r="H688" t="s">
        <v>347</v>
      </c>
      <c r="I688" t="s">
        <v>348</v>
      </c>
      <c r="J688" t="s">
        <v>93</v>
      </c>
      <c r="K688" t="s">
        <v>101</v>
      </c>
      <c r="L688" t="s">
        <v>3236</v>
      </c>
      <c r="M688" t="s">
        <v>74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41</v>
      </c>
      <c r="U688" t="s">
        <v>42</v>
      </c>
      <c r="V688">
        <f t="shared" si="60"/>
        <v>4698.26</v>
      </c>
      <c r="W688">
        <f t="shared" si="61"/>
        <v>2043.3400000000001</v>
      </c>
      <c r="X688">
        <f t="shared" si="62"/>
        <v>0.43491420227914163</v>
      </c>
      <c r="Y688" t="str">
        <f>_xlfn.TEXTJOIN(", ",TRUE,IF(G688="Unknown","Missing Region",""),IF(M688="Unknown","Missing Ship Mode",""),IF(P688&lt;0,"Negative Discount",""),IF(P688&gt;0.7,"High Discount",""),IF(C688&lt;B688,"Ship Before Order",""))</f>
        <v>Ship Before Order</v>
      </c>
      <c r="Z688" s="2">
        <f>IFERROR(
  IF(ISNUMBER(B688),B688,
    IF(ISNUMBER(SEARCH("-",B688)*1),
      IF(LEN(LEFT(B688,FIND("-",B688)-1))=4,
        DATE(VALUE(LEFT(B688,4)),VALUE(MID(B688,6,2)),VALUE(RIGHT(B688,2))),
        DATE(VALUE(RIGHT(B688,4)),VALUE(MID(B688,4,2)),VALUE(LEFT(B688,2)))
      ),
      IF(ISNUMBER(SEARCH("/",B688)*1),
        DATE(VALUE(RIGHT(B688,4)),VALUE(LEFT(B688,2)),VALUE(MID(B688,4,2))),
        DATEVALUE(B688)
      )
    )
  ),
"INVALID_DATE")</f>
        <v>45376</v>
      </c>
      <c r="AA688" s="2">
        <f>IFERROR(
  IF(ISNUMBER(C688),C688,
    IF(ISNUMBER(SEARCH("-",C688)*1),
      IF(LEN(LEFT(C688,FIND("-",C688)-1))=4,
        DATE(VALUE(LEFT(C688,4)),VALUE(MID(C688,6,2)),VALUE(RIGHT(C688,2))),
        DATE(VALUE(RIGHT(C688,4)),VALUE(MID(C688,4,2)),VALUE(LEFT(C688,2)))
      ),
      IF(ISNUMBER(SEARCH("/",C688)*1),
        DATE(VALUE(RIGHT(C688,4)),VALUE(LEFT(C688,2)),VALUE(MID(C688,4,2))),
        DATEVALUE(C688)
      )
    )
  ),
"INVALID_DATE")</f>
        <v>45384</v>
      </c>
      <c r="AB688">
        <f t="shared" si="63"/>
        <v>8</v>
      </c>
      <c r="AC688" t="str">
        <f t="shared" si="64"/>
        <v>March</v>
      </c>
      <c r="AD688">
        <f t="shared" si="65"/>
        <v>2024</v>
      </c>
    </row>
    <row r="689" spans="1:30">
      <c r="A689" t="s">
        <v>3237</v>
      </c>
      <c r="B689" t="s">
        <v>1199</v>
      </c>
      <c r="C689" t="s">
        <v>3238</v>
      </c>
      <c r="D689" t="s">
        <v>3239</v>
      </c>
      <c r="E689" t="s">
        <v>47</v>
      </c>
      <c r="F689" t="s">
        <v>122</v>
      </c>
      <c r="G689" t="s">
        <v>34</v>
      </c>
      <c r="H689" t="s">
        <v>161</v>
      </c>
      <c r="I689" t="s">
        <v>162</v>
      </c>
      <c r="J689" t="s">
        <v>52</v>
      </c>
      <c r="K689" t="s">
        <v>53</v>
      </c>
      <c r="L689" t="s">
        <v>3240</v>
      </c>
      <c r="M689" t="s">
        <v>63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207</v>
      </c>
      <c r="U689" t="s">
        <v>85</v>
      </c>
      <c r="V689">
        <f t="shared" si="60"/>
        <v>688.2</v>
      </c>
      <c r="W689">
        <f t="shared" si="61"/>
        <v>190.52000000000004</v>
      </c>
      <c r="X689">
        <f t="shared" si="62"/>
        <v>0.27683812845103167</v>
      </c>
      <c r="Y689" t="str">
        <f>_xlfn.TEXTJOIN(", ",TRUE,IF(G689="Unknown","Missing Region",""),IF(M689="Unknown","Missing Ship Mode",""),IF(P689&lt;0,"Negative Discount",""),IF(P689&gt;0.7,"High Discount",""),IF(C689&lt;B689,"Ship Before Order",""))</f>
        <v/>
      </c>
      <c r="Z689" s="2">
        <f>IFERROR(
  IF(ISNUMBER(B689),B689,
    IF(ISNUMBER(SEARCH("-",B689)*1),
      IF(LEN(LEFT(B689,FIND("-",B689)-1))=4,
        DATE(VALUE(LEFT(B689,4)),VALUE(MID(B689,6,2)),VALUE(RIGHT(B689,2))),
        DATE(VALUE(RIGHT(B689,4)),VALUE(MID(B689,4,2)),VALUE(LEFT(B689,2)))
      ),
      IF(ISNUMBER(SEARCH("/",B689)*1),
        DATE(VALUE(RIGHT(B689,4)),VALUE(LEFT(B689,2)),VALUE(MID(B689,4,2))),
        DATEVALUE(B689)
      )
    )
  ),
"INVALID_DATE")</f>
        <v>45938</v>
      </c>
      <c r="AA689" s="2">
        <f>IFERROR(
  IF(ISNUMBER(C689),C689,
    IF(ISNUMBER(SEARCH("-",C689)*1),
      IF(LEN(LEFT(C689,FIND("-",C689)-1))=4,
        DATE(VALUE(LEFT(C689,4)),VALUE(MID(C689,6,2)),VALUE(RIGHT(C689,2))),
        DATE(VALUE(RIGHT(C689,4)),VALUE(MID(C689,4,2)),VALUE(LEFT(C689,2)))
      ),
      IF(ISNUMBER(SEARCH("/",C689)*1),
        DATE(VALUE(RIGHT(C689,4)),VALUE(LEFT(C689,2)),VALUE(MID(C689,4,2))),
        DATEVALUE(C689)
      )
    )
  ),
"INVALID_DATE")</f>
        <v>45943</v>
      </c>
      <c r="AB689">
        <f t="shared" si="63"/>
        <v>5</v>
      </c>
      <c r="AC689" t="str">
        <f t="shared" si="64"/>
        <v>October</v>
      </c>
      <c r="AD689">
        <f t="shared" si="65"/>
        <v>2025</v>
      </c>
    </row>
    <row r="690" spans="1:30">
      <c r="A690" t="s">
        <v>3241</v>
      </c>
      <c r="B690" t="s">
        <v>1170</v>
      </c>
      <c r="C690" t="s">
        <v>3242</v>
      </c>
      <c r="D690" t="s">
        <v>3243</v>
      </c>
      <c r="E690" t="s">
        <v>100</v>
      </c>
      <c r="F690" t="s">
        <v>122</v>
      </c>
      <c r="G690" t="s">
        <v>34</v>
      </c>
      <c r="H690" t="s">
        <v>331</v>
      </c>
      <c r="I690" t="s">
        <v>332</v>
      </c>
      <c r="J690" t="s">
        <v>37</v>
      </c>
      <c r="K690" t="s">
        <v>61</v>
      </c>
      <c r="L690" t="s">
        <v>3244</v>
      </c>
      <c r="M690" t="s">
        <v>40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41</v>
      </c>
      <c r="U690" t="s">
        <v>42</v>
      </c>
      <c r="V690">
        <f t="shared" si="60"/>
        <v>15492.065999999999</v>
      </c>
      <c r="W690">
        <f t="shared" si="61"/>
        <v>2910.84</v>
      </c>
      <c r="X690">
        <f t="shared" si="62"/>
        <v>0.18789225713542479</v>
      </c>
      <c r="Y690" t="str">
        <f>_xlfn.TEXTJOIN(", ",TRUE,IF(G690="Unknown","Missing Region",""),IF(M690="Unknown","Missing Ship Mode",""),IF(P690&lt;0,"Negative Discount",""),IF(P690&gt;0.7,"High Discount",""),IF(C690&lt;B690,"Ship Before Order",""))</f>
        <v/>
      </c>
      <c r="Z690" s="2">
        <f>IFERROR(
  IF(ISNUMBER(B690),B690,
    IF(ISNUMBER(SEARCH("-",B690)*1),
      IF(LEN(LEFT(B690,FIND("-",B690)-1))=4,
        DATE(VALUE(LEFT(B690,4)),VALUE(MID(B690,6,2)),VALUE(RIGHT(B690,2))),
        DATE(VALUE(RIGHT(B690,4)),VALUE(MID(B690,4,2)),VALUE(LEFT(B690,2)))
      ),
      IF(ISNUMBER(SEARCH("/",B690)*1),
        DATE(VALUE(RIGHT(B690,4)),VALUE(LEFT(B690,2)),VALUE(MID(B690,4,2))),
        DATEVALUE(B690)
      )
    )
  ),
"INVALID_DATE")</f>
        <v>45714</v>
      </c>
      <c r="AA690" s="2">
        <f>IFERROR(
  IF(ISNUMBER(C690),C690,
    IF(ISNUMBER(SEARCH("-",C690)*1),
      IF(LEN(LEFT(C690,FIND("-",C690)-1))=4,
        DATE(VALUE(LEFT(C690,4)),VALUE(MID(C690,6,2)),VALUE(RIGHT(C690,2))),
        DATE(VALUE(RIGHT(C690,4)),VALUE(MID(C690,4,2)),VALUE(LEFT(C690,2)))
      ),
      IF(ISNUMBER(SEARCH("/",C690)*1),
        DATE(VALUE(RIGHT(C690,4)),VALUE(LEFT(C690,2)),VALUE(MID(C690,4,2))),
        DATEVALUE(C690)
      )
    )
  ),
"INVALID_DATE")</f>
        <v>45715</v>
      </c>
      <c r="AB690">
        <f t="shared" si="63"/>
        <v>1</v>
      </c>
      <c r="AC690" t="str">
        <f t="shared" si="64"/>
        <v>February</v>
      </c>
      <c r="AD690">
        <f t="shared" si="65"/>
        <v>2025</v>
      </c>
    </row>
    <row r="691" spans="1:30">
      <c r="A691" t="s">
        <v>3245</v>
      </c>
      <c r="B691" t="s">
        <v>3246</v>
      </c>
      <c r="C691" t="s">
        <v>3247</v>
      </c>
      <c r="D691" t="s">
        <v>3248</v>
      </c>
      <c r="E691" t="s">
        <v>187</v>
      </c>
      <c r="F691" t="s">
        <v>48</v>
      </c>
      <c r="G691" t="s">
        <v>34</v>
      </c>
      <c r="H691" t="s">
        <v>161</v>
      </c>
      <c r="I691" t="s">
        <v>162</v>
      </c>
      <c r="J691" t="s">
        <v>52</v>
      </c>
      <c r="K691" t="s">
        <v>53</v>
      </c>
      <c r="L691" t="s">
        <v>3249</v>
      </c>
      <c r="M691" t="s">
        <v>74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207</v>
      </c>
      <c r="U691" t="s">
        <v>85</v>
      </c>
      <c r="V691">
        <f t="shared" si="60"/>
        <v>3745.2869999999998</v>
      </c>
      <c r="W691">
        <f t="shared" si="61"/>
        <v>1442.6399999999999</v>
      </c>
      <c r="X691">
        <f t="shared" si="62"/>
        <v>0.38518779587161478</v>
      </c>
      <c r="Y691" t="str">
        <f>_xlfn.TEXTJOIN(", ",TRUE,IF(G691="Unknown","Missing Region",""),IF(M691="Unknown","Missing Ship Mode",""),IF(P691&lt;0,"Negative Discount",""),IF(P691&gt;0.7,"High Discount",""),IF(C691&lt;B691,"Ship Before Order",""))</f>
        <v/>
      </c>
      <c r="Z691" s="2">
        <f>IFERROR(
  IF(ISNUMBER(B691),B691,
    IF(ISNUMBER(SEARCH("-",B691)*1),
      IF(LEN(LEFT(B691,FIND("-",B691)-1))=4,
        DATE(VALUE(LEFT(B691,4)),VALUE(MID(B691,6,2)),VALUE(RIGHT(B691,2))),
        DATE(VALUE(RIGHT(B691,4)),VALUE(MID(B691,4,2)),VALUE(LEFT(B691,2)))
      ),
      IF(ISNUMBER(SEARCH("/",B691)*1),
        DATE(VALUE(RIGHT(B691,4)),VALUE(LEFT(B691,2)),VALUE(MID(B691,4,2))),
        DATEVALUE(B691)
      )
    )
  ),
"INVALID_DATE")</f>
        <v>45570</v>
      </c>
      <c r="AA691" s="2">
        <f>IFERROR(
  IF(ISNUMBER(C691),C691,
    IF(ISNUMBER(SEARCH("-",C691)*1),
      IF(LEN(LEFT(C691,FIND("-",C691)-1))=4,
        DATE(VALUE(LEFT(C691,4)),VALUE(MID(C691,6,2)),VALUE(RIGHT(C691,2))),
        DATE(VALUE(RIGHT(C691,4)),VALUE(MID(C691,4,2)),VALUE(LEFT(C691,2)))
      ),
      IF(ISNUMBER(SEARCH("/",C691)*1),
        DATE(VALUE(RIGHT(C691,4)),VALUE(LEFT(C691,2)),VALUE(MID(C691,4,2))),
        DATEVALUE(C691)
      )
    )
  ),
"INVALID_DATE")</f>
        <v>45571</v>
      </c>
      <c r="AB691">
        <f t="shared" si="63"/>
        <v>1</v>
      </c>
      <c r="AC691" t="str">
        <f t="shared" si="64"/>
        <v>October</v>
      </c>
      <c r="AD691">
        <f t="shared" si="65"/>
        <v>2024</v>
      </c>
    </row>
    <row r="692" spans="1:30">
      <c r="A692" t="s">
        <v>3250</v>
      </c>
      <c r="B692" t="s">
        <v>885</v>
      </c>
      <c r="C692" t="s">
        <v>3251</v>
      </c>
      <c r="D692" t="s">
        <v>3252</v>
      </c>
      <c r="E692" t="s">
        <v>175</v>
      </c>
      <c r="F692" t="s">
        <v>115</v>
      </c>
      <c r="G692" t="s">
        <v>69</v>
      </c>
      <c r="H692" t="s">
        <v>347</v>
      </c>
      <c r="I692" t="s">
        <v>348</v>
      </c>
      <c r="J692" t="s">
        <v>37</v>
      </c>
      <c r="K692" t="s">
        <v>61</v>
      </c>
      <c r="L692" t="s">
        <v>3253</v>
      </c>
      <c r="M692" t="s">
        <v>74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207</v>
      </c>
      <c r="U692" t="s">
        <v>132</v>
      </c>
      <c r="V692">
        <f t="shared" si="60"/>
        <v>3462.52</v>
      </c>
      <c r="W692">
        <f t="shared" si="61"/>
        <v>665.23</v>
      </c>
      <c r="X692">
        <f t="shared" si="62"/>
        <v>0.19212307798944123</v>
      </c>
      <c r="Y692" t="str">
        <f>_xlfn.TEXTJOIN(", ",TRUE,IF(G692="Unknown","Missing Region",""),IF(M692="Unknown","Missing Ship Mode",""),IF(P692&lt;0,"Negative Discount",""),IF(P692&gt;0.7,"High Discount",""),IF(C692&lt;B692,"Ship Before Order",""))</f>
        <v/>
      </c>
      <c r="Z692" s="2">
        <f>IFERROR(
  IF(ISNUMBER(B692),B692,
    IF(ISNUMBER(SEARCH("-",B692)*1),
      IF(LEN(LEFT(B692,FIND("-",B692)-1))=4,
        DATE(VALUE(LEFT(B692,4)),VALUE(MID(B692,6,2)),VALUE(RIGHT(B692,2))),
        DATE(VALUE(RIGHT(B692,4)),VALUE(MID(B692,4,2)),VALUE(LEFT(B692,2)))
      ),
      IF(ISNUMBER(SEARCH("/",B692)*1),
        DATE(VALUE(RIGHT(B692,4)),VALUE(LEFT(B692,2)),VALUE(MID(B692,4,2))),
        DATEVALUE(B692)
      )
    )
  ),
"INVALID_DATE")</f>
        <v>45546</v>
      </c>
      <c r="AA692" s="2">
        <f>IFERROR(
  IF(ISNUMBER(C692),C692,
    IF(ISNUMBER(SEARCH("-",C692)*1),
      IF(LEN(LEFT(C692,FIND("-",C692)-1))=4,
        DATE(VALUE(LEFT(C692,4)),VALUE(MID(C692,6,2)),VALUE(RIGHT(C692,2))),
        DATE(VALUE(RIGHT(C692,4)),VALUE(MID(C692,4,2)),VALUE(LEFT(C692,2)))
      ),
      IF(ISNUMBER(SEARCH("/",C692)*1),
        DATE(VALUE(RIGHT(C692,4)),VALUE(LEFT(C692,2)),VALUE(MID(C692,4,2))),
        DATEVALUE(C692)
      )
    )
  ),
"INVALID_DATE")</f>
        <v>45550</v>
      </c>
      <c r="AB692">
        <f t="shared" si="63"/>
        <v>4</v>
      </c>
      <c r="AC692" t="str">
        <f t="shared" si="64"/>
        <v>September</v>
      </c>
      <c r="AD692">
        <f t="shared" si="65"/>
        <v>2024</v>
      </c>
    </row>
    <row r="693" spans="1:30">
      <c r="A693" t="s">
        <v>3254</v>
      </c>
      <c r="B693" t="s">
        <v>2469</v>
      </c>
      <c r="C693" t="s">
        <v>3255</v>
      </c>
      <c r="D693" t="s">
        <v>3256</v>
      </c>
      <c r="E693" t="s">
        <v>187</v>
      </c>
      <c r="F693" t="s">
        <v>33</v>
      </c>
      <c r="G693" t="s">
        <v>49</v>
      </c>
      <c r="H693" t="s">
        <v>50</v>
      </c>
      <c r="I693" t="s">
        <v>51</v>
      </c>
      <c r="J693" t="s">
        <v>93</v>
      </c>
      <c r="K693" t="s">
        <v>101</v>
      </c>
      <c r="L693" t="s">
        <v>3257</v>
      </c>
      <c r="M693" t="s">
        <v>40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41</v>
      </c>
      <c r="U693" t="s">
        <v>42</v>
      </c>
      <c r="V693">
        <f t="shared" si="60"/>
        <v>8767.17</v>
      </c>
      <c r="W693">
        <f t="shared" si="61"/>
        <v>3668.9700000000003</v>
      </c>
      <c r="X693">
        <f t="shared" si="62"/>
        <v>0.41848966085977568</v>
      </c>
      <c r="Y693" t="str">
        <f>_xlfn.TEXTJOIN(", ",TRUE,IF(G693="Unknown","Missing Region",""),IF(M693="Unknown","Missing Ship Mode",""),IF(P693&lt;0,"Negative Discount",""),IF(P693&gt;0.7,"High Discount",""),IF(C693&lt;B693,"Ship Before Order",""))</f>
        <v/>
      </c>
      <c r="Z693" s="2">
        <f>IFERROR(
  IF(ISNUMBER(B693),B693,
    IF(ISNUMBER(SEARCH("-",B693)*1),
      IF(LEN(LEFT(B693,FIND("-",B693)-1))=4,
        DATE(VALUE(LEFT(B693,4)),VALUE(MID(B693,6,2)),VALUE(RIGHT(B693,2))),
        DATE(VALUE(RIGHT(B693,4)),VALUE(MID(B693,4,2)),VALUE(LEFT(B693,2)))
      ),
      IF(ISNUMBER(SEARCH("/",B693)*1),
        DATE(VALUE(RIGHT(B693,4)),VALUE(LEFT(B693,2)),VALUE(MID(B693,4,2))),
        DATEVALUE(B693)
      )
    )
  ),
"INVALID_DATE")</f>
        <v>45641</v>
      </c>
      <c r="AA693" s="2">
        <f>IFERROR(
  IF(ISNUMBER(C693),C693,
    IF(ISNUMBER(SEARCH("-",C693)*1),
      IF(LEN(LEFT(C693,FIND("-",C693)-1))=4,
        DATE(VALUE(LEFT(C693,4)),VALUE(MID(C693,6,2)),VALUE(RIGHT(C693,2))),
        DATE(VALUE(RIGHT(C693,4)),VALUE(MID(C693,4,2)),VALUE(LEFT(C693,2)))
      ),
      IF(ISNUMBER(SEARCH("/",C693)*1),
        DATE(VALUE(RIGHT(C693,4)),VALUE(LEFT(C693,2)),VALUE(MID(C693,4,2))),
        DATEVALUE(C693)
      )
    )
  ),
"INVALID_DATE")</f>
        <v>45642</v>
      </c>
      <c r="AB693">
        <f t="shared" si="63"/>
        <v>1</v>
      </c>
      <c r="AC693" t="str">
        <f t="shared" si="64"/>
        <v>December</v>
      </c>
      <c r="AD693">
        <f t="shared" si="65"/>
        <v>2024</v>
      </c>
    </row>
    <row r="694" spans="1:30">
      <c r="A694" t="s">
        <v>3258</v>
      </c>
      <c r="B694" t="s">
        <v>234</v>
      </c>
      <c r="C694" t="s">
        <v>3259</v>
      </c>
      <c r="D694" t="s">
        <v>3260</v>
      </c>
      <c r="E694" t="s">
        <v>60</v>
      </c>
      <c r="F694" t="s">
        <v>1789</v>
      </c>
      <c r="G694" t="s">
        <v>69</v>
      </c>
      <c r="H694" t="s">
        <v>236</v>
      </c>
      <c r="I694" t="s">
        <v>237</v>
      </c>
      <c r="J694" t="s">
        <v>52</v>
      </c>
      <c r="K694" t="s">
        <v>72</v>
      </c>
      <c r="L694" t="s">
        <v>3261</v>
      </c>
      <c r="M694" t="s">
        <v>40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41</v>
      </c>
      <c r="U694" t="s">
        <v>42</v>
      </c>
      <c r="V694">
        <f t="shared" si="60"/>
        <v>8516.4480000000003</v>
      </c>
      <c r="W694">
        <f t="shared" si="61"/>
        <v>2612.6400000000003</v>
      </c>
      <c r="X694">
        <f t="shared" si="62"/>
        <v>0.30677571053666725</v>
      </c>
      <c r="Y694" t="str">
        <f>_xlfn.TEXTJOIN(", ",TRUE,IF(G694="Unknown","Missing Region",""),IF(M694="Unknown","Missing Ship Mode",""),IF(P694&lt;0,"Negative Discount",""),IF(P694&gt;0.7,"High Discount",""),IF(C694&lt;B694,"Ship Before Order",""))</f>
        <v/>
      </c>
      <c r="Z694" s="2">
        <f>IFERROR(
  IF(ISNUMBER(B694),B694,
    IF(ISNUMBER(SEARCH("-",B694)*1),
      IF(LEN(LEFT(B694,FIND("-",B694)-1))=4,
        DATE(VALUE(LEFT(B694,4)),VALUE(MID(B694,6,2)),VALUE(RIGHT(B694,2))),
        DATE(VALUE(RIGHT(B694,4)),VALUE(MID(B694,4,2)),VALUE(LEFT(B694,2)))
      ),
      IF(ISNUMBER(SEARCH("/",B694)*1),
        DATE(VALUE(RIGHT(B694,4)),VALUE(LEFT(B694,2)),VALUE(MID(B694,4,2))),
        DATEVALUE(B694)
      )
    )
  ),
"INVALID_DATE")</f>
        <v>45935</v>
      </c>
      <c r="AA694" s="2">
        <f>IFERROR(
  IF(ISNUMBER(C694),C694,
    IF(ISNUMBER(SEARCH("-",C694)*1),
      IF(LEN(LEFT(C694,FIND("-",C694)-1))=4,
        DATE(VALUE(LEFT(C694,4)),VALUE(MID(C694,6,2)),VALUE(RIGHT(C694,2))),
        DATE(VALUE(RIGHT(C694,4)),VALUE(MID(C694,4,2)),VALUE(LEFT(C694,2)))
      ),
      IF(ISNUMBER(SEARCH("/",C694)*1),
        DATE(VALUE(RIGHT(C694,4)),VALUE(LEFT(C694,2)),VALUE(MID(C694,4,2))),
        DATEVALUE(C694)
      )
    )
  ),
"INVALID_DATE")</f>
        <v>45940</v>
      </c>
      <c r="AB694">
        <f t="shared" si="63"/>
        <v>5</v>
      </c>
      <c r="AC694" t="str">
        <f t="shared" si="64"/>
        <v>October</v>
      </c>
      <c r="AD694">
        <f t="shared" si="65"/>
        <v>2025</v>
      </c>
    </row>
    <row r="695" spans="1:30">
      <c r="A695" t="s">
        <v>3262</v>
      </c>
      <c r="B695" t="s">
        <v>3263</v>
      </c>
      <c r="C695" t="s">
        <v>2506</v>
      </c>
      <c r="D695" t="s">
        <v>3264</v>
      </c>
      <c r="E695" t="s">
        <v>68</v>
      </c>
      <c r="F695" t="s">
        <v>33</v>
      </c>
      <c r="G695" t="s">
        <v>69</v>
      </c>
      <c r="H695" t="s">
        <v>347</v>
      </c>
      <c r="I695" t="s">
        <v>348</v>
      </c>
      <c r="J695" t="s">
        <v>52</v>
      </c>
      <c r="K695" t="s">
        <v>211</v>
      </c>
      <c r="L695" t="s">
        <v>3265</v>
      </c>
      <c r="M695" t="s">
        <v>40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41</v>
      </c>
      <c r="U695" t="s">
        <v>42</v>
      </c>
      <c r="V695">
        <f t="shared" si="60"/>
        <v>11826.844499999999</v>
      </c>
      <c r="W695">
        <f t="shared" si="61"/>
        <v>3790.88</v>
      </c>
      <c r="X695">
        <f t="shared" si="62"/>
        <v>0.32053194259836104</v>
      </c>
      <c r="Y695" t="str">
        <f>_xlfn.TEXTJOIN(", ",TRUE,IF(G695="Unknown","Missing Region",""),IF(M695="Unknown","Missing Ship Mode",""),IF(P695&lt;0,"Negative Discount",""),IF(P695&gt;0.7,"High Discount",""),IF(C695&lt;B695,"Ship Before Order",""))</f>
        <v/>
      </c>
      <c r="Z695" s="2">
        <f>IFERROR(
  IF(ISNUMBER(B695),B695,
    IF(ISNUMBER(SEARCH("-",B695)*1),
      IF(LEN(LEFT(B695,FIND("-",B695)-1))=4,
        DATE(VALUE(LEFT(B695,4)),VALUE(MID(B695,6,2)),VALUE(RIGHT(B695,2))),
        DATE(VALUE(RIGHT(B695,4)),VALUE(MID(B695,4,2)),VALUE(LEFT(B695,2)))
      ),
      IF(ISNUMBER(SEARCH("/",B695)*1),
        DATE(VALUE(RIGHT(B695,4)),VALUE(LEFT(B695,2)),VALUE(MID(B695,4,2))),
        DATEVALUE(B695)
      )
    )
  ),
"INVALID_DATE")</f>
        <v>45750</v>
      </c>
      <c r="AA695" s="2">
        <f>IFERROR(
  IF(ISNUMBER(C695),C695,
    IF(ISNUMBER(SEARCH("-",C695)*1),
      IF(LEN(LEFT(C695,FIND("-",C695)-1))=4,
        DATE(VALUE(LEFT(C695,4)),VALUE(MID(C695,6,2)),VALUE(RIGHT(C695,2))),
        DATE(VALUE(RIGHT(C695,4)),VALUE(MID(C695,4,2)),VALUE(LEFT(C695,2)))
      ),
      IF(ISNUMBER(SEARCH("/",C695)*1),
        DATE(VALUE(RIGHT(C695,4)),VALUE(LEFT(C695,2)),VALUE(MID(C695,4,2))),
        DATEVALUE(C695)
      )
    )
  ),
"INVALID_DATE")</f>
        <v>45758</v>
      </c>
      <c r="AB695">
        <f t="shared" si="63"/>
        <v>8</v>
      </c>
      <c r="AC695" t="str">
        <f t="shared" si="64"/>
        <v>April</v>
      </c>
      <c r="AD695">
        <f t="shared" si="65"/>
        <v>2025</v>
      </c>
    </row>
    <row r="696" spans="1:30">
      <c r="A696" t="s">
        <v>3266</v>
      </c>
      <c r="B696" t="s">
        <v>1738</v>
      </c>
      <c r="C696" t="s">
        <v>3087</v>
      </c>
      <c r="D696" t="s">
        <v>1746</v>
      </c>
      <c r="E696" t="s">
        <v>60</v>
      </c>
      <c r="F696" t="s">
        <v>33</v>
      </c>
      <c r="G696" t="s">
        <v>69</v>
      </c>
      <c r="H696" t="s">
        <v>107</v>
      </c>
      <c r="I696" t="s">
        <v>108</v>
      </c>
      <c r="J696" t="s">
        <v>37</v>
      </c>
      <c r="K696" t="s">
        <v>163</v>
      </c>
      <c r="L696" t="s">
        <v>3267</v>
      </c>
      <c r="M696" t="s">
        <v>63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41</v>
      </c>
      <c r="U696" t="s">
        <v>42</v>
      </c>
      <c r="V696">
        <f t="shared" si="60"/>
        <v>11629.019999999999</v>
      </c>
      <c r="W696">
        <f t="shared" si="61"/>
        <v>2001.8100000000013</v>
      </c>
      <c r="X696">
        <f t="shared" si="62"/>
        <v>0.1721391828374188</v>
      </c>
      <c r="Y696" t="str">
        <f>_xlfn.TEXTJOIN(", ",TRUE,IF(G696="Unknown","Missing Region",""),IF(M696="Unknown","Missing Ship Mode",""),IF(P696&lt;0,"Negative Discount",""),IF(P696&gt;0.7,"High Discount",""),IF(C696&lt;B696,"Ship Before Order",""))</f>
        <v/>
      </c>
      <c r="Z696" s="2">
        <f>IFERROR(
  IF(ISNUMBER(B696),B696,
    IF(ISNUMBER(SEARCH("-",B696)*1),
      IF(LEN(LEFT(B696,FIND("-",B696)-1))=4,
        DATE(VALUE(LEFT(B696,4)),VALUE(MID(B696,6,2)),VALUE(RIGHT(B696,2))),
        DATE(VALUE(RIGHT(B696,4)),VALUE(MID(B696,4,2)),VALUE(LEFT(B696,2)))
      ),
      IF(ISNUMBER(SEARCH("/",B696)*1),
        DATE(VALUE(RIGHT(B696,4)),VALUE(LEFT(B696,2)),VALUE(MID(B696,4,2))),
        DATEVALUE(B696)
      )
    )
  ),
"INVALID_DATE")</f>
        <v>45870</v>
      </c>
      <c r="AA696" s="2">
        <f>IFERROR(
  IF(ISNUMBER(C696),C696,
    IF(ISNUMBER(SEARCH("-",C696)*1),
      IF(LEN(LEFT(C696,FIND("-",C696)-1))=4,
        DATE(VALUE(LEFT(C696,4)),VALUE(MID(C696,6,2)),VALUE(RIGHT(C696,2))),
        DATE(VALUE(RIGHT(C696,4)),VALUE(MID(C696,4,2)),VALUE(LEFT(C696,2)))
      ),
      IF(ISNUMBER(SEARCH("/",C696)*1),
        DATE(VALUE(RIGHT(C696,4)),VALUE(LEFT(C696,2)),VALUE(MID(C696,4,2))),
        DATEVALUE(C696)
      )
    )
  ),
"INVALID_DATE")</f>
        <v>45878</v>
      </c>
      <c r="AB696">
        <f t="shared" si="63"/>
        <v>8</v>
      </c>
      <c r="AC696" t="str">
        <f t="shared" si="64"/>
        <v>August</v>
      </c>
      <c r="AD696">
        <f t="shared" si="65"/>
        <v>2025</v>
      </c>
    </row>
    <row r="697" spans="1:30">
      <c r="A697" t="s">
        <v>3268</v>
      </c>
      <c r="B697" t="s">
        <v>3269</v>
      </c>
      <c r="C697" t="s">
        <v>2113</v>
      </c>
      <c r="D697" t="s">
        <v>3270</v>
      </c>
      <c r="E697" t="s">
        <v>169</v>
      </c>
      <c r="F697" t="s">
        <v>33</v>
      </c>
      <c r="G697" t="s">
        <v>80</v>
      </c>
      <c r="H697" t="s">
        <v>91</v>
      </c>
      <c r="I697" t="s">
        <v>92</v>
      </c>
      <c r="J697" t="s">
        <v>93</v>
      </c>
      <c r="K697" t="s">
        <v>390</v>
      </c>
      <c r="L697" t="s">
        <v>3271</v>
      </c>
      <c r="M697" t="s">
        <v>74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41</v>
      </c>
      <c r="U697" t="s">
        <v>42</v>
      </c>
      <c r="V697">
        <f t="shared" si="60"/>
        <v>1029.56</v>
      </c>
      <c r="W697">
        <f t="shared" si="61"/>
        <v>403.2299999999999</v>
      </c>
      <c r="X697">
        <f t="shared" si="62"/>
        <v>0.39165274486188278</v>
      </c>
      <c r="Y697" t="str">
        <f>_xlfn.TEXTJOIN(", ",TRUE,IF(G697="Unknown","Missing Region",""),IF(M697="Unknown","Missing Ship Mode",""),IF(P697&lt;0,"Negative Discount",""),IF(P697&gt;0.7,"High Discount",""),IF(C697&lt;B697,"Ship Before Order",""))</f>
        <v>Ship Before Order</v>
      </c>
      <c r="Z697" s="2">
        <f>IFERROR(
  IF(ISNUMBER(B697),B697,
    IF(ISNUMBER(SEARCH("-",B697)*1),
      IF(LEN(LEFT(B697,FIND("-",B697)-1))=4,
        DATE(VALUE(LEFT(B697,4)),VALUE(MID(B697,6,2)),VALUE(RIGHT(B697,2))),
        DATE(VALUE(RIGHT(B697,4)),VALUE(MID(B697,4,2)),VALUE(LEFT(B697,2)))
      ),
      IF(ISNUMBER(SEARCH("/",B697)*1),
        DATE(VALUE(RIGHT(B697,4)),VALUE(LEFT(B697,2)),VALUE(MID(B697,4,2))),
        DATEVALUE(B697)
      )
    )
  ),
"INVALID_DATE")</f>
        <v>45474</v>
      </c>
      <c r="AA697" s="2">
        <f>IFERROR(
  IF(ISNUMBER(C697),C697,
    IF(ISNUMBER(SEARCH("-",C697)*1),
      IF(LEN(LEFT(C697,FIND("-",C697)-1))=4,
        DATE(VALUE(LEFT(C697,4)),VALUE(MID(C697,6,2)),VALUE(RIGHT(C697,2))),
        DATE(VALUE(RIGHT(C697,4)),VALUE(MID(C697,4,2)),VALUE(LEFT(C697,2)))
      ),
      IF(ISNUMBER(SEARCH("/",C697)*1),
        DATE(VALUE(RIGHT(C697,4)),VALUE(LEFT(C697,2)),VALUE(MID(C697,4,2))),
        DATEVALUE(C697)
      )
    )
  ),
"INVALID_DATE")</f>
        <v>45474</v>
      </c>
      <c r="AB697">
        <f t="shared" si="63"/>
        <v>0</v>
      </c>
      <c r="AC697" t="str">
        <f t="shared" si="64"/>
        <v>July</v>
      </c>
      <c r="AD697">
        <f t="shared" si="65"/>
        <v>2024</v>
      </c>
    </row>
    <row r="698" spans="1:30">
      <c r="A698" t="s">
        <v>3272</v>
      </c>
      <c r="B698" t="s">
        <v>3273</v>
      </c>
      <c r="C698" t="s">
        <v>3274</v>
      </c>
      <c r="D698" t="s">
        <v>3275</v>
      </c>
      <c r="E698" t="s">
        <v>60</v>
      </c>
      <c r="F698" t="s">
        <v>48</v>
      </c>
      <c r="G698" t="s">
        <v>69</v>
      </c>
      <c r="H698" t="s">
        <v>249</v>
      </c>
      <c r="I698" t="s">
        <v>250</v>
      </c>
      <c r="J698" t="s">
        <v>93</v>
      </c>
      <c r="K698" t="s">
        <v>230</v>
      </c>
      <c r="L698" t="s">
        <v>3276</v>
      </c>
      <c r="M698" t="s">
        <v>279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41</v>
      </c>
      <c r="U698" t="s">
        <v>42</v>
      </c>
      <c r="V698">
        <f t="shared" si="60"/>
        <v>3536.5199999999995</v>
      </c>
      <c r="W698">
        <f t="shared" si="61"/>
        <v>1434.1100000000001</v>
      </c>
      <c r="X698">
        <f t="shared" si="62"/>
        <v>0.38548629726397698</v>
      </c>
      <c r="Y698" t="str">
        <f>_xlfn.TEXTJOIN(", ",TRUE,IF(G698="Unknown","Missing Region",""),IF(M698="Unknown","Missing Ship Mode",""),IF(P698&lt;0,"Negative Discount",""),IF(P698&gt;0.7,"High Discount",""),IF(C698&lt;B698,"Ship Before Order",""))</f>
        <v>Missing Ship Mode</v>
      </c>
      <c r="Z698" s="2">
        <f>IFERROR(
  IF(ISNUMBER(B698),B698,
    IF(ISNUMBER(SEARCH("-",B698)*1),
      IF(LEN(LEFT(B698,FIND("-",B698)-1))=4,
        DATE(VALUE(LEFT(B698,4)),VALUE(MID(B698,6,2)),VALUE(RIGHT(B698,2))),
        DATE(VALUE(RIGHT(B698,4)),VALUE(MID(B698,4,2)),VALUE(LEFT(B698,2)))
      ),
      IF(ISNUMBER(SEARCH("/",B698)*1),
        DATE(VALUE(RIGHT(B698,4)),VALUE(LEFT(B698,2)),VALUE(MID(B698,4,2))),
        DATEVALUE(B698)
      )
    )
  ),
"INVALID_DATE")</f>
        <v>45922</v>
      </c>
      <c r="AA698" s="2">
        <f>IFERROR(
  IF(ISNUMBER(C698),C698,
    IF(ISNUMBER(SEARCH("-",C698)*1),
      IF(LEN(LEFT(C698,FIND("-",C698)-1))=4,
        DATE(VALUE(LEFT(C698,4)),VALUE(MID(C698,6,2)),VALUE(RIGHT(C698,2))),
        DATE(VALUE(RIGHT(C698,4)),VALUE(MID(C698,4,2)),VALUE(LEFT(C698,2)))
      ),
      IF(ISNUMBER(SEARCH("/",C698)*1),
        DATE(VALUE(RIGHT(C698,4)),VALUE(LEFT(C698,2)),VALUE(MID(C698,4,2))),
        DATEVALUE(C698)
      )
    )
  ),
"INVALID_DATE")</f>
        <v>45925</v>
      </c>
      <c r="AB698">
        <f t="shared" si="63"/>
        <v>3</v>
      </c>
      <c r="AC698" t="str">
        <f t="shared" si="64"/>
        <v>September</v>
      </c>
      <c r="AD698">
        <f t="shared" si="65"/>
        <v>2025</v>
      </c>
    </row>
    <row r="699" spans="1:30">
      <c r="A699" t="s">
        <v>3277</v>
      </c>
      <c r="B699" t="s">
        <v>2331</v>
      </c>
      <c r="C699" t="s">
        <v>795</v>
      </c>
      <c r="D699" t="s">
        <v>3278</v>
      </c>
      <c r="E699" t="s">
        <v>68</v>
      </c>
      <c r="F699" t="s">
        <v>115</v>
      </c>
      <c r="G699" t="s">
        <v>69</v>
      </c>
      <c r="H699" t="s">
        <v>107</v>
      </c>
      <c r="I699" t="s">
        <v>108</v>
      </c>
      <c r="J699" t="s">
        <v>37</v>
      </c>
      <c r="K699" t="s">
        <v>116</v>
      </c>
      <c r="L699" t="s">
        <v>3279</v>
      </c>
      <c r="M699" t="s">
        <v>63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131</v>
      </c>
      <c r="U699" t="s">
        <v>132</v>
      </c>
      <c r="V699">
        <f t="shared" si="60"/>
        <v>3970.0499999999997</v>
      </c>
      <c r="W699">
        <f t="shared" si="61"/>
        <v>1128.24</v>
      </c>
      <c r="X699">
        <f t="shared" si="62"/>
        <v>0.37891682395534571</v>
      </c>
      <c r="Y699" t="str">
        <f>_xlfn.TEXTJOIN(", ",TRUE,IF(G699="Unknown","Missing Region",""),IF(M699="Unknown","Missing Ship Mode",""),IF(P699&lt;0,"Negative Discount",""),IF(P699&gt;0.7,"High Discount",""),IF(C699&lt;B699,"Ship Before Order",""))</f>
        <v/>
      </c>
      <c r="Z699" s="2">
        <f>IFERROR(
  IF(ISNUMBER(B699),B699,
    IF(ISNUMBER(SEARCH("-",B699)*1),
      IF(LEN(LEFT(B699,FIND("-",B699)-1))=4,
        DATE(VALUE(LEFT(B699,4)),VALUE(MID(B699,6,2)),VALUE(RIGHT(B699,2))),
        DATE(VALUE(RIGHT(B699,4)),VALUE(MID(B699,4,2)),VALUE(LEFT(B699,2)))
      ),
      IF(ISNUMBER(SEARCH("/",B699)*1),
        DATE(VALUE(RIGHT(B699,4)),VALUE(LEFT(B699,2)),VALUE(MID(B699,4,2))),
        DATEVALUE(B699)
      )
    )
  ),
"INVALID_DATE")</f>
        <v>45717</v>
      </c>
      <c r="AA699" s="2">
        <f>IFERROR(
  IF(ISNUMBER(C699),C699,
    IF(ISNUMBER(SEARCH("-",C699)*1),
      IF(LEN(LEFT(C699,FIND("-",C699)-1))=4,
        DATE(VALUE(LEFT(C699,4)),VALUE(MID(C699,6,2)),VALUE(RIGHT(C699,2))),
        DATE(VALUE(RIGHT(C699,4)),VALUE(MID(C699,4,2)),VALUE(LEFT(C699,2)))
      ),
      IF(ISNUMBER(SEARCH("/",C699)*1),
        DATE(VALUE(RIGHT(C699,4)),VALUE(LEFT(C699,2)),VALUE(MID(C699,4,2))),
        DATEVALUE(C699)
      )
    )
  ),
"INVALID_DATE")</f>
        <v>45723</v>
      </c>
      <c r="AB699">
        <f t="shared" si="63"/>
        <v>6</v>
      </c>
      <c r="AC699" t="str">
        <f t="shared" si="64"/>
        <v>March</v>
      </c>
      <c r="AD699">
        <f t="shared" si="65"/>
        <v>2025</v>
      </c>
    </row>
    <row r="700" spans="1:30">
      <c r="A700" t="s">
        <v>3280</v>
      </c>
      <c r="B700" t="s">
        <v>3281</v>
      </c>
      <c r="C700" t="s">
        <v>1749</v>
      </c>
      <c r="D700" t="s">
        <v>3282</v>
      </c>
      <c r="E700" t="s">
        <v>47</v>
      </c>
      <c r="F700" t="s">
        <v>115</v>
      </c>
      <c r="G700" t="s">
        <v>34</v>
      </c>
      <c r="H700" t="s">
        <v>35</v>
      </c>
      <c r="I700" t="s">
        <v>36</v>
      </c>
      <c r="J700" t="s">
        <v>93</v>
      </c>
      <c r="K700" t="s">
        <v>390</v>
      </c>
      <c r="L700" t="s">
        <v>3283</v>
      </c>
      <c r="M700" t="s">
        <v>74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41</v>
      </c>
      <c r="U700" t="s">
        <v>132</v>
      </c>
      <c r="V700">
        <f t="shared" si="60"/>
        <v>27755.287999999997</v>
      </c>
      <c r="W700">
        <f t="shared" si="61"/>
        <v>4456.1899999999987</v>
      </c>
      <c r="X700">
        <f t="shared" si="62"/>
        <v>0.14192306465164262</v>
      </c>
      <c r="Y700" t="str">
        <f>_xlfn.TEXTJOIN(", ",TRUE,IF(G700="Unknown","Missing Region",""),IF(M700="Unknown","Missing Ship Mode",""),IF(P700&lt;0,"Negative Discount",""),IF(P700&gt;0.7,"High Discount",""),IF(C700&lt;B700,"Ship Before Order",""))</f>
        <v/>
      </c>
      <c r="Z700" s="2">
        <f>IFERROR(
  IF(ISNUMBER(B700),B700,
    IF(ISNUMBER(SEARCH("-",B700)*1),
      IF(LEN(LEFT(B700,FIND("-",B700)-1))=4,
        DATE(VALUE(LEFT(B700,4)),VALUE(MID(B700,6,2)),VALUE(RIGHT(B700,2))),
        DATE(VALUE(RIGHT(B700,4)),VALUE(MID(B700,4,2)),VALUE(LEFT(B700,2)))
      ),
      IF(ISNUMBER(SEARCH("/",B700)*1),
        DATE(VALUE(RIGHT(B700,4)),VALUE(LEFT(B700,2)),VALUE(MID(B700,4,2))),
        DATEVALUE(B700)
      )
    )
  ),
"INVALID_DATE")</f>
        <v>45549</v>
      </c>
      <c r="AA700" s="2">
        <f>IFERROR(
  IF(ISNUMBER(C700),C700,
    IF(ISNUMBER(SEARCH("-",C700)*1),
      IF(LEN(LEFT(C700,FIND("-",C700)-1))=4,
        DATE(VALUE(LEFT(C700,4)),VALUE(MID(C700,6,2)),VALUE(RIGHT(C700,2))),
        DATE(VALUE(RIGHT(C700,4)),VALUE(MID(C700,4,2)),VALUE(LEFT(C700,2)))
      ),
      IF(ISNUMBER(SEARCH("/",C700)*1),
        DATE(VALUE(RIGHT(C700,4)),VALUE(LEFT(C700,2)),VALUE(MID(C700,4,2))),
        DATEVALUE(C700)
      )
    )
  ),
"INVALID_DATE")</f>
        <v>45549</v>
      </c>
      <c r="AB700">
        <f t="shared" si="63"/>
        <v>0</v>
      </c>
      <c r="AC700" t="str">
        <f t="shared" si="64"/>
        <v>September</v>
      </c>
      <c r="AD700">
        <f t="shared" si="65"/>
        <v>2024</v>
      </c>
    </row>
    <row r="701" spans="1:30">
      <c r="A701" t="s">
        <v>3284</v>
      </c>
      <c r="B701" t="s">
        <v>3285</v>
      </c>
      <c r="C701" t="s">
        <v>3286</v>
      </c>
      <c r="D701" t="s">
        <v>3287</v>
      </c>
      <c r="E701" t="s">
        <v>68</v>
      </c>
      <c r="F701" t="s">
        <v>48</v>
      </c>
      <c r="G701" t="s">
        <v>69</v>
      </c>
      <c r="H701" t="s">
        <v>236</v>
      </c>
      <c r="I701" t="s">
        <v>237</v>
      </c>
      <c r="J701" t="s">
        <v>52</v>
      </c>
      <c r="K701" t="s">
        <v>211</v>
      </c>
      <c r="L701" t="s">
        <v>3288</v>
      </c>
      <c r="M701" t="s">
        <v>74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41</v>
      </c>
      <c r="U701" t="s">
        <v>42</v>
      </c>
      <c r="V701">
        <f t="shared" si="60"/>
        <v>9450.7425000000003</v>
      </c>
      <c r="W701">
        <f t="shared" si="61"/>
        <v>1652.1799999999994</v>
      </c>
      <c r="X701">
        <f t="shared" si="62"/>
        <v>0.17482017281186449</v>
      </c>
      <c r="Y701" t="str">
        <f>_xlfn.TEXTJOIN(", ",TRUE,IF(G701="Unknown","Missing Region",""),IF(M701="Unknown","Missing Ship Mode",""),IF(P701&lt;0,"Negative Discount",""),IF(P701&gt;0.7,"High Discount",""),IF(C701&lt;B701,"Ship Before Order",""))</f>
        <v>Ship Before Order</v>
      </c>
      <c r="Z701" s="2">
        <f>IFERROR(
  IF(ISNUMBER(B701),B701,
    IF(ISNUMBER(SEARCH("-",B701)*1),
      IF(LEN(LEFT(B701,FIND("-",B701)-1))=4,
        DATE(VALUE(LEFT(B701,4)),VALUE(MID(B701,6,2)),VALUE(RIGHT(B701,2))),
        DATE(VALUE(RIGHT(B701,4)),VALUE(MID(B701,4,2)),VALUE(LEFT(B701,2)))
      ),
      IF(ISNUMBER(SEARCH("/",B701)*1),
        DATE(VALUE(RIGHT(B701,4)),VALUE(LEFT(B701,2)),VALUE(MID(B701,4,2))),
        DATEVALUE(B701)
      )
    )
  ),
"INVALID_DATE")</f>
        <v>45454</v>
      </c>
      <c r="AA701" s="2">
        <f>IFERROR(
  IF(ISNUMBER(C701),C701,
    IF(ISNUMBER(SEARCH("-",C701)*1),
      IF(LEN(LEFT(C701,FIND("-",C701)-1))=4,
        DATE(VALUE(LEFT(C701,4)),VALUE(MID(C701,6,2)),VALUE(RIGHT(C701,2))),
        DATE(VALUE(RIGHT(C701,4)),VALUE(MID(C701,4,2)),VALUE(LEFT(C701,2)))
      ),
      IF(ISNUMBER(SEARCH("/",C701)*1),
        DATE(VALUE(RIGHT(C701,4)),VALUE(LEFT(C701,2)),VALUE(MID(C701,4,2))),
        DATEVALUE(C701)
      )
    )
  ),
"INVALID_DATE")</f>
        <v>45454</v>
      </c>
      <c r="AB701">
        <f t="shared" si="63"/>
        <v>0</v>
      </c>
      <c r="AC701" t="str">
        <f t="shared" si="64"/>
        <v>June</v>
      </c>
      <c r="AD701">
        <f t="shared" si="65"/>
        <v>2024</v>
      </c>
    </row>
    <row r="702" spans="1:30">
      <c r="A702" t="s">
        <v>3289</v>
      </c>
      <c r="B702" t="s">
        <v>3290</v>
      </c>
      <c r="C702" t="s">
        <v>1142</v>
      </c>
      <c r="D702" t="s">
        <v>3291</v>
      </c>
      <c r="E702" t="s">
        <v>100</v>
      </c>
      <c r="F702" t="s">
        <v>115</v>
      </c>
      <c r="G702" t="s">
        <v>49</v>
      </c>
      <c r="H702" t="s">
        <v>128</v>
      </c>
      <c r="I702" t="s">
        <v>129</v>
      </c>
      <c r="J702" t="s">
        <v>93</v>
      </c>
      <c r="K702" t="s">
        <v>390</v>
      </c>
      <c r="L702" t="s">
        <v>3292</v>
      </c>
      <c r="M702" t="s">
        <v>74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41</v>
      </c>
      <c r="U702" t="s">
        <v>42</v>
      </c>
      <c r="V702">
        <f t="shared" si="60"/>
        <v>7792.5450000000001</v>
      </c>
      <c r="W702">
        <f t="shared" si="61"/>
        <v>3100.8200000000006</v>
      </c>
      <c r="X702">
        <f t="shared" si="62"/>
        <v>0.39792109129874048</v>
      </c>
      <c r="Y702" t="str">
        <f>_xlfn.TEXTJOIN(", ",TRUE,IF(G702="Unknown","Missing Region",""),IF(M702="Unknown","Missing Ship Mode",""),IF(P702&lt;0,"Negative Discount",""),IF(P702&gt;0.7,"High Discount",""),IF(C702&lt;B702,"Ship Before Order",""))</f>
        <v>Ship Before Order</v>
      </c>
      <c r="Z702" s="2">
        <f>IFERROR(
  IF(ISNUMBER(B702),B702,
    IF(ISNUMBER(SEARCH("-",B702)*1),
      IF(LEN(LEFT(B702,FIND("-",B702)-1))=4,
        DATE(VALUE(LEFT(B702,4)),VALUE(MID(B702,6,2)),VALUE(RIGHT(B702,2))),
        DATE(VALUE(RIGHT(B702,4)),VALUE(MID(B702,4,2)),VALUE(LEFT(B702,2)))
      ),
      IF(ISNUMBER(SEARCH("/",B702)*1),
        DATE(VALUE(RIGHT(B702,4)),VALUE(LEFT(B702,2)),VALUE(MID(B702,4,2))),
        DATEVALUE(B702)
      )
    )
  ),
"INVALID_DATE")</f>
        <v>45553</v>
      </c>
      <c r="AA702" s="2">
        <f>IFERROR(
  IF(ISNUMBER(C702),C702,
    IF(ISNUMBER(SEARCH("-",C702)*1),
      IF(LEN(LEFT(C702,FIND("-",C702)-1))=4,
        DATE(VALUE(LEFT(C702,4)),VALUE(MID(C702,6,2)),VALUE(RIGHT(C702,2))),
        DATE(VALUE(RIGHT(C702,4)),VALUE(MID(C702,4,2)),VALUE(LEFT(C702,2)))
      ),
      IF(ISNUMBER(SEARCH("/",C702)*1),
        DATE(VALUE(RIGHT(C702,4)),VALUE(LEFT(C702,2)),VALUE(MID(C702,4,2))),
        DATEVALUE(C702)
      )
    )
  ),
"INVALID_DATE")</f>
        <v>45556</v>
      </c>
      <c r="AB702">
        <f t="shared" si="63"/>
        <v>3</v>
      </c>
      <c r="AC702" t="str">
        <f t="shared" si="64"/>
        <v>September</v>
      </c>
      <c r="AD702">
        <f t="shared" si="65"/>
        <v>2024</v>
      </c>
    </row>
    <row r="703" spans="1:30">
      <c r="A703" t="s">
        <v>3293</v>
      </c>
      <c r="B703" t="s">
        <v>1630</v>
      </c>
      <c r="C703" t="s">
        <v>1301</v>
      </c>
      <c r="D703" t="s">
        <v>3294</v>
      </c>
      <c r="E703" t="s">
        <v>187</v>
      </c>
      <c r="F703" t="s">
        <v>48</v>
      </c>
      <c r="G703" t="s">
        <v>80</v>
      </c>
      <c r="H703" t="s">
        <v>242</v>
      </c>
      <c r="I703" t="s">
        <v>243</v>
      </c>
      <c r="J703" t="s">
        <v>37</v>
      </c>
      <c r="K703" t="s">
        <v>61</v>
      </c>
      <c r="L703" t="s">
        <v>3295</v>
      </c>
      <c r="M703" t="s">
        <v>55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41</v>
      </c>
      <c r="U703" t="s">
        <v>132</v>
      </c>
      <c r="V703">
        <f t="shared" si="60"/>
        <v>8574.58</v>
      </c>
      <c r="W703">
        <f t="shared" si="61"/>
        <v>1888.7699999999995</v>
      </c>
      <c r="X703">
        <f t="shared" si="62"/>
        <v>0.22027551203674114</v>
      </c>
      <c r="Y703" t="str">
        <f>_xlfn.TEXTJOIN(", ",TRUE,IF(G703="Unknown","Missing Region",""),IF(M703="Unknown","Missing Ship Mode",""),IF(P703&lt;0,"Negative Discount",""),IF(P703&gt;0.7,"High Discount",""),IF(C703&lt;B703,"Ship Before Order",""))</f>
        <v>Ship Before Order</v>
      </c>
      <c r="Z703" s="2">
        <f>IFERROR(
  IF(ISNUMBER(B703),B703,
    IF(ISNUMBER(SEARCH("-",B703)*1),
      IF(LEN(LEFT(B703,FIND("-",B703)-1))=4,
        DATE(VALUE(LEFT(B703,4)),VALUE(MID(B703,6,2)),VALUE(RIGHT(B703,2))),
        DATE(VALUE(RIGHT(B703,4)),VALUE(MID(B703,4,2)),VALUE(LEFT(B703,2)))
      ),
      IF(ISNUMBER(SEARCH("/",B703)*1),
        DATE(VALUE(RIGHT(B703,4)),VALUE(LEFT(B703,2)),VALUE(MID(B703,4,2))),
        DATEVALUE(B703)
      )
    )
  ),
"INVALID_DATE")</f>
        <v>45412</v>
      </c>
      <c r="AA703" s="2">
        <f>IFERROR(
  IF(ISNUMBER(C703),C703,
    IF(ISNUMBER(SEARCH("-",C703)*1),
      IF(LEN(LEFT(C703,FIND("-",C703)-1))=4,
        DATE(VALUE(LEFT(C703,4)),VALUE(MID(C703,6,2)),VALUE(RIGHT(C703,2))),
        DATE(VALUE(RIGHT(C703,4)),VALUE(MID(C703,4,2)),VALUE(LEFT(C703,2)))
      ),
      IF(ISNUMBER(SEARCH("/",C703)*1),
        DATE(VALUE(RIGHT(C703,4)),VALUE(LEFT(C703,2)),VALUE(MID(C703,4,2))),
        DATEVALUE(C703)
      )
    )
  ),
"INVALID_DATE")</f>
        <v>45416</v>
      </c>
      <c r="AB703">
        <f t="shared" si="63"/>
        <v>4</v>
      </c>
      <c r="AC703" t="str">
        <f t="shared" si="64"/>
        <v>April</v>
      </c>
      <c r="AD703">
        <f t="shared" si="65"/>
        <v>2024</v>
      </c>
    </row>
    <row r="704" spans="1:30">
      <c r="A704" t="s">
        <v>3296</v>
      </c>
      <c r="B704" t="s">
        <v>3297</v>
      </c>
      <c r="C704" t="s">
        <v>2892</v>
      </c>
      <c r="D704" t="s">
        <v>3298</v>
      </c>
      <c r="E704" t="s">
        <v>32</v>
      </c>
      <c r="F704" t="s">
        <v>48</v>
      </c>
      <c r="G704" t="s">
        <v>80</v>
      </c>
      <c r="H704" t="s">
        <v>35</v>
      </c>
      <c r="I704" t="s">
        <v>142</v>
      </c>
      <c r="J704" t="s">
        <v>52</v>
      </c>
      <c r="K704" t="s">
        <v>53</v>
      </c>
      <c r="L704" t="s">
        <v>3299</v>
      </c>
      <c r="M704" t="s">
        <v>40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41</v>
      </c>
      <c r="U704" t="s">
        <v>42</v>
      </c>
      <c r="V704">
        <f t="shared" si="60"/>
        <v>2692.8180000000002</v>
      </c>
      <c r="W704">
        <f t="shared" si="61"/>
        <v>872.74000000000024</v>
      </c>
      <c r="X704">
        <f t="shared" si="62"/>
        <v>0.3240989000378785</v>
      </c>
      <c r="Y704" t="str">
        <f>_xlfn.TEXTJOIN(", ",TRUE,IF(G704="Unknown","Missing Region",""),IF(M704="Unknown","Missing Ship Mode",""),IF(P704&lt;0,"Negative Discount",""),IF(P704&gt;0.7,"High Discount",""),IF(C704&lt;B704,"Ship Before Order",""))</f>
        <v>Ship Before Order</v>
      </c>
      <c r="Z704" s="2">
        <f>IFERROR(
  IF(ISNUMBER(B704),B704,
    IF(ISNUMBER(SEARCH("-",B704)*1),
      IF(LEN(LEFT(B704,FIND("-",B704)-1))=4,
        DATE(VALUE(LEFT(B704,4)),VALUE(MID(B704,6,2)),VALUE(RIGHT(B704,2))),
        DATE(VALUE(RIGHT(B704,4)),VALUE(MID(B704,4,2)),VALUE(LEFT(B704,2)))
      ),
      IF(ISNUMBER(SEARCH("/",B704)*1),
        DATE(VALUE(RIGHT(B704,4)),VALUE(LEFT(B704,2)),VALUE(MID(B704,4,2))),
        DATEVALUE(B704)
      )
    )
  ),
"INVALID_DATE")</f>
        <v>45690</v>
      </c>
      <c r="AA704" s="2">
        <f>IFERROR(
  IF(ISNUMBER(C704),C704,
    IF(ISNUMBER(SEARCH("-",C704)*1),
      IF(LEN(LEFT(C704,FIND("-",C704)-1))=4,
        DATE(VALUE(LEFT(C704,4)),VALUE(MID(C704,6,2)),VALUE(RIGHT(C704,2))),
        DATE(VALUE(RIGHT(C704,4)),VALUE(MID(C704,4,2)),VALUE(LEFT(C704,2)))
      ),
      IF(ISNUMBER(SEARCH("/",C704)*1),
        DATE(VALUE(RIGHT(C704,4)),VALUE(LEFT(C704,2)),VALUE(MID(C704,4,2))),
        DATEVALUE(C704)
      )
    )
  ),
"INVALID_DATE")</f>
        <v>45694</v>
      </c>
      <c r="AB704">
        <f t="shared" si="63"/>
        <v>4</v>
      </c>
      <c r="AC704" t="str">
        <f t="shared" si="64"/>
        <v>February</v>
      </c>
      <c r="AD704">
        <f t="shared" si="65"/>
        <v>2025</v>
      </c>
    </row>
    <row r="705" spans="1:30">
      <c r="A705" t="s">
        <v>3300</v>
      </c>
      <c r="B705" t="s">
        <v>3301</v>
      </c>
      <c r="C705" t="s">
        <v>2388</v>
      </c>
      <c r="D705" t="s">
        <v>3302</v>
      </c>
      <c r="E705" t="s">
        <v>114</v>
      </c>
      <c r="F705" t="s">
        <v>115</v>
      </c>
      <c r="G705" t="s">
        <v>34</v>
      </c>
      <c r="H705" t="s">
        <v>35</v>
      </c>
      <c r="I705" t="s">
        <v>36</v>
      </c>
      <c r="J705" t="s">
        <v>52</v>
      </c>
      <c r="K705" t="s">
        <v>53</v>
      </c>
      <c r="L705" t="s">
        <v>3303</v>
      </c>
      <c r="M705" t="s">
        <v>63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41</v>
      </c>
      <c r="U705" t="s">
        <v>42</v>
      </c>
      <c r="V705">
        <f t="shared" si="60"/>
        <v>1035.027</v>
      </c>
      <c r="W705">
        <f t="shared" si="61"/>
        <v>180.67999999999995</v>
      </c>
      <c r="X705">
        <f t="shared" si="62"/>
        <v>0.17456498845444093</v>
      </c>
      <c r="Y705" t="str">
        <f>_xlfn.TEXTJOIN(", ",TRUE,IF(G705="Unknown","Missing Region",""),IF(M705="Unknown","Missing Ship Mode",""),IF(P705&lt;0,"Negative Discount",""),IF(P705&gt;0.7,"High Discount",""),IF(C705&lt;B705,"Ship Before Order",""))</f>
        <v/>
      </c>
      <c r="Z705" s="2">
        <f>IFERROR(
  IF(ISNUMBER(B705),B705,
    IF(ISNUMBER(SEARCH("-",B705)*1),
      IF(LEN(LEFT(B705,FIND("-",B705)-1))=4,
        DATE(VALUE(LEFT(B705,4)),VALUE(MID(B705,6,2)),VALUE(RIGHT(B705,2))),
        DATE(VALUE(RIGHT(B705,4)),VALUE(MID(B705,4,2)),VALUE(LEFT(B705,2)))
      ),
      IF(ISNUMBER(SEARCH("/",B705)*1),
        DATE(VALUE(RIGHT(B705,4)),VALUE(LEFT(B705,2)),VALUE(MID(B705,4,2))),
        DATEVALUE(B705)
      )
    )
  ),
"INVALID_DATE")</f>
        <v>45584</v>
      </c>
      <c r="AA705" s="2">
        <f>IFERROR(
  IF(ISNUMBER(C705),C705,
    IF(ISNUMBER(SEARCH("-",C705)*1),
      IF(LEN(LEFT(C705,FIND("-",C705)-1))=4,
        DATE(VALUE(LEFT(C705,4)),VALUE(MID(C705,6,2)),VALUE(RIGHT(C705,2))),
        DATE(VALUE(RIGHT(C705,4)),VALUE(MID(C705,4,2)),VALUE(LEFT(C705,2)))
      ),
      IF(ISNUMBER(SEARCH("/",C705)*1),
        DATE(VALUE(RIGHT(C705,4)),VALUE(LEFT(C705,2)),VALUE(MID(C705,4,2))),
        DATEVALUE(C705)
      )
    )
  ),
"INVALID_DATE")</f>
        <v>45585</v>
      </c>
      <c r="AB705">
        <f t="shared" si="63"/>
        <v>1</v>
      </c>
      <c r="AC705" t="str">
        <f t="shared" si="64"/>
        <v>October</v>
      </c>
      <c r="AD705">
        <f t="shared" si="65"/>
        <v>2024</v>
      </c>
    </row>
    <row r="706" spans="1:30">
      <c r="A706" t="s">
        <v>3304</v>
      </c>
      <c r="B706" t="s">
        <v>1566</v>
      </c>
      <c r="C706" t="s">
        <v>3305</v>
      </c>
      <c r="D706" t="s">
        <v>3306</v>
      </c>
      <c r="E706" t="s">
        <v>149</v>
      </c>
      <c r="F706" t="s">
        <v>122</v>
      </c>
      <c r="G706" t="s">
        <v>69</v>
      </c>
      <c r="H706" t="s">
        <v>347</v>
      </c>
      <c r="I706" t="s">
        <v>348</v>
      </c>
      <c r="J706" t="s">
        <v>52</v>
      </c>
      <c r="K706" t="s">
        <v>211</v>
      </c>
      <c r="L706" t="s">
        <v>3307</v>
      </c>
      <c r="M706" t="s">
        <v>279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41</v>
      </c>
      <c r="U706" t="s">
        <v>42</v>
      </c>
      <c r="V706">
        <f t="shared" ref="V706:V769" si="66">O706*(1-P706)*N706</f>
        <v>2401.7855</v>
      </c>
      <c r="W706">
        <f t="shared" ref="W706:W769" si="67">Q706-R706</f>
        <v>581.45000000000005</v>
      </c>
      <c r="X706">
        <f t="shared" ref="X706:X769" si="68">IF(Q706=0,"",S706/Q706)</f>
        <v>0.24209027433705696</v>
      </c>
      <c r="Y706" t="str">
        <f>_xlfn.TEXTJOIN(", ",TRUE,IF(G706="Unknown","Missing Region",""),IF(M706="Unknown","Missing Ship Mode",""),IF(P706&lt;0,"Negative Discount",""),IF(P706&gt;0.7,"High Discount",""),IF(C706&lt;B706,"Ship Before Order",""))</f>
        <v>Missing Ship Mode, Ship Before Order</v>
      </c>
      <c r="Z706" s="2">
        <f>IFERROR(
  IF(ISNUMBER(B706),B706,
    IF(ISNUMBER(SEARCH("-",B706)*1),
      IF(LEN(LEFT(B706,FIND("-",B706)-1))=4,
        DATE(VALUE(LEFT(B706,4)),VALUE(MID(B706,6,2)),VALUE(RIGHT(B706,2))),
        DATE(VALUE(RIGHT(B706,4)),VALUE(MID(B706,4,2)),VALUE(LEFT(B706,2)))
      ),
      IF(ISNUMBER(SEARCH("/",B706)*1),
        DATE(VALUE(RIGHT(B706,4)),VALUE(LEFT(B706,2)),VALUE(MID(B706,4,2))),
        DATEVALUE(B706)
      )
    )
  ),
"INVALID_DATE")</f>
        <v>45364</v>
      </c>
      <c r="AA706" s="2">
        <f>IFERROR(
  IF(ISNUMBER(C706),C706,
    IF(ISNUMBER(SEARCH("-",C706)*1),
      IF(LEN(LEFT(C706,FIND("-",C706)-1))=4,
        DATE(VALUE(LEFT(C706,4)),VALUE(MID(C706,6,2)),VALUE(RIGHT(C706,2))),
        DATE(VALUE(RIGHT(C706,4)),VALUE(MID(C706,4,2)),VALUE(LEFT(C706,2)))
      ),
      IF(ISNUMBER(SEARCH("/",C706)*1),
        DATE(VALUE(RIGHT(C706,4)),VALUE(LEFT(C706,2)),VALUE(MID(C706,4,2))),
        DATEVALUE(C706)
      )
    )
  ),
"INVALID_DATE")</f>
        <v>45371</v>
      </c>
      <c r="AB706">
        <f t="shared" si="63"/>
        <v>7</v>
      </c>
      <c r="AC706" t="str">
        <f t="shared" si="64"/>
        <v>March</v>
      </c>
      <c r="AD706">
        <f t="shared" si="65"/>
        <v>2024</v>
      </c>
    </row>
    <row r="707" spans="1:30">
      <c r="A707" t="s">
        <v>3308</v>
      </c>
      <c r="B707" t="s">
        <v>3309</v>
      </c>
      <c r="C707" t="s">
        <v>3310</v>
      </c>
      <c r="D707" t="s">
        <v>3311</v>
      </c>
      <c r="E707" t="s">
        <v>187</v>
      </c>
      <c r="F707" t="s">
        <v>33</v>
      </c>
      <c r="G707" t="s">
        <v>34</v>
      </c>
      <c r="H707" t="s">
        <v>35</v>
      </c>
      <c r="I707" t="s">
        <v>36</v>
      </c>
      <c r="J707" t="s">
        <v>37</v>
      </c>
      <c r="K707" t="s">
        <v>205</v>
      </c>
      <c r="L707" t="s">
        <v>3312</v>
      </c>
      <c r="M707" t="s">
        <v>74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41</v>
      </c>
      <c r="U707" t="s">
        <v>42</v>
      </c>
      <c r="V707">
        <f t="shared" si="66"/>
        <v>16015.8125</v>
      </c>
      <c r="W707">
        <f t="shared" si="67"/>
        <v>4663.43</v>
      </c>
      <c r="X707">
        <f t="shared" si="68"/>
        <v>0.2911766560667241</v>
      </c>
      <c r="Y707" t="str">
        <f>_xlfn.TEXTJOIN(", ",TRUE,IF(G707="Unknown","Missing Region",""),IF(M707="Unknown","Missing Ship Mode",""),IF(P707&lt;0,"Negative Discount",""),IF(P707&gt;0.7,"High Discount",""),IF(C707&lt;B707,"Ship Before Order",""))</f>
        <v/>
      </c>
      <c r="Z707" s="2">
        <f>IFERROR(
  IF(ISNUMBER(B707),B707,
    IF(ISNUMBER(SEARCH("-",B707)*1),
      IF(LEN(LEFT(B707,FIND("-",B707)-1))=4,
        DATE(VALUE(LEFT(B707,4)),VALUE(MID(B707,6,2)),VALUE(RIGHT(B707,2))),
        DATE(VALUE(RIGHT(B707,4)),VALUE(MID(B707,4,2)),VALUE(LEFT(B707,2)))
      ),
      IF(ISNUMBER(SEARCH("/",B707)*1),
        DATE(VALUE(RIGHT(B707,4)),VALUE(LEFT(B707,2)),VALUE(MID(B707,4,2))),
        DATEVALUE(B707)
      )
    )
  ),
"INVALID_DATE")</f>
        <v>45543</v>
      </c>
      <c r="AA707" s="2">
        <f>IFERROR(
  IF(ISNUMBER(C707),C707,
    IF(ISNUMBER(SEARCH("-",C707)*1),
      IF(LEN(LEFT(C707,FIND("-",C707)-1))=4,
        DATE(VALUE(LEFT(C707,4)),VALUE(MID(C707,6,2)),VALUE(RIGHT(C707,2))),
        DATE(VALUE(RIGHT(C707,4)),VALUE(MID(C707,4,2)),VALUE(LEFT(C707,2)))
      ),
      IF(ISNUMBER(SEARCH("/",C707)*1),
        DATE(VALUE(RIGHT(C707,4)),VALUE(LEFT(C707,2)),VALUE(MID(C707,4,2))),
        DATEVALUE(C707)
      )
    )
  ),
"INVALID_DATE")</f>
        <v>45549</v>
      </c>
      <c r="AB707">
        <f t="shared" ref="AB707:AB770" si="69">AA707-Z707</f>
        <v>6</v>
      </c>
      <c r="AC707" t="str">
        <f t="shared" ref="AC707:AC770" si="70">TEXT(Z707,"mmmm")</f>
        <v>September</v>
      </c>
      <c r="AD707">
        <f t="shared" ref="AD707:AD770" si="71">YEAR(Z707)</f>
        <v>2024</v>
      </c>
    </row>
    <row r="708" spans="1:30">
      <c r="A708" t="s">
        <v>3313</v>
      </c>
      <c r="B708" t="s">
        <v>3314</v>
      </c>
      <c r="C708" t="s">
        <v>1051</v>
      </c>
      <c r="D708" t="s">
        <v>3315</v>
      </c>
      <c r="E708" t="s">
        <v>60</v>
      </c>
      <c r="F708" t="s">
        <v>48</v>
      </c>
      <c r="G708" t="s">
        <v>49</v>
      </c>
      <c r="H708" t="s">
        <v>50</v>
      </c>
      <c r="I708" t="s">
        <v>51</v>
      </c>
      <c r="J708" t="s">
        <v>37</v>
      </c>
      <c r="K708" t="s">
        <v>38</v>
      </c>
      <c r="L708" t="s">
        <v>3316</v>
      </c>
      <c r="M708" t="s">
        <v>55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41</v>
      </c>
      <c r="U708" t="s">
        <v>42</v>
      </c>
      <c r="V708">
        <f t="shared" si="66"/>
        <v>1901.4750000000001</v>
      </c>
      <c r="W708">
        <f t="shared" si="67"/>
        <v>547.20000000000005</v>
      </c>
      <c r="X708">
        <f t="shared" si="68"/>
        <v>0.2877758377684751</v>
      </c>
      <c r="Y708" t="str">
        <f>_xlfn.TEXTJOIN(", ",TRUE,IF(G708="Unknown","Missing Region",""),IF(M708="Unknown","Missing Ship Mode",""),IF(P708&lt;0,"Negative Discount",""),IF(P708&gt;0.7,"High Discount",""),IF(C708&lt;B708,"Ship Before Order",""))</f>
        <v/>
      </c>
      <c r="Z708" s="2">
        <f>IFERROR(
  IF(ISNUMBER(B708),B708,
    IF(ISNUMBER(SEARCH("-",B708)*1),
      IF(LEN(LEFT(B708,FIND("-",B708)-1))=4,
        DATE(VALUE(LEFT(B708,4)),VALUE(MID(B708,6,2)),VALUE(RIGHT(B708,2))),
        DATE(VALUE(RIGHT(B708,4)),VALUE(MID(B708,4,2)),VALUE(LEFT(B708,2)))
      ),
      IF(ISNUMBER(SEARCH("/",B708)*1),
        DATE(VALUE(RIGHT(B708,4)),VALUE(LEFT(B708,2)),VALUE(MID(B708,4,2))),
        DATEVALUE(B708)
      )
    )
  ),
"INVALID_DATE")</f>
        <v>45467</v>
      </c>
      <c r="AA708" s="2">
        <f>IFERROR(
  IF(ISNUMBER(C708),C708,
    IF(ISNUMBER(SEARCH("-",C708)*1),
      IF(LEN(LEFT(C708,FIND("-",C708)-1))=4,
        DATE(VALUE(LEFT(C708,4)),VALUE(MID(C708,6,2)),VALUE(RIGHT(C708,2))),
        DATE(VALUE(RIGHT(C708,4)),VALUE(MID(C708,4,2)),VALUE(LEFT(C708,2)))
      ),
      IF(ISNUMBER(SEARCH("/",C708)*1),
        DATE(VALUE(RIGHT(C708,4)),VALUE(LEFT(C708,2)),VALUE(MID(C708,4,2))),
        DATEVALUE(C708)
      )
    )
  ),
"INVALID_DATE")</f>
        <v>45471</v>
      </c>
      <c r="AB708">
        <f t="shared" si="69"/>
        <v>4</v>
      </c>
      <c r="AC708" t="str">
        <f t="shared" si="70"/>
        <v>June</v>
      </c>
      <c r="AD708">
        <f t="shared" si="71"/>
        <v>2024</v>
      </c>
    </row>
    <row r="709" spans="1:30">
      <c r="A709" t="s">
        <v>3317</v>
      </c>
      <c r="B709" t="s">
        <v>3318</v>
      </c>
      <c r="C709" t="s">
        <v>2379</v>
      </c>
      <c r="D709" t="s">
        <v>3319</v>
      </c>
      <c r="E709" t="s">
        <v>90</v>
      </c>
      <c r="F709" t="s">
        <v>33</v>
      </c>
      <c r="G709" t="s">
        <v>34</v>
      </c>
      <c r="H709" t="s">
        <v>35</v>
      </c>
      <c r="I709" t="s">
        <v>36</v>
      </c>
      <c r="J709" t="s">
        <v>93</v>
      </c>
      <c r="K709" t="s">
        <v>94</v>
      </c>
      <c r="L709" t="s">
        <v>3320</v>
      </c>
      <c r="M709" t="s">
        <v>55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41</v>
      </c>
      <c r="U709" t="s">
        <v>42</v>
      </c>
      <c r="V709">
        <f t="shared" si="66"/>
        <v>8375.9849999999988</v>
      </c>
      <c r="W709">
        <f t="shared" si="67"/>
        <v>5073.6500000000015</v>
      </c>
      <c r="X709">
        <f t="shared" si="68"/>
        <v>0.3028688566180574</v>
      </c>
      <c r="Y709" t="str">
        <f>_xlfn.TEXTJOIN(", ",TRUE,IF(G709="Unknown","Missing Region",""),IF(M709="Unknown","Missing Ship Mode",""),IF(P709&lt;0,"Negative Discount",""),IF(P709&gt;0.7,"High Discount",""),IF(C709&lt;B709,"Ship Before Order",""))</f>
        <v>Ship Before Order</v>
      </c>
      <c r="Z709" s="2">
        <f>IFERROR(
  IF(ISNUMBER(B709),B709,
    IF(ISNUMBER(SEARCH("-",B709)*1),
      IF(LEN(LEFT(B709,FIND("-",B709)-1))=4,
        DATE(VALUE(LEFT(B709,4)),VALUE(MID(B709,6,2)),VALUE(RIGHT(B709,2))),
        DATE(VALUE(RIGHT(B709,4)),VALUE(MID(B709,4,2)),VALUE(LEFT(B709,2)))
      ),
      IF(ISNUMBER(SEARCH("/",B709)*1),
        DATE(VALUE(RIGHT(B709,4)),VALUE(LEFT(B709,2)),VALUE(MID(B709,4,2))),
        DATEVALUE(B709)
      )
    )
  ),
"INVALID_DATE")</f>
        <v>45832</v>
      </c>
      <c r="AA709" s="2">
        <f>IFERROR(
  IF(ISNUMBER(C709),C709,
    IF(ISNUMBER(SEARCH("-",C709)*1),
      IF(LEN(LEFT(C709,FIND("-",C709)-1))=4,
        DATE(VALUE(LEFT(C709,4)),VALUE(MID(C709,6,2)),VALUE(RIGHT(C709,2))),
        DATE(VALUE(RIGHT(C709,4)),VALUE(MID(C709,4,2)),VALUE(LEFT(C709,2)))
      ),
      IF(ISNUMBER(SEARCH("/",C709)*1),
        DATE(VALUE(RIGHT(C709,4)),VALUE(LEFT(C709,2)),VALUE(MID(C709,4,2))),
        DATEVALUE(C709)
      )
    )
  ),
"INVALID_DATE")</f>
        <v>45834</v>
      </c>
      <c r="AB709">
        <f t="shared" si="69"/>
        <v>2</v>
      </c>
      <c r="AC709" t="str">
        <f t="shared" si="70"/>
        <v>June</v>
      </c>
      <c r="AD709">
        <f t="shared" si="71"/>
        <v>2025</v>
      </c>
    </row>
    <row r="710" spans="1:30">
      <c r="A710" t="s">
        <v>3321</v>
      </c>
      <c r="B710" t="s">
        <v>3322</v>
      </c>
      <c r="C710" t="s">
        <v>3323</v>
      </c>
      <c r="D710" t="s">
        <v>3324</v>
      </c>
      <c r="E710" t="s">
        <v>175</v>
      </c>
      <c r="F710" t="s">
        <v>33</v>
      </c>
      <c r="G710" t="s">
        <v>49</v>
      </c>
      <c r="H710" t="s">
        <v>223</v>
      </c>
      <c r="I710" t="s">
        <v>224</v>
      </c>
      <c r="J710" t="s">
        <v>52</v>
      </c>
      <c r="K710" t="s">
        <v>211</v>
      </c>
      <c r="L710" t="s">
        <v>3325</v>
      </c>
      <c r="M710" t="s">
        <v>63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41</v>
      </c>
      <c r="U710" t="s">
        <v>42</v>
      </c>
      <c r="V710">
        <f t="shared" si="66"/>
        <v>16559.108</v>
      </c>
      <c r="W710">
        <f t="shared" si="67"/>
        <v>3325.3199999999997</v>
      </c>
      <c r="X710">
        <f t="shared" si="68"/>
        <v>0.20081514042723311</v>
      </c>
      <c r="Y710" t="str">
        <f>_xlfn.TEXTJOIN(", ",TRUE,IF(G710="Unknown","Missing Region",""),IF(M710="Unknown","Missing Ship Mode",""),IF(P710&lt;0,"Negative Discount",""),IF(P710&gt;0.7,"High Discount",""),IF(C710&lt;B710,"Ship Before Order",""))</f>
        <v/>
      </c>
      <c r="Z710" s="2">
        <f>IFERROR(
  IF(ISNUMBER(B710),B710,
    IF(ISNUMBER(SEARCH("-",B710)*1),
      IF(LEN(LEFT(B710,FIND("-",B710)-1))=4,
        DATE(VALUE(LEFT(B710,4)),VALUE(MID(B710,6,2)),VALUE(RIGHT(B710,2))),
        DATE(VALUE(RIGHT(B710,4)),VALUE(MID(B710,4,2)),VALUE(LEFT(B710,2)))
      ),
      IF(ISNUMBER(SEARCH("/",B710)*1),
        DATE(VALUE(RIGHT(B710,4)),VALUE(LEFT(B710,2)),VALUE(MID(B710,4,2))),
        DATEVALUE(B710)
      )
    )
  ),
"INVALID_DATE")</f>
        <v>45736</v>
      </c>
      <c r="AA710" s="2">
        <f>IFERROR(
  IF(ISNUMBER(C710),C710,
    IF(ISNUMBER(SEARCH("-",C710)*1),
      IF(LEN(LEFT(C710,FIND("-",C710)-1))=4,
        DATE(VALUE(LEFT(C710,4)),VALUE(MID(C710,6,2)),VALUE(RIGHT(C710,2))),
        DATE(VALUE(RIGHT(C710,4)),VALUE(MID(C710,4,2)),VALUE(LEFT(C710,2)))
      ),
      IF(ISNUMBER(SEARCH("/",C710)*1),
        DATE(VALUE(RIGHT(C710,4)),VALUE(LEFT(C710,2)),VALUE(MID(C710,4,2))),
        DATEVALUE(C710)
      )
    )
  ),
"INVALID_DATE")</f>
        <v>45742</v>
      </c>
      <c r="AB710">
        <f t="shared" si="69"/>
        <v>6</v>
      </c>
      <c r="AC710" t="str">
        <f t="shared" si="70"/>
        <v>March</v>
      </c>
      <c r="AD710">
        <f t="shared" si="71"/>
        <v>2025</v>
      </c>
    </row>
    <row r="711" spans="1:30">
      <c r="A711" t="s">
        <v>3326</v>
      </c>
      <c r="B711" t="s">
        <v>202</v>
      </c>
      <c r="C711" t="s">
        <v>191</v>
      </c>
      <c r="D711" t="s">
        <v>3327</v>
      </c>
      <c r="E711" t="s">
        <v>374</v>
      </c>
      <c r="F711" t="s">
        <v>122</v>
      </c>
      <c r="G711" t="s">
        <v>34</v>
      </c>
      <c r="H711" t="s">
        <v>161</v>
      </c>
      <c r="I711" t="s">
        <v>162</v>
      </c>
      <c r="J711" t="s">
        <v>93</v>
      </c>
      <c r="K711" t="s">
        <v>230</v>
      </c>
      <c r="L711" t="s">
        <v>3328</v>
      </c>
      <c r="M711" t="s">
        <v>55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41</v>
      </c>
      <c r="U711" t="s">
        <v>85</v>
      </c>
      <c r="V711">
        <f t="shared" si="66"/>
        <v>8110.0879999999988</v>
      </c>
      <c r="W711">
        <f t="shared" si="67"/>
        <v>1692.7700000000004</v>
      </c>
      <c r="X711">
        <f t="shared" si="68"/>
        <v>0.20872394757641408</v>
      </c>
      <c r="Y711" t="str">
        <f>_xlfn.TEXTJOIN(", ",TRUE,IF(G711="Unknown","Missing Region",""),IF(M711="Unknown","Missing Ship Mode",""),IF(P711&lt;0,"Negative Discount",""),IF(P711&gt;0.7,"High Discount",""),IF(C711&lt;B711,"Ship Before Order",""))</f>
        <v/>
      </c>
      <c r="Z711" s="2">
        <f>IFERROR(
  IF(ISNUMBER(B711),B711,
    IF(ISNUMBER(SEARCH("-",B711)*1),
      IF(LEN(LEFT(B711,FIND("-",B711)-1))=4,
        DATE(VALUE(LEFT(B711,4)),VALUE(MID(B711,6,2)),VALUE(RIGHT(B711,2))),
        DATE(VALUE(RIGHT(B711,4)),VALUE(MID(B711,4,2)),VALUE(LEFT(B711,2)))
      ),
      IF(ISNUMBER(SEARCH("/",B711)*1),
        DATE(VALUE(RIGHT(B711,4)),VALUE(LEFT(B711,2)),VALUE(MID(B711,4,2))),
        DATEVALUE(B711)
      )
    )
  ),
"INVALID_DATE")</f>
        <v>45676</v>
      </c>
      <c r="AA711" s="2">
        <f>IFERROR(
  IF(ISNUMBER(C711),C711,
    IF(ISNUMBER(SEARCH("-",C711)*1),
      IF(LEN(LEFT(C711,FIND("-",C711)-1))=4,
        DATE(VALUE(LEFT(C711,4)),VALUE(MID(C711,6,2)),VALUE(RIGHT(C711,2))),
        DATE(VALUE(RIGHT(C711,4)),VALUE(MID(C711,4,2)),VALUE(LEFT(C711,2)))
      ),
      IF(ISNUMBER(SEARCH("/",C711)*1),
        DATE(VALUE(RIGHT(C711,4)),VALUE(LEFT(C711,2)),VALUE(MID(C711,4,2))),
        DATEVALUE(C711)
      )
    )
  ),
"INVALID_DATE")</f>
        <v>45680</v>
      </c>
      <c r="AB711">
        <f t="shared" si="69"/>
        <v>4</v>
      </c>
      <c r="AC711" t="str">
        <f t="shared" si="70"/>
        <v>January</v>
      </c>
      <c r="AD711">
        <f t="shared" si="71"/>
        <v>2025</v>
      </c>
    </row>
    <row r="712" spans="1:30">
      <c r="A712" t="s">
        <v>3329</v>
      </c>
      <c r="B712" t="s">
        <v>3330</v>
      </c>
      <c r="C712" t="s">
        <v>3331</v>
      </c>
      <c r="D712" t="s">
        <v>3332</v>
      </c>
      <c r="E712" t="s">
        <v>90</v>
      </c>
      <c r="F712" t="s">
        <v>115</v>
      </c>
      <c r="G712" t="s">
        <v>34</v>
      </c>
      <c r="H712" t="s">
        <v>161</v>
      </c>
      <c r="I712" t="s">
        <v>162</v>
      </c>
      <c r="J712" t="s">
        <v>37</v>
      </c>
      <c r="K712" t="s">
        <v>61</v>
      </c>
      <c r="L712" t="s">
        <v>3333</v>
      </c>
      <c r="M712" t="s">
        <v>40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41</v>
      </c>
      <c r="U712" t="s">
        <v>42</v>
      </c>
      <c r="V712">
        <f t="shared" si="66"/>
        <v>7406.01</v>
      </c>
      <c r="W712">
        <f t="shared" si="67"/>
        <v>1464.2700000000004</v>
      </c>
      <c r="X712">
        <f t="shared" si="68"/>
        <v>0.19771374869869199</v>
      </c>
      <c r="Y712" t="str">
        <f>_xlfn.TEXTJOIN(", ",TRUE,IF(G712="Unknown","Missing Region",""),IF(M712="Unknown","Missing Ship Mode",""),IF(P712&lt;0,"Negative Discount",""),IF(P712&gt;0.7,"High Discount",""),IF(C712&lt;B712,"Ship Before Order",""))</f>
        <v/>
      </c>
      <c r="Z712" s="2">
        <f>IFERROR(
  IF(ISNUMBER(B712),B712,
    IF(ISNUMBER(SEARCH("-",B712)*1),
      IF(LEN(LEFT(B712,FIND("-",B712)-1))=4,
        DATE(VALUE(LEFT(B712,4)),VALUE(MID(B712,6,2)),VALUE(RIGHT(B712,2))),
        DATE(VALUE(RIGHT(B712,4)),VALUE(MID(B712,4,2)),VALUE(LEFT(B712,2)))
      ),
      IF(ISNUMBER(SEARCH("/",B712)*1),
        DATE(VALUE(RIGHT(B712,4)),VALUE(LEFT(B712,2)),VALUE(MID(B712,4,2))),
        DATEVALUE(B712)
      )
    )
  ),
"INVALID_DATE")</f>
        <v>45485</v>
      </c>
      <c r="AA712" s="2">
        <f>IFERROR(
  IF(ISNUMBER(C712),C712,
    IF(ISNUMBER(SEARCH("-",C712)*1),
      IF(LEN(LEFT(C712,FIND("-",C712)-1))=4,
        DATE(VALUE(LEFT(C712,4)),VALUE(MID(C712,6,2)),VALUE(RIGHT(C712,2))),
        DATE(VALUE(RIGHT(C712,4)),VALUE(MID(C712,4,2)),VALUE(LEFT(C712,2)))
      ),
      IF(ISNUMBER(SEARCH("/",C712)*1),
        DATE(VALUE(RIGHT(C712,4)),VALUE(LEFT(C712,2)),VALUE(MID(C712,4,2))),
        DATEVALUE(C712)
      )
    )
  ),
"INVALID_DATE")</f>
        <v>45492</v>
      </c>
      <c r="AB712">
        <f t="shared" si="69"/>
        <v>7</v>
      </c>
      <c r="AC712" t="str">
        <f t="shared" si="70"/>
        <v>July</v>
      </c>
      <c r="AD712">
        <f t="shared" si="71"/>
        <v>2024</v>
      </c>
    </row>
    <row r="713" spans="1:30">
      <c r="A713" t="s">
        <v>3334</v>
      </c>
      <c r="B713" t="s">
        <v>3335</v>
      </c>
      <c r="C713" t="s">
        <v>3297</v>
      </c>
      <c r="D713" t="s">
        <v>3336</v>
      </c>
      <c r="E713" t="s">
        <v>374</v>
      </c>
      <c r="F713" t="s">
        <v>115</v>
      </c>
      <c r="G713" t="s">
        <v>49</v>
      </c>
      <c r="H713" t="s">
        <v>128</v>
      </c>
      <c r="I713" t="s">
        <v>129</v>
      </c>
      <c r="J713" t="s">
        <v>93</v>
      </c>
      <c r="K713" t="s">
        <v>390</v>
      </c>
      <c r="L713" t="s">
        <v>3337</v>
      </c>
      <c r="M713" t="s">
        <v>63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144</v>
      </c>
      <c r="U713" t="s">
        <v>132</v>
      </c>
      <c r="V713">
        <f t="shared" si="66"/>
        <v>4110.4124999999995</v>
      </c>
      <c r="W713">
        <f t="shared" si="67"/>
        <v>1716.27</v>
      </c>
      <c r="X713">
        <f t="shared" si="68"/>
        <v>0.41754228896874035</v>
      </c>
      <c r="Y713" t="str">
        <f>_xlfn.TEXTJOIN(", ",TRUE,IF(G713="Unknown","Missing Region",""),IF(M713="Unknown","Missing Ship Mode",""),IF(P713&lt;0,"Negative Discount",""),IF(P713&gt;0.7,"High Discount",""),IF(C713&lt;B713,"Ship Before Order",""))</f>
        <v/>
      </c>
      <c r="Z713" s="2">
        <f>IFERROR(
  IF(ISNUMBER(B713),B713,
    IF(ISNUMBER(SEARCH("-",B713)*1),
      IF(LEN(LEFT(B713,FIND("-",B713)-1))=4,
        DATE(VALUE(LEFT(B713,4)),VALUE(MID(B713,6,2)),VALUE(RIGHT(B713,2))),
        DATE(VALUE(RIGHT(B713,4)),VALUE(MID(B713,4,2)),VALUE(LEFT(B713,2)))
      ),
      IF(ISNUMBER(SEARCH("/",B713)*1),
        DATE(VALUE(RIGHT(B713,4)),VALUE(LEFT(B713,2)),VALUE(MID(B713,4,2))),
        DATEVALUE(B713)
      )
    )
  ),
"INVALID_DATE")</f>
        <v>45690</v>
      </c>
      <c r="AA713" s="2">
        <f>IFERROR(
  IF(ISNUMBER(C713),C713,
    IF(ISNUMBER(SEARCH("-",C713)*1),
      IF(LEN(LEFT(C713,FIND("-",C713)-1))=4,
        DATE(VALUE(LEFT(C713,4)),VALUE(MID(C713,6,2)),VALUE(RIGHT(C713,2))),
        DATE(VALUE(RIGHT(C713,4)),VALUE(MID(C713,4,2)),VALUE(LEFT(C713,2)))
      ),
      IF(ISNUMBER(SEARCH("/",C713)*1),
        DATE(VALUE(RIGHT(C713,4)),VALUE(LEFT(C713,2)),VALUE(MID(C713,4,2))),
        DATEVALUE(C713)
      )
    )
  ),
"INVALID_DATE")</f>
        <v>45690</v>
      </c>
      <c r="AB713">
        <f t="shared" si="69"/>
        <v>0</v>
      </c>
      <c r="AC713" t="str">
        <f t="shared" si="70"/>
        <v>February</v>
      </c>
      <c r="AD713">
        <f t="shared" si="71"/>
        <v>2025</v>
      </c>
    </row>
    <row r="714" spans="1:30">
      <c r="A714" t="s">
        <v>3338</v>
      </c>
      <c r="B714" t="s">
        <v>2137</v>
      </c>
      <c r="C714" t="s">
        <v>3339</v>
      </c>
      <c r="D714" t="s">
        <v>3340</v>
      </c>
      <c r="E714" t="s">
        <v>60</v>
      </c>
      <c r="F714" t="s">
        <v>122</v>
      </c>
      <c r="G714" t="s">
        <v>80</v>
      </c>
      <c r="H714" t="s">
        <v>91</v>
      </c>
      <c r="I714" t="s">
        <v>92</v>
      </c>
      <c r="J714" t="s">
        <v>52</v>
      </c>
      <c r="K714" t="s">
        <v>83</v>
      </c>
      <c r="L714" t="s">
        <v>3341</v>
      </c>
      <c r="M714" t="s">
        <v>63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41</v>
      </c>
      <c r="U714" t="s">
        <v>42</v>
      </c>
      <c r="V714">
        <f t="shared" si="66"/>
        <v>9680.0199999999986</v>
      </c>
      <c r="W714">
        <f t="shared" si="67"/>
        <v>2803.3600000000006</v>
      </c>
      <c r="X714">
        <f t="shared" si="68"/>
        <v>0.28960270743242267</v>
      </c>
      <c r="Y714" t="str">
        <f>_xlfn.TEXTJOIN(", ",TRUE,IF(G714="Unknown","Missing Region",""),IF(M714="Unknown","Missing Ship Mode",""),IF(P714&lt;0,"Negative Discount",""),IF(P714&gt;0.7,"High Discount",""),IF(C714&lt;B714,"Ship Before Order",""))</f>
        <v/>
      </c>
      <c r="Z714" s="2">
        <f>IFERROR(
  IF(ISNUMBER(B714),B714,
    IF(ISNUMBER(SEARCH("-",B714)*1),
      IF(LEN(LEFT(B714,FIND("-",B714)-1))=4,
        DATE(VALUE(LEFT(B714,4)),VALUE(MID(B714,6,2)),VALUE(RIGHT(B714,2))),
        DATE(VALUE(RIGHT(B714,4)),VALUE(MID(B714,4,2)),VALUE(LEFT(B714,2)))
      ),
      IF(ISNUMBER(SEARCH("/",B714)*1),
        DATE(VALUE(RIGHT(B714,4)),VALUE(LEFT(B714,2)),VALUE(MID(B714,4,2))),
        DATEVALUE(B714)
      )
    )
  ),
"INVALID_DATE")</f>
        <v>45332</v>
      </c>
      <c r="AA714" s="2">
        <f>IFERROR(
  IF(ISNUMBER(C714),C714,
    IF(ISNUMBER(SEARCH("-",C714)*1),
      IF(LEN(LEFT(C714,FIND("-",C714)-1))=4,
        DATE(VALUE(LEFT(C714,4)),VALUE(MID(C714,6,2)),VALUE(RIGHT(C714,2))),
        DATE(VALUE(RIGHT(C714,4)),VALUE(MID(C714,4,2)),VALUE(LEFT(C714,2)))
      ),
      IF(ISNUMBER(SEARCH("/",C714)*1),
        DATE(VALUE(RIGHT(C714,4)),VALUE(LEFT(C714,2)),VALUE(MID(C714,4,2))),
        DATEVALUE(C714)
      )
    )
  ),
"INVALID_DATE")</f>
        <v>45340</v>
      </c>
      <c r="AB714">
        <f t="shared" si="69"/>
        <v>8</v>
      </c>
      <c r="AC714" t="str">
        <f t="shared" si="70"/>
        <v>February</v>
      </c>
      <c r="AD714">
        <f t="shared" si="71"/>
        <v>2024</v>
      </c>
    </row>
    <row r="715" spans="1:30">
      <c r="A715" t="s">
        <v>3342</v>
      </c>
      <c r="B715" t="s">
        <v>3343</v>
      </c>
      <c r="C715" t="s">
        <v>3190</v>
      </c>
      <c r="D715" t="s">
        <v>911</v>
      </c>
      <c r="E715" t="s">
        <v>47</v>
      </c>
      <c r="F715" t="s">
        <v>33</v>
      </c>
      <c r="G715" t="s">
        <v>80</v>
      </c>
      <c r="H715" t="s">
        <v>35</v>
      </c>
      <c r="I715" t="s">
        <v>142</v>
      </c>
      <c r="J715" t="s">
        <v>93</v>
      </c>
      <c r="K715" t="s">
        <v>390</v>
      </c>
      <c r="L715" t="s">
        <v>3344</v>
      </c>
      <c r="M715" t="s">
        <v>40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41</v>
      </c>
      <c r="U715" t="s">
        <v>42</v>
      </c>
      <c r="V715">
        <f t="shared" si="66"/>
        <v>217.47750000000002</v>
      </c>
      <c r="W715">
        <f t="shared" si="67"/>
        <v>85.35</v>
      </c>
      <c r="X715">
        <f t="shared" si="68"/>
        <v>0.39244988044877688</v>
      </c>
      <c r="Y715" t="str">
        <f>_xlfn.TEXTJOIN(", ",TRUE,IF(G715="Unknown","Missing Region",""),IF(M715="Unknown","Missing Ship Mode",""),IF(P715&lt;0,"Negative Discount",""),IF(P715&gt;0.7,"High Discount",""),IF(C715&lt;B715,"Ship Before Order",""))</f>
        <v/>
      </c>
      <c r="Z715" s="2">
        <f>IFERROR(
  IF(ISNUMBER(B715),B715,
    IF(ISNUMBER(SEARCH("-",B715)*1),
      IF(LEN(LEFT(B715,FIND("-",B715)-1))=4,
        DATE(VALUE(LEFT(B715,4)),VALUE(MID(B715,6,2)),VALUE(RIGHT(B715,2))),
        DATE(VALUE(RIGHT(B715,4)),VALUE(MID(B715,4,2)),VALUE(LEFT(B715,2)))
      ),
      IF(ISNUMBER(SEARCH("/",B715)*1),
        DATE(VALUE(RIGHT(B715,4)),VALUE(LEFT(B715,2)),VALUE(MID(B715,4,2))),
        DATEVALUE(B715)
      )
    )
  ),
"INVALID_DATE")</f>
        <v>45814</v>
      </c>
      <c r="AA715" s="2">
        <f>IFERROR(
  IF(ISNUMBER(C715),C715,
    IF(ISNUMBER(SEARCH("-",C715)*1),
      IF(LEN(LEFT(C715,FIND("-",C715)-1))=4,
        DATE(VALUE(LEFT(C715,4)),VALUE(MID(C715,6,2)),VALUE(RIGHT(C715,2))),
        DATE(VALUE(RIGHT(C715,4)),VALUE(MID(C715,4,2)),VALUE(LEFT(C715,2)))
      ),
      IF(ISNUMBER(SEARCH("/",C715)*1),
        DATE(VALUE(RIGHT(C715,4)),VALUE(LEFT(C715,2)),VALUE(MID(C715,4,2))),
        DATEVALUE(C715)
      )
    )
  ),
"INVALID_DATE")</f>
        <v>45818</v>
      </c>
      <c r="AB715">
        <f t="shared" si="69"/>
        <v>4</v>
      </c>
      <c r="AC715" t="str">
        <f t="shared" si="70"/>
        <v>June</v>
      </c>
      <c r="AD715">
        <f t="shared" si="71"/>
        <v>2025</v>
      </c>
    </row>
    <row r="716" spans="1:30">
      <c r="A716" t="s">
        <v>3345</v>
      </c>
      <c r="B716" t="s">
        <v>2123</v>
      </c>
      <c r="C716" t="s">
        <v>2239</v>
      </c>
      <c r="D716" t="s">
        <v>3346</v>
      </c>
      <c r="E716" t="s">
        <v>32</v>
      </c>
      <c r="F716" t="s">
        <v>122</v>
      </c>
      <c r="G716" t="s">
        <v>34</v>
      </c>
      <c r="H716" t="s">
        <v>514</v>
      </c>
      <c r="I716" t="s">
        <v>515</v>
      </c>
      <c r="J716" t="s">
        <v>93</v>
      </c>
      <c r="K716" t="s">
        <v>101</v>
      </c>
      <c r="L716" t="s">
        <v>3347</v>
      </c>
      <c r="M716" t="s">
        <v>74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41</v>
      </c>
      <c r="U716" t="s">
        <v>42</v>
      </c>
      <c r="V716">
        <f t="shared" si="66"/>
        <v>18675.18</v>
      </c>
      <c r="W716">
        <f t="shared" si="67"/>
        <v>4700.4799999999996</v>
      </c>
      <c r="X716">
        <f t="shared" si="68"/>
        <v>0.25169663692665878</v>
      </c>
      <c r="Y716" t="str">
        <f>_xlfn.TEXTJOIN(", ",TRUE,IF(G716="Unknown","Missing Region",""),IF(M716="Unknown","Missing Ship Mode",""),IF(P716&lt;0,"Negative Discount",""),IF(P716&gt;0.7,"High Discount",""),IF(C716&lt;B716,"Ship Before Order",""))</f>
        <v>Ship Before Order</v>
      </c>
      <c r="Z716" s="2">
        <f>IFERROR(
  IF(ISNUMBER(B716),B716,
    IF(ISNUMBER(SEARCH("-",B716)*1),
      IF(LEN(LEFT(B716,FIND("-",B716)-1))=4,
        DATE(VALUE(LEFT(B716,4)),VALUE(MID(B716,6,2)),VALUE(RIGHT(B716,2))),
        DATE(VALUE(RIGHT(B716,4)),VALUE(MID(B716,4,2)),VALUE(LEFT(B716,2)))
      ),
      IF(ISNUMBER(SEARCH("/",B716)*1),
        DATE(VALUE(RIGHT(B716,4)),VALUE(LEFT(B716,2)),VALUE(MID(B716,4,2))),
        DATEVALUE(B716)
      )
    )
  ),
"INVALID_DATE")</f>
        <v>45738</v>
      </c>
      <c r="AA716" s="2">
        <f>IFERROR(
  IF(ISNUMBER(C716),C716,
    IF(ISNUMBER(SEARCH("-",C716)*1),
      IF(LEN(LEFT(C716,FIND("-",C716)-1))=4,
        DATE(VALUE(LEFT(C716,4)),VALUE(MID(C716,6,2)),VALUE(RIGHT(C716,2))),
        DATE(VALUE(RIGHT(C716,4)),VALUE(MID(C716,4,2)),VALUE(LEFT(C716,2)))
      ),
      IF(ISNUMBER(SEARCH("/",C716)*1),
        DATE(VALUE(RIGHT(C716,4)),VALUE(LEFT(C716,2)),VALUE(MID(C716,4,2))),
        DATEVALUE(C716)
      )
    )
  ),
"INVALID_DATE")</f>
        <v>45739</v>
      </c>
      <c r="AB716">
        <f t="shared" si="69"/>
        <v>1</v>
      </c>
      <c r="AC716" t="str">
        <f t="shared" si="70"/>
        <v>March</v>
      </c>
      <c r="AD716">
        <f t="shared" si="71"/>
        <v>2025</v>
      </c>
    </row>
    <row r="717" spans="1:30">
      <c r="A717" t="s">
        <v>3348</v>
      </c>
      <c r="B717" t="s">
        <v>462</v>
      </c>
      <c r="C717" t="s">
        <v>463</v>
      </c>
      <c r="D717" t="s">
        <v>3349</v>
      </c>
      <c r="E717" t="s">
        <v>149</v>
      </c>
      <c r="F717" t="s">
        <v>33</v>
      </c>
      <c r="G717" t="s">
        <v>34</v>
      </c>
      <c r="H717" t="s">
        <v>331</v>
      </c>
      <c r="I717" t="s">
        <v>332</v>
      </c>
      <c r="J717" t="s">
        <v>52</v>
      </c>
      <c r="K717" t="s">
        <v>83</v>
      </c>
      <c r="L717" t="s">
        <v>3350</v>
      </c>
      <c r="M717" t="s">
        <v>40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131</v>
      </c>
      <c r="U717" t="s">
        <v>85</v>
      </c>
      <c r="V717">
        <f t="shared" si="66"/>
        <v>19901.63</v>
      </c>
      <c r="W717">
        <f t="shared" si="67"/>
        <v>4409.6000000000004</v>
      </c>
      <c r="X717">
        <f t="shared" si="68"/>
        <v>0.22156979101711771</v>
      </c>
      <c r="Y717" t="str">
        <f>_xlfn.TEXTJOIN(", ",TRUE,IF(G717="Unknown","Missing Region",""),IF(M717="Unknown","Missing Ship Mode",""),IF(P717&lt;0,"Negative Discount",""),IF(P717&gt;0.7,"High Discount",""),IF(C717&lt;B717,"Ship Before Order",""))</f>
        <v/>
      </c>
      <c r="Z717" s="2">
        <f>IFERROR(
  IF(ISNUMBER(B717),B717,
    IF(ISNUMBER(SEARCH("-",B717)*1),
      IF(LEN(LEFT(B717,FIND("-",B717)-1))=4,
        DATE(VALUE(LEFT(B717,4)),VALUE(MID(B717,6,2)),VALUE(RIGHT(B717,2))),
        DATE(VALUE(RIGHT(B717,4)),VALUE(MID(B717,4,2)),VALUE(LEFT(B717,2)))
      ),
      IF(ISNUMBER(SEARCH("/",B717)*1),
        DATE(VALUE(RIGHT(B717,4)),VALUE(LEFT(B717,2)),VALUE(MID(B717,4,2))),
        DATEVALUE(B717)
      )
    )
  ),
"INVALID_DATE")</f>
        <v>45891</v>
      </c>
      <c r="AA717" s="2">
        <f>IFERROR(
  IF(ISNUMBER(C717),C717,
    IF(ISNUMBER(SEARCH("-",C717)*1),
      IF(LEN(LEFT(C717,FIND("-",C717)-1))=4,
        DATE(VALUE(LEFT(C717,4)),VALUE(MID(C717,6,2)),VALUE(RIGHT(C717,2))),
        DATE(VALUE(RIGHT(C717,4)),VALUE(MID(C717,4,2)),VALUE(LEFT(C717,2)))
      ),
      IF(ISNUMBER(SEARCH("/",C717)*1),
        DATE(VALUE(RIGHT(C717,4)),VALUE(LEFT(C717,2)),VALUE(MID(C717,4,2))),
        DATEVALUE(C717)
      )
    )
  ),
"INVALID_DATE")</f>
        <v>45896</v>
      </c>
      <c r="AB717">
        <f t="shared" si="69"/>
        <v>5</v>
      </c>
      <c r="AC717" t="str">
        <f t="shared" si="70"/>
        <v>August</v>
      </c>
      <c r="AD717">
        <f t="shared" si="71"/>
        <v>2025</v>
      </c>
    </row>
    <row r="718" spans="1:30">
      <c r="A718" t="s">
        <v>3351</v>
      </c>
      <c r="B718" t="s">
        <v>3352</v>
      </c>
      <c r="C718" t="s">
        <v>209</v>
      </c>
      <c r="D718" t="s">
        <v>3353</v>
      </c>
      <c r="E718" t="s">
        <v>217</v>
      </c>
      <c r="F718" t="s">
        <v>48</v>
      </c>
      <c r="G718" t="s">
        <v>34</v>
      </c>
      <c r="H718" t="s">
        <v>331</v>
      </c>
      <c r="I718" t="s">
        <v>332</v>
      </c>
      <c r="J718" t="s">
        <v>93</v>
      </c>
      <c r="K718" t="s">
        <v>230</v>
      </c>
      <c r="L718" t="s">
        <v>3354</v>
      </c>
      <c r="M718" t="s">
        <v>63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41</v>
      </c>
      <c r="U718" t="s">
        <v>42</v>
      </c>
      <c r="V718">
        <f t="shared" si="66"/>
        <v>2879.817</v>
      </c>
      <c r="W718">
        <f t="shared" si="67"/>
        <v>1054.94</v>
      </c>
      <c r="X718">
        <f t="shared" si="68"/>
        <v>0.36632150620524895</v>
      </c>
      <c r="Y718" t="str">
        <f>_xlfn.TEXTJOIN(", ",TRUE,IF(G718="Unknown","Missing Region",""),IF(M718="Unknown","Missing Ship Mode",""),IF(P718&lt;0,"Negative Discount",""),IF(P718&gt;0.7,"High Discount",""),IF(C718&lt;B718,"Ship Before Order",""))</f>
        <v/>
      </c>
      <c r="Z718" s="2">
        <f>IFERROR(
  IF(ISNUMBER(B718),B718,
    IF(ISNUMBER(SEARCH("-",B718)*1),
      IF(LEN(LEFT(B718,FIND("-",B718)-1))=4,
        DATE(VALUE(LEFT(B718,4)),VALUE(MID(B718,6,2)),VALUE(RIGHT(B718,2))),
        DATE(VALUE(RIGHT(B718,4)),VALUE(MID(B718,4,2)),VALUE(LEFT(B718,2)))
      ),
      IF(ISNUMBER(SEARCH("/",B718)*1),
        DATE(VALUE(RIGHT(B718,4)),VALUE(LEFT(B718,2)),VALUE(MID(B718,4,2))),
        DATEVALUE(B718)
      )
    )
  ),
"INVALID_DATE")</f>
        <v>45895</v>
      </c>
      <c r="AA718" s="2">
        <f>IFERROR(
  IF(ISNUMBER(C718),C718,
    IF(ISNUMBER(SEARCH("-",C718)*1),
      IF(LEN(LEFT(C718,FIND("-",C718)-1))=4,
        DATE(VALUE(LEFT(C718,4)),VALUE(MID(C718,6,2)),VALUE(RIGHT(C718,2))),
        DATE(VALUE(RIGHT(C718,4)),VALUE(MID(C718,4,2)),VALUE(LEFT(C718,2)))
      ),
      IF(ISNUMBER(SEARCH("/",C718)*1),
        DATE(VALUE(RIGHT(C718,4)),VALUE(LEFT(C718,2)),VALUE(MID(C718,4,2))),
        DATEVALUE(C718)
      )
    )
  ),
"INVALID_DATE")</f>
        <v>45900</v>
      </c>
      <c r="AB718">
        <f t="shared" si="69"/>
        <v>5</v>
      </c>
      <c r="AC718" t="str">
        <f t="shared" si="70"/>
        <v>August</v>
      </c>
      <c r="AD718">
        <f t="shared" si="71"/>
        <v>2025</v>
      </c>
    </row>
    <row r="719" spans="1:30">
      <c r="A719" t="s">
        <v>3355</v>
      </c>
      <c r="B719" t="s">
        <v>3356</v>
      </c>
      <c r="C719" t="s">
        <v>317</v>
      </c>
      <c r="D719" t="s">
        <v>3357</v>
      </c>
      <c r="E719" t="s">
        <v>374</v>
      </c>
      <c r="F719" t="s">
        <v>48</v>
      </c>
      <c r="G719" t="s">
        <v>34</v>
      </c>
      <c r="H719" t="s">
        <v>331</v>
      </c>
      <c r="I719" t="s">
        <v>332</v>
      </c>
      <c r="J719" t="s">
        <v>93</v>
      </c>
      <c r="K719" t="s">
        <v>390</v>
      </c>
      <c r="L719" t="s">
        <v>3358</v>
      </c>
      <c r="M719" t="s">
        <v>74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144</v>
      </c>
      <c r="U719" t="s">
        <v>85</v>
      </c>
      <c r="V719">
        <f t="shared" si="66"/>
        <v>18712.223999999998</v>
      </c>
      <c r="W719">
        <f t="shared" si="67"/>
        <v>6860.0000000000018</v>
      </c>
      <c r="X719">
        <f t="shared" si="68"/>
        <v>0.36660535201061123</v>
      </c>
      <c r="Y719" t="str">
        <f>_xlfn.TEXTJOIN(", ",TRUE,IF(G719="Unknown","Missing Region",""),IF(M719="Unknown","Missing Ship Mode",""),IF(P719&lt;0,"Negative Discount",""),IF(P719&gt;0.7,"High Discount",""),IF(C719&lt;B719,"Ship Before Order",""))</f>
        <v/>
      </c>
      <c r="Z719" s="2">
        <f>IFERROR(
  IF(ISNUMBER(B719),B719,
    IF(ISNUMBER(SEARCH("-",B719)*1),
      IF(LEN(LEFT(B719,FIND("-",B719)-1))=4,
        DATE(VALUE(LEFT(B719,4)),VALUE(MID(B719,6,2)),VALUE(RIGHT(B719,2))),
        DATE(VALUE(RIGHT(B719,4)),VALUE(MID(B719,4,2)),VALUE(LEFT(B719,2)))
      ),
      IF(ISNUMBER(SEARCH("/",B719)*1),
        DATE(VALUE(RIGHT(B719,4)),VALUE(LEFT(B719,2)),VALUE(MID(B719,4,2))),
        DATEVALUE(B719)
      )
    )
  ),
"INVALID_DATE")</f>
        <v>45942</v>
      </c>
      <c r="AA719" s="2">
        <f>IFERROR(
  IF(ISNUMBER(C719),C719,
    IF(ISNUMBER(SEARCH("-",C719)*1),
      IF(LEN(LEFT(C719,FIND("-",C719)-1))=4,
        DATE(VALUE(LEFT(C719,4)),VALUE(MID(C719,6,2)),VALUE(RIGHT(C719,2))),
        DATE(VALUE(RIGHT(C719,4)),VALUE(MID(C719,4,2)),VALUE(LEFT(C719,2)))
      ),
      IF(ISNUMBER(SEARCH("/",C719)*1),
        DATE(VALUE(RIGHT(C719,4)),VALUE(LEFT(C719,2)),VALUE(MID(C719,4,2))),
        DATEVALUE(C719)
      )
    )
  ),
"INVALID_DATE")</f>
        <v>45945</v>
      </c>
      <c r="AB719">
        <f t="shared" si="69"/>
        <v>3</v>
      </c>
      <c r="AC719" t="str">
        <f t="shared" si="70"/>
        <v>October</v>
      </c>
      <c r="AD719">
        <f t="shared" si="71"/>
        <v>2025</v>
      </c>
    </row>
    <row r="720" spans="1:30">
      <c r="A720" t="s">
        <v>3359</v>
      </c>
      <c r="B720" t="s">
        <v>3360</v>
      </c>
      <c r="C720" t="s">
        <v>884</v>
      </c>
      <c r="D720" t="s">
        <v>3361</v>
      </c>
      <c r="E720" t="s">
        <v>47</v>
      </c>
      <c r="F720" t="s">
        <v>33</v>
      </c>
      <c r="G720" t="s">
        <v>80</v>
      </c>
      <c r="H720" t="s">
        <v>81</v>
      </c>
      <c r="I720" t="s">
        <v>82</v>
      </c>
      <c r="J720" t="s">
        <v>37</v>
      </c>
      <c r="K720" t="s">
        <v>61</v>
      </c>
      <c r="L720" t="s">
        <v>3362</v>
      </c>
      <c r="M720" t="s">
        <v>55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41</v>
      </c>
      <c r="U720" t="s">
        <v>42</v>
      </c>
      <c r="V720">
        <f t="shared" si="66"/>
        <v>4733.4480000000003</v>
      </c>
      <c r="W720">
        <f t="shared" si="67"/>
        <v>1061.1299999999997</v>
      </c>
      <c r="X720">
        <f t="shared" si="68"/>
        <v>0.22417686887999241</v>
      </c>
      <c r="Y720" t="str">
        <f>_xlfn.TEXTJOIN(", ",TRUE,IF(G720="Unknown","Missing Region",""),IF(M720="Unknown","Missing Ship Mode",""),IF(P720&lt;0,"Negative Discount",""),IF(P720&gt;0.7,"High Discount",""),IF(C720&lt;B720,"Ship Before Order",""))</f>
        <v/>
      </c>
      <c r="Z720" s="2">
        <f>IFERROR(
  IF(ISNUMBER(B720),B720,
    IF(ISNUMBER(SEARCH("-",B720)*1),
      IF(LEN(LEFT(B720,FIND("-",B720)-1))=4,
        DATE(VALUE(LEFT(B720,4)),VALUE(MID(B720,6,2)),VALUE(RIGHT(B720,2))),
        DATE(VALUE(RIGHT(B720,4)),VALUE(MID(B720,4,2)),VALUE(LEFT(B720,2)))
      ),
      IF(ISNUMBER(SEARCH("/",B720)*1),
        DATE(VALUE(RIGHT(B720,4)),VALUE(LEFT(B720,2)),VALUE(MID(B720,4,2))),
        DATEVALUE(B720)
      )
    )
  ),
"INVALID_DATE")</f>
        <v>45541</v>
      </c>
      <c r="AA720" s="2">
        <f>IFERROR(
  IF(ISNUMBER(C720),C720,
    IF(ISNUMBER(SEARCH("-",C720)*1),
      IF(LEN(LEFT(C720,FIND("-",C720)-1))=4,
        DATE(VALUE(LEFT(C720,4)),VALUE(MID(C720,6,2)),VALUE(RIGHT(C720,2))),
        DATE(VALUE(RIGHT(C720,4)),VALUE(MID(C720,4,2)),VALUE(LEFT(C720,2)))
      ),
      IF(ISNUMBER(SEARCH("/",C720)*1),
        DATE(VALUE(RIGHT(C720,4)),VALUE(LEFT(C720,2)),VALUE(MID(C720,4,2))),
        DATEVALUE(C720)
      )
    )
  ),
"INVALID_DATE")</f>
        <v>45544</v>
      </c>
      <c r="AB720">
        <f t="shared" si="69"/>
        <v>3</v>
      </c>
      <c r="AC720" t="str">
        <f t="shared" si="70"/>
        <v>September</v>
      </c>
      <c r="AD720">
        <f t="shared" si="71"/>
        <v>2024</v>
      </c>
    </row>
    <row r="721" spans="1:30">
      <c r="A721" t="s">
        <v>3363</v>
      </c>
      <c r="B721" t="s">
        <v>1732</v>
      </c>
      <c r="C721" t="s">
        <v>1733</v>
      </c>
      <c r="D721" t="s">
        <v>192</v>
      </c>
      <c r="E721" t="s">
        <v>374</v>
      </c>
      <c r="F721" t="s">
        <v>115</v>
      </c>
      <c r="G721" t="s">
        <v>80</v>
      </c>
      <c r="H721" t="s">
        <v>242</v>
      </c>
      <c r="I721" t="s">
        <v>243</v>
      </c>
      <c r="J721" t="s">
        <v>37</v>
      </c>
      <c r="K721" t="s">
        <v>61</v>
      </c>
      <c r="L721" t="s">
        <v>3364</v>
      </c>
      <c r="M721" t="s">
        <v>55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41</v>
      </c>
      <c r="U721" t="s">
        <v>42</v>
      </c>
      <c r="V721">
        <f t="shared" si="66"/>
        <v>3795.8559999999998</v>
      </c>
      <c r="W721">
        <f t="shared" si="67"/>
        <v>1530.94</v>
      </c>
      <c r="X721">
        <f t="shared" si="68"/>
        <v>0.40331835209939249</v>
      </c>
      <c r="Y721" t="str">
        <f>_xlfn.TEXTJOIN(", ",TRUE,IF(G721="Unknown","Missing Region",""),IF(M721="Unknown","Missing Ship Mode",""),IF(P721&lt;0,"Negative Discount",""),IF(P721&gt;0.7,"High Discount",""),IF(C721&lt;B721,"Ship Before Order",""))</f>
        <v/>
      </c>
      <c r="Z721" s="2">
        <f>IFERROR(
  IF(ISNUMBER(B721),B721,
    IF(ISNUMBER(SEARCH("-",B721)*1),
      IF(LEN(LEFT(B721,FIND("-",B721)-1))=4,
        DATE(VALUE(LEFT(B721,4)),VALUE(MID(B721,6,2)),VALUE(RIGHT(B721,2))),
        DATE(VALUE(RIGHT(B721,4)),VALUE(MID(B721,4,2)),VALUE(LEFT(B721,2)))
      ),
      IF(ISNUMBER(SEARCH("/",B721)*1),
        DATE(VALUE(RIGHT(B721,4)),VALUE(LEFT(B721,2)),VALUE(MID(B721,4,2))),
        DATEVALUE(B721)
      )
    )
  ),
"INVALID_DATE")</f>
        <v>45908</v>
      </c>
      <c r="AA721" s="2">
        <f>IFERROR(
  IF(ISNUMBER(C721),C721,
    IF(ISNUMBER(SEARCH("-",C721)*1),
      IF(LEN(LEFT(C721,FIND("-",C721)-1))=4,
        DATE(VALUE(LEFT(C721,4)),VALUE(MID(C721,6,2)),VALUE(RIGHT(C721,2))),
        DATE(VALUE(RIGHT(C721,4)),VALUE(MID(C721,4,2)),VALUE(LEFT(C721,2)))
      ),
      IF(ISNUMBER(SEARCH("/",C721)*1),
        DATE(VALUE(RIGHT(C721,4)),VALUE(LEFT(C721,2)),VALUE(MID(C721,4,2))),
        DATEVALUE(C721)
      )
    )
  ),
"INVALID_DATE")</f>
        <v>45909</v>
      </c>
      <c r="AB721">
        <f t="shared" si="69"/>
        <v>1</v>
      </c>
      <c r="AC721" t="str">
        <f t="shared" si="70"/>
        <v>September</v>
      </c>
      <c r="AD721">
        <f t="shared" si="71"/>
        <v>2025</v>
      </c>
    </row>
    <row r="722" spans="1:30">
      <c r="A722" t="s">
        <v>3365</v>
      </c>
      <c r="B722" t="s">
        <v>1117</v>
      </c>
      <c r="C722" t="s">
        <v>3366</v>
      </c>
      <c r="D722" t="s">
        <v>3367</v>
      </c>
      <c r="E722" t="s">
        <v>114</v>
      </c>
      <c r="F722" t="s">
        <v>122</v>
      </c>
      <c r="G722" t="s">
        <v>80</v>
      </c>
      <c r="H722" t="s">
        <v>91</v>
      </c>
      <c r="I722" t="s">
        <v>92</v>
      </c>
      <c r="J722" t="s">
        <v>93</v>
      </c>
      <c r="K722" t="s">
        <v>101</v>
      </c>
      <c r="L722" t="s">
        <v>3368</v>
      </c>
      <c r="M722" t="s">
        <v>55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41</v>
      </c>
      <c r="U722" t="s">
        <v>42</v>
      </c>
      <c r="V722">
        <f t="shared" si="66"/>
        <v>15231.727999999999</v>
      </c>
      <c r="W722">
        <f t="shared" si="67"/>
        <v>2780.2700000000004</v>
      </c>
      <c r="X722">
        <f t="shared" si="68"/>
        <v>0.18253146556563174</v>
      </c>
      <c r="Y722" t="str">
        <f>_xlfn.TEXTJOIN(", ",TRUE,IF(G722="Unknown","Missing Region",""),IF(M722="Unknown","Missing Ship Mode",""),IF(P722&lt;0,"Negative Discount",""),IF(P722&gt;0.7,"High Discount",""),IF(C722&lt;B722,"Ship Before Order",""))</f>
        <v>Ship Before Order</v>
      </c>
      <c r="Z722" s="2">
        <f>IFERROR(
  IF(ISNUMBER(B722),B722,
    IF(ISNUMBER(SEARCH("-",B722)*1),
      IF(LEN(LEFT(B722,FIND("-",B722)-1))=4,
        DATE(VALUE(LEFT(B722,4)),VALUE(MID(B722,6,2)),VALUE(RIGHT(B722,2))),
        DATE(VALUE(RIGHT(B722,4)),VALUE(MID(B722,4,2)),VALUE(LEFT(B722,2)))
      ),
      IF(ISNUMBER(SEARCH("/",B722)*1),
        DATE(VALUE(RIGHT(B722,4)),VALUE(LEFT(B722,2)),VALUE(MID(B722,4,2))),
        DATEVALUE(B722)
      )
    )
  ),
"INVALID_DATE")</f>
        <v>45489</v>
      </c>
      <c r="AA722" s="2">
        <f>IFERROR(
  IF(ISNUMBER(C722),C722,
    IF(ISNUMBER(SEARCH("-",C722)*1),
      IF(LEN(LEFT(C722,FIND("-",C722)-1))=4,
        DATE(VALUE(LEFT(C722,4)),VALUE(MID(C722,6,2)),VALUE(RIGHT(C722,2))),
        DATE(VALUE(RIGHT(C722,4)),VALUE(MID(C722,4,2)),VALUE(LEFT(C722,2)))
      ),
      IF(ISNUMBER(SEARCH("/",C722)*1),
        DATE(VALUE(RIGHT(C722,4)),VALUE(LEFT(C722,2)),VALUE(MID(C722,4,2))),
        DATEVALUE(C722)
      )
    )
  ),
"INVALID_DATE")</f>
        <v>45489</v>
      </c>
      <c r="AB722">
        <f t="shared" si="69"/>
        <v>0</v>
      </c>
      <c r="AC722" t="str">
        <f t="shared" si="70"/>
        <v>July</v>
      </c>
      <c r="AD722">
        <f t="shared" si="71"/>
        <v>2024</v>
      </c>
    </row>
    <row r="723" spans="1:30">
      <c r="A723" t="s">
        <v>3369</v>
      </c>
      <c r="B723" t="s">
        <v>261</v>
      </c>
      <c r="C723" t="s">
        <v>3370</v>
      </c>
      <c r="D723" t="s">
        <v>3371</v>
      </c>
      <c r="E723" t="s">
        <v>175</v>
      </c>
      <c r="F723" t="s">
        <v>33</v>
      </c>
      <c r="G723" t="s">
        <v>69</v>
      </c>
      <c r="H723" t="s">
        <v>236</v>
      </c>
      <c r="I723" t="s">
        <v>237</v>
      </c>
      <c r="J723" t="s">
        <v>93</v>
      </c>
      <c r="K723" t="s">
        <v>101</v>
      </c>
      <c r="L723" t="s">
        <v>3372</v>
      </c>
      <c r="M723" t="s">
        <v>63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41</v>
      </c>
      <c r="U723" t="s">
        <v>42</v>
      </c>
      <c r="V723">
        <f t="shared" si="66"/>
        <v>13649.75</v>
      </c>
      <c r="W723">
        <f t="shared" si="67"/>
        <v>3361.7199999999993</v>
      </c>
      <c r="X723">
        <f t="shared" si="68"/>
        <v>0.24628436418249416</v>
      </c>
      <c r="Y723" t="str">
        <f>_xlfn.TEXTJOIN(", ",TRUE,IF(G723="Unknown","Missing Region",""),IF(M723="Unknown","Missing Ship Mode",""),IF(P723&lt;0,"Negative Discount",""),IF(P723&gt;0.7,"High Discount",""),IF(C723&lt;B723,"Ship Before Order",""))</f>
        <v/>
      </c>
      <c r="Z723" s="2">
        <f>IFERROR(
  IF(ISNUMBER(B723),B723,
    IF(ISNUMBER(SEARCH("-",B723)*1),
      IF(LEN(LEFT(B723,FIND("-",B723)-1))=4,
        DATE(VALUE(LEFT(B723,4)),VALUE(MID(B723,6,2)),VALUE(RIGHT(B723,2))),
        DATE(VALUE(RIGHT(B723,4)),VALUE(MID(B723,4,2)),VALUE(LEFT(B723,2)))
      ),
      IF(ISNUMBER(SEARCH("/",B723)*1),
        DATE(VALUE(RIGHT(B723,4)),VALUE(LEFT(B723,2)),VALUE(MID(B723,4,2))),
        DATEVALUE(B723)
      )
    )
  ),
"INVALID_DATE")</f>
        <v>45827</v>
      </c>
      <c r="AA723" s="2">
        <f>IFERROR(
  IF(ISNUMBER(C723),C723,
    IF(ISNUMBER(SEARCH("-",C723)*1),
      IF(LEN(LEFT(C723,FIND("-",C723)-1))=4,
        DATE(VALUE(LEFT(C723,4)),VALUE(MID(C723,6,2)),VALUE(RIGHT(C723,2))),
        DATE(VALUE(RIGHT(C723,4)),VALUE(MID(C723,4,2)),VALUE(LEFT(C723,2)))
      ),
      IF(ISNUMBER(SEARCH("/",C723)*1),
        DATE(VALUE(RIGHT(C723,4)),VALUE(LEFT(C723,2)),VALUE(MID(C723,4,2))),
        DATEVALUE(C723)
      )
    )
  ),
"INVALID_DATE")</f>
        <v>45831</v>
      </c>
      <c r="AB723">
        <f t="shared" si="69"/>
        <v>4</v>
      </c>
      <c r="AC723" t="str">
        <f t="shared" si="70"/>
        <v>June</v>
      </c>
      <c r="AD723">
        <f t="shared" si="71"/>
        <v>2025</v>
      </c>
    </row>
    <row r="724" spans="1:30">
      <c r="A724" t="s">
        <v>3373</v>
      </c>
      <c r="B724" t="s">
        <v>2565</v>
      </c>
      <c r="C724" t="s">
        <v>3374</v>
      </c>
      <c r="D724" t="s">
        <v>3375</v>
      </c>
      <c r="E724" t="s">
        <v>90</v>
      </c>
      <c r="F724" t="s">
        <v>33</v>
      </c>
      <c r="G724" t="s">
        <v>49</v>
      </c>
      <c r="H724" t="s">
        <v>128</v>
      </c>
      <c r="I724" t="s">
        <v>129</v>
      </c>
      <c r="J724" t="s">
        <v>52</v>
      </c>
      <c r="K724" t="s">
        <v>83</v>
      </c>
      <c r="L724" t="s">
        <v>3376</v>
      </c>
      <c r="M724" t="s">
        <v>40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131</v>
      </c>
      <c r="U724" t="s">
        <v>85</v>
      </c>
      <c r="V724">
        <f t="shared" si="66"/>
        <v>4333.59</v>
      </c>
      <c r="W724">
        <f t="shared" si="67"/>
        <v>1800</v>
      </c>
      <c r="X724">
        <f t="shared" si="68"/>
        <v>0.41536001329152039</v>
      </c>
      <c r="Y724" t="str">
        <f>_xlfn.TEXTJOIN(", ",TRUE,IF(G724="Unknown","Missing Region",""),IF(M724="Unknown","Missing Ship Mode",""),IF(P724&lt;0,"Negative Discount",""),IF(P724&gt;0.7,"High Discount",""),IF(C724&lt;B724,"Ship Before Order",""))</f>
        <v>Ship Before Order</v>
      </c>
      <c r="Z724" s="2">
        <f>IFERROR(
  IF(ISNUMBER(B724),B724,
    IF(ISNUMBER(SEARCH("-",B724)*1),
      IF(LEN(LEFT(B724,FIND("-",B724)-1))=4,
        DATE(VALUE(LEFT(B724,4)),VALUE(MID(B724,6,2)),VALUE(RIGHT(B724,2))),
        DATE(VALUE(RIGHT(B724,4)),VALUE(MID(B724,4,2)),VALUE(LEFT(B724,2)))
      ),
      IF(ISNUMBER(SEARCH("/",B724)*1),
        DATE(VALUE(RIGHT(B724,4)),VALUE(LEFT(B724,2)),VALUE(MID(B724,4,2))),
        DATEVALUE(B724)
      )
    )
  ),
"INVALID_DATE")</f>
        <v>45572</v>
      </c>
      <c r="AA724" s="2">
        <f>IFERROR(
  IF(ISNUMBER(C724),C724,
    IF(ISNUMBER(SEARCH("-",C724)*1),
      IF(LEN(LEFT(C724,FIND("-",C724)-1))=4,
        DATE(VALUE(LEFT(C724,4)),VALUE(MID(C724,6,2)),VALUE(RIGHT(C724,2))),
        DATE(VALUE(RIGHT(C724,4)),VALUE(MID(C724,4,2)),VALUE(LEFT(C724,2)))
      ),
      IF(ISNUMBER(SEARCH("/",C724)*1),
        DATE(VALUE(RIGHT(C724,4)),VALUE(LEFT(C724,2)),VALUE(MID(C724,4,2))),
        DATEVALUE(C724)
      )
    )
  ),
"INVALID_DATE")</f>
        <v>45575</v>
      </c>
      <c r="AB724">
        <f t="shared" si="69"/>
        <v>3</v>
      </c>
      <c r="AC724" t="str">
        <f t="shared" si="70"/>
        <v>October</v>
      </c>
      <c r="AD724">
        <f t="shared" si="71"/>
        <v>2024</v>
      </c>
    </row>
    <row r="725" spans="1:30">
      <c r="A725" t="s">
        <v>3377</v>
      </c>
      <c r="B725" t="s">
        <v>895</v>
      </c>
      <c r="C725" t="s">
        <v>3378</v>
      </c>
      <c r="D725" t="s">
        <v>3379</v>
      </c>
      <c r="E725" t="s">
        <v>374</v>
      </c>
      <c r="F725" t="s">
        <v>122</v>
      </c>
      <c r="G725" t="s">
        <v>49</v>
      </c>
      <c r="H725" t="s">
        <v>319</v>
      </c>
      <c r="I725" t="s">
        <v>320</v>
      </c>
      <c r="J725" t="s">
        <v>93</v>
      </c>
      <c r="K725" t="s">
        <v>94</v>
      </c>
      <c r="L725" t="s">
        <v>3380</v>
      </c>
      <c r="M725" t="s">
        <v>74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207</v>
      </c>
      <c r="U725" t="s">
        <v>132</v>
      </c>
      <c r="V725">
        <f t="shared" si="66"/>
        <v>13634.000999999998</v>
      </c>
      <c r="W725">
        <f t="shared" si="67"/>
        <v>4044.1900000000005</v>
      </c>
      <c r="X725">
        <f t="shared" si="68"/>
        <v>0.29662534839372157</v>
      </c>
      <c r="Y725" t="str">
        <f>_xlfn.TEXTJOIN(", ",TRUE,IF(G725="Unknown","Missing Region",""),IF(M725="Unknown","Missing Ship Mode",""),IF(P725&lt;0,"Negative Discount",""),IF(P725&gt;0.7,"High Discount",""),IF(C725&lt;B725,"Ship Before Order",""))</f>
        <v/>
      </c>
      <c r="Z725" s="2">
        <f>IFERROR(
  IF(ISNUMBER(B725),B725,
    IF(ISNUMBER(SEARCH("-",B725)*1),
      IF(LEN(LEFT(B725,FIND("-",B725)-1))=4,
        DATE(VALUE(LEFT(B725,4)),VALUE(MID(B725,6,2)),VALUE(RIGHT(B725,2))),
        DATE(VALUE(RIGHT(B725,4)),VALUE(MID(B725,4,2)),VALUE(LEFT(B725,2)))
      ),
      IF(ISNUMBER(SEARCH("/",B725)*1),
        DATE(VALUE(RIGHT(B725,4)),VALUE(LEFT(B725,2)),VALUE(MID(B725,4,2))),
        DATEVALUE(B725)
      )
    )
  ),
"INVALID_DATE")</f>
        <v>45936</v>
      </c>
      <c r="AA725" s="2">
        <f>IFERROR(
  IF(ISNUMBER(C725),C725,
    IF(ISNUMBER(SEARCH("-",C725)*1),
      IF(LEN(LEFT(C725,FIND("-",C725)-1))=4,
        DATE(VALUE(LEFT(C725,4)),VALUE(MID(C725,6,2)),VALUE(RIGHT(C725,2))),
        DATE(VALUE(RIGHT(C725,4)),VALUE(MID(C725,4,2)),VALUE(LEFT(C725,2)))
      ),
      IF(ISNUMBER(SEARCH("/",C725)*1),
        DATE(VALUE(RIGHT(C725,4)),VALUE(LEFT(C725,2)),VALUE(MID(C725,4,2))),
        DATEVALUE(C725)
      )
    )
  ),
"INVALID_DATE")</f>
        <v>45943</v>
      </c>
      <c r="AB725">
        <f t="shared" si="69"/>
        <v>7</v>
      </c>
      <c r="AC725" t="str">
        <f t="shared" si="70"/>
        <v>October</v>
      </c>
      <c r="AD725">
        <f t="shared" si="71"/>
        <v>2025</v>
      </c>
    </row>
    <row r="726" spans="1:30">
      <c r="A726" t="s">
        <v>3381</v>
      </c>
      <c r="B726" t="s">
        <v>3382</v>
      </c>
      <c r="C726" t="s">
        <v>1619</v>
      </c>
      <c r="D726" t="s">
        <v>3383</v>
      </c>
      <c r="E726" t="s">
        <v>32</v>
      </c>
      <c r="F726" t="s">
        <v>33</v>
      </c>
      <c r="G726" t="s">
        <v>80</v>
      </c>
      <c r="H726" t="s">
        <v>256</v>
      </c>
      <c r="I726" t="s">
        <v>257</v>
      </c>
      <c r="J726" t="s">
        <v>52</v>
      </c>
      <c r="K726" t="s">
        <v>72</v>
      </c>
      <c r="L726" t="s">
        <v>3384</v>
      </c>
      <c r="M726" t="s">
        <v>40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41</v>
      </c>
      <c r="U726" t="s">
        <v>42</v>
      </c>
      <c r="V726">
        <f t="shared" si="66"/>
        <v>760.29</v>
      </c>
      <c r="W726">
        <f t="shared" si="67"/>
        <v>262.52</v>
      </c>
      <c r="X726">
        <f t="shared" si="68"/>
        <v>0.34528929750489945</v>
      </c>
      <c r="Y726" t="str">
        <f>_xlfn.TEXTJOIN(", ",TRUE,IF(G726="Unknown","Missing Region",""),IF(M726="Unknown","Missing Ship Mode",""),IF(P726&lt;0,"Negative Discount",""),IF(P726&gt;0.7,"High Discount",""),IF(C726&lt;B726,"Ship Before Order",""))</f>
        <v/>
      </c>
      <c r="Z726" s="2">
        <f>IFERROR(
  IF(ISNUMBER(B726),B726,
    IF(ISNUMBER(SEARCH("-",B726)*1),
      IF(LEN(LEFT(B726,FIND("-",B726)-1))=4,
        DATE(VALUE(LEFT(B726,4)),VALUE(MID(B726,6,2)),VALUE(RIGHT(B726,2))),
        DATE(VALUE(RIGHT(B726,4)),VALUE(MID(B726,4,2)),VALUE(LEFT(B726,2)))
      ),
      IF(ISNUMBER(SEARCH("/",B726)*1),
        DATE(VALUE(RIGHT(B726,4)),VALUE(LEFT(B726,2)),VALUE(MID(B726,4,2))),
        DATEVALUE(B726)
      )
    )
  ),
"INVALID_DATE")</f>
        <v>45332</v>
      </c>
      <c r="AA726" s="2">
        <f>IFERROR(
  IF(ISNUMBER(C726),C726,
    IF(ISNUMBER(SEARCH("-",C726)*1),
      IF(LEN(LEFT(C726,FIND("-",C726)-1))=4,
        DATE(VALUE(LEFT(C726,4)),VALUE(MID(C726,6,2)),VALUE(RIGHT(C726,2))),
        DATE(VALUE(RIGHT(C726,4)),VALUE(MID(C726,4,2)),VALUE(LEFT(C726,2)))
      ),
      IF(ISNUMBER(SEARCH("/",C726)*1),
        DATE(VALUE(RIGHT(C726,4)),VALUE(LEFT(C726,2)),VALUE(MID(C726,4,2))),
        DATEVALUE(C726)
      )
    )
  ),
"INVALID_DATE")</f>
        <v>45338</v>
      </c>
      <c r="AB726">
        <f t="shared" si="69"/>
        <v>6</v>
      </c>
      <c r="AC726" t="str">
        <f t="shared" si="70"/>
        <v>February</v>
      </c>
      <c r="AD726">
        <f t="shared" si="71"/>
        <v>2024</v>
      </c>
    </row>
    <row r="727" spans="1:30">
      <c r="A727" t="s">
        <v>3385</v>
      </c>
      <c r="B727" t="s">
        <v>3386</v>
      </c>
      <c r="C727" t="s">
        <v>146</v>
      </c>
      <c r="D727" t="s">
        <v>3387</v>
      </c>
      <c r="E727" t="s">
        <v>149</v>
      </c>
      <c r="F727" t="s">
        <v>115</v>
      </c>
      <c r="G727" t="s">
        <v>69</v>
      </c>
      <c r="H727" t="s">
        <v>236</v>
      </c>
      <c r="I727" t="s">
        <v>237</v>
      </c>
      <c r="J727" t="s">
        <v>52</v>
      </c>
      <c r="K727" t="s">
        <v>53</v>
      </c>
      <c r="L727" t="s">
        <v>3388</v>
      </c>
      <c r="M727" t="s">
        <v>40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41</v>
      </c>
      <c r="U727" t="s">
        <v>42</v>
      </c>
      <c r="V727">
        <f t="shared" si="66"/>
        <v>14943.11</v>
      </c>
      <c r="W727">
        <f t="shared" si="67"/>
        <v>6421.6100000000006</v>
      </c>
      <c r="X727">
        <f t="shared" si="68"/>
        <v>0.42973718322357257</v>
      </c>
      <c r="Y727" t="str">
        <f>_xlfn.TEXTJOIN(", ",TRUE,IF(G727="Unknown","Missing Region",""),IF(M727="Unknown","Missing Ship Mode",""),IF(P727&lt;0,"Negative Discount",""),IF(P727&gt;0.7,"High Discount",""),IF(C727&lt;B727,"Ship Before Order",""))</f>
        <v/>
      </c>
      <c r="Z727" s="2">
        <f>IFERROR(
  IF(ISNUMBER(B727),B727,
    IF(ISNUMBER(SEARCH("-",B727)*1),
      IF(LEN(LEFT(B727,FIND("-",B727)-1))=4,
        DATE(VALUE(LEFT(B727,4)),VALUE(MID(B727,6,2)),VALUE(RIGHT(B727,2))),
        DATE(VALUE(RIGHT(B727,4)),VALUE(MID(B727,4,2)),VALUE(LEFT(B727,2)))
      ),
      IF(ISNUMBER(SEARCH("/",B727)*1),
        DATE(VALUE(RIGHT(B727,4)),VALUE(LEFT(B727,2)),VALUE(MID(B727,4,2))),
        DATEVALUE(B727)
      )
    )
  ),
"INVALID_DATE")</f>
        <v>45935</v>
      </c>
      <c r="AA727" s="2">
        <f>IFERROR(
  IF(ISNUMBER(C727),C727,
    IF(ISNUMBER(SEARCH("-",C727)*1),
      IF(LEN(LEFT(C727,FIND("-",C727)-1))=4,
        DATE(VALUE(LEFT(C727,4)),VALUE(MID(C727,6,2)),VALUE(RIGHT(C727,2))),
        DATE(VALUE(RIGHT(C727,4)),VALUE(MID(C727,4,2)),VALUE(LEFT(C727,2)))
      ),
      IF(ISNUMBER(SEARCH("/",C727)*1),
        DATE(VALUE(RIGHT(C727,4)),VALUE(LEFT(C727,2)),VALUE(MID(C727,4,2))),
        DATEVALUE(C727)
      )
    )
  ),
"INVALID_DATE")</f>
        <v>45942</v>
      </c>
      <c r="AB727">
        <f t="shared" si="69"/>
        <v>7</v>
      </c>
      <c r="AC727" t="str">
        <f t="shared" si="70"/>
        <v>October</v>
      </c>
      <c r="AD727">
        <f t="shared" si="71"/>
        <v>2025</v>
      </c>
    </row>
    <row r="728" spans="1:30">
      <c r="A728" t="s">
        <v>3389</v>
      </c>
      <c r="B728" t="s">
        <v>3390</v>
      </c>
      <c r="C728" t="s">
        <v>3391</v>
      </c>
      <c r="D728" t="s">
        <v>3392</v>
      </c>
      <c r="E728" t="s">
        <v>374</v>
      </c>
      <c r="F728" t="s">
        <v>122</v>
      </c>
      <c r="G728" t="s">
        <v>80</v>
      </c>
      <c r="H728" t="s">
        <v>242</v>
      </c>
      <c r="I728" t="s">
        <v>243</v>
      </c>
      <c r="J728" t="s">
        <v>93</v>
      </c>
      <c r="K728" t="s">
        <v>230</v>
      </c>
      <c r="L728" t="s">
        <v>3393</v>
      </c>
      <c r="M728" t="s">
        <v>74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144</v>
      </c>
      <c r="U728" t="s">
        <v>132</v>
      </c>
      <c r="V728">
        <f t="shared" si="66"/>
        <v>8072</v>
      </c>
      <c r="W728">
        <f t="shared" si="67"/>
        <v>2692.7799999999997</v>
      </c>
      <c r="X728">
        <f t="shared" si="68"/>
        <v>0.33359514370664028</v>
      </c>
      <c r="Y728" t="str">
        <f>_xlfn.TEXTJOIN(", ",TRUE,IF(G728="Unknown","Missing Region",""),IF(M728="Unknown","Missing Ship Mode",""),IF(P728&lt;0,"Negative Discount",""),IF(P728&gt;0.7,"High Discount",""),IF(C728&lt;B728,"Ship Before Order",""))</f>
        <v>Ship Before Order</v>
      </c>
      <c r="Z728" s="2">
        <f>IFERROR(
  IF(ISNUMBER(B728),B728,
    IF(ISNUMBER(SEARCH("-",B728)*1),
      IF(LEN(LEFT(B728,FIND("-",B728)-1))=4,
        DATE(VALUE(LEFT(B728,4)),VALUE(MID(B728,6,2)),VALUE(RIGHT(B728,2))),
        DATE(VALUE(RIGHT(B728,4)),VALUE(MID(B728,4,2)),VALUE(LEFT(B728,2)))
      ),
      IF(ISNUMBER(SEARCH("/",B728)*1),
        DATE(VALUE(RIGHT(B728,4)),VALUE(LEFT(B728,2)),VALUE(MID(B728,4,2))),
        DATEVALUE(B728)
      )
    )
  ),
"INVALID_DATE")</f>
        <v>45308</v>
      </c>
      <c r="AA728" s="2">
        <f>IFERROR(
  IF(ISNUMBER(C728),C728,
    IF(ISNUMBER(SEARCH("-",C728)*1),
      IF(LEN(LEFT(C728,FIND("-",C728)-1))=4,
        DATE(VALUE(LEFT(C728,4)),VALUE(MID(C728,6,2)),VALUE(RIGHT(C728,2))),
        DATE(VALUE(RIGHT(C728,4)),VALUE(MID(C728,4,2)),VALUE(LEFT(C728,2)))
      ),
      IF(ISNUMBER(SEARCH("/",C728)*1),
        DATE(VALUE(RIGHT(C728,4)),VALUE(LEFT(C728,2)),VALUE(MID(C728,4,2))),
        DATEVALUE(C728)
      )
    )
  ),
"INVALID_DATE")</f>
        <v>45314</v>
      </c>
      <c r="AB728">
        <f t="shared" si="69"/>
        <v>6</v>
      </c>
      <c r="AC728" t="str">
        <f t="shared" si="70"/>
        <v>January</v>
      </c>
      <c r="AD728">
        <f t="shared" si="71"/>
        <v>2024</v>
      </c>
    </row>
    <row r="729" spans="1:30">
      <c r="A729" t="s">
        <v>3394</v>
      </c>
      <c r="B729" t="s">
        <v>3395</v>
      </c>
      <c r="C729" t="s">
        <v>3395</v>
      </c>
      <c r="D729" t="s">
        <v>3396</v>
      </c>
      <c r="E729" t="s">
        <v>169</v>
      </c>
      <c r="F729" t="s">
        <v>48</v>
      </c>
      <c r="G729" t="s">
        <v>49</v>
      </c>
      <c r="H729" t="s">
        <v>223</v>
      </c>
      <c r="I729" t="s">
        <v>224</v>
      </c>
      <c r="J729" t="s">
        <v>93</v>
      </c>
      <c r="K729" t="s">
        <v>94</v>
      </c>
      <c r="L729" t="s">
        <v>3397</v>
      </c>
      <c r="M729" t="s">
        <v>40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41</v>
      </c>
      <c r="U729" t="s">
        <v>42</v>
      </c>
      <c r="V729">
        <f t="shared" si="66"/>
        <v>28353.015999999996</v>
      </c>
      <c r="W729">
        <f t="shared" si="67"/>
        <v>9095.1700000000019</v>
      </c>
      <c r="X729">
        <f t="shared" si="68"/>
        <v>0.32078311234570428</v>
      </c>
      <c r="Y729" t="str">
        <f>_xlfn.TEXTJOIN(", ",TRUE,IF(G729="Unknown","Missing Region",""),IF(M729="Unknown","Missing Ship Mode",""),IF(P729&lt;0,"Negative Discount",""),IF(P729&gt;0.7,"High Discount",""),IF(C729&lt;B729,"Ship Before Order",""))</f>
        <v/>
      </c>
      <c r="Z729" s="2">
        <f>IFERROR(
  IF(ISNUMBER(B729),B729,
    IF(ISNUMBER(SEARCH("-",B729)*1),
      IF(LEN(LEFT(B729,FIND("-",B729)-1))=4,
        DATE(VALUE(LEFT(B729,4)),VALUE(MID(B729,6,2)),VALUE(RIGHT(B729,2))),
        DATE(VALUE(RIGHT(B729,4)),VALUE(MID(B729,4,2)),VALUE(LEFT(B729,2)))
      ),
      IF(ISNUMBER(SEARCH("/",B729)*1),
        DATE(VALUE(RIGHT(B729,4)),VALUE(LEFT(B729,2)),VALUE(MID(B729,4,2))),
        DATEVALUE(B729)
      )
    )
  ),
"INVALID_DATE")</f>
        <v>45578</v>
      </c>
      <c r="AA729" s="2">
        <f>IFERROR(
  IF(ISNUMBER(C729),C729,
    IF(ISNUMBER(SEARCH("-",C729)*1),
      IF(LEN(LEFT(C729,FIND("-",C729)-1))=4,
        DATE(VALUE(LEFT(C729,4)),VALUE(MID(C729,6,2)),VALUE(RIGHT(C729,2))),
        DATE(VALUE(RIGHT(C729,4)),VALUE(MID(C729,4,2)),VALUE(LEFT(C729,2)))
      ),
      IF(ISNUMBER(SEARCH("/",C729)*1),
        DATE(VALUE(RIGHT(C729,4)),VALUE(LEFT(C729,2)),VALUE(MID(C729,4,2))),
        DATEVALUE(C729)
      )
    )
  ),
"INVALID_DATE")</f>
        <v>45578</v>
      </c>
      <c r="AB729">
        <f t="shared" si="69"/>
        <v>0</v>
      </c>
      <c r="AC729" t="str">
        <f t="shared" si="70"/>
        <v>October</v>
      </c>
      <c r="AD729">
        <f t="shared" si="71"/>
        <v>2024</v>
      </c>
    </row>
    <row r="730" spans="1:30">
      <c r="A730" t="s">
        <v>3398</v>
      </c>
      <c r="B730" t="s">
        <v>3060</v>
      </c>
      <c r="C730" t="s">
        <v>1770</v>
      </c>
      <c r="D730" t="s">
        <v>3399</v>
      </c>
      <c r="E730" t="s">
        <v>175</v>
      </c>
      <c r="F730" t="s">
        <v>48</v>
      </c>
      <c r="G730" t="s">
        <v>69</v>
      </c>
      <c r="H730" t="s">
        <v>236</v>
      </c>
      <c r="I730" t="s">
        <v>237</v>
      </c>
      <c r="J730" t="s">
        <v>93</v>
      </c>
      <c r="K730" t="s">
        <v>390</v>
      </c>
      <c r="L730" t="s">
        <v>3400</v>
      </c>
      <c r="M730" t="s">
        <v>63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41</v>
      </c>
      <c r="U730" t="s">
        <v>42</v>
      </c>
      <c r="V730">
        <f t="shared" si="66"/>
        <v>2008.567</v>
      </c>
      <c r="W730">
        <f t="shared" si="67"/>
        <v>813.74</v>
      </c>
      <c r="X730">
        <f t="shared" si="68"/>
        <v>0.40513400080654399</v>
      </c>
      <c r="Y730" t="str">
        <f>_xlfn.TEXTJOIN(", ",TRUE,IF(G730="Unknown","Missing Region",""),IF(M730="Unknown","Missing Ship Mode",""),IF(P730&lt;0,"Negative Discount",""),IF(P730&gt;0.7,"High Discount",""),IF(C730&lt;B730,"Ship Before Order",""))</f>
        <v>Ship Before Order</v>
      </c>
      <c r="Z730" s="2">
        <f>IFERROR(
  IF(ISNUMBER(B730),B730,
    IF(ISNUMBER(SEARCH("-",B730)*1),
      IF(LEN(LEFT(B730,FIND("-",B730)-1))=4,
        DATE(VALUE(LEFT(B730,4)),VALUE(MID(B730,6,2)),VALUE(RIGHT(B730,2))),
        DATE(VALUE(RIGHT(B730,4)),VALUE(MID(B730,4,2)),VALUE(LEFT(B730,2)))
      ),
      IF(ISNUMBER(SEARCH("/",B730)*1),
        DATE(VALUE(RIGHT(B730,4)),VALUE(LEFT(B730,2)),VALUE(MID(B730,4,2))),
        DATEVALUE(B730)
      )
    )
  ),
"INVALID_DATE")</f>
        <v>45295</v>
      </c>
      <c r="AA730" s="2">
        <f>IFERROR(
  IF(ISNUMBER(C730),C730,
    IF(ISNUMBER(SEARCH("-",C730)*1),
      IF(LEN(LEFT(C730,FIND("-",C730)-1))=4,
        DATE(VALUE(LEFT(C730,4)),VALUE(MID(C730,6,2)),VALUE(RIGHT(C730,2))),
        DATE(VALUE(RIGHT(C730,4)),VALUE(MID(C730,4,2)),VALUE(LEFT(C730,2)))
      ),
      IF(ISNUMBER(SEARCH("/",C730)*1),
        DATE(VALUE(RIGHT(C730,4)),VALUE(LEFT(C730,2)),VALUE(MID(C730,4,2))),
        DATEVALUE(C730)
      )
    )
  ),
"INVALID_DATE")</f>
        <v>45298</v>
      </c>
      <c r="AB730">
        <f t="shared" si="69"/>
        <v>3</v>
      </c>
      <c r="AC730" t="str">
        <f t="shared" si="70"/>
        <v>January</v>
      </c>
      <c r="AD730">
        <f t="shared" si="71"/>
        <v>2024</v>
      </c>
    </row>
    <row r="731" spans="1:30">
      <c r="A731" t="s">
        <v>3401</v>
      </c>
      <c r="B731" t="s">
        <v>3402</v>
      </c>
      <c r="C731" t="s">
        <v>3403</v>
      </c>
      <c r="D731" t="s">
        <v>3404</v>
      </c>
      <c r="E731" t="s">
        <v>79</v>
      </c>
      <c r="F731" t="s">
        <v>115</v>
      </c>
      <c r="G731" t="s">
        <v>69</v>
      </c>
      <c r="H731" t="s">
        <v>347</v>
      </c>
      <c r="I731" t="s">
        <v>348</v>
      </c>
      <c r="J731" t="s">
        <v>93</v>
      </c>
      <c r="K731" t="s">
        <v>390</v>
      </c>
      <c r="L731" t="s">
        <v>3405</v>
      </c>
      <c r="M731" t="s">
        <v>55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41</v>
      </c>
      <c r="U731" t="s">
        <v>42</v>
      </c>
      <c r="V731">
        <f t="shared" si="66"/>
        <v>9234.2129999999997</v>
      </c>
      <c r="W731">
        <f t="shared" si="67"/>
        <v>3717.6899999999987</v>
      </c>
      <c r="X731">
        <f t="shared" si="68"/>
        <v>0.4025996809689189</v>
      </c>
      <c r="Y731" t="str">
        <f>_xlfn.TEXTJOIN(", ",TRUE,IF(G731="Unknown","Missing Region",""),IF(M731="Unknown","Missing Ship Mode",""),IF(P731&lt;0,"Negative Discount",""),IF(P731&gt;0.7,"High Discount",""),IF(C731&lt;B731,"Ship Before Order",""))</f>
        <v/>
      </c>
      <c r="Z731" s="2">
        <f>IFERROR(
  IF(ISNUMBER(B731),B731,
    IF(ISNUMBER(SEARCH("-",B731)*1),
      IF(LEN(LEFT(B731,FIND("-",B731)-1))=4,
        DATE(VALUE(LEFT(B731,4)),VALUE(MID(B731,6,2)),VALUE(RIGHT(B731,2))),
        DATE(VALUE(RIGHT(B731,4)),VALUE(MID(B731,4,2)),VALUE(LEFT(B731,2)))
      ),
      IF(ISNUMBER(SEARCH("/",B731)*1),
        DATE(VALUE(RIGHT(B731,4)),VALUE(LEFT(B731,2)),VALUE(MID(B731,4,2))),
        DATEVALUE(B731)
      )
    )
  ),
"INVALID_DATE")</f>
        <v>45794</v>
      </c>
      <c r="AA731" s="2">
        <f>IFERROR(
  IF(ISNUMBER(C731),C731,
    IF(ISNUMBER(SEARCH("-",C731)*1),
      IF(LEN(LEFT(C731,FIND("-",C731)-1))=4,
        DATE(VALUE(LEFT(C731,4)),VALUE(MID(C731,6,2)),VALUE(RIGHT(C731,2))),
        DATE(VALUE(RIGHT(C731,4)),VALUE(MID(C731,4,2)),VALUE(LEFT(C731,2)))
      ),
      IF(ISNUMBER(SEARCH("/",C731)*1),
        DATE(VALUE(RIGHT(C731,4)),VALUE(LEFT(C731,2)),VALUE(MID(C731,4,2))),
        DATEVALUE(C731)
      )
    )
  ),
"INVALID_DATE")</f>
        <v>45802</v>
      </c>
      <c r="AB731">
        <f t="shared" si="69"/>
        <v>8</v>
      </c>
      <c r="AC731" t="str">
        <f t="shared" si="70"/>
        <v>May</v>
      </c>
      <c r="AD731">
        <f t="shared" si="71"/>
        <v>2025</v>
      </c>
    </row>
    <row r="732" spans="1:30">
      <c r="A732" t="s">
        <v>3406</v>
      </c>
      <c r="B732" t="s">
        <v>3407</v>
      </c>
      <c r="C732" t="s">
        <v>3318</v>
      </c>
      <c r="D732" t="s">
        <v>3408</v>
      </c>
      <c r="E732" t="s">
        <v>68</v>
      </c>
      <c r="F732" t="s">
        <v>33</v>
      </c>
      <c r="G732" t="s">
        <v>49</v>
      </c>
      <c r="H732" t="s">
        <v>128</v>
      </c>
      <c r="I732" t="s">
        <v>129</v>
      </c>
      <c r="J732" t="s">
        <v>37</v>
      </c>
      <c r="K732" t="s">
        <v>61</v>
      </c>
      <c r="L732" t="s">
        <v>3409</v>
      </c>
      <c r="M732" t="s">
        <v>40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131</v>
      </c>
      <c r="U732" t="s">
        <v>132</v>
      </c>
      <c r="V732">
        <f t="shared" si="66"/>
        <v>2658.8339999999998</v>
      </c>
      <c r="W732">
        <f t="shared" si="67"/>
        <v>431.86000000000013</v>
      </c>
      <c r="X732">
        <f t="shared" si="68"/>
        <v>0.16242482595728197</v>
      </c>
      <c r="Y732" t="str">
        <f>_xlfn.TEXTJOIN(", ",TRUE,IF(G732="Unknown","Missing Region",""),IF(M732="Unknown","Missing Ship Mode",""),IF(P732&lt;0,"Negative Discount",""),IF(P732&gt;0.7,"High Discount",""),IF(C732&lt;B732,"Ship Before Order",""))</f>
        <v/>
      </c>
      <c r="Z732" s="2">
        <f>IFERROR(
  IF(ISNUMBER(B732),B732,
    IF(ISNUMBER(SEARCH("-",B732)*1),
      IF(LEN(LEFT(B732,FIND("-",B732)-1))=4,
        DATE(VALUE(LEFT(B732,4)),VALUE(MID(B732,6,2)),VALUE(RIGHT(B732,2))),
        DATE(VALUE(RIGHT(B732,4)),VALUE(MID(B732,4,2)),VALUE(LEFT(B732,2)))
      ),
      IF(ISNUMBER(SEARCH("/",B732)*1),
        DATE(VALUE(RIGHT(B732,4)),VALUE(LEFT(B732,2)),VALUE(MID(B732,4,2))),
        DATEVALUE(B732)
      )
    )
  ),
"INVALID_DATE")</f>
        <v>45827</v>
      </c>
      <c r="AA732" s="2">
        <f>IFERROR(
  IF(ISNUMBER(C732),C732,
    IF(ISNUMBER(SEARCH("-",C732)*1),
      IF(LEN(LEFT(C732,FIND("-",C732)-1))=4,
        DATE(VALUE(LEFT(C732,4)),VALUE(MID(C732,6,2)),VALUE(RIGHT(C732,2))),
        DATE(VALUE(RIGHT(C732,4)),VALUE(MID(C732,4,2)),VALUE(LEFT(C732,2)))
      ),
      IF(ISNUMBER(SEARCH("/",C732)*1),
        DATE(VALUE(RIGHT(C732,4)),VALUE(LEFT(C732,2)),VALUE(MID(C732,4,2))),
        DATEVALUE(C732)
      )
    )
  ),
"INVALID_DATE")</f>
        <v>45832</v>
      </c>
      <c r="AB732">
        <f t="shared" si="69"/>
        <v>5</v>
      </c>
      <c r="AC732" t="str">
        <f t="shared" si="70"/>
        <v>June</v>
      </c>
      <c r="AD732">
        <f t="shared" si="71"/>
        <v>2025</v>
      </c>
    </row>
    <row r="733" spans="1:30">
      <c r="A733" t="s">
        <v>3410</v>
      </c>
      <c r="B733" t="s">
        <v>3411</v>
      </c>
      <c r="C733" t="s">
        <v>3412</v>
      </c>
      <c r="D733" t="s">
        <v>3413</v>
      </c>
      <c r="E733" t="s">
        <v>79</v>
      </c>
      <c r="F733" t="s">
        <v>115</v>
      </c>
      <c r="G733" t="s">
        <v>49</v>
      </c>
      <c r="H733" t="s">
        <v>50</v>
      </c>
      <c r="I733" t="s">
        <v>51</v>
      </c>
      <c r="J733" t="s">
        <v>37</v>
      </c>
      <c r="K733" t="s">
        <v>205</v>
      </c>
      <c r="L733" t="s">
        <v>3414</v>
      </c>
      <c r="M733" t="s">
        <v>63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41</v>
      </c>
      <c r="U733" t="s">
        <v>42</v>
      </c>
      <c r="V733">
        <f t="shared" si="66"/>
        <v>15756.048000000001</v>
      </c>
      <c r="W733">
        <f t="shared" si="67"/>
        <v>5510.6099999999988</v>
      </c>
      <c r="X733">
        <f t="shared" si="68"/>
        <v>0.34974565325700285</v>
      </c>
      <c r="Y733" t="str">
        <f>_xlfn.TEXTJOIN(", ",TRUE,IF(G733="Unknown","Missing Region",""),IF(M733="Unknown","Missing Ship Mode",""),IF(P733&lt;0,"Negative Discount",""),IF(P733&gt;0.7,"High Discount",""),IF(C733&lt;B733,"Ship Before Order",""))</f>
        <v>Ship Before Order</v>
      </c>
      <c r="Z733" s="2">
        <f>IFERROR(
  IF(ISNUMBER(B733),B733,
    IF(ISNUMBER(SEARCH("-",B733)*1),
      IF(LEN(LEFT(B733,FIND("-",B733)-1))=4,
        DATE(VALUE(LEFT(B733,4)),VALUE(MID(B733,6,2)),VALUE(RIGHT(B733,2))),
        DATE(VALUE(RIGHT(B733,4)),VALUE(MID(B733,4,2)),VALUE(LEFT(B733,2)))
      ),
      IF(ISNUMBER(SEARCH("/",B733)*1),
        DATE(VALUE(RIGHT(B733,4)),VALUE(LEFT(B733,2)),VALUE(MID(B733,4,2))),
        DATEVALUE(B733)
      )
    )
  ),
"INVALID_DATE")</f>
        <v>45368</v>
      </c>
      <c r="AA733" s="2">
        <f>IFERROR(
  IF(ISNUMBER(C733),C733,
    IF(ISNUMBER(SEARCH("-",C733)*1),
      IF(LEN(LEFT(C733,FIND("-",C733)-1))=4,
        DATE(VALUE(LEFT(C733,4)),VALUE(MID(C733,6,2)),VALUE(RIGHT(C733,2))),
        DATE(VALUE(RIGHT(C733,4)),VALUE(MID(C733,4,2)),VALUE(LEFT(C733,2)))
      ),
      IF(ISNUMBER(SEARCH("/",C733)*1),
        DATE(VALUE(RIGHT(C733,4)),VALUE(LEFT(C733,2)),VALUE(MID(C733,4,2))),
        DATEVALUE(C733)
      )
    )
  ),
"INVALID_DATE")</f>
        <v>45370</v>
      </c>
      <c r="AB733">
        <f t="shared" si="69"/>
        <v>2</v>
      </c>
      <c r="AC733" t="str">
        <f t="shared" si="70"/>
        <v>March</v>
      </c>
      <c r="AD733">
        <f t="shared" si="71"/>
        <v>2024</v>
      </c>
    </row>
    <row r="734" spans="1:30">
      <c r="A734" t="s">
        <v>3415</v>
      </c>
      <c r="B734" t="s">
        <v>3416</v>
      </c>
      <c r="C734" t="s">
        <v>2829</v>
      </c>
      <c r="D734" t="s">
        <v>3417</v>
      </c>
      <c r="E734" t="s">
        <v>68</v>
      </c>
      <c r="F734" t="s">
        <v>48</v>
      </c>
      <c r="G734" t="s">
        <v>34</v>
      </c>
      <c r="H734" t="s">
        <v>161</v>
      </c>
      <c r="I734" t="s">
        <v>162</v>
      </c>
      <c r="J734" t="s">
        <v>93</v>
      </c>
      <c r="K734" t="s">
        <v>230</v>
      </c>
      <c r="L734" t="s">
        <v>3418</v>
      </c>
      <c r="M734" t="s">
        <v>74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41</v>
      </c>
      <c r="U734" t="s">
        <v>42</v>
      </c>
      <c r="V734">
        <f t="shared" si="66"/>
        <v>14787.78</v>
      </c>
      <c r="W734">
        <f t="shared" si="67"/>
        <v>6191.130000000001</v>
      </c>
      <c r="X734">
        <f t="shared" si="68"/>
        <v>0.41866527632950989</v>
      </c>
      <c r="Y734" t="str">
        <f>_xlfn.TEXTJOIN(", ",TRUE,IF(G734="Unknown","Missing Region",""),IF(M734="Unknown","Missing Ship Mode",""),IF(P734&lt;0,"Negative Discount",""),IF(P734&gt;0.7,"High Discount",""),IF(C734&lt;B734,"Ship Before Order",""))</f>
        <v>Ship Before Order</v>
      </c>
      <c r="Z734" s="2">
        <f>IFERROR(
  IF(ISNUMBER(B734),B734,
    IF(ISNUMBER(SEARCH("-",B734)*1),
      IF(LEN(LEFT(B734,FIND("-",B734)-1))=4,
        DATE(VALUE(LEFT(B734,4)),VALUE(MID(B734,6,2)),VALUE(RIGHT(B734,2))),
        DATE(VALUE(RIGHT(B734,4)),VALUE(MID(B734,4,2)),VALUE(LEFT(B734,2)))
      ),
      IF(ISNUMBER(SEARCH("/",B734)*1),
        DATE(VALUE(RIGHT(B734,4)),VALUE(LEFT(B734,2)),VALUE(MID(B734,4,2))),
        DATEVALUE(B734)
      )
    )
  ),
"INVALID_DATE")</f>
        <v>45624</v>
      </c>
      <c r="AA734" s="2">
        <f>IFERROR(
  IF(ISNUMBER(C734),C734,
    IF(ISNUMBER(SEARCH("-",C734)*1),
      IF(LEN(LEFT(C734,FIND("-",C734)-1))=4,
        DATE(VALUE(LEFT(C734,4)),VALUE(MID(C734,6,2)),VALUE(RIGHT(C734,2))),
        DATE(VALUE(RIGHT(C734,4)),VALUE(MID(C734,4,2)),VALUE(LEFT(C734,2)))
      ),
      IF(ISNUMBER(SEARCH("/",C734)*1),
        DATE(VALUE(RIGHT(C734,4)),VALUE(LEFT(C734,2)),VALUE(MID(C734,4,2))),
        DATEVALUE(C734)
      )
    )
  ),
"INVALID_DATE")</f>
        <v>45632</v>
      </c>
      <c r="AB734">
        <f t="shared" si="69"/>
        <v>8</v>
      </c>
      <c r="AC734" t="str">
        <f t="shared" si="70"/>
        <v>November</v>
      </c>
      <c r="AD734">
        <f t="shared" si="71"/>
        <v>2024</v>
      </c>
    </row>
    <row r="735" spans="1:30">
      <c r="A735" t="s">
        <v>3419</v>
      </c>
      <c r="B735" t="s">
        <v>1840</v>
      </c>
      <c r="C735" t="s">
        <v>3420</v>
      </c>
      <c r="D735" t="s">
        <v>3421</v>
      </c>
      <c r="E735" t="s">
        <v>169</v>
      </c>
      <c r="F735" t="s">
        <v>122</v>
      </c>
      <c r="G735" t="s">
        <v>34</v>
      </c>
      <c r="H735" t="s">
        <v>35</v>
      </c>
      <c r="I735" t="s">
        <v>36</v>
      </c>
      <c r="J735" t="s">
        <v>52</v>
      </c>
      <c r="K735" t="s">
        <v>72</v>
      </c>
      <c r="L735" t="s">
        <v>3422</v>
      </c>
      <c r="M735" t="s">
        <v>63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41</v>
      </c>
      <c r="U735" t="s">
        <v>42</v>
      </c>
      <c r="V735">
        <f t="shared" si="66"/>
        <v>25181.64</v>
      </c>
      <c r="W735">
        <f t="shared" si="67"/>
        <v>9843.74</v>
      </c>
      <c r="X735">
        <f t="shared" si="68"/>
        <v>0.39090940860086953</v>
      </c>
      <c r="Y735" t="str">
        <f>_xlfn.TEXTJOIN(", ",TRUE,IF(G735="Unknown","Missing Region",""),IF(M735="Unknown","Missing Ship Mode",""),IF(P735&lt;0,"Negative Discount",""),IF(P735&gt;0.7,"High Discount",""),IF(C735&lt;B735,"Ship Before Order",""))</f>
        <v/>
      </c>
      <c r="Z735" s="2">
        <f>IFERROR(
  IF(ISNUMBER(B735),B735,
    IF(ISNUMBER(SEARCH("-",B735)*1),
      IF(LEN(LEFT(B735,FIND("-",B735)-1))=4,
        DATE(VALUE(LEFT(B735,4)),VALUE(MID(B735,6,2)),VALUE(RIGHT(B735,2))),
        DATE(VALUE(RIGHT(B735,4)),VALUE(MID(B735,4,2)),VALUE(LEFT(B735,2)))
      ),
      IF(ISNUMBER(SEARCH("/",B735)*1),
        DATE(VALUE(RIGHT(B735,4)),VALUE(LEFT(B735,2)),VALUE(MID(B735,4,2))),
        DATEVALUE(B735)
      )
    )
  ),
"INVALID_DATE")</f>
        <v>45464</v>
      </c>
      <c r="AA735" s="2">
        <f>IFERROR(
  IF(ISNUMBER(C735),C735,
    IF(ISNUMBER(SEARCH("-",C735)*1),
      IF(LEN(LEFT(C735,FIND("-",C735)-1))=4,
        DATE(VALUE(LEFT(C735,4)),VALUE(MID(C735,6,2)),VALUE(RIGHT(C735,2))),
        DATE(VALUE(RIGHT(C735,4)),VALUE(MID(C735,4,2)),VALUE(LEFT(C735,2)))
      ),
      IF(ISNUMBER(SEARCH("/",C735)*1),
        DATE(VALUE(RIGHT(C735,4)),VALUE(LEFT(C735,2)),VALUE(MID(C735,4,2))),
        DATEVALUE(C735)
      )
    )
  ),
"INVALID_DATE")</f>
        <v>45471</v>
      </c>
      <c r="AB735">
        <f t="shared" si="69"/>
        <v>7</v>
      </c>
      <c r="AC735" t="str">
        <f t="shared" si="70"/>
        <v>June</v>
      </c>
      <c r="AD735">
        <f t="shared" si="71"/>
        <v>2024</v>
      </c>
    </row>
    <row r="736" spans="1:30">
      <c r="A736" t="s">
        <v>3423</v>
      </c>
      <c r="B736" t="s">
        <v>3424</v>
      </c>
      <c r="C736" t="s">
        <v>3424</v>
      </c>
      <c r="D736" t="s">
        <v>3425</v>
      </c>
      <c r="E736" t="s">
        <v>79</v>
      </c>
      <c r="F736" t="s">
        <v>48</v>
      </c>
      <c r="G736" t="s">
        <v>34</v>
      </c>
      <c r="H736" t="s">
        <v>35</v>
      </c>
      <c r="I736" t="s">
        <v>36</v>
      </c>
      <c r="J736" t="s">
        <v>93</v>
      </c>
      <c r="K736" t="s">
        <v>94</v>
      </c>
      <c r="L736" t="s">
        <v>3426</v>
      </c>
      <c r="M736" t="s">
        <v>63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41</v>
      </c>
      <c r="U736" t="s">
        <v>42</v>
      </c>
      <c r="V736">
        <f t="shared" si="66"/>
        <v>8837.9520000000011</v>
      </c>
      <c r="W736">
        <f t="shared" si="67"/>
        <v>2680.6800000000003</v>
      </c>
      <c r="X736">
        <f t="shared" si="68"/>
        <v>0.30331468270356809</v>
      </c>
      <c r="Y736" t="str">
        <f>_xlfn.TEXTJOIN(", ",TRUE,IF(G736="Unknown","Missing Region",""),IF(M736="Unknown","Missing Ship Mode",""),IF(P736&lt;0,"Negative Discount",""),IF(P736&gt;0.7,"High Discount",""),IF(C736&lt;B736,"Ship Before Order",""))</f>
        <v/>
      </c>
      <c r="Z736" s="2">
        <f>IFERROR(
  IF(ISNUMBER(B736),B736,
    IF(ISNUMBER(SEARCH("-",B736)*1),
      IF(LEN(LEFT(B736,FIND("-",B736)-1))=4,
        DATE(VALUE(LEFT(B736,4)),VALUE(MID(B736,6,2)),VALUE(RIGHT(B736,2))),
        DATE(VALUE(RIGHT(B736,4)),VALUE(MID(B736,4,2)),VALUE(LEFT(B736,2)))
      ),
      IF(ISNUMBER(SEARCH("/",B736)*1),
        DATE(VALUE(RIGHT(B736,4)),VALUE(LEFT(B736,2)),VALUE(MID(B736,4,2))),
        DATEVALUE(B736)
      )
    )
  ),
"INVALID_DATE")</f>
        <v>45528</v>
      </c>
      <c r="AA736" s="2">
        <f>IFERROR(
  IF(ISNUMBER(C736),C736,
    IF(ISNUMBER(SEARCH("-",C736)*1),
      IF(LEN(LEFT(C736,FIND("-",C736)-1))=4,
        DATE(VALUE(LEFT(C736,4)),VALUE(MID(C736,6,2)),VALUE(RIGHT(C736,2))),
        DATE(VALUE(RIGHT(C736,4)),VALUE(MID(C736,4,2)),VALUE(LEFT(C736,2)))
      ),
      IF(ISNUMBER(SEARCH("/",C736)*1),
        DATE(VALUE(RIGHT(C736,4)),VALUE(LEFT(C736,2)),VALUE(MID(C736,4,2))),
        DATEVALUE(C736)
      )
    )
  ),
"INVALID_DATE")</f>
        <v>45528</v>
      </c>
      <c r="AB736">
        <f t="shared" si="69"/>
        <v>0</v>
      </c>
      <c r="AC736" t="str">
        <f t="shared" si="70"/>
        <v>August</v>
      </c>
      <c r="AD736">
        <f t="shared" si="71"/>
        <v>2024</v>
      </c>
    </row>
    <row r="737" spans="1:30">
      <c r="A737" t="s">
        <v>3427</v>
      </c>
      <c r="B737" t="s">
        <v>3428</v>
      </c>
      <c r="C737" t="s">
        <v>2869</v>
      </c>
      <c r="D737" t="s">
        <v>3429</v>
      </c>
      <c r="E737" t="s">
        <v>47</v>
      </c>
      <c r="F737" t="s">
        <v>33</v>
      </c>
      <c r="G737" t="s">
        <v>80</v>
      </c>
      <c r="H737" t="s">
        <v>81</v>
      </c>
      <c r="I737" t="s">
        <v>82</v>
      </c>
      <c r="J737" t="s">
        <v>52</v>
      </c>
      <c r="K737" t="s">
        <v>53</v>
      </c>
      <c r="L737" t="s">
        <v>3430</v>
      </c>
      <c r="M737" t="s">
        <v>74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41</v>
      </c>
      <c r="U737" t="s">
        <v>42</v>
      </c>
      <c r="V737">
        <f t="shared" si="66"/>
        <v>7275.7920000000004</v>
      </c>
      <c r="W737">
        <f t="shared" si="67"/>
        <v>1122.92</v>
      </c>
      <c r="X737">
        <f t="shared" si="68"/>
        <v>0.15433650503931534</v>
      </c>
      <c r="Y737" t="str">
        <f>_xlfn.TEXTJOIN(", ",TRUE,IF(G737="Unknown","Missing Region",""),IF(M737="Unknown","Missing Ship Mode",""),IF(P737&lt;0,"Negative Discount",""),IF(P737&gt;0.7,"High Discount",""),IF(C737&lt;B737,"Ship Before Order",""))</f>
        <v>Ship Before Order</v>
      </c>
      <c r="Z737" s="2">
        <f>IFERROR(
  IF(ISNUMBER(B737),B737,
    IF(ISNUMBER(SEARCH("-",B737)*1),
      IF(LEN(LEFT(B737,FIND("-",B737)-1))=4,
        DATE(VALUE(LEFT(B737,4)),VALUE(MID(B737,6,2)),VALUE(RIGHT(B737,2))),
        DATE(VALUE(RIGHT(B737,4)),VALUE(MID(B737,4,2)),VALUE(LEFT(B737,2)))
      ),
      IF(ISNUMBER(SEARCH("/",B737)*1),
        DATE(VALUE(RIGHT(B737,4)),VALUE(LEFT(B737,2)),VALUE(MID(B737,4,2))),
        DATEVALUE(B737)
      )
    )
  ),
"INVALID_DATE")</f>
        <v>45515</v>
      </c>
      <c r="AA737" s="2">
        <f>IFERROR(
  IF(ISNUMBER(C737),C737,
    IF(ISNUMBER(SEARCH("-",C737)*1),
      IF(LEN(LEFT(C737,FIND("-",C737)-1))=4,
        DATE(VALUE(LEFT(C737,4)),VALUE(MID(C737,6,2)),VALUE(RIGHT(C737,2))),
        DATE(VALUE(RIGHT(C737,4)),VALUE(MID(C737,4,2)),VALUE(LEFT(C737,2)))
      ),
      IF(ISNUMBER(SEARCH("/",C737)*1),
        DATE(VALUE(RIGHT(C737,4)),VALUE(LEFT(C737,2)),VALUE(MID(C737,4,2))),
        DATEVALUE(C737)
      )
    )
  ),
"INVALID_DATE")</f>
        <v>45523</v>
      </c>
      <c r="AB737">
        <f t="shared" si="69"/>
        <v>8</v>
      </c>
      <c r="AC737" t="str">
        <f t="shared" si="70"/>
        <v>August</v>
      </c>
      <c r="AD737">
        <f t="shared" si="71"/>
        <v>2024</v>
      </c>
    </row>
    <row r="738" spans="1:30">
      <c r="A738" t="s">
        <v>3431</v>
      </c>
      <c r="B738" t="s">
        <v>2829</v>
      </c>
      <c r="C738" t="s">
        <v>3432</v>
      </c>
      <c r="D738" t="s">
        <v>3433</v>
      </c>
      <c r="E738" t="s">
        <v>114</v>
      </c>
      <c r="F738" t="s">
        <v>33</v>
      </c>
      <c r="G738" t="s">
        <v>80</v>
      </c>
      <c r="H738" t="s">
        <v>81</v>
      </c>
      <c r="I738" t="s">
        <v>82</v>
      </c>
      <c r="J738" t="s">
        <v>52</v>
      </c>
      <c r="K738" t="s">
        <v>83</v>
      </c>
      <c r="L738" t="s">
        <v>3434</v>
      </c>
      <c r="M738" t="s">
        <v>40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41</v>
      </c>
      <c r="U738" t="s">
        <v>42</v>
      </c>
      <c r="V738">
        <f t="shared" si="66"/>
        <v>2355.0750000000003</v>
      </c>
      <c r="W738">
        <f t="shared" si="67"/>
        <v>1005.05</v>
      </c>
      <c r="X738">
        <f t="shared" si="68"/>
        <v>0.42675832668104691</v>
      </c>
      <c r="Y738" t="str">
        <f>_xlfn.TEXTJOIN(", ",TRUE,IF(G738="Unknown","Missing Region",""),IF(M738="Unknown","Missing Ship Mode",""),IF(P738&lt;0,"Negative Discount",""),IF(P738&gt;0.7,"High Discount",""),IF(C738&lt;B738,"Ship Before Order",""))</f>
        <v/>
      </c>
      <c r="Z738" s="2">
        <f>IFERROR(
  IF(ISNUMBER(B738),B738,
    IF(ISNUMBER(SEARCH("-",B738)*1),
      IF(LEN(LEFT(B738,FIND("-",B738)-1))=4,
        DATE(VALUE(LEFT(B738,4)),VALUE(MID(B738,6,2)),VALUE(RIGHT(B738,2))),
        DATE(VALUE(RIGHT(B738,4)),VALUE(MID(B738,4,2)),VALUE(LEFT(B738,2)))
      ),
      IF(ISNUMBER(SEARCH("/",B738)*1),
        DATE(VALUE(RIGHT(B738,4)),VALUE(LEFT(B738,2)),VALUE(MID(B738,4,2))),
        DATEVALUE(B738)
      )
    )
  ),
"INVALID_DATE")</f>
        <v>45632</v>
      </c>
      <c r="AA738" s="2">
        <f>IFERROR(
  IF(ISNUMBER(C738),C738,
    IF(ISNUMBER(SEARCH("-",C738)*1),
      IF(LEN(LEFT(C738,FIND("-",C738)-1))=4,
        DATE(VALUE(LEFT(C738,4)),VALUE(MID(C738,6,2)),VALUE(RIGHT(C738,2))),
        DATE(VALUE(RIGHT(C738,4)),VALUE(MID(C738,4,2)),VALUE(LEFT(C738,2)))
      ),
      IF(ISNUMBER(SEARCH("/",C738)*1),
        DATE(VALUE(RIGHT(C738,4)),VALUE(LEFT(C738,2)),VALUE(MID(C738,4,2))),
        DATEVALUE(C738)
      )
    )
  ),
"INVALID_DATE")</f>
        <v>45635</v>
      </c>
      <c r="AB738">
        <f t="shared" si="69"/>
        <v>3</v>
      </c>
      <c r="AC738" t="str">
        <f t="shared" si="70"/>
        <v>December</v>
      </c>
      <c r="AD738">
        <f t="shared" si="71"/>
        <v>2024</v>
      </c>
    </row>
    <row r="739" spans="1:30">
      <c r="A739" t="s">
        <v>3435</v>
      </c>
      <c r="B739" t="s">
        <v>2257</v>
      </c>
      <c r="C739" t="s">
        <v>2137</v>
      </c>
      <c r="D739" t="s">
        <v>3436</v>
      </c>
      <c r="E739" t="s">
        <v>60</v>
      </c>
      <c r="F739" t="s">
        <v>122</v>
      </c>
      <c r="G739" t="s">
        <v>80</v>
      </c>
      <c r="H739" t="s">
        <v>81</v>
      </c>
      <c r="I739" t="s">
        <v>82</v>
      </c>
      <c r="J739" t="s">
        <v>52</v>
      </c>
      <c r="K739" t="s">
        <v>83</v>
      </c>
      <c r="L739" t="s">
        <v>3437</v>
      </c>
      <c r="M739" t="s">
        <v>55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41</v>
      </c>
      <c r="U739" t="s">
        <v>42</v>
      </c>
      <c r="V739">
        <f t="shared" si="66"/>
        <v>3609.12</v>
      </c>
      <c r="W739">
        <f t="shared" si="67"/>
        <v>963.61999999999989</v>
      </c>
      <c r="X739">
        <f t="shared" si="68"/>
        <v>0.26699583277918165</v>
      </c>
      <c r="Y739" t="str">
        <f>_xlfn.TEXTJOIN(", ",TRUE,IF(G739="Unknown","Missing Region",""),IF(M739="Unknown","Missing Ship Mode",""),IF(P739&lt;0,"Negative Discount",""),IF(P739&gt;0.7,"High Discount",""),IF(C739&lt;B739,"Ship Before Order",""))</f>
        <v>Ship Before Order</v>
      </c>
      <c r="Z739" s="2">
        <f>IFERROR(
  IF(ISNUMBER(B739),B739,
    IF(ISNUMBER(SEARCH("-",B739)*1),
      IF(LEN(LEFT(B739,FIND("-",B739)-1))=4,
        DATE(VALUE(LEFT(B739,4)),VALUE(MID(B739,6,2)),VALUE(RIGHT(B739,2))),
        DATE(VALUE(RIGHT(B739,4)),VALUE(MID(B739,4,2)),VALUE(LEFT(B739,2)))
      ),
      IF(ISNUMBER(SEARCH("/",B739)*1),
        DATE(VALUE(RIGHT(B739,4)),VALUE(LEFT(B739,2)),VALUE(MID(B739,4,2))),
        DATEVALUE(B739)
      )
    )
  ),
"INVALID_DATE")</f>
        <v>45332</v>
      </c>
      <c r="AA739" s="2">
        <f>IFERROR(
  IF(ISNUMBER(C739),C739,
    IF(ISNUMBER(SEARCH("-",C739)*1),
      IF(LEN(LEFT(C739,FIND("-",C739)-1))=4,
        DATE(VALUE(LEFT(C739,4)),VALUE(MID(C739,6,2)),VALUE(RIGHT(C739,2))),
        DATE(VALUE(RIGHT(C739,4)),VALUE(MID(C739,4,2)),VALUE(LEFT(C739,2)))
      ),
      IF(ISNUMBER(SEARCH("/",C739)*1),
        DATE(VALUE(RIGHT(C739,4)),VALUE(LEFT(C739,2)),VALUE(MID(C739,4,2))),
        DATEVALUE(C739)
      )
    )
  ),
"INVALID_DATE")</f>
        <v>45332</v>
      </c>
      <c r="AB739">
        <f t="shared" si="69"/>
        <v>0</v>
      </c>
      <c r="AC739" t="str">
        <f t="shared" si="70"/>
        <v>February</v>
      </c>
      <c r="AD739">
        <f t="shared" si="71"/>
        <v>2024</v>
      </c>
    </row>
    <row r="740" spans="1:30">
      <c r="A740" t="s">
        <v>3438</v>
      </c>
      <c r="B740" t="s">
        <v>1574</v>
      </c>
      <c r="C740" t="s">
        <v>3439</v>
      </c>
      <c r="D740" t="s">
        <v>3440</v>
      </c>
      <c r="E740" t="s">
        <v>149</v>
      </c>
      <c r="F740" t="s">
        <v>115</v>
      </c>
      <c r="G740" t="s">
        <v>69</v>
      </c>
      <c r="H740" t="s">
        <v>249</v>
      </c>
      <c r="I740" t="s">
        <v>250</v>
      </c>
      <c r="J740" t="s">
        <v>37</v>
      </c>
      <c r="K740" t="s">
        <v>38</v>
      </c>
      <c r="L740" t="s">
        <v>3441</v>
      </c>
      <c r="M740" t="s">
        <v>63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41</v>
      </c>
      <c r="U740" t="s">
        <v>42</v>
      </c>
      <c r="V740">
        <f t="shared" si="66"/>
        <v>2188.19</v>
      </c>
      <c r="W740">
        <f t="shared" si="67"/>
        <v>889.35000000000014</v>
      </c>
      <c r="X740">
        <f t="shared" si="68"/>
        <v>0.40643179979800659</v>
      </c>
      <c r="Y740" t="str">
        <f>_xlfn.TEXTJOIN(", ",TRUE,IF(G740="Unknown","Missing Region",""),IF(M740="Unknown","Missing Ship Mode",""),IF(P740&lt;0,"Negative Discount",""),IF(P740&gt;0.7,"High Discount",""),IF(C740&lt;B740,"Ship Before Order",""))</f>
        <v>Ship Before Order</v>
      </c>
      <c r="Z740" s="2">
        <f>IFERROR(
  IF(ISNUMBER(B740),B740,
    IF(ISNUMBER(SEARCH("-",B740)*1),
      IF(LEN(LEFT(B740,FIND("-",B740)-1))=4,
        DATE(VALUE(LEFT(B740,4)),VALUE(MID(B740,6,2)),VALUE(RIGHT(B740,2))),
        DATE(VALUE(RIGHT(B740,4)),VALUE(MID(B740,4,2)),VALUE(LEFT(B740,2)))
      ),
      IF(ISNUMBER(SEARCH("/",B740)*1),
        DATE(VALUE(RIGHT(B740,4)),VALUE(LEFT(B740,2)),VALUE(MID(B740,4,2))),
        DATEVALUE(B740)
      )
    )
  ),
"INVALID_DATE")</f>
        <v>45708</v>
      </c>
      <c r="AA740" s="2">
        <f>IFERROR(
  IF(ISNUMBER(C740),C740,
    IF(ISNUMBER(SEARCH("-",C740)*1),
      IF(LEN(LEFT(C740,FIND("-",C740)-1))=4,
        DATE(VALUE(LEFT(C740,4)),VALUE(MID(C740,6,2)),VALUE(RIGHT(C740,2))),
        DATE(VALUE(RIGHT(C740,4)),VALUE(MID(C740,4,2)),VALUE(LEFT(C740,2)))
      ),
      IF(ISNUMBER(SEARCH("/",C740)*1),
        DATE(VALUE(RIGHT(C740,4)),VALUE(LEFT(C740,2)),VALUE(MID(C740,4,2))),
        DATEVALUE(C740)
      )
    )
  ),
"INVALID_DATE")</f>
        <v>45710</v>
      </c>
      <c r="AB740">
        <f t="shared" si="69"/>
        <v>2</v>
      </c>
      <c r="AC740" t="str">
        <f t="shared" si="70"/>
        <v>February</v>
      </c>
      <c r="AD740">
        <f t="shared" si="71"/>
        <v>2025</v>
      </c>
    </row>
    <row r="741" spans="1:30">
      <c r="A741" t="s">
        <v>3442</v>
      </c>
      <c r="B741" t="s">
        <v>3443</v>
      </c>
      <c r="C741" t="s">
        <v>3444</v>
      </c>
      <c r="D741" t="s">
        <v>3445</v>
      </c>
      <c r="E741" t="s">
        <v>100</v>
      </c>
      <c r="F741" t="s">
        <v>115</v>
      </c>
      <c r="G741" t="s">
        <v>34</v>
      </c>
      <c r="H741" t="s">
        <v>35</v>
      </c>
      <c r="I741" t="s">
        <v>36</v>
      </c>
      <c r="J741" t="s">
        <v>93</v>
      </c>
      <c r="K741" t="s">
        <v>230</v>
      </c>
      <c r="L741" t="s">
        <v>3446</v>
      </c>
      <c r="M741" t="s">
        <v>74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41</v>
      </c>
      <c r="U741" t="s">
        <v>42</v>
      </c>
      <c r="V741">
        <f t="shared" si="66"/>
        <v>11370.834999999999</v>
      </c>
      <c r="W741">
        <f t="shared" si="67"/>
        <v>3901.26</v>
      </c>
      <c r="X741">
        <f t="shared" si="68"/>
        <v>0.34309338624059438</v>
      </c>
      <c r="Y741" t="str">
        <f>_xlfn.TEXTJOIN(", ",TRUE,IF(G741="Unknown","Missing Region",""),IF(M741="Unknown","Missing Ship Mode",""),IF(P741&lt;0,"Negative Discount",""),IF(P741&gt;0.7,"High Discount",""),IF(C741&lt;B741,"Ship Before Order",""))</f>
        <v/>
      </c>
      <c r="Z741" s="2">
        <f>IFERROR(
  IF(ISNUMBER(B741),B741,
    IF(ISNUMBER(SEARCH("-",B741)*1),
      IF(LEN(LEFT(B741,FIND("-",B741)-1))=4,
        DATE(VALUE(LEFT(B741,4)),VALUE(MID(B741,6,2)),VALUE(RIGHT(B741,2))),
        DATE(VALUE(RIGHT(B741,4)),VALUE(MID(B741,4,2)),VALUE(LEFT(B741,2)))
      ),
      IF(ISNUMBER(SEARCH("/",B741)*1),
        DATE(VALUE(RIGHT(B741,4)),VALUE(LEFT(B741,2)),VALUE(MID(B741,4,2))),
        DATEVALUE(B741)
      )
    )
  ),
"INVALID_DATE")</f>
        <v>45629</v>
      </c>
      <c r="AA741" s="2">
        <f>IFERROR(
  IF(ISNUMBER(C741),C741,
    IF(ISNUMBER(SEARCH("-",C741)*1),
      IF(LEN(LEFT(C741,FIND("-",C741)-1))=4,
        DATE(VALUE(LEFT(C741,4)),VALUE(MID(C741,6,2)),VALUE(RIGHT(C741,2))),
        DATE(VALUE(RIGHT(C741,4)),VALUE(MID(C741,4,2)),VALUE(LEFT(C741,2)))
      ),
      IF(ISNUMBER(SEARCH("/",C741)*1),
        DATE(VALUE(RIGHT(C741,4)),VALUE(LEFT(C741,2)),VALUE(MID(C741,4,2))),
        DATEVALUE(C741)
      )
    )
  ),
"INVALID_DATE")</f>
        <v>45636</v>
      </c>
      <c r="AB741">
        <f t="shared" si="69"/>
        <v>7</v>
      </c>
      <c r="AC741" t="str">
        <f t="shared" si="70"/>
        <v>December</v>
      </c>
      <c r="AD741">
        <f t="shared" si="71"/>
        <v>2024</v>
      </c>
    </row>
    <row r="742" spans="1:30">
      <c r="A742" t="s">
        <v>3447</v>
      </c>
      <c r="B742" t="s">
        <v>3448</v>
      </c>
      <c r="C742" t="s">
        <v>2178</v>
      </c>
      <c r="D742" t="s">
        <v>786</v>
      </c>
      <c r="E742" t="s">
        <v>175</v>
      </c>
      <c r="F742" t="s">
        <v>48</v>
      </c>
      <c r="G742" t="s">
        <v>80</v>
      </c>
      <c r="H742" t="s">
        <v>81</v>
      </c>
      <c r="I742" t="s">
        <v>82</v>
      </c>
      <c r="J742" t="s">
        <v>52</v>
      </c>
      <c r="K742" t="s">
        <v>83</v>
      </c>
      <c r="L742" t="s">
        <v>3449</v>
      </c>
      <c r="M742" t="s">
        <v>63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41</v>
      </c>
      <c r="U742" t="s">
        <v>42</v>
      </c>
      <c r="V742">
        <f t="shared" si="66"/>
        <v>9298.8000000000011</v>
      </c>
      <c r="W742">
        <f t="shared" si="67"/>
        <v>2750.2999999999993</v>
      </c>
      <c r="X742">
        <f t="shared" si="68"/>
        <v>0.29576934658235476</v>
      </c>
      <c r="Y742" t="str">
        <f>_xlfn.TEXTJOIN(", ",TRUE,IF(G742="Unknown","Missing Region",""),IF(M742="Unknown","Missing Ship Mode",""),IF(P742&lt;0,"Negative Discount",""),IF(P742&gt;0.7,"High Discount",""),IF(C742&lt;B742,"Ship Before Order",""))</f>
        <v/>
      </c>
      <c r="Z742" s="2">
        <f>IFERROR(
  IF(ISNUMBER(B742),B742,
    IF(ISNUMBER(SEARCH("-",B742)*1),
      IF(LEN(LEFT(B742,FIND("-",B742)-1))=4,
        DATE(VALUE(LEFT(B742,4)),VALUE(MID(B742,6,2)),VALUE(RIGHT(B742,2))),
        DATE(VALUE(RIGHT(B742,4)),VALUE(MID(B742,4,2)),VALUE(LEFT(B742,2)))
      ),
      IF(ISNUMBER(SEARCH("/",B742)*1),
        DATE(VALUE(RIGHT(B742,4)),VALUE(LEFT(B742,2)),VALUE(MID(B742,4,2))),
        DATEVALUE(B742)
      )
    )
  ),
"INVALID_DATE")</f>
        <v>45384</v>
      </c>
      <c r="AA742" s="2">
        <f>IFERROR(
  IF(ISNUMBER(C742),C742,
    IF(ISNUMBER(SEARCH("-",C742)*1),
      IF(LEN(LEFT(C742,FIND("-",C742)-1))=4,
        DATE(VALUE(LEFT(C742,4)),VALUE(MID(C742,6,2)),VALUE(RIGHT(C742,2))),
        DATE(VALUE(RIGHT(C742,4)),VALUE(MID(C742,4,2)),VALUE(LEFT(C742,2)))
      ),
      IF(ISNUMBER(SEARCH("/",C742)*1),
        DATE(VALUE(RIGHT(C742,4)),VALUE(LEFT(C742,2)),VALUE(MID(C742,4,2))),
        DATEVALUE(C742)
      )
    )
  ),
"INVALID_DATE")</f>
        <v>45384</v>
      </c>
      <c r="AB742">
        <f t="shared" si="69"/>
        <v>0</v>
      </c>
      <c r="AC742" t="str">
        <f t="shared" si="70"/>
        <v>April</v>
      </c>
      <c r="AD742">
        <f t="shared" si="71"/>
        <v>2024</v>
      </c>
    </row>
    <row r="743" spans="1:30">
      <c r="A743" t="s">
        <v>3450</v>
      </c>
      <c r="B743" t="s">
        <v>3451</v>
      </c>
      <c r="C743" t="s">
        <v>3452</v>
      </c>
      <c r="D743" t="s">
        <v>3453</v>
      </c>
      <c r="E743" t="s">
        <v>60</v>
      </c>
      <c r="F743" t="s">
        <v>122</v>
      </c>
      <c r="G743" t="s">
        <v>69</v>
      </c>
      <c r="H743" t="s">
        <v>347</v>
      </c>
      <c r="I743" t="s">
        <v>348</v>
      </c>
      <c r="J743" t="s">
        <v>52</v>
      </c>
      <c r="K743" t="s">
        <v>83</v>
      </c>
      <c r="L743" t="s">
        <v>3454</v>
      </c>
      <c r="M743" t="s">
        <v>40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41</v>
      </c>
      <c r="U743" t="s">
        <v>85</v>
      </c>
      <c r="V743">
        <f t="shared" si="66"/>
        <v>8853.36</v>
      </c>
      <c r="W743">
        <f t="shared" si="67"/>
        <v>1486.3499999999995</v>
      </c>
      <c r="X743">
        <f t="shared" si="68"/>
        <v>0.2098567069856227</v>
      </c>
      <c r="Y743" t="str">
        <f>_xlfn.TEXTJOIN(", ",TRUE,IF(G743="Unknown","Missing Region",""),IF(M743="Unknown","Missing Ship Mode",""),IF(P743&lt;0,"Negative Discount",""),IF(P743&gt;0.7,"High Discount",""),IF(C743&lt;B743,"Ship Before Order",""))</f>
        <v/>
      </c>
      <c r="Z743" s="2">
        <f>IFERROR(
  IF(ISNUMBER(B743),B743,
    IF(ISNUMBER(SEARCH("-",B743)*1),
      IF(LEN(LEFT(B743,FIND("-",B743)-1))=4,
        DATE(VALUE(LEFT(B743,4)),VALUE(MID(B743,6,2)),VALUE(RIGHT(B743,2))),
        DATE(VALUE(RIGHT(B743,4)),VALUE(MID(B743,4,2)),VALUE(LEFT(B743,2)))
      ),
      IF(ISNUMBER(SEARCH("/",B743)*1),
        DATE(VALUE(RIGHT(B743,4)),VALUE(LEFT(B743,2)),VALUE(MID(B743,4,2))),
        DATEVALUE(B743)
      )
    )
  ),
"INVALID_DATE")</f>
        <v>45770</v>
      </c>
      <c r="AA743" s="2">
        <f>IFERROR(
  IF(ISNUMBER(C743),C743,
    IF(ISNUMBER(SEARCH("-",C743)*1),
      IF(LEN(LEFT(C743,FIND("-",C743)-1))=4,
        DATE(VALUE(LEFT(C743,4)),VALUE(MID(C743,6,2)),VALUE(RIGHT(C743,2))),
        DATE(VALUE(RIGHT(C743,4)),VALUE(MID(C743,4,2)),VALUE(LEFT(C743,2)))
      ),
      IF(ISNUMBER(SEARCH("/",C743)*1),
        DATE(VALUE(RIGHT(C743,4)),VALUE(LEFT(C743,2)),VALUE(MID(C743,4,2))),
        DATEVALUE(C743)
      )
    )
  ),
"INVALID_DATE")</f>
        <v>45772</v>
      </c>
      <c r="AB743">
        <f t="shared" si="69"/>
        <v>2</v>
      </c>
      <c r="AC743" t="str">
        <f t="shared" si="70"/>
        <v>April</v>
      </c>
      <c r="AD743">
        <f t="shared" si="71"/>
        <v>2025</v>
      </c>
    </row>
    <row r="744" spans="1:30">
      <c r="A744" t="s">
        <v>3455</v>
      </c>
      <c r="B744" t="s">
        <v>3456</v>
      </c>
      <c r="C744" t="s">
        <v>3457</v>
      </c>
      <c r="D744" t="s">
        <v>3458</v>
      </c>
      <c r="E744" t="s">
        <v>32</v>
      </c>
      <c r="F744" t="s">
        <v>115</v>
      </c>
      <c r="G744" t="s">
        <v>3459</v>
      </c>
      <c r="H744" t="s">
        <v>50</v>
      </c>
      <c r="I744" t="s">
        <v>51</v>
      </c>
      <c r="J744" t="s">
        <v>37</v>
      </c>
      <c r="K744" t="s">
        <v>38</v>
      </c>
      <c r="L744" t="s">
        <v>3460</v>
      </c>
      <c r="M744" t="s">
        <v>74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41</v>
      </c>
      <c r="U744" t="s">
        <v>42</v>
      </c>
      <c r="V744">
        <f t="shared" si="66"/>
        <v>9043.7999999999993</v>
      </c>
      <c r="W744">
        <f t="shared" si="67"/>
        <v>3130.4199999999992</v>
      </c>
      <c r="X744">
        <f t="shared" si="68"/>
        <v>0.34613989694597408</v>
      </c>
      <c r="Y744" t="str">
        <f>_xlfn.TEXTJOIN(", ",TRUE,IF(G744="Unknown","Missing Region",""),IF(M744="Unknown","Missing Ship Mode",""),IF(P744&lt;0,"Negative Discount",""),IF(P744&gt;0.7,"High Discount",""),IF(C744&lt;B744,"Ship Before Order",""))</f>
        <v/>
      </c>
      <c r="Z744" s="2">
        <f>IFERROR(
  IF(ISNUMBER(B744),B744,
    IF(ISNUMBER(SEARCH("-",B744)*1),
      IF(LEN(LEFT(B744,FIND("-",B744)-1))=4,
        DATE(VALUE(LEFT(B744,4)),VALUE(MID(B744,6,2)),VALUE(RIGHT(B744,2))),
        DATE(VALUE(RIGHT(B744,4)),VALUE(MID(B744,4,2)),VALUE(LEFT(B744,2)))
      ),
      IF(ISNUMBER(SEARCH("/",B744)*1),
        DATE(VALUE(RIGHT(B744,4)),VALUE(LEFT(B744,2)),VALUE(MID(B744,4,2))),
        DATEVALUE(B744)
      )
    )
  ),
"INVALID_DATE")</f>
        <v>45580</v>
      </c>
      <c r="AA744" s="2">
        <f>IFERROR(
  IF(ISNUMBER(C744),C744,
    IF(ISNUMBER(SEARCH("-",C744)*1),
      IF(LEN(LEFT(C744,FIND("-",C744)-1))=4,
        DATE(VALUE(LEFT(C744,4)),VALUE(MID(C744,6,2)),VALUE(RIGHT(C744,2))),
        DATE(VALUE(RIGHT(C744,4)),VALUE(MID(C744,4,2)),VALUE(LEFT(C744,2)))
      ),
      IF(ISNUMBER(SEARCH("/",C744)*1),
        DATE(VALUE(RIGHT(C744,4)),VALUE(LEFT(C744,2)),VALUE(MID(C744,4,2))),
        DATEVALUE(C744)
      )
    )
  ),
"INVALID_DATE")</f>
        <v>45587</v>
      </c>
      <c r="AB744">
        <f t="shared" si="69"/>
        <v>7</v>
      </c>
      <c r="AC744" t="str">
        <f t="shared" si="70"/>
        <v>October</v>
      </c>
      <c r="AD744">
        <f t="shared" si="71"/>
        <v>2024</v>
      </c>
    </row>
    <row r="745" spans="1:30">
      <c r="A745" t="s">
        <v>3461</v>
      </c>
      <c r="B745" t="s">
        <v>1405</v>
      </c>
      <c r="C745" t="s">
        <v>1948</v>
      </c>
      <c r="D745" t="s">
        <v>3462</v>
      </c>
      <c r="E745" t="s">
        <v>175</v>
      </c>
      <c r="F745" t="s">
        <v>33</v>
      </c>
      <c r="G745" t="s">
        <v>34</v>
      </c>
      <c r="H745" t="s">
        <v>181</v>
      </c>
      <c r="I745" t="s">
        <v>182</v>
      </c>
      <c r="J745" t="s">
        <v>37</v>
      </c>
      <c r="K745" t="s">
        <v>61</v>
      </c>
      <c r="L745" t="s">
        <v>3463</v>
      </c>
      <c r="M745" t="s">
        <v>74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41</v>
      </c>
      <c r="U745" t="s">
        <v>42</v>
      </c>
      <c r="V745">
        <f t="shared" si="66"/>
        <v>2211.2999999999997</v>
      </c>
      <c r="W745">
        <f t="shared" si="67"/>
        <v>475.66000000000008</v>
      </c>
      <c r="X745">
        <f t="shared" si="68"/>
        <v>0.21510423732645953</v>
      </c>
      <c r="Y745" t="str">
        <f>_xlfn.TEXTJOIN(", ",TRUE,IF(G745="Unknown","Missing Region",""),IF(M745="Unknown","Missing Ship Mode",""),IF(P745&lt;0,"Negative Discount",""),IF(P745&gt;0.7,"High Discount",""),IF(C745&lt;B745,"Ship Before Order",""))</f>
        <v/>
      </c>
      <c r="Z745" s="2">
        <f>IFERROR(
  IF(ISNUMBER(B745),B745,
    IF(ISNUMBER(SEARCH("-",B745)*1),
      IF(LEN(LEFT(B745,FIND("-",B745)-1))=4,
        DATE(VALUE(LEFT(B745,4)),VALUE(MID(B745,6,2)),VALUE(RIGHT(B745,2))),
        DATE(VALUE(RIGHT(B745,4)),VALUE(MID(B745,4,2)),VALUE(LEFT(B745,2)))
      ),
      IF(ISNUMBER(SEARCH("/",B745)*1),
        DATE(VALUE(RIGHT(B745,4)),VALUE(LEFT(B745,2)),VALUE(MID(B745,4,2))),
        DATEVALUE(B745)
      )
    )
  ),
"INVALID_DATE")</f>
        <v>45700</v>
      </c>
      <c r="AA745" s="2">
        <f>IFERROR(
  IF(ISNUMBER(C745),C745,
    IF(ISNUMBER(SEARCH("-",C745)*1),
      IF(LEN(LEFT(C745,FIND("-",C745)-1))=4,
        DATE(VALUE(LEFT(C745,4)),VALUE(MID(C745,6,2)),VALUE(RIGHT(C745,2))),
        DATE(VALUE(RIGHT(C745,4)),VALUE(MID(C745,4,2)),VALUE(LEFT(C745,2)))
      ),
      IF(ISNUMBER(SEARCH("/",C745)*1),
        DATE(VALUE(RIGHT(C745,4)),VALUE(LEFT(C745,2)),VALUE(MID(C745,4,2))),
        DATEVALUE(C745)
      )
    )
  ),
"INVALID_DATE")</f>
        <v>45702</v>
      </c>
      <c r="AB745">
        <f t="shared" si="69"/>
        <v>2</v>
      </c>
      <c r="AC745" t="str">
        <f t="shared" si="70"/>
        <v>February</v>
      </c>
      <c r="AD745">
        <f t="shared" si="71"/>
        <v>2025</v>
      </c>
    </row>
    <row r="746" spans="1:30">
      <c r="A746" t="s">
        <v>3464</v>
      </c>
      <c r="B746" t="s">
        <v>3465</v>
      </c>
      <c r="C746" t="s">
        <v>1478</v>
      </c>
      <c r="D746" t="s">
        <v>3466</v>
      </c>
      <c r="E746" t="s">
        <v>47</v>
      </c>
      <c r="F746" t="s">
        <v>122</v>
      </c>
      <c r="G746" t="s">
        <v>34</v>
      </c>
      <c r="H746" t="s">
        <v>161</v>
      </c>
      <c r="I746" t="s">
        <v>162</v>
      </c>
      <c r="J746" t="s">
        <v>37</v>
      </c>
      <c r="K746" t="s">
        <v>205</v>
      </c>
      <c r="L746" t="s">
        <v>3467</v>
      </c>
      <c r="M746" t="s">
        <v>63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41</v>
      </c>
      <c r="U746" t="s">
        <v>85</v>
      </c>
      <c r="V746">
        <f t="shared" si="66"/>
        <v>12158.505000000001</v>
      </c>
      <c r="W746">
        <f t="shared" si="67"/>
        <v>1898.4300000000003</v>
      </c>
      <c r="X746">
        <f t="shared" si="68"/>
        <v>0.15614014886704775</v>
      </c>
      <c r="Y746" t="str">
        <f>_xlfn.TEXTJOIN(", ",TRUE,IF(G746="Unknown","Missing Region",""),IF(M746="Unknown","Missing Ship Mode",""),IF(P746&lt;0,"Negative Discount",""),IF(P746&gt;0.7,"High Discount",""),IF(C746&lt;B746,"Ship Before Order",""))</f>
        <v/>
      </c>
      <c r="Z746" s="2">
        <f>IFERROR(
  IF(ISNUMBER(B746),B746,
    IF(ISNUMBER(SEARCH("-",B746)*1),
      IF(LEN(LEFT(B746,FIND("-",B746)-1))=4,
        DATE(VALUE(LEFT(B746,4)),VALUE(MID(B746,6,2)),VALUE(RIGHT(B746,2))),
        DATE(VALUE(RIGHT(B746,4)),VALUE(MID(B746,4,2)),VALUE(LEFT(B746,2)))
      ),
      IF(ISNUMBER(SEARCH("/",B746)*1),
        DATE(VALUE(RIGHT(B746,4)),VALUE(LEFT(B746,2)),VALUE(MID(B746,4,2))),
        DATEVALUE(B746)
      )
    )
  ),
"INVALID_DATE")</f>
        <v>45886</v>
      </c>
      <c r="AA746" s="2">
        <f>IFERROR(
  IF(ISNUMBER(C746),C746,
    IF(ISNUMBER(SEARCH("-",C746)*1),
      IF(LEN(LEFT(C746,FIND("-",C746)-1))=4,
        DATE(VALUE(LEFT(C746,4)),VALUE(MID(C746,6,2)),VALUE(RIGHT(C746,2))),
        DATE(VALUE(RIGHT(C746,4)),VALUE(MID(C746,4,2)),VALUE(LEFT(C746,2)))
      ),
      IF(ISNUMBER(SEARCH("/",C746)*1),
        DATE(VALUE(RIGHT(C746,4)),VALUE(LEFT(C746,2)),VALUE(MID(C746,4,2))),
        DATEVALUE(C746)
      )
    )
  ),
"INVALID_DATE")</f>
        <v>45889</v>
      </c>
      <c r="AB746">
        <f t="shared" si="69"/>
        <v>3</v>
      </c>
      <c r="AC746" t="str">
        <f t="shared" si="70"/>
        <v>August</v>
      </c>
      <c r="AD746">
        <f t="shared" si="71"/>
        <v>2025</v>
      </c>
    </row>
    <row r="747" spans="1:30">
      <c r="A747" t="s">
        <v>3468</v>
      </c>
      <c r="B747" t="s">
        <v>3469</v>
      </c>
      <c r="C747" t="s">
        <v>3470</v>
      </c>
      <c r="D747" t="s">
        <v>3471</v>
      </c>
      <c r="E747" t="s">
        <v>47</v>
      </c>
      <c r="F747" t="s">
        <v>48</v>
      </c>
      <c r="G747" t="s">
        <v>49</v>
      </c>
      <c r="H747" t="s">
        <v>223</v>
      </c>
      <c r="I747" t="s">
        <v>224</v>
      </c>
      <c r="J747" t="s">
        <v>93</v>
      </c>
      <c r="K747" t="s">
        <v>101</v>
      </c>
      <c r="L747" t="s">
        <v>3472</v>
      </c>
      <c r="M747" t="s">
        <v>74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41</v>
      </c>
      <c r="U747" t="s">
        <v>42</v>
      </c>
      <c r="V747">
        <f t="shared" si="66"/>
        <v>1736.6160000000002</v>
      </c>
      <c r="W747">
        <f t="shared" si="67"/>
        <v>677.09999999999991</v>
      </c>
      <c r="X747">
        <f t="shared" si="68"/>
        <v>0.3898953138855939</v>
      </c>
      <c r="Y747" t="str">
        <f>_xlfn.TEXTJOIN(", ",TRUE,IF(G747="Unknown","Missing Region",""),IF(M747="Unknown","Missing Ship Mode",""),IF(P747&lt;0,"Negative Discount",""),IF(P747&gt;0.7,"High Discount",""),IF(C747&lt;B747,"Ship Before Order",""))</f>
        <v/>
      </c>
      <c r="Z747" s="2">
        <f>IFERROR(
  IF(ISNUMBER(B747),B747,
    IF(ISNUMBER(SEARCH("-",B747)*1),
      IF(LEN(LEFT(B747,FIND("-",B747)-1))=4,
        DATE(VALUE(LEFT(B747,4)),VALUE(MID(B747,6,2)),VALUE(RIGHT(B747,2))),
        DATE(VALUE(RIGHT(B747,4)),VALUE(MID(B747,4,2)),VALUE(LEFT(B747,2)))
      ),
      IF(ISNUMBER(SEARCH("/",B747)*1),
        DATE(VALUE(RIGHT(B747,4)),VALUE(LEFT(B747,2)),VALUE(MID(B747,4,2))),
        DATEVALUE(B747)
      )
    )
  ),
"INVALID_DATE")</f>
        <v>45589</v>
      </c>
      <c r="AA747" s="2">
        <f>IFERROR(
  IF(ISNUMBER(C747),C747,
    IF(ISNUMBER(SEARCH("-",C747)*1),
      IF(LEN(LEFT(C747,FIND("-",C747)-1))=4,
        DATE(VALUE(LEFT(C747,4)),VALUE(MID(C747,6,2)),VALUE(RIGHT(C747,2))),
        DATE(VALUE(RIGHT(C747,4)),VALUE(MID(C747,4,2)),VALUE(LEFT(C747,2)))
      ),
      IF(ISNUMBER(SEARCH("/",C747)*1),
        DATE(VALUE(RIGHT(C747,4)),VALUE(LEFT(C747,2)),VALUE(MID(C747,4,2))),
        DATEVALUE(C747)
      )
    )
  ),
"INVALID_DATE")</f>
        <v>45593</v>
      </c>
      <c r="AB747">
        <f t="shared" si="69"/>
        <v>4</v>
      </c>
      <c r="AC747" t="str">
        <f t="shared" si="70"/>
        <v>October</v>
      </c>
      <c r="AD747">
        <f t="shared" si="71"/>
        <v>2024</v>
      </c>
    </row>
    <row r="748" spans="1:30">
      <c r="A748" t="s">
        <v>3473</v>
      </c>
      <c r="B748" t="s">
        <v>1356</v>
      </c>
      <c r="C748" t="s">
        <v>3474</v>
      </c>
      <c r="D748" t="s">
        <v>3061</v>
      </c>
      <c r="E748" t="s">
        <v>169</v>
      </c>
      <c r="F748" t="s">
        <v>122</v>
      </c>
      <c r="G748" t="s">
        <v>49</v>
      </c>
      <c r="H748" t="s">
        <v>128</v>
      </c>
      <c r="I748" t="s">
        <v>129</v>
      </c>
      <c r="J748" t="s">
        <v>37</v>
      </c>
      <c r="K748" t="s">
        <v>38</v>
      </c>
      <c r="L748" t="s">
        <v>3475</v>
      </c>
      <c r="M748" t="s">
        <v>74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41</v>
      </c>
      <c r="U748" t="s">
        <v>42</v>
      </c>
      <c r="V748">
        <f t="shared" si="66"/>
        <v>8266.2080000000005</v>
      </c>
      <c r="W748">
        <f t="shared" si="67"/>
        <v>2029.8899999999994</v>
      </c>
      <c r="X748">
        <f t="shared" si="68"/>
        <v>0.2455647751508854</v>
      </c>
      <c r="Y748" t="str">
        <f>_xlfn.TEXTJOIN(", ",TRUE,IF(G748="Unknown","Missing Region",""),IF(M748="Unknown","Missing Ship Mode",""),IF(P748&lt;0,"Negative Discount",""),IF(P748&gt;0.7,"High Discount",""),IF(C748&lt;B748,"Ship Before Order",""))</f>
        <v>Ship Before Order</v>
      </c>
      <c r="Z748" s="2">
        <f>IFERROR(
  IF(ISNUMBER(B748),B748,
    IF(ISNUMBER(SEARCH("-",B748)*1),
      IF(LEN(LEFT(B748,FIND("-",B748)-1))=4,
        DATE(VALUE(LEFT(B748,4)),VALUE(MID(B748,6,2)),VALUE(RIGHT(B748,2))),
        DATE(VALUE(RIGHT(B748,4)),VALUE(MID(B748,4,2)),VALUE(LEFT(B748,2)))
      ),
      IF(ISNUMBER(SEARCH("/",B748)*1),
        DATE(VALUE(RIGHT(B748,4)),VALUE(LEFT(B748,2)),VALUE(MID(B748,4,2))),
        DATEVALUE(B748)
      )
    )
  ),
"INVALID_DATE")</f>
        <v>45661</v>
      </c>
      <c r="AA748" s="2">
        <f>IFERROR(
  IF(ISNUMBER(C748),C748,
    IF(ISNUMBER(SEARCH("-",C748)*1),
      IF(LEN(LEFT(C748,FIND("-",C748)-1))=4,
        DATE(VALUE(LEFT(C748,4)),VALUE(MID(C748,6,2)),VALUE(RIGHT(C748,2))),
        DATE(VALUE(RIGHT(C748,4)),VALUE(MID(C748,4,2)),VALUE(LEFT(C748,2)))
      ),
      IF(ISNUMBER(SEARCH("/",C748)*1),
        DATE(VALUE(RIGHT(C748,4)),VALUE(LEFT(C748,2)),VALUE(MID(C748,4,2))),
        DATEVALUE(C748)
      )
    )
  ),
"INVALID_DATE")</f>
        <v>45667</v>
      </c>
      <c r="AB748">
        <f t="shared" si="69"/>
        <v>6</v>
      </c>
      <c r="AC748" t="str">
        <f t="shared" si="70"/>
        <v>January</v>
      </c>
      <c r="AD748">
        <f t="shared" si="71"/>
        <v>2025</v>
      </c>
    </row>
    <row r="749" spans="1:30">
      <c r="A749" t="s">
        <v>3476</v>
      </c>
      <c r="B749" t="s">
        <v>3477</v>
      </c>
      <c r="C749" t="s">
        <v>3478</v>
      </c>
      <c r="D749" t="s">
        <v>3479</v>
      </c>
      <c r="E749" t="s">
        <v>60</v>
      </c>
      <c r="F749" t="s">
        <v>122</v>
      </c>
      <c r="G749" t="s">
        <v>49</v>
      </c>
      <c r="H749" t="s">
        <v>50</v>
      </c>
      <c r="I749" t="s">
        <v>51</v>
      </c>
      <c r="J749" t="s">
        <v>37</v>
      </c>
      <c r="K749" t="s">
        <v>38</v>
      </c>
      <c r="L749" t="s">
        <v>3480</v>
      </c>
      <c r="M749" t="s">
        <v>55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41</v>
      </c>
      <c r="U749" t="s">
        <v>42</v>
      </c>
      <c r="V749">
        <f t="shared" si="66"/>
        <v>10022.044</v>
      </c>
      <c r="W749">
        <f t="shared" si="67"/>
        <v>4445.0600000000013</v>
      </c>
      <c r="X749">
        <f t="shared" si="68"/>
        <v>0.4435284632669596</v>
      </c>
      <c r="Y749" t="str">
        <f>_xlfn.TEXTJOIN(", ",TRUE,IF(G749="Unknown","Missing Region",""),IF(M749="Unknown","Missing Ship Mode",""),IF(P749&lt;0,"Negative Discount",""),IF(P749&gt;0.7,"High Discount",""),IF(C749&lt;B749,"Ship Before Order",""))</f>
        <v>Ship Before Order</v>
      </c>
      <c r="Z749" s="2">
        <f>IFERROR(
  IF(ISNUMBER(B749),B749,
    IF(ISNUMBER(SEARCH("-",B749)*1),
      IF(LEN(LEFT(B749,FIND("-",B749)-1))=4,
        DATE(VALUE(LEFT(B749,4)),VALUE(MID(B749,6,2)),VALUE(RIGHT(B749,2))),
        DATE(VALUE(RIGHT(B749,4)),VALUE(MID(B749,4,2)),VALUE(LEFT(B749,2)))
      ),
      IF(ISNUMBER(SEARCH("/",B749)*1),
        DATE(VALUE(RIGHT(B749,4)),VALUE(LEFT(B749,2)),VALUE(MID(B749,4,2))),
        DATEVALUE(B749)
      )
    )
  ),
"INVALID_DATE")</f>
        <v>45413</v>
      </c>
      <c r="AA749" s="2">
        <f>IFERROR(
  IF(ISNUMBER(C749),C749,
    IF(ISNUMBER(SEARCH("-",C749)*1),
      IF(LEN(LEFT(C749,FIND("-",C749)-1))=4,
        DATE(VALUE(LEFT(C749,4)),VALUE(MID(C749,6,2)),VALUE(RIGHT(C749,2))),
        DATE(VALUE(RIGHT(C749,4)),VALUE(MID(C749,4,2)),VALUE(LEFT(C749,2)))
      ),
      IF(ISNUMBER(SEARCH("/",C749)*1),
        DATE(VALUE(RIGHT(C749,4)),VALUE(LEFT(C749,2)),VALUE(MID(C749,4,2))),
        DATEVALUE(C749)
      )
    )
  ),
"INVALID_DATE")</f>
        <v>45419</v>
      </c>
      <c r="AB749">
        <f t="shared" si="69"/>
        <v>6</v>
      </c>
      <c r="AC749" t="str">
        <f t="shared" si="70"/>
        <v>May</v>
      </c>
      <c r="AD749">
        <f t="shared" si="71"/>
        <v>2024</v>
      </c>
    </row>
    <row r="750" spans="1:30">
      <c r="A750" t="s">
        <v>3481</v>
      </c>
      <c r="B750" t="s">
        <v>3482</v>
      </c>
      <c r="C750" t="s">
        <v>3483</v>
      </c>
      <c r="D750" t="s">
        <v>3484</v>
      </c>
      <c r="E750" t="s">
        <v>217</v>
      </c>
      <c r="F750" t="s">
        <v>122</v>
      </c>
      <c r="G750" t="s">
        <v>34</v>
      </c>
      <c r="H750" t="s">
        <v>331</v>
      </c>
      <c r="I750" t="s">
        <v>332</v>
      </c>
      <c r="J750" t="s">
        <v>93</v>
      </c>
      <c r="K750" t="s">
        <v>230</v>
      </c>
      <c r="L750" t="s">
        <v>3485</v>
      </c>
      <c r="M750" t="s">
        <v>40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41</v>
      </c>
      <c r="U750" t="s">
        <v>42</v>
      </c>
      <c r="V750">
        <f t="shared" si="66"/>
        <v>2886.0299999999997</v>
      </c>
      <c r="W750">
        <f t="shared" si="67"/>
        <v>821.20000000000027</v>
      </c>
      <c r="X750">
        <f t="shared" si="68"/>
        <v>0.28454312671732451</v>
      </c>
      <c r="Y750" t="str">
        <f>_xlfn.TEXTJOIN(", ",TRUE,IF(G750="Unknown","Missing Region",""),IF(M750="Unknown","Missing Ship Mode",""),IF(P750&lt;0,"Negative Discount",""),IF(P750&gt;0.7,"High Discount",""),IF(C750&lt;B750,"Ship Before Order",""))</f>
        <v>Ship Before Order</v>
      </c>
      <c r="Z750" s="2">
        <f>IFERROR(
  IF(ISNUMBER(B750),B750,
    IF(ISNUMBER(SEARCH("-",B750)*1),
      IF(LEN(LEFT(B750,FIND("-",B750)-1))=4,
        DATE(VALUE(LEFT(B750,4)),VALUE(MID(B750,6,2)),VALUE(RIGHT(B750,2))),
        DATE(VALUE(RIGHT(B750,4)),VALUE(MID(B750,4,2)),VALUE(LEFT(B750,2)))
      ),
      IF(ISNUMBER(SEARCH("/",B750)*1),
        DATE(VALUE(RIGHT(B750,4)),VALUE(LEFT(B750,2)),VALUE(MID(B750,4,2))),
        DATEVALUE(B750)
      )
    )
  ),
"INVALID_DATE")</f>
        <v>45442</v>
      </c>
      <c r="AA750" s="2">
        <f>IFERROR(
  IF(ISNUMBER(C750),C750,
    IF(ISNUMBER(SEARCH("-",C750)*1),
      IF(LEN(LEFT(C750,FIND("-",C750)-1))=4,
        DATE(VALUE(LEFT(C750,4)),VALUE(MID(C750,6,2)),VALUE(RIGHT(C750,2))),
        DATE(VALUE(RIGHT(C750,4)),VALUE(MID(C750,4,2)),VALUE(LEFT(C750,2)))
      ),
      IF(ISNUMBER(SEARCH("/",C750)*1),
        DATE(VALUE(RIGHT(C750,4)),VALUE(LEFT(C750,2)),VALUE(MID(C750,4,2))),
        DATEVALUE(C750)
      )
    )
  ),
"INVALID_DATE")</f>
        <v>45442</v>
      </c>
      <c r="AB750">
        <f t="shared" si="69"/>
        <v>0</v>
      </c>
      <c r="AC750" t="str">
        <f t="shared" si="70"/>
        <v>May</v>
      </c>
      <c r="AD750">
        <f t="shared" si="71"/>
        <v>2024</v>
      </c>
    </row>
    <row r="751" spans="1:30">
      <c r="A751" t="s">
        <v>3486</v>
      </c>
      <c r="B751" t="s">
        <v>3487</v>
      </c>
      <c r="C751" t="s">
        <v>3488</v>
      </c>
      <c r="D751" t="s">
        <v>3489</v>
      </c>
      <c r="E751" t="s">
        <v>114</v>
      </c>
      <c r="F751" t="s">
        <v>122</v>
      </c>
      <c r="G751" t="s">
        <v>49</v>
      </c>
      <c r="H751" t="s">
        <v>223</v>
      </c>
      <c r="I751" t="s">
        <v>224</v>
      </c>
      <c r="J751" t="s">
        <v>93</v>
      </c>
      <c r="K751" t="s">
        <v>390</v>
      </c>
      <c r="L751" t="s">
        <v>3490</v>
      </c>
      <c r="M751" t="s">
        <v>74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41</v>
      </c>
      <c r="U751" t="s">
        <v>42</v>
      </c>
      <c r="V751">
        <f t="shared" si="66"/>
        <v>1459.1949999999999</v>
      </c>
      <c r="W751">
        <f t="shared" si="67"/>
        <v>403.40000000000009</v>
      </c>
      <c r="X751">
        <f t="shared" si="68"/>
        <v>0.27645474544096382</v>
      </c>
      <c r="Y751" t="str">
        <f>_xlfn.TEXTJOIN(", ",TRUE,IF(G751="Unknown","Missing Region",""),IF(M751="Unknown","Missing Ship Mode",""),IF(P751&lt;0,"Negative Discount",""),IF(P751&gt;0.7,"High Discount",""),IF(C751&lt;B751,"Ship Before Order",""))</f>
        <v>Ship Before Order</v>
      </c>
      <c r="Z751" s="2">
        <f>IFERROR(
  IF(ISNUMBER(B751),B751,
    IF(ISNUMBER(SEARCH("-",B751)*1),
      IF(LEN(LEFT(B751,FIND("-",B751)-1))=4,
        DATE(VALUE(LEFT(B751,4)),VALUE(MID(B751,6,2)),VALUE(RIGHT(B751,2))),
        DATE(VALUE(RIGHT(B751,4)),VALUE(MID(B751,4,2)),VALUE(LEFT(B751,2)))
      ),
      IF(ISNUMBER(SEARCH("/",B751)*1),
        DATE(VALUE(RIGHT(B751,4)),VALUE(LEFT(B751,2)),VALUE(MID(B751,4,2))),
        DATEVALUE(B751)
      )
    )
  ),
"INVALID_DATE")</f>
        <v>45372</v>
      </c>
      <c r="AA751" s="2">
        <f>IFERROR(
  IF(ISNUMBER(C751),C751,
    IF(ISNUMBER(SEARCH("-",C751)*1),
      IF(LEN(LEFT(C751,FIND("-",C751)-1))=4,
        DATE(VALUE(LEFT(C751,4)),VALUE(MID(C751,6,2)),VALUE(RIGHT(C751,2))),
        DATE(VALUE(RIGHT(C751,4)),VALUE(MID(C751,4,2)),VALUE(LEFT(C751,2)))
      ),
      IF(ISNUMBER(SEARCH("/",C751)*1),
        DATE(VALUE(RIGHT(C751,4)),VALUE(LEFT(C751,2)),VALUE(MID(C751,4,2))),
        DATEVALUE(C751)
      )
    )
  ),
"INVALID_DATE")</f>
        <v>45376</v>
      </c>
      <c r="AB751">
        <f t="shared" si="69"/>
        <v>4</v>
      </c>
      <c r="AC751" t="str">
        <f t="shared" si="70"/>
        <v>March</v>
      </c>
      <c r="AD751">
        <f t="shared" si="71"/>
        <v>2024</v>
      </c>
    </row>
    <row r="752" spans="1:30">
      <c r="A752" t="s">
        <v>3491</v>
      </c>
      <c r="B752" t="s">
        <v>3492</v>
      </c>
      <c r="C752" t="s">
        <v>383</v>
      </c>
      <c r="D752" t="s">
        <v>3493</v>
      </c>
      <c r="E752" t="s">
        <v>169</v>
      </c>
      <c r="F752" t="s">
        <v>122</v>
      </c>
      <c r="G752" t="s">
        <v>69</v>
      </c>
      <c r="H752" t="s">
        <v>70</v>
      </c>
      <c r="I752" t="s">
        <v>71</v>
      </c>
      <c r="J752" t="s">
        <v>93</v>
      </c>
      <c r="K752" t="s">
        <v>94</v>
      </c>
      <c r="L752" t="s">
        <v>3494</v>
      </c>
      <c r="M752" t="s">
        <v>63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41</v>
      </c>
      <c r="U752" t="s">
        <v>42</v>
      </c>
      <c r="V752">
        <f t="shared" si="66"/>
        <v>26696.323999999997</v>
      </c>
      <c r="W752">
        <f t="shared" si="67"/>
        <v>3971.7999999999993</v>
      </c>
      <c r="X752">
        <f t="shared" si="68"/>
        <v>0.14877705990938078</v>
      </c>
      <c r="Y752" t="str">
        <f>_xlfn.TEXTJOIN(", ",TRUE,IF(G752="Unknown","Missing Region",""),IF(M752="Unknown","Missing Ship Mode",""),IF(P752&lt;0,"Negative Discount",""),IF(P752&gt;0.7,"High Discount",""),IF(C752&lt;B752,"Ship Before Order",""))</f>
        <v/>
      </c>
      <c r="Z752" s="2">
        <f>IFERROR(
  IF(ISNUMBER(B752),B752,
    IF(ISNUMBER(SEARCH("-",B752)*1),
      IF(LEN(LEFT(B752,FIND("-",B752)-1))=4,
        DATE(VALUE(LEFT(B752,4)),VALUE(MID(B752,6,2)),VALUE(RIGHT(B752,2))),
        DATE(VALUE(RIGHT(B752,4)),VALUE(MID(B752,4,2)),VALUE(LEFT(B752,2)))
      ),
      IF(ISNUMBER(SEARCH("/",B752)*1),
        DATE(VALUE(RIGHT(B752,4)),VALUE(LEFT(B752,2)),VALUE(MID(B752,4,2))),
        DATEVALUE(B752)
      )
    )
  ),
"INVALID_DATE")</f>
        <v>45810</v>
      </c>
      <c r="AA752" s="2">
        <f>IFERROR(
  IF(ISNUMBER(C752),C752,
    IF(ISNUMBER(SEARCH("-",C752)*1),
      IF(LEN(LEFT(C752,FIND("-",C752)-1))=4,
        DATE(VALUE(LEFT(C752,4)),VALUE(MID(C752,6,2)),VALUE(RIGHT(C752,2))),
        DATE(VALUE(RIGHT(C752,4)),VALUE(MID(C752,4,2)),VALUE(LEFT(C752,2)))
      ),
      IF(ISNUMBER(SEARCH("/",C752)*1),
        DATE(VALUE(RIGHT(C752,4)),VALUE(LEFT(C752,2)),VALUE(MID(C752,4,2))),
        DATEVALUE(C752)
      )
    )
  ),
"INVALID_DATE")</f>
        <v>45810</v>
      </c>
      <c r="AB752">
        <f t="shared" si="69"/>
        <v>0</v>
      </c>
      <c r="AC752" t="str">
        <f t="shared" si="70"/>
        <v>June</v>
      </c>
      <c r="AD752">
        <f t="shared" si="71"/>
        <v>2025</v>
      </c>
    </row>
    <row r="753" spans="1:30">
      <c r="A753" t="s">
        <v>3495</v>
      </c>
      <c r="B753" t="s">
        <v>728</v>
      </c>
      <c r="C753" t="s">
        <v>3496</v>
      </c>
      <c r="D753" t="s">
        <v>3497</v>
      </c>
      <c r="E753" t="s">
        <v>149</v>
      </c>
      <c r="F753" t="s">
        <v>122</v>
      </c>
      <c r="G753" t="s">
        <v>279</v>
      </c>
      <c r="H753" t="s">
        <v>181</v>
      </c>
      <c r="I753" t="s">
        <v>182</v>
      </c>
      <c r="J753" t="s">
        <v>93</v>
      </c>
      <c r="K753" t="s">
        <v>390</v>
      </c>
      <c r="L753" t="s">
        <v>3498</v>
      </c>
      <c r="M753" t="s">
        <v>279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41</v>
      </c>
      <c r="U753" t="s">
        <v>42</v>
      </c>
      <c r="V753">
        <f t="shared" si="66"/>
        <v>8445.2625000000007</v>
      </c>
      <c r="W753">
        <f t="shared" si="67"/>
        <v>1507.6599999999999</v>
      </c>
      <c r="X753">
        <f t="shared" si="68"/>
        <v>0.17852144279749824</v>
      </c>
      <c r="Y753" t="str">
        <f>_xlfn.TEXTJOIN(", ",TRUE,IF(G753="Unknown","Missing Region",""),IF(M753="Unknown","Missing Ship Mode",""),IF(P753&lt;0,"Negative Discount",""),IF(P753&gt;0.7,"High Discount",""),IF(C753&lt;B753,"Ship Before Order",""))</f>
        <v>Missing Region, Missing Ship Mode</v>
      </c>
      <c r="Z753" s="2">
        <f>IFERROR(
  IF(ISNUMBER(B753),B753,
    IF(ISNUMBER(SEARCH("-",B753)*1),
      IF(LEN(LEFT(B753,FIND("-",B753)-1))=4,
        DATE(VALUE(LEFT(B753,4)),VALUE(MID(B753,6,2)),VALUE(RIGHT(B753,2))),
        DATE(VALUE(RIGHT(B753,4)),VALUE(MID(B753,4,2)),VALUE(LEFT(B753,2)))
      ),
      IF(ISNUMBER(SEARCH("/",B753)*1),
        DATE(VALUE(RIGHT(B753,4)),VALUE(LEFT(B753,2)),VALUE(MID(B753,4,2))),
        DATEVALUE(B753)
      )
    )
  ),
"INVALID_DATE")</f>
        <v>45856</v>
      </c>
      <c r="AA753" s="2">
        <f>IFERROR(
  IF(ISNUMBER(C753),C753,
    IF(ISNUMBER(SEARCH("-",C753)*1),
      IF(LEN(LEFT(C753,FIND("-",C753)-1))=4,
        DATE(VALUE(LEFT(C753,4)),VALUE(MID(C753,6,2)),VALUE(RIGHT(C753,2))),
        DATE(VALUE(RIGHT(C753,4)),VALUE(MID(C753,4,2)),VALUE(LEFT(C753,2)))
      ),
      IF(ISNUMBER(SEARCH("/",C753)*1),
        DATE(VALUE(RIGHT(C753,4)),VALUE(LEFT(C753,2)),VALUE(MID(C753,4,2))),
        DATEVALUE(C753)
      )
    )
  ),
"INVALID_DATE")</f>
        <v>45857</v>
      </c>
      <c r="AB753">
        <f t="shared" si="69"/>
        <v>1</v>
      </c>
      <c r="AC753" t="str">
        <f t="shared" si="70"/>
        <v>July</v>
      </c>
      <c r="AD753">
        <f t="shared" si="71"/>
        <v>2025</v>
      </c>
    </row>
    <row r="754" spans="1:30">
      <c r="A754" t="s">
        <v>3499</v>
      </c>
      <c r="B754" t="s">
        <v>2225</v>
      </c>
      <c r="C754" t="s">
        <v>3170</v>
      </c>
      <c r="D754" t="s">
        <v>3500</v>
      </c>
      <c r="E754" t="s">
        <v>114</v>
      </c>
      <c r="F754" t="s">
        <v>115</v>
      </c>
      <c r="G754" t="s">
        <v>80</v>
      </c>
      <c r="H754" t="s">
        <v>242</v>
      </c>
      <c r="I754" t="s">
        <v>243</v>
      </c>
      <c r="J754" t="s">
        <v>37</v>
      </c>
      <c r="K754" t="s">
        <v>163</v>
      </c>
      <c r="L754" t="s">
        <v>3501</v>
      </c>
      <c r="M754" t="s">
        <v>63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41</v>
      </c>
      <c r="U754" t="s">
        <v>42</v>
      </c>
      <c r="V754">
        <f t="shared" si="66"/>
        <v>11709.794999999998</v>
      </c>
      <c r="W754">
        <f t="shared" si="67"/>
        <v>3337.5</v>
      </c>
      <c r="X754">
        <f t="shared" si="68"/>
        <v>0.28501792090208278</v>
      </c>
      <c r="Y754" t="str">
        <f>_xlfn.TEXTJOIN(", ",TRUE,IF(G754="Unknown","Missing Region",""),IF(M754="Unknown","Missing Ship Mode",""),IF(P754&lt;0,"Negative Discount",""),IF(P754&gt;0.7,"High Discount",""),IF(C754&lt;B754,"Ship Before Order",""))</f>
        <v/>
      </c>
      <c r="Z754" s="2">
        <f>IFERROR(
  IF(ISNUMBER(B754),B754,
    IF(ISNUMBER(SEARCH("-",B754)*1),
      IF(LEN(LEFT(B754,FIND("-",B754)-1))=4,
        DATE(VALUE(LEFT(B754,4)),VALUE(MID(B754,6,2)),VALUE(RIGHT(B754,2))),
        DATE(VALUE(RIGHT(B754,4)),VALUE(MID(B754,4,2)),VALUE(LEFT(B754,2)))
      ),
      IF(ISNUMBER(SEARCH("/",B754)*1),
        DATE(VALUE(RIGHT(B754,4)),VALUE(LEFT(B754,2)),VALUE(MID(B754,4,2))),
        DATEVALUE(B754)
      )
    )
  ),
"INVALID_DATE")</f>
        <v>45375</v>
      </c>
      <c r="AA754" s="2">
        <f>IFERROR(
  IF(ISNUMBER(C754),C754,
    IF(ISNUMBER(SEARCH("-",C754)*1),
      IF(LEN(LEFT(C754,FIND("-",C754)-1))=4,
        DATE(VALUE(LEFT(C754,4)),VALUE(MID(C754,6,2)),VALUE(RIGHT(C754,2))),
        DATE(VALUE(RIGHT(C754,4)),VALUE(MID(C754,4,2)),VALUE(LEFT(C754,2)))
      ),
      IF(ISNUMBER(SEARCH("/",C754)*1),
        DATE(VALUE(RIGHT(C754,4)),VALUE(LEFT(C754,2)),VALUE(MID(C754,4,2))),
        DATEVALUE(C754)
      )
    )
  ),
"INVALID_DATE")</f>
        <v>45378</v>
      </c>
      <c r="AB754">
        <f t="shared" si="69"/>
        <v>3</v>
      </c>
      <c r="AC754" t="str">
        <f t="shared" si="70"/>
        <v>March</v>
      </c>
      <c r="AD754">
        <f t="shared" si="71"/>
        <v>2024</v>
      </c>
    </row>
    <row r="755" spans="1:30">
      <c r="A755" t="s">
        <v>3502</v>
      </c>
      <c r="B755" t="s">
        <v>2446</v>
      </c>
      <c r="C755" t="s">
        <v>2806</v>
      </c>
      <c r="D755" t="s">
        <v>3503</v>
      </c>
      <c r="E755" t="s">
        <v>114</v>
      </c>
      <c r="F755" t="s">
        <v>115</v>
      </c>
      <c r="G755" t="s">
        <v>34</v>
      </c>
      <c r="H755" t="s">
        <v>514</v>
      </c>
      <c r="I755" t="s">
        <v>515</v>
      </c>
      <c r="J755" t="s">
        <v>52</v>
      </c>
      <c r="K755" t="s">
        <v>72</v>
      </c>
      <c r="L755" t="s">
        <v>3504</v>
      </c>
      <c r="M755" t="s">
        <v>40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207</v>
      </c>
      <c r="U755" t="s">
        <v>132</v>
      </c>
      <c r="V755">
        <f t="shared" si="66"/>
        <v>2593.9110000000001</v>
      </c>
      <c r="W755">
        <f t="shared" si="67"/>
        <v>745.42999999999984</v>
      </c>
      <c r="X755">
        <f t="shared" si="68"/>
        <v>0.28737697144465307</v>
      </c>
      <c r="Y755" t="str">
        <f>_xlfn.TEXTJOIN(", ",TRUE,IF(G755="Unknown","Missing Region",""),IF(M755="Unknown","Missing Ship Mode",""),IF(P755&lt;0,"Negative Discount",""),IF(P755&gt;0.7,"High Discount",""),IF(C755&lt;B755,"Ship Before Order",""))</f>
        <v>Ship Before Order</v>
      </c>
      <c r="Z755" s="2">
        <f>IFERROR(
  IF(ISNUMBER(B755),B755,
    IF(ISNUMBER(SEARCH("-",B755)*1),
      IF(LEN(LEFT(B755,FIND("-",B755)-1))=4,
        DATE(VALUE(LEFT(B755,4)),VALUE(MID(B755,6,2)),VALUE(RIGHT(B755,2))),
        DATE(VALUE(RIGHT(B755,4)),VALUE(MID(B755,4,2)),VALUE(LEFT(B755,2)))
      ),
      IF(ISNUMBER(SEARCH("/",B755)*1),
        DATE(VALUE(RIGHT(B755,4)),VALUE(LEFT(B755,2)),VALUE(MID(B755,4,2))),
        DATEVALUE(B755)
      )
    )
  ),
"INVALID_DATE")</f>
        <v>45515</v>
      </c>
      <c r="AA755" s="2">
        <f>IFERROR(
  IF(ISNUMBER(C755),C755,
    IF(ISNUMBER(SEARCH("-",C755)*1),
      IF(LEN(LEFT(C755,FIND("-",C755)-1))=4,
        DATE(VALUE(LEFT(C755,4)),VALUE(MID(C755,6,2)),VALUE(RIGHT(C755,2))),
        DATE(VALUE(RIGHT(C755,4)),VALUE(MID(C755,4,2)),VALUE(LEFT(C755,2)))
      ),
      IF(ISNUMBER(SEARCH("/",C755)*1),
        DATE(VALUE(RIGHT(C755,4)),VALUE(LEFT(C755,2)),VALUE(MID(C755,4,2))),
        DATEVALUE(C755)
      )
    )
  ),
"INVALID_DATE")</f>
        <v>45514</v>
      </c>
      <c r="AB755">
        <f t="shared" si="69"/>
        <v>-1</v>
      </c>
      <c r="AC755" t="str">
        <f t="shared" si="70"/>
        <v>August</v>
      </c>
      <c r="AD755">
        <f t="shared" si="71"/>
        <v>2024</v>
      </c>
    </row>
    <row r="756" spans="1:30">
      <c r="A756" t="s">
        <v>3505</v>
      </c>
      <c r="B756" t="s">
        <v>3506</v>
      </c>
      <c r="C756" t="s">
        <v>3506</v>
      </c>
      <c r="D756" t="s">
        <v>3507</v>
      </c>
      <c r="E756" t="s">
        <v>100</v>
      </c>
      <c r="F756" t="s">
        <v>115</v>
      </c>
      <c r="G756" t="s">
        <v>69</v>
      </c>
      <c r="H756" t="s">
        <v>249</v>
      </c>
      <c r="I756" t="s">
        <v>250</v>
      </c>
      <c r="J756" t="s">
        <v>37</v>
      </c>
      <c r="K756" t="s">
        <v>163</v>
      </c>
      <c r="L756" t="s">
        <v>3508</v>
      </c>
      <c r="M756" t="s">
        <v>74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41</v>
      </c>
      <c r="U756" t="s">
        <v>42</v>
      </c>
      <c r="V756">
        <f t="shared" si="66"/>
        <v>2674.02</v>
      </c>
      <c r="W756">
        <f t="shared" si="67"/>
        <v>466.44999999999982</v>
      </c>
      <c r="X756">
        <f t="shared" si="68"/>
        <v>0.17443773793763695</v>
      </c>
      <c r="Y756" t="str">
        <f>_xlfn.TEXTJOIN(", ",TRUE,IF(G756="Unknown","Missing Region",""),IF(M756="Unknown","Missing Ship Mode",""),IF(P756&lt;0,"Negative Discount",""),IF(P756&gt;0.7,"High Discount",""),IF(C756&lt;B756,"Ship Before Order",""))</f>
        <v/>
      </c>
      <c r="Z756" s="2">
        <f>IFERROR(
  IF(ISNUMBER(B756),B756,
    IF(ISNUMBER(SEARCH("-",B756)*1),
      IF(LEN(LEFT(B756,FIND("-",B756)-1))=4,
        DATE(VALUE(LEFT(B756,4)),VALUE(MID(B756,6,2)),VALUE(RIGHT(B756,2))),
        DATE(VALUE(RIGHT(B756,4)),VALUE(MID(B756,4,2)),VALUE(LEFT(B756,2)))
      ),
      IF(ISNUMBER(SEARCH("/",B756)*1),
        DATE(VALUE(RIGHT(B756,4)),VALUE(LEFT(B756,2)),VALUE(MID(B756,4,2))),
        DATEVALUE(B756)
      )
    )
  ),
"INVALID_DATE")</f>
        <v>45812</v>
      </c>
      <c r="AA756" s="2">
        <f>IFERROR(
  IF(ISNUMBER(C756),C756,
    IF(ISNUMBER(SEARCH("-",C756)*1),
      IF(LEN(LEFT(C756,FIND("-",C756)-1))=4,
        DATE(VALUE(LEFT(C756,4)),VALUE(MID(C756,6,2)),VALUE(RIGHT(C756,2))),
        DATE(VALUE(RIGHT(C756,4)),VALUE(MID(C756,4,2)),VALUE(LEFT(C756,2)))
      ),
      IF(ISNUMBER(SEARCH("/",C756)*1),
        DATE(VALUE(RIGHT(C756,4)),VALUE(LEFT(C756,2)),VALUE(MID(C756,4,2))),
        DATEVALUE(C756)
      )
    )
  ),
"INVALID_DATE")</f>
        <v>45812</v>
      </c>
      <c r="AB756">
        <f t="shared" si="69"/>
        <v>0</v>
      </c>
      <c r="AC756" t="str">
        <f t="shared" si="70"/>
        <v>June</v>
      </c>
      <c r="AD756">
        <f t="shared" si="71"/>
        <v>2025</v>
      </c>
    </row>
    <row r="757" spans="1:30">
      <c r="A757" t="s">
        <v>3509</v>
      </c>
      <c r="B757" t="s">
        <v>1102</v>
      </c>
      <c r="C757" t="s">
        <v>1737</v>
      </c>
      <c r="D757" t="s">
        <v>3510</v>
      </c>
      <c r="E757" t="s">
        <v>149</v>
      </c>
      <c r="F757" t="s">
        <v>122</v>
      </c>
      <c r="G757" t="s">
        <v>80</v>
      </c>
      <c r="H757" t="s">
        <v>91</v>
      </c>
      <c r="I757" t="s">
        <v>92</v>
      </c>
      <c r="J757" t="s">
        <v>37</v>
      </c>
      <c r="K757" t="s">
        <v>163</v>
      </c>
      <c r="L757" t="s">
        <v>3511</v>
      </c>
      <c r="M757" t="s">
        <v>40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41</v>
      </c>
      <c r="U757" t="s">
        <v>42</v>
      </c>
      <c r="V757">
        <f t="shared" si="66"/>
        <v>9926.9599999999991</v>
      </c>
      <c r="W757">
        <f t="shared" si="67"/>
        <v>1931.9799999999996</v>
      </c>
      <c r="X757">
        <f t="shared" si="68"/>
        <v>0.19461950083409224</v>
      </c>
      <c r="Y757" t="str">
        <f>_xlfn.TEXTJOIN(", ",TRUE,IF(G757="Unknown","Missing Region",""),IF(M757="Unknown","Missing Ship Mode",""),IF(P757&lt;0,"Negative Discount",""),IF(P757&gt;0.7,"High Discount",""),IF(C757&lt;B757,"Ship Before Order",""))</f>
        <v/>
      </c>
      <c r="Z757" s="2">
        <f>IFERROR(
  IF(ISNUMBER(B757),B757,
    IF(ISNUMBER(SEARCH("-",B757)*1),
      IF(LEN(LEFT(B757,FIND("-",B757)-1))=4,
        DATE(VALUE(LEFT(B757,4)),VALUE(MID(B757,6,2)),VALUE(RIGHT(B757,2))),
        DATE(VALUE(RIGHT(B757,4)),VALUE(MID(B757,4,2)),VALUE(LEFT(B757,2)))
      ),
      IF(ISNUMBER(SEARCH("/",B757)*1),
        DATE(VALUE(RIGHT(B757,4)),VALUE(LEFT(B757,2)),VALUE(MID(B757,4,2))),
        DATEVALUE(B757)
      )
    )
  ),
"INVALID_DATE")</f>
        <v>45858</v>
      </c>
      <c r="AA757" s="2">
        <f>IFERROR(
  IF(ISNUMBER(C757),C757,
    IF(ISNUMBER(SEARCH("-",C757)*1),
      IF(LEN(LEFT(C757,FIND("-",C757)-1))=4,
        DATE(VALUE(LEFT(C757,4)),VALUE(MID(C757,6,2)),VALUE(RIGHT(C757,2))),
        DATE(VALUE(RIGHT(C757,4)),VALUE(MID(C757,4,2)),VALUE(LEFT(C757,2)))
      ),
      IF(ISNUMBER(SEARCH("/",C757)*1),
        DATE(VALUE(RIGHT(C757,4)),VALUE(LEFT(C757,2)),VALUE(MID(C757,4,2))),
        DATEVALUE(C757)
      )
    )
  ),
"INVALID_DATE")</f>
        <v>45862</v>
      </c>
      <c r="AB757">
        <f t="shared" si="69"/>
        <v>4</v>
      </c>
      <c r="AC757" t="str">
        <f t="shared" si="70"/>
        <v>July</v>
      </c>
      <c r="AD757">
        <f t="shared" si="71"/>
        <v>2025</v>
      </c>
    </row>
    <row r="758" spans="1:30">
      <c r="A758" t="s">
        <v>3512</v>
      </c>
      <c r="B758" t="s">
        <v>3513</v>
      </c>
      <c r="C758" t="s">
        <v>3514</v>
      </c>
      <c r="D758" t="s">
        <v>3515</v>
      </c>
      <c r="E758" t="s">
        <v>187</v>
      </c>
      <c r="F758" t="s">
        <v>33</v>
      </c>
      <c r="G758" t="s">
        <v>34</v>
      </c>
      <c r="H758" t="s">
        <v>35</v>
      </c>
      <c r="I758" t="s">
        <v>36</v>
      </c>
      <c r="J758" t="s">
        <v>93</v>
      </c>
      <c r="K758" t="s">
        <v>94</v>
      </c>
      <c r="L758" t="s">
        <v>3516</v>
      </c>
      <c r="M758" t="s">
        <v>55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41</v>
      </c>
      <c r="U758" t="s">
        <v>132</v>
      </c>
      <c r="V758">
        <f t="shared" si="66"/>
        <v>12191.76</v>
      </c>
      <c r="W758">
        <f t="shared" si="67"/>
        <v>1734.2700000000004</v>
      </c>
      <c r="X758">
        <f t="shared" si="68"/>
        <v>0.14224935530226973</v>
      </c>
      <c r="Y758" t="str">
        <f>_xlfn.TEXTJOIN(", ",TRUE,IF(G758="Unknown","Missing Region",""),IF(M758="Unknown","Missing Ship Mode",""),IF(P758&lt;0,"Negative Discount",""),IF(P758&gt;0.7,"High Discount",""),IF(C758&lt;B758,"Ship Before Order",""))</f>
        <v/>
      </c>
      <c r="Z758" s="2">
        <f>IFERROR(
  IF(ISNUMBER(B758),B758,
    IF(ISNUMBER(SEARCH("-",B758)*1),
      IF(LEN(LEFT(B758,FIND("-",B758)-1))=4,
        DATE(VALUE(LEFT(B758,4)),VALUE(MID(B758,6,2)),VALUE(RIGHT(B758,2))),
        DATE(VALUE(RIGHT(B758,4)),VALUE(MID(B758,4,2)),VALUE(LEFT(B758,2)))
      ),
      IF(ISNUMBER(SEARCH("/",B758)*1),
        DATE(VALUE(RIGHT(B758,4)),VALUE(LEFT(B758,2)),VALUE(MID(B758,4,2))),
        DATEVALUE(B758)
      )
    )
  ),
"INVALID_DATE")</f>
        <v>45592</v>
      </c>
      <c r="AA758" s="2">
        <f>IFERROR(
  IF(ISNUMBER(C758),C758,
    IF(ISNUMBER(SEARCH("-",C758)*1),
      IF(LEN(LEFT(C758,FIND("-",C758)-1))=4,
        DATE(VALUE(LEFT(C758,4)),VALUE(MID(C758,6,2)),VALUE(RIGHT(C758,2))),
        DATE(VALUE(RIGHT(C758,4)),VALUE(MID(C758,4,2)),VALUE(LEFT(C758,2)))
      ),
      IF(ISNUMBER(SEARCH("/",C758)*1),
        DATE(VALUE(RIGHT(C758,4)),VALUE(LEFT(C758,2)),VALUE(MID(C758,4,2))),
        DATEVALUE(C758)
      )
    )
  ),
"INVALID_DATE")</f>
        <v>45597</v>
      </c>
      <c r="AB758">
        <f t="shared" si="69"/>
        <v>5</v>
      </c>
      <c r="AC758" t="str">
        <f t="shared" si="70"/>
        <v>October</v>
      </c>
      <c r="AD758">
        <f t="shared" si="71"/>
        <v>2024</v>
      </c>
    </row>
    <row r="759" spans="1:30">
      <c r="A759" t="s">
        <v>3517</v>
      </c>
      <c r="B759" t="s">
        <v>3518</v>
      </c>
      <c r="C759" t="s">
        <v>3519</v>
      </c>
      <c r="D759" t="s">
        <v>3520</v>
      </c>
      <c r="E759" t="s">
        <v>114</v>
      </c>
      <c r="F759" t="s">
        <v>48</v>
      </c>
      <c r="G759" t="s">
        <v>69</v>
      </c>
      <c r="H759" t="s">
        <v>249</v>
      </c>
      <c r="I759" t="s">
        <v>250</v>
      </c>
      <c r="J759" t="s">
        <v>52</v>
      </c>
      <c r="K759" t="s">
        <v>211</v>
      </c>
      <c r="L759" t="s">
        <v>3521</v>
      </c>
      <c r="M759" t="s">
        <v>74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207</v>
      </c>
      <c r="U759" t="s">
        <v>85</v>
      </c>
      <c r="V759">
        <f t="shared" si="66"/>
        <v>4285.7550000000001</v>
      </c>
      <c r="W759">
        <f t="shared" si="67"/>
        <v>1899.4300000000003</v>
      </c>
      <c r="X759">
        <f t="shared" si="68"/>
        <v>0.44319560591353691</v>
      </c>
      <c r="Y759" t="str">
        <f>_xlfn.TEXTJOIN(", ",TRUE,IF(G759="Unknown","Missing Region",""),IF(M759="Unknown","Missing Ship Mode",""),IF(P759&lt;0,"Negative Discount",""),IF(P759&gt;0.7,"High Discount",""),IF(C759&lt;B759,"Ship Before Order",""))</f>
        <v/>
      </c>
      <c r="Z759" s="2">
        <f>IFERROR(
  IF(ISNUMBER(B759),B759,
    IF(ISNUMBER(SEARCH("-",B759)*1),
      IF(LEN(LEFT(B759,FIND("-",B759)-1))=4,
        DATE(VALUE(LEFT(B759,4)),VALUE(MID(B759,6,2)),VALUE(RIGHT(B759,2))),
        DATE(VALUE(RIGHT(B759,4)),VALUE(MID(B759,4,2)),VALUE(LEFT(B759,2)))
      ),
      IF(ISNUMBER(SEARCH("/",B759)*1),
        DATE(VALUE(RIGHT(B759,4)),VALUE(LEFT(B759,2)),VALUE(MID(B759,4,2))),
        DATEVALUE(B759)
      )
    )
  ),
"INVALID_DATE")</f>
        <v>45870</v>
      </c>
      <c r="AA759" s="2">
        <f>IFERROR(
  IF(ISNUMBER(C759),C759,
    IF(ISNUMBER(SEARCH("-",C759)*1),
      IF(LEN(LEFT(C759,FIND("-",C759)-1))=4,
        DATE(VALUE(LEFT(C759,4)),VALUE(MID(C759,6,2)),VALUE(RIGHT(C759,2))),
        DATE(VALUE(RIGHT(C759,4)),VALUE(MID(C759,4,2)),VALUE(LEFT(C759,2)))
      ),
      IF(ISNUMBER(SEARCH("/",C759)*1),
        DATE(VALUE(RIGHT(C759,4)),VALUE(LEFT(C759,2)),VALUE(MID(C759,4,2))),
        DATEVALUE(C759)
      )
    )
  ),
"INVALID_DATE")</f>
        <v>45872</v>
      </c>
      <c r="AB759">
        <f t="shared" si="69"/>
        <v>2</v>
      </c>
      <c r="AC759" t="str">
        <f t="shared" si="70"/>
        <v>August</v>
      </c>
      <c r="AD759">
        <f t="shared" si="71"/>
        <v>2025</v>
      </c>
    </row>
    <row r="760" spans="1:30">
      <c r="A760" t="s">
        <v>3522</v>
      </c>
      <c r="B760" t="s">
        <v>3523</v>
      </c>
      <c r="C760" t="s">
        <v>2712</v>
      </c>
      <c r="D760" t="s">
        <v>3524</v>
      </c>
      <c r="E760" t="s">
        <v>169</v>
      </c>
      <c r="F760" t="s">
        <v>48</v>
      </c>
      <c r="G760" t="s">
        <v>69</v>
      </c>
      <c r="H760" t="s">
        <v>236</v>
      </c>
      <c r="I760" t="s">
        <v>237</v>
      </c>
      <c r="J760" t="s">
        <v>52</v>
      </c>
      <c r="K760" t="s">
        <v>83</v>
      </c>
      <c r="L760" t="s">
        <v>3525</v>
      </c>
      <c r="M760" t="s">
        <v>74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41</v>
      </c>
      <c r="U760" t="s">
        <v>42</v>
      </c>
      <c r="V760">
        <f t="shared" si="66"/>
        <v>4166.91</v>
      </c>
      <c r="W760">
        <f t="shared" si="67"/>
        <v>754.27999999999975</v>
      </c>
      <c r="X760">
        <f t="shared" si="68"/>
        <v>0.18101662862888807</v>
      </c>
      <c r="Y760" t="str">
        <f>_xlfn.TEXTJOIN(", ",TRUE,IF(G760="Unknown","Missing Region",""),IF(M760="Unknown","Missing Ship Mode",""),IF(P760&lt;0,"Negative Discount",""),IF(P760&gt;0.7,"High Discount",""),IF(C760&lt;B760,"Ship Before Order",""))</f>
        <v/>
      </c>
      <c r="Z760" s="2">
        <f>IFERROR(
  IF(ISNUMBER(B760),B760,
    IF(ISNUMBER(SEARCH("-",B760)*1),
      IF(LEN(LEFT(B760,FIND("-",B760)-1))=4,
        DATE(VALUE(LEFT(B760,4)),VALUE(MID(B760,6,2)),VALUE(RIGHT(B760,2))),
        DATE(VALUE(RIGHT(B760,4)),VALUE(MID(B760,4,2)),VALUE(LEFT(B760,2)))
      ),
      IF(ISNUMBER(SEARCH("/",B760)*1),
        DATE(VALUE(RIGHT(B760,4)),VALUE(LEFT(B760,2)),VALUE(MID(B760,4,2))),
        DATEVALUE(B760)
      )
    )
  ),
"INVALID_DATE")</f>
        <v>45414</v>
      </c>
      <c r="AA760" s="2">
        <f>IFERROR(
  IF(ISNUMBER(C760),C760,
    IF(ISNUMBER(SEARCH("-",C760)*1),
      IF(LEN(LEFT(C760,FIND("-",C760)-1))=4,
        DATE(VALUE(LEFT(C760,4)),VALUE(MID(C760,6,2)),VALUE(RIGHT(C760,2))),
        DATE(VALUE(RIGHT(C760,4)),VALUE(MID(C760,4,2)),VALUE(LEFT(C760,2)))
      ),
      IF(ISNUMBER(SEARCH("/",C760)*1),
        DATE(VALUE(RIGHT(C760,4)),VALUE(LEFT(C760,2)),VALUE(MID(C760,4,2))),
        DATEVALUE(C760)
      )
    )
  ),
"INVALID_DATE")</f>
        <v>45422</v>
      </c>
      <c r="AB760">
        <f t="shared" si="69"/>
        <v>8</v>
      </c>
      <c r="AC760" t="str">
        <f t="shared" si="70"/>
        <v>May</v>
      </c>
      <c r="AD760">
        <f t="shared" si="71"/>
        <v>2024</v>
      </c>
    </row>
    <row r="761" spans="1:30">
      <c r="A761" t="s">
        <v>3526</v>
      </c>
      <c r="B761" t="s">
        <v>414</v>
      </c>
      <c r="C761" t="s">
        <v>3527</v>
      </c>
      <c r="D761" t="s">
        <v>3528</v>
      </c>
      <c r="E761" t="s">
        <v>68</v>
      </c>
      <c r="F761" t="s">
        <v>122</v>
      </c>
      <c r="G761" t="s">
        <v>69</v>
      </c>
      <c r="H761" t="s">
        <v>236</v>
      </c>
      <c r="I761" t="s">
        <v>237</v>
      </c>
      <c r="J761" t="s">
        <v>52</v>
      </c>
      <c r="K761" t="s">
        <v>53</v>
      </c>
      <c r="L761" t="s">
        <v>3529</v>
      </c>
      <c r="M761" t="s">
        <v>40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41</v>
      </c>
      <c r="U761" t="s">
        <v>42</v>
      </c>
      <c r="V761">
        <f t="shared" si="66"/>
        <v>14947.5375</v>
      </c>
      <c r="W761">
        <f t="shared" si="67"/>
        <v>5509.0800000000017</v>
      </c>
      <c r="X761">
        <f t="shared" si="68"/>
        <v>0.36856098060282827</v>
      </c>
      <c r="Y761" t="str">
        <f>_xlfn.TEXTJOIN(", ",TRUE,IF(G761="Unknown","Missing Region",""),IF(M761="Unknown","Missing Ship Mode",""),IF(P761&lt;0,"Negative Discount",""),IF(P761&gt;0.7,"High Discount",""),IF(C761&lt;B761,"Ship Before Order",""))</f>
        <v/>
      </c>
      <c r="Z761" s="2">
        <f>IFERROR(
  IF(ISNUMBER(B761),B761,
    IF(ISNUMBER(SEARCH("-",B761)*1),
      IF(LEN(LEFT(B761,FIND("-",B761)-1))=4,
        DATE(VALUE(LEFT(B761,4)),VALUE(MID(B761,6,2)),VALUE(RIGHT(B761,2))),
        DATE(VALUE(RIGHT(B761,4)),VALUE(MID(B761,4,2)),VALUE(LEFT(B761,2)))
      ),
      IF(ISNUMBER(SEARCH("/",B761)*1),
        DATE(VALUE(RIGHT(B761,4)),VALUE(LEFT(B761,2)),VALUE(MID(B761,4,2))),
        DATEVALUE(B761)
      )
    )
  ),
"INVALID_DATE")</f>
        <v>45492</v>
      </c>
      <c r="AA761" s="2">
        <f>IFERROR(
  IF(ISNUMBER(C761),C761,
    IF(ISNUMBER(SEARCH("-",C761)*1),
      IF(LEN(LEFT(C761,FIND("-",C761)-1))=4,
        DATE(VALUE(LEFT(C761,4)),VALUE(MID(C761,6,2)),VALUE(RIGHT(C761,2))),
        DATE(VALUE(RIGHT(C761,4)),VALUE(MID(C761,4,2)),VALUE(LEFT(C761,2)))
      ),
      IF(ISNUMBER(SEARCH("/",C761)*1),
        DATE(VALUE(RIGHT(C761,4)),VALUE(LEFT(C761,2)),VALUE(MID(C761,4,2))),
        DATEVALUE(C761)
      )
    )
  ),
"INVALID_DATE")</f>
        <v>45499</v>
      </c>
      <c r="AB761">
        <f t="shared" si="69"/>
        <v>7</v>
      </c>
      <c r="AC761" t="str">
        <f t="shared" si="70"/>
        <v>July</v>
      </c>
      <c r="AD761">
        <f t="shared" si="71"/>
        <v>2024</v>
      </c>
    </row>
    <row r="762" spans="1:30">
      <c r="A762" t="s">
        <v>3530</v>
      </c>
      <c r="B762" t="s">
        <v>3531</v>
      </c>
      <c r="C762" t="s">
        <v>1203</v>
      </c>
      <c r="D762" t="s">
        <v>3532</v>
      </c>
      <c r="E762" t="s">
        <v>114</v>
      </c>
      <c r="F762" t="s">
        <v>122</v>
      </c>
      <c r="G762" t="s">
        <v>49</v>
      </c>
      <c r="H762" t="s">
        <v>223</v>
      </c>
      <c r="I762" t="s">
        <v>224</v>
      </c>
      <c r="J762" t="s">
        <v>37</v>
      </c>
      <c r="K762" t="s">
        <v>61</v>
      </c>
      <c r="L762" t="s">
        <v>3533</v>
      </c>
      <c r="M762" t="s">
        <v>40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144</v>
      </c>
      <c r="U762" t="s">
        <v>132</v>
      </c>
      <c r="V762">
        <f t="shared" si="66"/>
        <v>13462.12</v>
      </c>
      <c r="W762">
        <f t="shared" si="67"/>
        <v>5861.4900000000007</v>
      </c>
      <c r="X762">
        <f t="shared" si="68"/>
        <v>0.43540616188237807</v>
      </c>
      <c r="Y762" t="str">
        <f>_xlfn.TEXTJOIN(", ",TRUE,IF(G762="Unknown","Missing Region",""),IF(M762="Unknown","Missing Ship Mode",""),IF(P762&lt;0,"Negative Discount",""),IF(P762&gt;0.7,"High Discount",""),IF(C762&lt;B762,"Ship Before Order",""))</f>
        <v>Ship Before Order</v>
      </c>
      <c r="Z762" s="2">
        <f>IFERROR(
  IF(ISNUMBER(B762),B762,
    IF(ISNUMBER(SEARCH("-",B762)*1),
      IF(LEN(LEFT(B762,FIND("-",B762)-1))=4,
        DATE(VALUE(LEFT(B762,4)),VALUE(MID(B762,6,2)),VALUE(RIGHT(B762,2))),
        DATE(VALUE(RIGHT(B762,4)),VALUE(MID(B762,4,2)),VALUE(LEFT(B762,2)))
      ),
      IF(ISNUMBER(SEARCH("/",B762)*1),
        DATE(VALUE(RIGHT(B762,4)),VALUE(LEFT(B762,2)),VALUE(MID(B762,4,2))),
        DATEVALUE(B762)
      )
    )
  ),
"INVALID_DATE")</f>
        <v>45532</v>
      </c>
      <c r="AA762" s="2">
        <f>IFERROR(
  IF(ISNUMBER(C762),C762,
    IF(ISNUMBER(SEARCH("-",C762)*1),
      IF(LEN(LEFT(C762,FIND("-",C762)-1))=4,
        DATE(VALUE(LEFT(C762,4)),VALUE(MID(C762,6,2)),VALUE(RIGHT(C762,2))),
        DATE(VALUE(RIGHT(C762,4)),VALUE(MID(C762,4,2)),VALUE(LEFT(C762,2)))
      ),
      IF(ISNUMBER(SEARCH("/",C762)*1),
        DATE(VALUE(RIGHT(C762,4)),VALUE(LEFT(C762,2)),VALUE(MID(C762,4,2))),
        DATEVALUE(C762)
      )
    )
  ),
"INVALID_DATE")</f>
        <v>45537</v>
      </c>
      <c r="AB762">
        <f t="shared" si="69"/>
        <v>5</v>
      </c>
      <c r="AC762" t="str">
        <f t="shared" si="70"/>
        <v>August</v>
      </c>
      <c r="AD762">
        <f t="shared" si="71"/>
        <v>2024</v>
      </c>
    </row>
    <row r="763" spans="1:30">
      <c r="A763" t="s">
        <v>3534</v>
      </c>
      <c r="B763" t="s">
        <v>463</v>
      </c>
      <c r="C763" t="s">
        <v>3535</v>
      </c>
      <c r="D763" t="s">
        <v>3536</v>
      </c>
      <c r="E763" t="s">
        <v>60</v>
      </c>
      <c r="F763" t="s">
        <v>33</v>
      </c>
      <c r="G763" t="s">
        <v>69</v>
      </c>
      <c r="H763" t="s">
        <v>236</v>
      </c>
      <c r="I763" t="s">
        <v>237</v>
      </c>
      <c r="J763" t="s">
        <v>93</v>
      </c>
      <c r="K763" t="s">
        <v>390</v>
      </c>
      <c r="L763" t="s">
        <v>3537</v>
      </c>
      <c r="M763" t="s">
        <v>63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41</v>
      </c>
      <c r="U763" t="s">
        <v>42</v>
      </c>
      <c r="V763">
        <f t="shared" si="66"/>
        <v>7467.36</v>
      </c>
      <c r="W763">
        <f t="shared" si="67"/>
        <v>2456.75</v>
      </c>
      <c r="X763">
        <f t="shared" si="68"/>
        <v>0.32899846799940008</v>
      </c>
      <c r="Y763" t="str">
        <f>_xlfn.TEXTJOIN(", ",TRUE,IF(G763="Unknown","Missing Region",""),IF(M763="Unknown","Missing Ship Mode",""),IF(P763&lt;0,"Negative Discount",""),IF(P763&gt;0.7,"High Discount",""),IF(C763&lt;B763,"Ship Before Order",""))</f>
        <v>Ship Before Order</v>
      </c>
      <c r="Z763" s="2">
        <f>IFERROR(
  IF(ISNUMBER(B763),B763,
    IF(ISNUMBER(SEARCH("-",B763)*1),
      IF(LEN(LEFT(B763,FIND("-",B763)-1))=4,
        DATE(VALUE(LEFT(B763,4)),VALUE(MID(B763,6,2)),VALUE(RIGHT(B763,2))),
        DATE(VALUE(RIGHT(B763,4)),VALUE(MID(B763,4,2)),VALUE(LEFT(B763,2)))
      ),
      IF(ISNUMBER(SEARCH("/",B763)*1),
        DATE(VALUE(RIGHT(B763,4)),VALUE(LEFT(B763,2)),VALUE(MID(B763,4,2))),
        DATEVALUE(B763)
      )
    )
  ),
"INVALID_DATE")</f>
        <v>45896</v>
      </c>
      <c r="AA763" s="2">
        <f>IFERROR(
  IF(ISNUMBER(C763),C763,
    IF(ISNUMBER(SEARCH("-",C763)*1),
      IF(LEN(LEFT(C763,FIND("-",C763)-1))=4,
        DATE(VALUE(LEFT(C763,4)),VALUE(MID(C763,6,2)),VALUE(RIGHT(C763,2))),
        DATE(VALUE(RIGHT(C763,4)),VALUE(MID(C763,4,2)),VALUE(LEFT(C763,2)))
      ),
      IF(ISNUMBER(SEARCH("/",C763)*1),
        DATE(VALUE(RIGHT(C763,4)),VALUE(LEFT(C763,2)),VALUE(MID(C763,4,2))),
        DATEVALUE(C763)
      )
    )
  ),
"INVALID_DATE")</f>
        <v>45900</v>
      </c>
      <c r="AB763">
        <f t="shared" si="69"/>
        <v>4</v>
      </c>
      <c r="AC763" t="str">
        <f t="shared" si="70"/>
        <v>August</v>
      </c>
      <c r="AD763">
        <f t="shared" si="71"/>
        <v>2025</v>
      </c>
    </row>
    <row r="764" spans="1:30">
      <c r="A764" t="s">
        <v>3538</v>
      </c>
      <c r="B764" t="s">
        <v>3539</v>
      </c>
      <c r="C764" t="s">
        <v>3540</v>
      </c>
      <c r="D764" t="s">
        <v>3541</v>
      </c>
      <c r="E764" t="s">
        <v>217</v>
      </c>
      <c r="F764" t="s">
        <v>115</v>
      </c>
      <c r="G764" t="s">
        <v>80</v>
      </c>
      <c r="H764" t="s">
        <v>91</v>
      </c>
      <c r="I764" t="s">
        <v>92</v>
      </c>
      <c r="J764" t="s">
        <v>93</v>
      </c>
      <c r="K764" t="s">
        <v>390</v>
      </c>
      <c r="L764" t="s">
        <v>3542</v>
      </c>
      <c r="M764" t="s">
        <v>40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131</v>
      </c>
      <c r="U764" t="s">
        <v>132</v>
      </c>
      <c r="V764">
        <f t="shared" si="66"/>
        <v>5910.5920000000006</v>
      </c>
      <c r="W764">
        <f t="shared" si="67"/>
        <v>1135.1500000000005</v>
      </c>
      <c r="X764">
        <f t="shared" si="68"/>
        <v>0.19205358517508406</v>
      </c>
      <c r="Y764" t="str">
        <f>_xlfn.TEXTJOIN(", ",TRUE,IF(G764="Unknown","Missing Region",""),IF(M764="Unknown","Missing Ship Mode",""),IF(P764&lt;0,"Negative Discount",""),IF(P764&gt;0.7,"High Discount",""),IF(C764&lt;B764,"Ship Before Order",""))</f>
        <v/>
      </c>
      <c r="Z764" s="2">
        <f>IFERROR(
  IF(ISNUMBER(B764),B764,
    IF(ISNUMBER(SEARCH("-",B764)*1),
      IF(LEN(LEFT(B764,FIND("-",B764)-1))=4,
        DATE(VALUE(LEFT(B764,4)),VALUE(MID(B764,6,2)),VALUE(RIGHT(B764,2))),
        DATE(VALUE(RIGHT(B764,4)),VALUE(MID(B764,4,2)),VALUE(LEFT(B764,2)))
      ),
      IF(ISNUMBER(SEARCH("/",B764)*1),
        DATE(VALUE(RIGHT(B764,4)),VALUE(LEFT(B764,2)),VALUE(MID(B764,4,2))),
        DATEVALUE(B764)
      )
    )
  ),
"INVALID_DATE")</f>
        <v>45292</v>
      </c>
      <c r="AA764" s="2">
        <f>IFERROR(
  IF(ISNUMBER(C764),C764,
    IF(ISNUMBER(SEARCH("-",C764)*1),
      IF(LEN(LEFT(C764,FIND("-",C764)-1))=4,
        DATE(VALUE(LEFT(C764,4)),VALUE(MID(C764,6,2)),VALUE(RIGHT(C764,2))),
        DATE(VALUE(RIGHT(C764,4)),VALUE(MID(C764,4,2)),VALUE(LEFT(C764,2)))
      ),
      IF(ISNUMBER(SEARCH("/",C764)*1),
        DATE(VALUE(RIGHT(C764,4)),VALUE(LEFT(C764,2)),VALUE(MID(C764,4,2))),
        DATEVALUE(C764)
      )
    )
  ),
"INVALID_DATE")</f>
        <v>45296</v>
      </c>
      <c r="AB764">
        <f t="shared" si="69"/>
        <v>4</v>
      </c>
      <c r="AC764" t="str">
        <f t="shared" si="70"/>
        <v>January</v>
      </c>
      <c r="AD764">
        <f t="shared" si="71"/>
        <v>2024</v>
      </c>
    </row>
    <row r="765" spans="1:30">
      <c r="A765" t="s">
        <v>3543</v>
      </c>
      <c r="B765" t="s">
        <v>3544</v>
      </c>
      <c r="C765" t="s">
        <v>3545</v>
      </c>
      <c r="D765" t="s">
        <v>3546</v>
      </c>
      <c r="E765" t="s">
        <v>217</v>
      </c>
      <c r="F765" t="s">
        <v>33</v>
      </c>
      <c r="G765" t="s">
        <v>34</v>
      </c>
      <c r="H765" t="s">
        <v>35</v>
      </c>
      <c r="I765" t="s">
        <v>36</v>
      </c>
      <c r="J765" t="s">
        <v>52</v>
      </c>
      <c r="K765" t="s">
        <v>72</v>
      </c>
      <c r="L765" t="s">
        <v>3547</v>
      </c>
      <c r="M765" t="s">
        <v>55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41</v>
      </c>
      <c r="U765" t="s">
        <v>42</v>
      </c>
      <c r="V765">
        <f t="shared" si="66"/>
        <v>16454.88</v>
      </c>
      <c r="W765">
        <f t="shared" si="67"/>
        <v>4373.34</v>
      </c>
      <c r="X765">
        <f t="shared" si="68"/>
        <v>0.26577769026574488</v>
      </c>
      <c r="Y765" t="str">
        <f>_xlfn.TEXTJOIN(", ",TRUE,IF(G765="Unknown","Missing Region",""),IF(M765="Unknown","Missing Ship Mode",""),IF(P765&lt;0,"Negative Discount",""),IF(P765&gt;0.7,"High Discount",""),IF(C765&lt;B765,"Ship Before Order",""))</f>
        <v>Ship Before Order</v>
      </c>
      <c r="Z765" s="2">
        <f>IFERROR(
  IF(ISNUMBER(B765),B765,
    IF(ISNUMBER(SEARCH("-",B765)*1),
      IF(LEN(LEFT(B765,FIND("-",B765)-1))=4,
        DATE(VALUE(LEFT(B765,4)),VALUE(MID(B765,6,2)),VALUE(RIGHT(B765,2))),
        DATE(VALUE(RIGHT(B765,4)),VALUE(MID(B765,4,2)),VALUE(LEFT(B765,2)))
      ),
      IF(ISNUMBER(SEARCH("/",B765)*1),
        DATE(VALUE(RIGHT(B765,4)),VALUE(LEFT(B765,2)),VALUE(MID(B765,4,2))),
        DATEVALUE(B765)
      )
    )
  ),
"INVALID_DATE")</f>
        <v>45892</v>
      </c>
      <c r="AA765" s="2">
        <f>IFERROR(
  IF(ISNUMBER(C765),C765,
    IF(ISNUMBER(SEARCH("-",C765)*1),
      IF(LEN(LEFT(C765,FIND("-",C765)-1))=4,
        DATE(VALUE(LEFT(C765,4)),VALUE(MID(C765,6,2)),VALUE(RIGHT(C765,2))),
        DATE(VALUE(RIGHT(C765,4)),VALUE(MID(C765,4,2)),VALUE(LEFT(C765,2)))
      ),
      IF(ISNUMBER(SEARCH("/",C765)*1),
        DATE(VALUE(RIGHT(C765,4)),VALUE(LEFT(C765,2)),VALUE(MID(C765,4,2))),
        DATEVALUE(C765)
      )
    )
  ),
"INVALID_DATE")</f>
        <v>45894</v>
      </c>
      <c r="AB765">
        <f t="shared" si="69"/>
        <v>2</v>
      </c>
      <c r="AC765" t="str">
        <f t="shared" si="70"/>
        <v>August</v>
      </c>
      <c r="AD765">
        <f t="shared" si="71"/>
        <v>2025</v>
      </c>
    </row>
    <row r="766" spans="1:30">
      <c r="A766" t="s">
        <v>3548</v>
      </c>
      <c r="B766" t="s">
        <v>1870</v>
      </c>
      <c r="C766" t="s">
        <v>2921</v>
      </c>
      <c r="D766" t="s">
        <v>1362</v>
      </c>
      <c r="E766" t="s">
        <v>149</v>
      </c>
      <c r="F766" t="s">
        <v>115</v>
      </c>
      <c r="G766" t="s">
        <v>69</v>
      </c>
      <c r="H766" t="s">
        <v>249</v>
      </c>
      <c r="I766" t="s">
        <v>250</v>
      </c>
      <c r="J766" t="s">
        <v>52</v>
      </c>
      <c r="K766" t="s">
        <v>211</v>
      </c>
      <c r="L766" t="s">
        <v>3549</v>
      </c>
      <c r="M766" t="s">
        <v>63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41</v>
      </c>
      <c r="U766" t="s">
        <v>42</v>
      </c>
      <c r="V766">
        <f t="shared" si="66"/>
        <v>25159.800000000003</v>
      </c>
      <c r="W766">
        <f t="shared" si="67"/>
        <v>3552.9699999999975</v>
      </c>
      <c r="X766">
        <f t="shared" si="68"/>
        <v>0.14121614639226066</v>
      </c>
      <c r="Y766" t="str">
        <f>_xlfn.TEXTJOIN(", ",TRUE,IF(G766="Unknown","Missing Region",""),IF(M766="Unknown","Missing Ship Mode",""),IF(P766&lt;0,"Negative Discount",""),IF(P766&gt;0.7,"High Discount",""),IF(C766&lt;B766,"Ship Before Order",""))</f>
        <v>Ship Before Order</v>
      </c>
      <c r="Z766" s="2">
        <f>IFERROR(
  IF(ISNUMBER(B766),B766,
    IF(ISNUMBER(SEARCH("-",B766)*1),
      IF(LEN(LEFT(B766,FIND("-",B766)-1))=4,
        DATE(VALUE(LEFT(B766,4)),VALUE(MID(B766,6,2)),VALUE(RIGHT(B766,2))),
        DATE(VALUE(RIGHT(B766,4)),VALUE(MID(B766,4,2)),VALUE(LEFT(B766,2)))
      ),
      IF(ISNUMBER(SEARCH("/",B766)*1),
        DATE(VALUE(RIGHT(B766,4)),VALUE(LEFT(B766,2)),VALUE(MID(B766,4,2))),
        DATEVALUE(B766)
      )
    )
  ),
"INVALID_DATE")</f>
        <v>45760</v>
      </c>
      <c r="AA766" s="2">
        <f>IFERROR(
  IF(ISNUMBER(C766),C766,
    IF(ISNUMBER(SEARCH("-",C766)*1),
      IF(LEN(LEFT(C766,FIND("-",C766)-1))=4,
        DATE(VALUE(LEFT(C766,4)),VALUE(MID(C766,6,2)),VALUE(RIGHT(C766,2))),
        DATE(VALUE(RIGHT(C766,4)),VALUE(MID(C766,4,2)),VALUE(LEFT(C766,2)))
      ),
      IF(ISNUMBER(SEARCH("/",C766)*1),
        DATE(VALUE(RIGHT(C766,4)),VALUE(LEFT(C766,2)),VALUE(MID(C766,4,2))),
        DATEVALUE(C766)
      )
    )
  ),
"INVALID_DATE")</f>
        <v>45760</v>
      </c>
      <c r="AB766">
        <f t="shared" si="69"/>
        <v>0</v>
      </c>
      <c r="AC766" t="str">
        <f t="shared" si="70"/>
        <v>April</v>
      </c>
      <c r="AD766">
        <f t="shared" si="71"/>
        <v>2025</v>
      </c>
    </row>
    <row r="767" spans="1:30">
      <c r="A767" t="s">
        <v>3550</v>
      </c>
      <c r="B767" t="s">
        <v>3551</v>
      </c>
      <c r="C767" t="s">
        <v>3552</v>
      </c>
      <c r="D767" t="s">
        <v>3553</v>
      </c>
      <c r="E767" t="s">
        <v>90</v>
      </c>
      <c r="F767" t="s">
        <v>115</v>
      </c>
      <c r="G767" t="s">
        <v>49</v>
      </c>
      <c r="H767" t="s">
        <v>319</v>
      </c>
      <c r="I767" t="s">
        <v>320</v>
      </c>
      <c r="J767" t="s">
        <v>37</v>
      </c>
      <c r="K767" t="s">
        <v>116</v>
      </c>
      <c r="L767" t="s">
        <v>3554</v>
      </c>
      <c r="M767" t="s">
        <v>63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41</v>
      </c>
      <c r="U767" t="s">
        <v>42</v>
      </c>
      <c r="V767">
        <f t="shared" si="66"/>
        <v>1824.42</v>
      </c>
      <c r="W767">
        <f t="shared" si="67"/>
        <v>609.55000000000018</v>
      </c>
      <c r="X767">
        <f t="shared" si="68"/>
        <v>0.33410618169061945</v>
      </c>
      <c r="Y767" t="str">
        <f>_xlfn.TEXTJOIN(", ",TRUE,IF(G767="Unknown","Missing Region",""),IF(M767="Unknown","Missing Ship Mode",""),IF(P767&lt;0,"Negative Discount",""),IF(P767&gt;0.7,"High Discount",""),IF(C767&lt;B767,"Ship Before Order",""))</f>
        <v>Ship Before Order</v>
      </c>
      <c r="Z767" s="2">
        <f>IFERROR(
  IF(ISNUMBER(B767),B767,
    IF(ISNUMBER(SEARCH("-",B767)*1),
      IF(LEN(LEFT(B767,FIND("-",B767)-1))=4,
        DATE(VALUE(LEFT(B767,4)),VALUE(MID(B767,6,2)),VALUE(RIGHT(B767,2))),
        DATE(VALUE(RIGHT(B767,4)),VALUE(MID(B767,4,2)),VALUE(LEFT(B767,2)))
      ),
      IF(ISNUMBER(SEARCH("/",B767)*1),
        DATE(VALUE(RIGHT(B767,4)),VALUE(LEFT(B767,2)),VALUE(MID(B767,4,2))),
        DATEVALUE(B767)
      )
    )
  ),
"INVALID_DATE")</f>
        <v>45837</v>
      </c>
      <c r="AA767" s="2">
        <f>IFERROR(
  IF(ISNUMBER(C767),C767,
    IF(ISNUMBER(SEARCH("-",C767)*1),
      IF(LEN(LEFT(C767,FIND("-",C767)-1))=4,
        DATE(VALUE(LEFT(C767,4)),VALUE(MID(C767,6,2)),VALUE(RIGHT(C767,2))),
        DATE(VALUE(RIGHT(C767,4)),VALUE(MID(C767,4,2)),VALUE(LEFT(C767,2)))
      ),
      IF(ISNUMBER(SEARCH("/",C767)*1),
        DATE(VALUE(RIGHT(C767,4)),VALUE(LEFT(C767,2)),VALUE(MID(C767,4,2))),
        DATEVALUE(C767)
      )
    )
  ),
"INVALID_DATE")</f>
        <v>45841</v>
      </c>
      <c r="AB767">
        <f t="shared" si="69"/>
        <v>4</v>
      </c>
      <c r="AC767" t="str">
        <f t="shared" si="70"/>
        <v>June</v>
      </c>
      <c r="AD767">
        <f t="shared" si="71"/>
        <v>2025</v>
      </c>
    </row>
    <row r="768" spans="1:30">
      <c r="A768" t="s">
        <v>3555</v>
      </c>
      <c r="B768" t="s">
        <v>3556</v>
      </c>
      <c r="C768" t="s">
        <v>2017</v>
      </c>
      <c r="D768" t="s">
        <v>3557</v>
      </c>
      <c r="E768" t="s">
        <v>47</v>
      </c>
      <c r="F768" t="s">
        <v>115</v>
      </c>
      <c r="G768" t="s">
        <v>80</v>
      </c>
      <c r="H768" t="s">
        <v>242</v>
      </c>
      <c r="I768" t="s">
        <v>243</v>
      </c>
      <c r="J768" t="s">
        <v>37</v>
      </c>
      <c r="K768" t="s">
        <v>61</v>
      </c>
      <c r="L768" t="s">
        <v>3558</v>
      </c>
      <c r="M768" t="s">
        <v>40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41</v>
      </c>
      <c r="U768" t="s">
        <v>85</v>
      </c>
      <c r="V768">
        <f t="shared" si="66"/>
        <v>16617.312000000002</v>
      </c>
      <c r="W768">
        <f t="shared" si="67"/>
        <v>7421.5800000000017</v>
      </c>
      <c r="X768">
        <f t="shared" si="68"/>
        <v>0.44661741280628448</v>
      </c>
      <c r="Y768" t="str">
        <f>_xlfn.TEXTJOIN(", ",TRUE,IF(G768="Unknown","Missing Region",""),IF(M768="Unknown","Missing Ship Mode",""),IF(P768&lt;0,"Negative Discount",""),IF(P768&gt;0.7,"High Discount",""),IF(C768&lt;B768,"Ship Before Order",""))</f>
        <v/>
      </c>
      <c r="Z768" s="2">
        <f>IFERROR(
  IF(ISNUMBER(B768),B768,
    IF(ISNUMBER(SEARCH("-",B768)*1),
      IF(LEN(LEFT(B768,FIND("-",B768)-1))=4,
        DATE(VALUE(LEFT(B768,4)),VALUE(MID(B768,6,2)),VALUE(RIGHT(B768,2))),
        DATE(VALUE(RIGHT(B768,4)),VALUE(MID(B768,4,2)),VALUE(LEFT(B768,2)))
      ),
      IF(ISNUMBER(SEARCH("/",B768)*1),
        DATE(VALUE(RIGHT(B768,4)),VALUE(LEFT(B768,2)),VALUE(MID(B768,4,2))),
        DATEVALUE(B768)
      )
    )
  ),
"INVALID_DATE")</f>
        <v>45552</v>
      </c>
      <c r="AA768" s="2">
        <f>IFERROR(
  IF(ISNUMBER(C768),C768,
    IF(ISNUMBER(SEARCH("-",C768)*1),
      IF(LEN(LEFT(C768,FIND("-",C768)-1))=4,
        DATE(VALUE(LEFT(C768,4)),VALUE(MID(C768,6,2)),VALUE(RIGHT(C768,2))),
        DATE(VALUE(RIGHT(C768,4)),VALUE(MID(C768,4,2)),VALUE(LEFT(C768,2)))
      ),
      IF(ISNUMBER(SEARCH("/",C768)*1),
        DATE(VALUE(RIGHT(C768,4)),VALUE(LEFT(C768,2)),VALUE(MID(C768,4,2))),
        DATEVALUE(C768)
      )
    )
  ),
"INVALID_DATE")</f>
        <v>45559</v>
      </c>
      <c r="AB768">
        <f t="shared" si="69"/>
        <v>7</v>
      </c>
      <c r="AC768" t="str">
        <f t="shared" si="70"/>
        <v>September</v>
      </c>
      <c r="AD768">
        <f t="shared" si="71"/>
        <v>2024</v>
      </c>
    </row>
    <row r="769" spans="1:30">
      <c r="A769" t="s">
        <v>3559</v>
      </c>
      <c r="B769" t="s">
        <v>3560</v>
      </c>
      <c r="C769" t="s">
        <v>2716</v>
      </c>
      <c r="D769" t="s">
        <v>3561</v>
      </c>
      <c r="E769" t="s">
        <v>79</v>
      </c>
      <c r="F769" t="s">
        <v>122</v>
      </c>
      <c r="G769" t="s">
        <v>34</v>
      </c>
      <c r="H769" t="s">
        <v>181</v>
      </c>
      <c r="I769" t="s">
        <v>182</v>
      </c>
      <c r="J769" t="s">
        <v>926</v>
      </c>
      <c r="K769" t="s">
        <v>205</v>
      </c>
      <c r="L769" t="s">
        <v>3562</v>
      </c>
      <c r="M769" t="s">
        <v>74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41</v>
      </c>
      <c r="U769" t="s">
        <v>42</v>
      </c>
      <c r="V769">
        <f t="shared" si="66"/>
        <v>933.43499999999995</v>
      </c>
      <c r="W769">
        <f t="shared" si="67"/>
        <v>350.33999999999992</v>
      </c>
      <c r="X769">
        <f t="shared" si="68"/>
        <v>0.37532541272511061</v>
      </c>
      <c r="Y769" t="str">
        <f>_xlfn.TEXTJOIN(", ",TRUE,IF(G769="Unknown","Missing Region",""),IF(M769="Unknown","Missing Ship Mode",""),IF(P769&lt;0,"Negative Discount",""),IF(P769&gt;0.7,"High Discount",""),IF(C769&lt;B769,"Ship Before Order",""))</f>
        <v/>
      </c>
      <c r="Z769" s="2">
        <f>IFERROR(
  IF(ISNUMBER(B769),B769,
    IF(ISNUMBER(SEARCH("-",B769)*1),
      IF(LEN(LEFT(B769,FIND("-",B769)-1))=4,
        DATE(VALUE(LEFT(B769,4)),VALUE(MID(B769,6,2)),VALUE(RIGHT(B769,2))),
        DATE(VALUE(RIGHT(B769,4)),VALUE(MID(B769,4,2)),VALUE(LEFT(B769,2)))
      ),
      IF(ISNUMBER(SEARCH("/",B769)*1),
        DATE(VALUE(RIGHT(B769,4)),VALUE(LEFT(B769,2)),VALUE(MID(B769,4,2))),
        DATEVALUE(B769)
      )
    )
  ),
"INVALID_DATE")</f>
        <v>45415</v>
      </c>
      <c r="AA769" s="2">
        <f>IFERROR(
  IF(ISNUMBER(C769),C769,
    IF(ISNUMBER(SEARCH("-",C769)*1),
      IF(LEN(LEFT(C769,FIND("-",C769)-1))=4,
        DATE(VALUE(LEFT(C769,4)),VALUE(MID(C769,6,2)),VALUE(RIGHT(C769,2))),
        DATE(VALUE(RIGHT(C769,4)),VALUE(MID(C769,4,2)),VALUE(LEFT(C769,2)))
      ),
      IF(ISNUMBER(SEARCH("/",C769)*1),
        DATE(VALUE(RIGHT(C769,4)),VALUE(LEFT(C769,2)),VALUE(MID(C769,4,2))),
        DATEVALUE(C769)
      )
    )
  ),
"INVALID_DATE")</f>
        <v>45418</v>
      </c>
      <c r="AB769">
        <f t="shared" si="69"/>
        <v>3</v>
      </c>
      <c r="AC769" t="str">
        <f t="shared" si="70"/>
        <v>May</v>
      </c>
      <c r="AD769">
        <f t="shared" si="71"/>
        <v>2024</v>
      </c>
    </row>
    <row r="770" spans="1:30">
      <c r="A770" t="s">
        <v>3563</v>
      </c>
      <c r="B770" t="s">
        <v>1820</v>
      </c>
      <c r="C770" t="s">
        <v>3564</v>
      </c>
      <c r="D770" t="s">
        <v>3565</v>
      </c>
      <c r="E770" t="s">
        <v>175</v>
      </c>
      <c r="F770" t="s">
        <v>122</v>
      </c>
      <c r="G770" t="s">
        <v>49</v>
      </c>
      <c r="H770" t="s">
        <v>319</v>
      </c>
      <c r="I770" t="s">
        <v>320</v>
      </c>
      <c r="J770" t="s">
        <v>37</v>
      </c>
      <c r="K770" t="s">
        <v>38</v>
      </c>
      <c r="L770" t="s">
        <v>3566</v>
      </c>
      <c r="M770" t="s">
        <v>55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41</v>
      </c>
      <c r="U770" t="s">
        <v>42</v>
      </c>
      <c r="V770">
        <f t="shared" ref="V770:V833" si="72">O770*(1-P770)*N770</f>
        <v>14554.079999999998</v>
      </c>
      <c r="W770">
        <f t="shared" ref="W770:W833" si="73">Q770-R770</f>
        <v>3387.24</v>
      </c>
      <c r="X770">
        <f t="shared" ref="X770:X833" si="74">IF(Q770=0,"",S770/Q770)</f>
        <v>0.23273473830018798</v>
      </c>
      <c r="Y770" t="str">
        <f>_xlfn.TEXTJOIN(", ",TRUE,IF(G770="Unknown","Missing Region",""),IF(M770="Unknown","Missing Ship Mode",""),IF(P770&lt;0,"Negative Discount",""),IF(P770&gt;0.7,"High Discount",""),IF(C770&lt;B770,"Ship Before Order",""))</f>
        <v/>
      </c>
      <c r="Z770" s="2">
        <f>IFERROR(
  IF(ISNUMBER(B770),B770,
    IF(ISNUMBER(SEARCH("-",B770)*1),
      IF(LEN(LEFT(B770,FIND("-",B770)-1))=4,
        DATE(VALUE(LEFT(B770,4)),VALUE(MID(B770,6,2)),VALUE(RIGHT(B770,2))),
        DATE(VALUE(RIGHT(B770,4)),VALUE(MID(B770,4,2)),VALUE(LEFT(B770,2)))
      ),
      IF(ISNUMBER(SEARCH("/",B770)*1),
        DATE(VALUE(RIGHT(B770,4)),VALUE(LEFT(B770,2)),VALUE(MID(B770,4,2))),
        DATEVALUE(B770)
      )
    )
  ),
"INVALID_DATE")</f>
        <v>45749</v>
      </c>
      <c r="AA770" s="2">
        <f>IFERROR(
  IF(ISNUMBER(C770),C770,
    IF(ISNUMBER(SEARCH("-",C770)*1),
      IF(LEN(LEFT(C770,FIND("-",C770)-1))=4,
        DATE(VALUE(LEFT(C770,4)),VALUE(MID(C770,6,2)),VALUE(RIGHT(C770,2))),
        DATE(VALUE(RIGHT(C770,4)),VALUE(MID(C770,4,2)),VALUE(LEFT(C770,2)))
      ),
      IF(ISNUMBER(SEARCH("/",C770)*1),
        DATE(VALUE(RIGHT(C770,4)),VALUE(LEFT(C770,2)),VALUE(MID(C770,4,2))),
        DATEVALUE(C770)
      )
    )
  ),
"INVALID_DATE")</f>
        <v>45751</v>
      </c>
      <c r="AB770">
        <f t="shared" si="69"/>
        <v>2</v>
      </c>
      <c r="AC770" t="str">
        <f t="shared" si="70"/>
        <v>April</v>
      </c>
      <c r="AD770">
        <f t="shared" si="71"/>
        <v>2025</v>
      </c>
    </row>
    <row r="771" spans="1:30">
      <c r="A771" t="s">
        <v>3567</v>
      </c>
      <c r="B771" t="s">
        <v>3568</v>
      </c>
      <c r="C771" t="s">
        <v>2026</v>
      </c>
      <c r="D771" t="s">
        <v>3569</v>
      </c>
      <c r="E771" t="s">
        <v>149</v>
      </c>
      <c r="F771" t="s">
        <v>122</v>
      </c>
      <c r="G771" t="s">
        <v>80</v>
      </c>
      <c r="H771" t="s">
        <v>256</v>
      </c>
      <c r="I771" t="s">
        <v>257</v>
      </c>
      <c r="J771" t="s">
        <v>52</v>
      </c>
      <c r="K771" t="s">
        <v>211</v>
      </c>
      <c r="L771" t="s">
        <v>3570</v>
      </c>
      <c r="M771" t="s">
        <v>55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41</v>
      </c>
      <c r="U771" t="s">
        <v>42</v>
      </c>
      <c r="V771">
        <f t="shared" si="72"/>
        <v>8128.6875</v>
      </c>
      <c r="W771">
        <f t="shared" si="73"/>
        <v>3057.0299999999997</v>
      </c>
      <c r="X771">
        <f t="shared" si="74"/>
        <v>0.37607904840755402</v>
      </c>
      <c r="Y771" t="str">
        <f>_xlfn.TEXTJOIN(", ",TRUE,IF(G771="Unknown","Missing Region",""),IF(M771="Unknown","Missing Ship Mode",""),IF(P771&lt;0,"Negative Discount",""),IF(P771&gt;0.7,"High Discount",""),IF(C771&lt;B771,"Ship Before Order",""))</f>
        <v/>
      </c>
      <c r="Z771" s="2">
        <f>IFERROR(
  IF(ISNUMBER(B771),B771,
    IF(ISNUMBER(SEARCH("-",B771)*1),
      IF(LEN(LEFT(B771,FIND("-",B771)-1))=4,
        DATE(VALUE(LEFT(B771,4)),VALUE(MID(B771,6,2)),VALUE(RIGHT(B771,2))),
        DATE(VALUE(RIGHT(B771,4)),VALUE(MID(B771,4,2)),VALUE(LEFT(B771,2)))
      ),
      IF(ISNUMBER(SEARCH("/",B771)*1),
        DATE(VALUE(RIGHT(B771,4)),VALUE(LEFT(B771,2)),VALUE(MID(B771,4,2))),
        DATEVALUE(B771)
      )
    )
  ),
"INVALID_DATE")</f>
        <v>45423</v>
      </c>
      <c r="AA771" s="2">
        <f>IFERROR(
  IF(ISNUMBER(C771),C771,
    IF(ISNUMBER(SEARCH("-",C771)*1),
      IF(LEN(LEFT(C771,FIND("-",C771)-1))=4,
        DATE(VALUE(LEFT(C771,4)),VALUE(MID(C771,6,2)),VALUE(RIGHT(C771,2))),
        DATE(VALUE(RIGHT(C771,4)),VALUE(MID(C771,4,2)),VALUE(LEFT(C771,2)))
      ),
      IF(ISNUMBER(SEARCH("/",C771)*1),
        DATE(VALUE(RIGHT(C771,4)),VALUE(LEFT(C771,2)),VALUE(MID(C771,4,2))),
        DATEVALUE(C771)
      )
    )
  ),
"INVALID_DATE")</f>
        <v>45425</v>
      </c>
      <c r="AB771">
        <f t="shared" ref="AB771:AB834" si="75">AA771-Z771</f>
        <v>2</v>
      </c>
      <c r="AC771" t="str">
        <f t="shared" ref="AC771:AC834" si="76">TEXT(Z771,"mmmm")</f>
        <v>May</v>
      </c>
      <c r="AD771">
        <f t="shared" ref="AD771:AD834" si="77">YEAR(Z771)</f>
        <v>2024</v>
      </c>
    </row>
    <row r="772" spans="1:30">
      <c r="A772" t="s">
        <v>3571</v>
      </c>
      <c r="B772" t="s">
        <v>2315</v>
      </c>
      <c r="C772" t="s">
        <v>2770</v>
      </c>
      <c r="D772" t="s">
        <v>3572</v>
      </c>
      <c r="E772" t="s">
        <v>100</v>
      </c>
      <c r="F772" t="s">
        <v>33</v>
      </c>
      <c r="G772" t="s">
        <v>34</v>
      </c>
      <c r="H772" t="s">
        <v>181</v>
      </c>
      <c r="I772" t="s">
        <v>182</v>
      </c>
      <c r="J772" t="s">
        <v>93</v>
      </c>
      <c r="K772" t="s">
        <v>101</v>
      </c>
      <c r="L772" t="s">
        <v>3573</v>
      </c>
      <c r="M772" t="s">
        <v>63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41</v>
      </c>
      <c r="U772" t="s">
        <v>42</v>
      </c>
      <c r="V772">
        <f t="shared" si="72"/>
        <v>3452</v>
      </c>
      <c r="W772">
        <f t="shared" si="73"/>
        <v>730.18000000000029</v>
      </c>
      <c r="X772">
        <f t="shared" si="74"/>
        <v>0.23502639371700781</v>
      </c>
      <c r="Y772" t="str">
        <f>_xlfn.TEXTJOIN(", ",TRUE,IF(G772="Unknown","Missing Region",""),IF(M772="Unknown","Missing Ship Mode",""),IF(P772&lt;0,"Negative Discount",""),IF(P772&gt;0.7,"High Discount",""),IF(C772&lt;B772,"Ship Before Order",""))</f>
        <v/>
      </c>
      <c r="Z772" s="2">
        <f>IFERROR(
  IF(ISNUMBER(B772),B772,
    IF(ISNUMBER(SEARCH("-",B772)*1),
      IF(LEN(LEFT(B772,FIND("-",B772)-1))=4,
        DATE(VALUE(LEFT(B772,4)),VALUE(MID(B772,6,2)),VALUE(RIGHT(B772,2))),
        DATE(VALUE(RIGHT(B772,4)),VALUE(MID(B772,4,2)),VALUE(LEFT(B772,2)))
      ),
      IF(ISNUMBER(SEARCH("/",B772)*1),
        DATE(VALUE(RIGHT(B772,4)),VALUE(LEFT(B772,2)),VALUE(MID(B772,4,2))),
        DATEVALUE(B772)
      )
    )
  ),
"INVALID_DATE")</f>
        <v>45337</v>
      </c>
      <c r="AA772" s="2">
        <f>IFERROR(
  IF(ISNUMBER(C772),C772,
    IF(ISNUMBER(SEARCH("-",C772)*1),
      IF(LEN(LEFT(C772,FIND("-",C772)-1))=4,
        DATE(VALUE(LEFT(C772,4)),VALUE(MID(C772,6,2)),VALUE(RIGHT(C772,2))),
        DATE(VALUE(RIGHT(C772,4)),VALUE(MID(C772,4,2)),VALUE(LEFT(C772,2)))
      ),
      IF(ISNUMBER(SEARCH("/",C772)*1),
        DATE(VALUE(RIGHT(C772,4)),VALUE(LEFT(C772,2)),VALUE(MID(C772,4,2))),
        DATEVALUE(C772)
      )
    )
  ),
"INVALID_DATE")</f>
        <v>45339</v>
      </c>
      <c r="AB772">
        <f t="shared" si="75"/>
        <v>2</v>
      </c>
      <c r="AC772" t="str">
        <f t="shared" si="76"/>
        <v>February</v>
      </c>
      <c r="AD772">
        <f t="shared" si="77"/>
        <v>2024</v>
      </c>
    </row>
    <row r="773" spans="1:30">
      <c r="A773" t="s">
        <v>3574</v>
      </c>
      <c r="B773" t="s">
        <v>3575</v>
      </c>
      <c r="C773" t="s">
        <v>2631</v>
      </c>
      <c r="D773" t="s">
        <v>699</v>
      </c>
      <c r="E773" t="s">
        <v>79</v>
      </c>
      <c r="F773" t="s">
        <v>33</v>
      </c>
      <c r="G773" t="s">
        <v>34</v>
      </c>
      <c r="H773" t="s">
        <v>331</v>
      </c>
      <c r="I773" t="s">
        <v>332</v>
      </c>
      <c r="J773" t="s">
        <v>93</v>
      </c>
      <c r="K773" t="s">
        <v>390</v>
      </c>
      <c r="L773" t="s">
        <v>3576</v>
      </c>
      <c r="M773" t="s">
        <v>40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41</v>
      </c>
      <c r="U773" t="s">
        <v>42</v>
      </c>
      <c r="V773">
        <f t="shared" si="72"/>
        <v>8525.64</v>
      </c>
      <c r="W773">
        <f t="shared" si="73"/>
        <v>2873.5399999999995</v>
      </c>
      <c r="X773">
        <f t="shared" si="74"/>
        <v>0.44939578338595892</v>
      </c>
      <c r="Y773" t="str">
        <f>_xlfn.TEXTJOIN(", ",TRUE,IF(G773="Unknown","Missing Region",""),IF(M773="Unknown","Missing Ship Mode",""),IF(P773&lt;0,"Negative Discount",""),IF(P773&gt;0.7,"High Discount",""),IF(C773&lt;B773,"Ship Before Order",""))</f>
        <v/>
      </c>
      <c r="Z773" s="2">
        <f>IFERROR(
  IF(ISNUMBER(B773),B773,
    IF(ISNUMBER(SEARCH("-",B773)*1),
      IF(LEN(LEFT(B773,FIND("-",B773)-1))=4,
        DATE(VALUE(LEFT(B773,4)),VALUE(MID(B773,6,2)),VALUE(RIGHT(B773,2))),
        DATE(VALUE(RIGHT(B773,4)),VALUE(MID(B773,4,2)),VALUE(LEFT(B773,2)))
      ),
      IF(ISNUMBER(SEARCH("/",B773)*1),
        DATE(VALUE(RIGHT(B773,4)),VALUE(LEFT(B773,2)),VALUE(MID(B773,4,2))),
        DATEVALUE(B773)
      )
    )
  ),
"INVALID_DATE")</f>
        <v>45485</v>
      </c>
      <c r="AA773" s="2">
        <f>IFERROR(
  IF(ISNUMBER(C773),C773,
    IF(ISNUMBER(SEARCH("-",C773)*1),
      IF(LEN(LEFT(C773,FIND("-",C773)-1))=4,
        DATE(VALUE(LEFT(C773,4)),VALUE(MID(C773,6,2)),VALUE(RIGHT(C773,2))),
        DATE(VALUE(RIGHT(C773,4)),VALUE(MID(C773,4,2)),VALUE(LEFT(C773,2)))
      ),
      IF(ISNUMBER(SEARCH("/",C773)*1),
        DATE(VALUE(RIGHT(C773,4)),VALUE(LEFT(C773,2)),VALUE(MID(C773,4,2))),
        DATEVALUE(C773)
      )
    )
  ),
"INVALID_DATE")</f>
        <v>45487</v>
      </c>
      <c r="AB773">
        <f t="shared" si="75"/>
        <v>2</v>
      </c>
      <c r="AC773" t="str">
        <f t="shared" si="76"/>
        <v>July</v>
      </c>
      <c r="AD773">
        <f t="shared" si="77"/>
        <v>2024</v>
      </c>
    </row>
    <row r="774" spans="1:30">
      <c r="A774" t="s">
        <v>3577</v>
      </c>
      <c r="B774" t="s">
        <v>178</v>
      </c>
      <c r="C774" t="s">
        <v>1579</v>
      </c>
      <c r="D774" t="s">
        <v>3578</v>
      </c>
      <c r="E774" t="s">
        <v>217</v>
      </c>
      <c r="F774" t="s">
        <v>33</v>
      </c>
      <c r="G774" t="s">
        <v>69</v>
      </c>
      <c r="H774" t="s">
        <v>347</v>
      </c>
      <c r="I774" t="s">
        <v>348</v>
      </c>
      <c r="J774" t="s">
        <v>52</v>
      </c>
      <c r="K774" t="s">
        <v>83</v>
      </c>
      <c r="L774" t="s">
        <v>3579</v>
      </c>
      <c r="M774" t="s">
        <v>55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144</v>
      </c>
      <c r="U774" t="s">
        <v>85</v>
      </c>
      <c r="V774">
        <f t="shared" si="72"/>
        <v>3708.0589999999997</v>
      </c>
      <c r="W774">
        <f t="shared" si="73"/>
        <v>947.77</v>
      </c>
      <c r="X774">
        <f t="shared" si="74"/>
        <v>0.25559726649514841</v>
      </c>
      <c r="Y774" t="str">
        <f>_xlfn.TEXTJOIN(", ",TRUE,IF(G774="Unknown","Missing Region",""),IF(M774="Unknown","Missing Ship Mode",""),IF(P774&lt;0,"Negative Discount",""),IF(P774&gt;0.7,"High Discount",""),IF(C774&lt;B774,"Ship Before Order",""))</f>
        <v/>
      </c>
      <c r="Z774" s="2">
        <f>IFERROR(
  IF(ISNUMBER(B774),B774,
    IF(ISNUMBER(SEARCH("-",B774)*1),
      IF(LEN(LEFT(B774,FIND("-",B774)-1))=4,
        DATE(VALUE(LEFT(B774,4)),VALUE(MID(B774,6,2)),VALUE(RIGHT(B774,2))),
        DATE(VALUE(RIGHT(B774,4)),VALUE(MID(B774,4,2)),VALUE(LEFT(B774,2)))
      ),
      IF(ISNUMBER(SEARCH("/",B774)*1),
        DATE(VALUE(RIGHT(B774,4)),VALUE(LEFT(B774,2)),VALUE(MID(B774,4,2))),
        DATEVALUE(B774)
      )
    )
  ),
"INVALID_DATE")</f>
        <v>45853</v>
      </c>
      <c r="AA774" s="2">
        <f>IFERROR(
  IF(ISNUMBER(C774),C774,
    IF(ISNUMBER(SEARCH("-",C774)*1),
      IF(LEN(LEFT(C774,FIND("-",C774)-1))=4,
        DATE(VALUE(LEFT(C774,4)),VALUE(MID(C774,6,2)),VALUE(RIGHT(C774,2))),
        DATE(VALUE(RIGHT(C774,4)),VALUE(MID(C774,4,2)),VALUE(LEFT(C774,2)))
      ),
      IF(ISNUMBER(SEARCH("/",C774)*1),
        DATE(VALUE(RIGHT(C774,4)),VALUE(LEFT(C774,2)),VALUE(MID(C774,4,2))),
        DATEVALUE(C774)
      )
    )
  ),
"INVALID_DATE")</f>
        <v>45857</v>
      </c>
      <c r="AB774">
        <f t="shared" si="75"/>
        <v>4</v>
      </c>
      <c r="AC774" t="str">
        <f t="shared" si="76"/>
        <v>July</v>
      </c>
      <c r="AD774">
        <f t="shared" si="77"/>
        <v>2025</v>
      </c>
    </row>
    <row r="775" spans="1:30">
      <c r="A775" t="s">
        <v>3580</v>
      </c>
      <c r="B775" t="s">
        <v>3581</v>
      </c>
      <c r="C775" t="s">
        <v>3582</v>
      </c>
      <c r="D775" t="s">
        <v>3583</v>
      </c>
      <c r="E775" t="s">
        <v>32</v>
      </c>
      <c r="F775" t="s">
        <v>122</v>
      </c>
      <c r="G775" t="s">
        <v>80</v>
      </c>
      <c r="H775" t="s">
        <v>242</v>
      </c>
      <c r="I775" t="s">
        <v>243</v>
      </c>
      <c r="J775" t="s">
        <v>93</v>
      </c>
      <c r="K775" t="s">
        <v>230</v>
      </c>
      <c r="L775" t="s">
        <v>3584</v>
      </c>
      <c r="M775" t="s">
        <v>279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41</v>
      </c>
      <c r="U775" t="s">
        <v>42</v>
      </c>
      <c r="V775">
        <f t="shared" si="72"/>
        <v>9424.2240000000002</v>
      </c>
      <c r="W775">
        <f t="shared" si="73"/>
        <v>3245.2999999999993</v>
      </c>
      <c r="X775">
        <f t="shared" si="74"/>
        <v>0.3443574110112031</v>
      </c>
      <c r="Y775" t="str">
        <f>_xlfn.TEXTJOIN(", ",TRUE,IF(G775="Unknown","Missing Region",""),IF(M775="Unknown","Missing Ship Mode",""),IF(P775&lt;0,"Negative Discount",""),IF(P775&gt;0.7,"High Discount",""),IF(C775&lt;B775,"Ship Before Order",""))</f>
        <v>Missing Ship Mode</v>
      </c>
      <c r="Z775" s="2">
        <f>IFERROR(
  IF(ISNUMBER(B775),B775,
    IF(ISNUMBER(SEARCH("-",B775)*1),
      IF(LEN(LEFT(B775,FIND("-",B775)-1))=4,
        DATE(VALUE(LEFT(B775,4)),VALUE(MID(B775,6,2)),VALUE(RIGHT(B775,2))),
        DATE(VALUE(RIGHT(B775,4)),VALUE(MID(B775,4,2)),VALUE(LEFT(B775,2)))
      ),
      IF(ISNUMBER(SEARCH("/",B775)*1),
        DATE(VALUE(RIGHT(B775,4)),VALUE(LEFT(B775,2)),VALUE(MID(B775,4,2))),
        DATEVALUE(B775)
      )
    )
  ),
"INVALID_DATE")</f>
        <v>45709</v>
      </c>
      <c r="AA775" s="2">
        <f>IFERROR(
  IF(ISNUMBER(C775),C775,
    IF(ISNUMBER(SEARCH("-",C775)*1),
      IF(LEN(LEFT(C775,FIND("-",C775)-1))=4,
        DATE(VALUE(LEFT(C775,4)),VALUE(MID(C775,6,2)),VALUE(RIGHT(C775,2))),
        DATE(VALUE(RIGHT(C775,4)),VALUE(MID(C775,4,2)),VALUE(LEFT(C775,2)))
      ),
      IF(ISNUMBER(SEARCH("/",C775)*1),
        DATE(VALUE(RIGHT(C775,4)),VALUE(LEFT(C775,2)),VALUE(MID(C775,4,2))),
        DATEVALUE(C775)
      )
    )
  ),
"INVALID_DATE")</f>
        <v>45709</v>
      </c>
      <c r="AB775">
        <f t="shared" si="75"/>
        <v>0</v>
      </c>
      <c r="AC775" t="str">
        <f t="shared" si="76"/>
        <v>February</v>
      </c>
      <c r="AD775">
        <f t="shared" si="77"/>
        <v>2025</v>
      </c>
    </row>
    <row r="776" spans="1:30">
      <c r="A776" t="s">
        <v>3585</v>
      </c>
      <c r="B776" t="s">
        <v>3586</v>
      </c>
      <c r="C776" t="s">
        <v>1807</v>
      </c>
      <c r="D776" t="s">
        <v>3587</v>
      </c>
      <c r="E776" t="s">
        <v>374</v>
      </c>
      <c r="F776" t="s">
        <v>33</v>
      </c>
      <c r="G776" t="s">
        <v>80</v>
      </c>
      <c r="H776" t="s">
        <v>35</v>
      </c>
      <c r="I776" t="s">
        <v>142</v>
      </c>
      <c r="J776" t="s">
        <v>93</v>
      </c>
      <c r="K776" t="s">
        <v>390</v>
      </c>
      <c r="L776" t="s">
        <v>3588</v>
      </c>
      <c r="M776" t="s">
        <v>279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41</v>
      </c>
      <c r="U776" t="s">
        <v>42</v>
      </c>
      <c r="V776">
        <f t="shared" si="72"/>
        <v>7752.6</v>
      </c>
      <c r="W776">
        <f t="shared" si="73"/>
        <v>3063.3</v>
      </c>
      <c r="X776">
        <f t="shared" si="74"/>
        <v>0.39513195573098059</v>
      </c>
      <c r="Y776" t="str">
        <f>_xlfn.TEXTJOIN(", ",TRUE,IF(G776="Unknown","Missing Region",""),IF(M776="Unknown","Missing Ship Mode",""),IF(P776&lt;0,"Negative Discount",""),IF(P776&gt;0.7,"High Discount",""),IF(C776&lt;B776,"Ship Before Order",""))</f>
        <v>Missing Ship Mode</v>
      </c>
      <c r="Z776" s="2">
        <f>IFERROR(
  IF(ISNUMBER(B776),B776,
    IF(ISNUMBER(SEARCH("-",B776)*1),
      IF(LEN(LEFT(B776,FIND("-",B776)-1))=4,
        DATE(VALUE(LEFT(B776,4)),VALUE(MID(B776,6,2)),VALUE(RIGHT(B776,2))),
        DATE(VALUE(RIGHT(B776,4)),VALUE(MID(B776,4,2)),VALUE(LEFT(B776,2)))
      ),
      IF(ISNUMBER(SEARCH("/",B776)*1),
        DATE(VALUE(RIGHT(B776,4)),VALUE(LEFT(B776,2)),VALUE(MID(B776,4,2))),
        DATEVALUE(B776)
      )
    )
  ),
"INVALID_DATE")</f>
        <v>45876</v>
      </c>
      <c r="AA776" s="2">
        <f>IFERROR(
  IF(ISNUMBER(C776),C776,
    IF(ISNUMBER(SEARCH("-",C776)*1),
      IF(LEN(LEFT(C776,FIND("-",C776)-1))=4,
        DATE(VALUE(LEFT(C776,4)),VALUE(MID(C776,6,2)),VALUE(RIGHT(C776,2))),
        DATE(VALUE(RIGHT(C776,4)),VALUE(MID(C776,4,2)),VALUE(LEFT(C776,2)))
      ),
      IF(ISNUMBER(SEARCH("/",C776)*1),
        DATE(VALUE(RIGHT(C776,4)),VALUE(LEFT(C776,2)),VALUE(MID(C776,4,2))),
        DATEVALUE(C776)
      )
    )
  ),
"INVALID_DATE")</f>
        <v>45876</v>
      </c>
      <c r="AB776">
        <f t="shared" si="75"/>
        <v>0</v>
      </c>
      <c r="AC776" t="str">
        <f t="shared" si="76"/>
        <v>August</v>
      </c>
      <c r="AD776">
        <f t="shared" si="77"/>
        <v>2025</v>
      </c>
    </row>
    <row r="777" spans="1:30">
      <c r="A777" t="s">
        <v>3589</v>
      </c>
      <c r="B777" t="s">
        <v>3590</v>
      </c>
      <c r="C777" t="s">
        <v>3591</v>
      </c>
      <c r="D777" t="s">
        <v>3592</v>
      </c>
      <c r="E777" t="s">
        <v>68</v>
      </c>
      <c r="F777" t="s">
        <v>33</v>
      </c>
      <c r="G777" t="s">
        <v>34</v>
      </c>
      <c r="H777" t="s">
        <v>331</v>
      </c>
      <c r="I777" t="s">
        <v>332</v>
      </c>
      <c r="J777" t="s">
        <v>93</v>
      </c>
      <c r="K777" t="s">
        <v>94</v>
      </c>
      <c r="L777" t="s">
        <v>3593</v>
      </c>
      <c r="M777" t="s">
        <v>74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41</v>
      </c>
      <c r="U777" t="s">
        <v>42</v>
      </c>
      <c r="V777">
        <f t="shared" si="72"/>
        <v>23736.720000000001</v>
      </c>
      <c r="W777">
        <f t="shared" si="73"/>
        <v>9845.8200000000015</v>
      </c>
      <c r="X777">
        <f t="shared" si="74"/>
        <v>0.4147927767610689</v>
      </c>
      <c r="Y777" t="str">
        <f>_xlfn.TEXTJOIN(", ",TRUE,IF(G777="Unknown","Missing Region",""),IF(M777="Unknown","Missing Ship Mode",""),IF(P777&lt;0,"Negative Discount",""),IF(P777&gt;0.7,"High Discount",""),IF(C777&lt;B777,"Ship Before Order",""))</f>
        <v/>
      </c>
      <c r="Z777" s="2">
        <f>IFERROR(
  IF(ISNUMBER(B777),B777,
    IF(ISNUMBER(SEARCH("-",B777)*1),
      IF(LEN(LEFT(B777,FIND("-",B777)-1))=4,
        DATE(VALUE(LEFT(B777,4)),VALUE(MID(B777,6,2)),VALUE(RIGHT(B777,2))),
        DATE(VALUE(RIGHT(B777,4)),VALUE(MID(B777,4,2)),VALUE(LEFT(B777,2)))
      ),
      IF(ISNUMBER(SEARCH("/",B777)*1),
        DATE(VALUE(RIGHT(B777,4)),VALUE(LEFT(B777,2)),VALUE(MID(B777,4,2))),
        DATEVALUE(B777)
      )
    )
  ),
"INVALID_DATE")</f>
        <v>45396</v>
      </c>
      <c r="AA777" s="2">
        <f>IFERROR(
  IF(ISNUMBER(C777),C777,
    IF(ISNUMBER(SEARCH("-",C777)*1),
      IF(LEN(LEFT(C777,FIND("-",C777)-1))=4,
        DATE(VALUE(LEFT(C777,4)),VALUE(MID(C777,6,2)),VALUE(RIGHT(C777,2))),
        DATE(VALUE(RIGHT(C777,4)),VALUE(MID(C777,4,2)),VALUE(LEFT(C777,2)))
      ),
      IF(ISNUMBER(SEARCH("/",C777)*1),
        DATE(VALUE(RIGHT(C777,4)),VALUE(LEFT(C777,2)),VALUE(MID(C777,4,2))),
        DATEVALUE(C777)
      )
    )
  ),
"INVALID_DATE")</f>
        <v>45404</v>
      </c>
      <c r="AB777">
        <f t="shared" si="75"/>
        <v>8</v>
      </c>
      <c r="AC777" t="str">
        <f t="shared" si="76"/>
        <v>April</v>
      </c>
      <c r="AD777">
        <f t="shared" si="77"/>
        <v>2024</v>
      </c>
    </row>
    <row r="778" spans="1:30">
      <c r="A778" t="s">
        <v>3594</v>
      </c>
      <c r="B778" t="s">
        <v>3595</v>
      </c>
      <c r="C778" t="s">
        <v>2359</v>
      </c>
      <c r="D778" t="s">
        <v>3596</v>
      </c>
      <c r="E778" t="s">
        <v>114</v>
      </c>
      <c r="F778" t="s">
        <v>48</v>
      </c>
      <c r="G778" t="s">
        <v>34</v>
      </c>
      <c r="H778" t="s">
        <v>35</v>
      </c>
      <c r="I778" t="s">
        <v>36</v>
      </c>
      <c r="J778" t="s">
        <v>93</v>
      </c>
      <c r="K778" t="s">
        <v>101</v>
      </c>
      <c r="L778" t="s">
        <v>3597</v>
      </c>
      <c r="M778" t="s">
        <v>40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41</v>
      </c>
      <c r="U778" t="s">
        <v>42</v>
      </c>
      <c r="V778">
        <f t="shared" si="72"/>
        <v>26999.91</v>
      </c>
      <c r="W778">
        <f t="shared" si="73"/>
        <v>9183.93</v>
      </c>
      <c r="X778">
        <f t="shared" si="74"/>
        <v>0.34014668937785347</v>
      </c>
      <c r="Y778" t="str">
        <f>_xlfn.TEXTJOIN(", ",TRUE,IF(G778="Unknown","Missing Region",""),IF(M778="Unknown","Missing Ship Mode",""),IF(P778&lt;0,"Negative Discount",""),IF(P778&gt;0.7,"High Discount",""),IF(C778&lt;B778,"Ship Before Order",""))</f>
        <v>Ship Before Order</v>
      </c>
      <c r="Z778" s="2">
        <f>IFERROR(
  IF(ISNUMBER(B778),B778,
    IF(ISNUMBER(SEARCH("-",B778)*1),
      IF(LEN(LEFT(B778,FIND("-",B778)-1))=4,
        DATE(VALUE(LEFT(B778,4)),VALUE(MID(B778,6,2)),VALUE(RIGHT(B778,2))),
        DATE(VALUE(RIGHT(B778,4)),VALUE(MID(B778,4,2)),VALUE(LEFT(B778,2)))
      ),
      IF(ISNUMBER(SEARCH("/",B778)*1),
        DATE(VALUE(RIGHT(B778,4)),VALUE(LEFT(B778,2)),VALUE(MID(B778,4,2))),
        DATEVALUE(B778)
      )
    )
  ),
"INVALID_DATE")</f>
        <v>45816</v>
      </c>
      <c r="AA778" s="2">
        <f>IFERROR(
  IF(ISNUMBER(C778),C778,
    IF(ISNUMBER(SEARCH("-",C778)*1),
      IF(LEN(LEFT(C778,FIND("-",C778)-1))=4,
        DATE(VALUE(LEFT(C778,4)),VALUE(MID(C778,6,2)),VALUE(RIGHT(C778,2))),
        DATE(VALUE(RIGHT(C778,4)),VALUE(MID(C778,4,2)),VALUE(LEFT(C778,2)))
      ),
      IF(ISNUMBER(SEARCH("/",C778)*1),
        DATE(VALUE(RIGHT(C778,4)),VALUE(LEFT(C778,2)),VALUE(MID(C778,4,2))),
        DATEVALUE(C778)
      )
    )
  ),
"INVALID_DATE")</f>
        <v>45821</v>
      </c>
      <c r="AB778">
        <f t="shared" si="75"/>
        <v>5</v>
      </c>
      <c r="AC778" t="str">
        <f t="shared" si="76"/>
        <v>June</v>
      </c>
      <c r="AD778">
        <f t="shared" si="77"/>
        <v>2025</v>
      </c>
    </row>
    <row r="779" spans="1:30">
      <c r="A779" t="s">
        <v>3598</v>
      </c>
      <c r="B779" t="s">
        <v>3599</v>
      </c>
      <c r="C779" t="s">
        <v>2288</v>
      </c>
      <c r="D779" t="s">
        <v>3600</v>
      </c>
      <c r="E779" t="s">
        <v>374</v>
      </c>
      <c r="F779" t="s">
        <v>48</v>
      </c>
      <c r="G779" t="s">
        <v>80</v>
      </c>
      <c r="H779" t="s">
        <v>91</v>
      </c>
      <c r="I779" t="s">
        <v>92</v>
      </c>
      <c r="J779" t="s">
        <v>93</v>
      </c>
      <c r="K779" t="s">
        <v>94</v>
      </c>
      <c r="L779" t="s">
        <v>3601</v>
      </c>
      <c r="M779" t="s">
        <v>40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207</v>
      </c>
      <c r="U779" t="s">
        <v>85</v>
      </c>
      <c r="V779">
        <f t="shared" si="72"/>
        <v>5065.116</v>
      </c>
      <c r="W779">
        <f t="shared" si="73"/>
        <v>1535</v>
      </c>
      <c r="X779">
        <f t="shared" si="74"/>
        <v>0.30305303724294785</v>
      </c>
      <c r="Y779" t="str">
        <f>_xlfn.TEXTJOIN(", ",TRUE,IF(G779="Unknown","Missing Region",""),IF(M779="Unknown","Missing Ship Mode",""),IF(P779&lt;0,"Negative Discount",""),IF(P779&gt;0.7,"High Discount",""),IF(C779&lt;B779,"Ship Before Order",""))</f>
        <v/>
      </c>
      <c r="Z779" s="2">
        <f>IFERROR(
  IF(ISNUMBER(B779),B779,
    IF(ISNUMBER(SEARCH("-",B779)*1),
      IF(LEN(LEFT(B779,FIND("-",B779)-1))=4,
        DATE(VALUE(LEFT(B779,4)),VALUE(MID(B779,6,2)),VALUE(RIGHT(B779,2))),
        DATE(VALUE(RIGHT(B779,4)),VALUE(MID(B779,4,2)),VALUE(LEFT(B779,2)))
      ),
      IF(ISNUMBER(SEARCH("/",B779)*1),
        DATE(VALUE(RIGHT(B779,4)),VALUE(LEFT(B779,2)),VALUE(MID(B779,4,2))),
        DATEVALUE(B779)
      )
    )
  ),
"INVALID_DATE")</f>
        <v>45326</v>
      </c>
      <c r="AA779" s="2">
        <f>IFERROR(
  IF(ISNUMBER(C779),C779,
    IF(ISNUMBER(SEARCH("-",C779)*1),
      IF(LEN(LEFT(C779,FIND("-",C779)-1))=4,
        DATE(VALUE(LEFT(C779,4)),VALUE(MID(C779,6,2)),VALUE(RIGHT(C779,2))),
        DATE(VALUE(RIGHT(C779,4)),VALUE(MID(C779,4,2)),VALUE(LEFT(C779,2)))
      ),
      IF(ISNUMBER(SEARCH("/",C779)*1),
        DATE(VALUE(RIGHT(C779,4)),VALUE(LEFT(C779,2)),VALUE(MID(C779,4,2))),
        DATEVALUE(C779)
      )
    )
  ),
"INVALID_DATE")</f>
        <v>45328</v>
      </c>
      <c r="AB779">
        <f t="shared" si="75"/>
        <v>2</v>
      </c>
      <c r="AC779" t="str">
        <f t="shared" si="76"/>
        <v>February</v>
      </c>
      <c r="AD779">
        <f t="shared" si="77"/>
        <v>2024</v>
      </c>
    </row>
    <row r="780" spans="1:30">
      <c r="A780" t="s">
        <v>3602</v>
      </c>
      <c r="B780" t="s">
        <v>723</v>
      </c>
      <c r="C780" t="s">
        <v>3603</v>
      </c>
      <c r="D780" t="s">
        <v>3604</v>
      </c>
      <c r="E780" t="s">
        <v>32</v>
      </c>
      <c r="F780" t="s">
        <v>48</v>
      </c>
      <c r="G780" t="s">
        <v>34</v>
      </c>
      <c r="H780" t="s">
        <v>331</v>
      </c>
      <c r="I780" t="s">
        <v>332</v>
      </c>
      <c r="J780" t="s">
        <v>93</v>
      </c>
      <c r="K780" t="s">
        <v>101</v>
      </c>
      <c r="L780" t="s">
        <v>3605</v>
      </c>
      <c r="M780" t="s">
        <v>40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41</v>
      </c>
      <c r="U780" t="s">
        <v>42</v>
      </c>
      <c r="V780">
        <f t="shared" si="72"/>
        <v>6707.52</v>
      </c>
      <c r="W780">
        <f t="shared" si="73"/>
        <v>1034.9500000000007</v>
      </c>
      <c r="X780">
        <f t="shared" si="74"/>
        <v>0.1542969681789991</v>
      </c>
      <c r="Y780" t="str">
        <f>_xlfn.TEXTJOIN(", ",TRUE,IF(G780="Unknown","Missing Region",""),IF(M780="Unknown","Missing Ship Mode",""),IF(P780&lt;0,"Negative Discount",""),IF(P780&gt;0.7,"High Discount",""),IF(C780&lt;B780,"Ship Before Order",""))</f>
        <v/>
      </c>
      <c r="Z780" s="2">
        <f>IFERROR(
  IF(ISNUMBER(B780),B780,
    IF(ISNUMBER(SEARCH("-",B780)*1),
      IF(LEN(LEFT(B780,FIND("-",B780)-1))=4,
        DATE(VALUE(LEFT(B780,4)),VALUE(MID(B780,6,2)),VALUE(RIGHT(B780,2))),
        DATE(VALUE(RIGHT(B780,4)),VALUE(MID(B780,4,2)),VALUE(LEFT(B780,2)))
      ),
      IF(ISNUMBER(SEARCH("/",B780)*1),
        DATE(VALUE(RIGHT(B780,4)),VALUE(LEFT(B780,2)),VALUE(MID(B780,4,2))),
        DATEVALUE(B780)
      )
    )
  ),
"INVALID_DATE")</f>
        <v>45497</v>
      </c>
      <c r="AA780" s="2">
        <f>IFERROR(
  IF(ISNUMBER(C780),C780,
    IF(ISNUMBER(SEARCH("-",C780)*1),
      IF(LEN(LEFT(C780,FIND("-",C780)-1))=4,
        DATE(VALUE(LEFT(C780,4)),VALUE(MID(C780,6,2)),VALUE(RIGHT(C780,2))),
        DATE(VALUE(RIGHT(C780,4)),VALUE(MID(C780,4,2)),VALUE(LEFT(C780,2)))
      ),
      IF(ISNUMBER(SEARCH("/",C780)*1),
        DATE(VALUE(RIGHT(C780,4)),VALUE(LEFT(C780,2)),VALUE(MID(C780,4,2))),
        DATEVALUE(C780)
      )
    )
  ),
"INVALID_DATE")</f>
        <v>45497</v>
      </c>
      <c r="AB780">
        <f t="shared" si="75"/>
        <v>0</v>
      </c>
      <c r="AC780" t="str">
        <f t="shared" si="76"/>
        <v>July</v>
      </c>
      <c r="AD780">
        <f t="shared" si="77"/>
        <v>2024</v>
      </c>
    </row>
    <row r="781" spans="1:30">
      <c r="A781" t="s">
        <v>3606</v>
      </c>
      <c r="B781" t="s">
        <v>2213</v>
      </c>
      <c r="C781" t="s">
        <v>3607</v>
      </c>
      <c r="D781" t="s">
        <v>3608</v>
      </c>
      <c r="E781" t="s">
        <v>149</v>
      </c>
      <c r="F781" t="s">
        <v>48</v>
      </c>
      <c r="G781" t="s">
        <v>69</v>
      </c>
      <c r="H781" t="s">
        <v>107</v>
      </c>
      <c r="I781" t="s">
        <v>108</v>
      </c>
      <c r="J781" t="s">
        <v>52</v>
      </c>
      <c r="K781" t="s">
        <v>83</v>
      </c>
      <c r="L781" t="s">
        <v>3609</v>
      </c>
      <c r="M781" t="s">
        <v>74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41</v>
      </c>
      <c r="U781" t="s">
        <v>42</v>
      </c>
      <c r="V781">
        <f t="shared" si="72"/>
        <v>11983.451999999999</v>
      </c>
      <c r="W781">
        <f t="shared" si="73"/>
        <v>3410.5500000000011</v>
      </c>
      <c r="X781">
        <f t="shared" si="74"/>
        <v>0.28460501775365193</v>
      </c>
      <c r="Y781" t="str">
        <f>_xlfn.TEXTJOIN(", ",TRUE,IF(G781="Unknown","Missing Region",""),IF(M781="Unknown","Missing Ship Mode",""),IF(P781&lt;0,"Negative Discount",""),IF(P781&gt;0.7,"High Discount",""),IF(C781&lt;B781,"Ship Before Order",""))</f>
        <v/>
      </c>
      <c r="Z781" s="2">
        <f>IFERROR(
  IF(ISNUMBER(B781),B781,
    IF(ISNUMBER(SEARCH("-",B781)*1),
      IF(LEN(LEFT(B781,FIND("-",B781)-1))=4,
        DATE(VALUE(LEFT(B781,4)),VALUE(MID(B781,6,2)),VALUE(RIGHT(B781,2))),
        DATE(VALUE(RIGHT(B781,4)),VALUE(MID(B781,4,2)),VALUE(LEFT(B781,2)))
      ),
      IF(ISNUMBER(SEARCH("/",B781)*1),
        DATE(VALUE(RIGHT(B781,4)),VALUE(LEFT(B781,2)),VALUE(MID(B781,4,2))),
        DATEVALUE(B781)
      )
    )
  ),
"INVALID_DATE")</f>
        <v>45306</v>
      </c>
      <c r="AA781" s="2">
        <f>IFERROR(
  IF(ISNUMBER(C781),C781,
    IF(ISNUMBER(SEARCH("-",C781)*1),
      IF(LEN(LEFT(C781,FIND("-",C781)-1))=4,
        DATE(VALUE(LEFT(C781,4)),VALUE(MID(C781,6,2)),VALUE(RIGHT(C781,2))),
        DATE(VALUE(RIGHT(C781,4)),VALUE(MID(C781,4,2)),VALUE(LEFT(C781,2)))
      ),
      IF(ISNUMBER(SEARCH("/",C781)*1),
        DATE(VALUE(RIGHT(C781,4)),VALUE(LEFT(C781,2)),VALUE(MID(C781,4,2))),
        DATEVALUE(C781)
      )
    )
  ),
"INVALID_DATE")</f>
        <v>45311</v>
      </c>
      <c r="AB781">
        <f t="shared" si="75"/>
        <v>5</v>
      </c>
      <c r="AC781" t="str">
        <f t="shared" si="76"/>
        <v>January</v>
      </c>
      <c r="AD781">
        <f t="shared" si="77"/>
        <v>2024</v>
      </c>
    </row>
    <row r="782" spans="1:30">
      <c r="A782" t="s">
        <v>3610</v>
      </c>
      <c r="B782" t="s">
        <v>3611</v>
      </c>
      <c r="C782" t="s">
        <v>2662</v>
      </c>
      <c r="D782" t="s">
        <v>3612</v>
      </c>
      <c r="E782" t="s">
        <v>217</v>
      </c>
      <c r="F782" t="s">
        <v>48</v>
      </c>
      <c r="G782" t="s">
        <v>80</v>
      </c>
      <c r="H782" t="s">
        <v>35</v>
      </c>
      <c r="I782" t="s">
        <v>142</v>
      </c>
      <c r="J782" t="s">
        <v>52</v>
      </c>
      <c r="K782" t="s">
        <v>83</v>
      </c>
      <c r="L782" t="s">
        <v>3613</v>
      </c>
      <c r="M782" t="s">
        <v>55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41</v>
      </c>
      <c r="U782" t="s">
        <v>42</v>
      </c>
      <c r="V782">
        <f t="shared" si="72"/>
        <v>1364.576</v>
      </c>
      <c r="W782">
        <f t="shared" si="73"/>
        <v>386.41999999999996</v>
      </c>
      <c r="X782">
        <f t="shared" si="74"/>
        <v>0.28317870700142173</v>
      </c>
      <c r="Y782" t="str">
        <f>_xlfn.TEXTJOIN(", ",TRUE,IF(G782="Unknown","Missing Region",""),IF(M782="Unknown","Missing Ship Mode",""),IF(P782&lt;0,"Negative Discount",""),IF(P782&gt;0.7,"High Discount",""),IF(C782&lt;B782,"Ship Before Order",""))</f>
        <v/>
      </c>
      <c r="Z782" s="2">
        <f>IFERROR(
  IF(ISNUMBER(B782),B782,
    IF(ISNUMBER(SEARCH("-",B782)*1),
      IF(LEN(LEFT(B782,FIND("-",B782)-1))=4,
        DATE(VALUE(LEFT(B782,4)),VALUE(MID(B782,6,2)),VALUE(RIGHT(B782,2))),
        DATE(VALUE(RIGHT(B782,4)),VALUE(MID(B782,4,2)),VALUE(LEFT(B782,2)))
      ),
      IF(ISNUMBER(SEARCH("/",B782)*1),
        DATE(VALUE(RIGHT(B782,4)),VALUE(LEFT(B782,2)),VALUE(MID(B782,4,2))),
        DATEVALUE(B782)
      )
    )
  ),
"INVALID_DATE")</f>
        <v>45508</v>
      </c>
      <c r="AA782" s="2">
        <f>IFERROR(
  IF(ISNUMBER(C782),C782,
    IF(ISNUMBER(SEARCH("-",C782)*1),
      IF(LEN(LEFT(C782,FIND("-",C782)-1))=4,
        DATE(VALUE(LEFT(C782,4)),VALUE(MID(C782,6,2)),VALUE(RIGHT(C782,2))),
        DATE(VALUE(RIGHT(C782,4)),VALUE(MID(C782,4,2)),VALUE(LEFT(C782,2)))
      ),
      IF(ISNUMBER(SEARCH("/",C782)*1),
        DATE(VALUE(RIGHT(C782,4)),VALUE(LEFT(C782,2)),VALUE(MID(C782,4,2))),
        DATEVALUE(C782)
      )
    )
  ),
"INVALID_DATE")</f>
        <v>45514</v>
      </c>
      <c r="AB782">
        <f t="shared" si="75"/>
        <v>6</v>
      </c>
      <c r="AC782" t="str">
        <f t="shared" si="76"/>
        <v>August</v>
      </c>
      <c r="AD782">
        <f t="shared" si="77"/>
        <v>2024</v>
      </c>
    </row>
    <row r="783" spans="1:30">
      <c r="A783" t="s">
        <v>3614</v>
      </c>
      <c r="B783" t="s">
        <v>3615</v>
      </c>
      <c r="C783" t="s">
        <v>2137</v>
      </c>
      <c r="D783" t="s">
        <v>3616</v>
      </c>
      <c r="E783" t="s">
        <v>32</v>
      </c>
      <c r="F783" t="s">
        <v>122</v>
      </c>
      <c r="G783" t="s">
        <v>80</v>
      </c>
      <c r="H783" t="s">
        <v>35</v>
      </c>
      <c r="I783" t="s">
        <v>142</v>
      </c>
      <c r="J783" t="s">
        <v>37</v>
      </c>
      <c r="K783" t="s">
        <v>116</v>
      </c>
      <c r="L783" t="s">
        <v>3617</v>
      </c>
      <c r="M783" t="s">
        <v>63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144</v>
      </c>
      <c r="U783" t="s">
        <v>132</v>
      </c>
      <c r="V783">
        <f t="shared" si="72"/>
        <v>862.64999999999986</v>
      </c>
      <c r="W783">
        <f t="shared" si="73"/>
        <v>258.91999999999996</v>
      </c>
      <c r="X783">
        <f t="shared" si="74"/>
        <v>0.30014490233582569</v>
      </c>
      <c r="Y783" t="str">
        <f>_xlfn.TEXTJOIN(", ",TRUE,IF(G783="Unknown","Missing Region",""),IF(M783="Unknown","Missing Ship Mode",""),IF(P783&lt;0,"Negative Discount",""),IF(P783&gt;0.7,"High Discount",""),IF(C783&lt;B783,"Ship Before Order",""))</f>
        <v>Ship Before Order</v>
      </c>
      <c r="Z783" s="2">
        <f>IFERROR(
  IF(ISNUMBER(B783),B783,
    IF(ISNUMBER(SEARCH("-",B783)*1),
      IF(LEN(LEFT(B783,FIND("-",B783)-1))=4,
        DATE(VALUE(LEFT(B783,4)),VALUE(MID(B783,6,2)),VALUE(RIGHT(B783,2))),
        DATE(VALUE(RIGHT(B783,4)),VALUE(MID(B783,4,2)),VALUE(LEFT(B783,2)))
      ),
      IF(ISNUMBER(SEARCH("/",B783)*1),
        DATE(VALUE(RIGHT(B783,4)),VALUE(LEFT(B783,2)),VALUE(MID(B783,4,2))),
        DATEVALUE(B783)
      )
    )
  ),
"INVALID_DATE")</f>
        <v>45324</v>
      </c>
      <c r="AA783" s="2">
        <f>IFERROR(
  IF(ISNUMBER(C783),C783,
    IF(ISNUMBER(SEARCH("-",C783)*1),
      IF(LEN(LEFT(C783,FIND("-",C783)-1))=4,
        DATE(VALUE(LEFT(C783,4)),VALUE(MID(C783,6,2)),VALUE(RIGHT(C783,2))),
        DATE(VALUE(RIGHT(C783,4)),VALUE(MID(C783,4,2)),VALUE(LEFT(C783,2)))
      ),
      IF(ISNUMBER(SEARCH("/",C783)*1),
        DATE(VALUE(RIGHT(C783,4)),VALUE(LEFT(C783,2)),VALUE(MID(C783,4,2))),
        DATEVALUE(C783)
      )
    )
  ),
"INVALID_DATE")</f>
        <v>45332</v>
      </c>
      <c r="AB783">
        <f t="shared" si="75"/>
        <v>8</v>
      </c>
      <c r="AC783" t="str">
        <f t="shared" si="76"/>
        <v>February</v>
      </c>
      <c r="AD783">
        <f t="shared" si="77"/>
        <v>2024</v>
      </c>
    </row>
    <row r="784" spans="1:30">
      <c r="A784" t="s">
        <v>3618</v>
      </c>
      <c r="B784" t="s">
        <v>1443</v>
      </c>
      <c r="C784" t="s">
        <v>3619</v>
      </c>
      <c r="D784" t="s">
        <v>3620</v>
      </c>
      <c r="E784" t="s">
        <v>47</v>
      </c>
      <c r="F784" t="s">
        <v>115</v>
      </c>
      <c r="G784" t="s">
        <v>49</v>
      </c>
      <c r="H784" t="s">
        <v>128</v>
      </c>
      <c r="I784" t="s">
        <v>129</v>
      </c>
      <c r="J784" t="s">
        <v>93</v>
      </c>
      <c r="K784" t="s">
        <v>101</v>
      </c>
      <c r="L784" t="s">
        <v>3621</v>
      </c>
      <c r="M784" t="s">
        <v>74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41</v>
      </c>
      <c r="U784" t="s">
        <v>42</v>
      </c>
      <c r="V784">
        <f t="shared" si="72"/>
        <v>1138.3709999999999</v>
      </c>
      <c r="W784">
        <f t="shared" si="73"/>
        <v>341.02999999999986</v>
      </c>
      <c r="X784">
        <f t="shared" si="74"/>
        <v>0.29957746602598451</v>
      </c>
      <c r="Y784" t="str">
        <f>_xlfn.TEXTJOIN(", ",TRUE,IF(G784="Unknown","Missing Region",""),IF(M784="Unknown","Missing Ship Mode",""),IF(P784&lt;0,"Negative Discount",""),IF(P784&gt;0.7,"High Discount",""),IF(C784&lt;B784,"Ship Before Order",""))</f>
        <v>Ship Before Order</v>
      </c>
      <c r="Z784" s="2">
        <f>IFERROR(
  IF(ISNUMBER(B784),B784,
    IF(ISNUMBER(SEARCH("-",B784)*1),
      IF(LEN(LEFT(B784,FIND("-",B784)-1))=4,
        DATE(VALUE(LEFT(B784,4)),VALUE(MID(B784,6,2)),VALUE(RIGHT(B784,2))),
        DATE(VALUE(RIGHT(B784,4)),VALUE(MID(B784,4,2)),VALUE(LEFT(B784,2)))
      ),
      IF(ISNUMBER(SEARCH("/",B784)*1),
        DATE(VALUE(RIGHT(B784,4)),VALUE(LEFT(B784,2)),VALUE(MID(B784,4,2))),
        DATEVALUE(B784)
      )
    )
  ),
"INVALID_DATE")</f>
        <v>45730</v>
      </c>
      <c r="AA784" s="2">
        <f>IFERROR(
  IF(ISNUMBER(C784),C784,
    IF(ISNUMBER(SEARCH("-",C784)*1),
      IF(LEN(LEFT(C784,FIND("-",C784)-1))=4,
        DATE(VALUE(LEFT(C784,4)),VALUE(MID(C784,6,2)),VALUE(RIGHT(C784,2))),
        DATE(VALUE(RIGHT(C784,4)),VALUE(MID(C784,4,2)),VALUE(LEFT(C784,2)))
      ),
      IF(ISNUMBER(SEARCH("/",C784)*1),
        DATE(VALUE(RIGHT(C784,4)),VALUE(LEFT(C784,2)),VALUE(MID(C784,4,2))),
        DATEVALUE(C784)
      )
    )
  ),
"INVALID_DATE")</f>
        <v>45738</v>
      </c>
      <c r="AB784">
        <f t="shared" si="75"/>
        <v>8</v>
      </c>
      <c r="AC784" t="str">
        <f t="shared" si="76"/>
        <v>March</v>
      </c>
      <c r="AD784">
        <f t="shared" si="77"/>
        <v>2025</v>
      </c>
    </row>
    <row r="785" spans="1:30">
      <c r="A785" t="s">
        <v>3622</v>
      </c>
      <c r="B785" t="s">
        <v>3623</v>
      </c>
      <c r="C785" t="s">
        <v>3624</v>
      </c>
      <c r="D785" t="s">
        <v>3625</v>
      </c>
      <c r="E785" t="s">
        <v>169</v>
      </c>
      <c r="F785" t="s">
        <v>48</v>
      </c>
      <c r="G785" t="s">
        <v>49</v>
      </c>
      <c r="H785" t="s">
        <v>193</v>
      </c>
      <c r="I785" t="s">
        <v>194</v>
      </c>
      <c r="J785" t="s">
        <v>37</v>
      </c>
      <c r="K785" t="s">
        <v>61</v>
      </c>
      <c r="L785" t="s">
        <v>3626</v>
      </c>
      <c r="M785" t="s">
        <v>40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41</v>
      </c>
      <c r="U785" t="s">
        <v>42</v>
      </c>
      <c r="V785">
        <f t="shared" si="72"/>
        <v>2452.8334999999997</v>
      </c>
      <c r="W785">
        <f t="shared" si="73"/>
        <v>546.12999999999988</v>
      </c>
      <c r="X785">
        <f t="shared" si="74"/>
        <v>0.22265301712715516</v>
      </c>
      <c r="Y785" t="str">
        <f>_xlfn.TEXTJOIN(", ",TRUE,IF(G785="Unknown","Missing Region",""),IF(M785="Unknown","Missing Ship Mode",""),IF(P785&lt;0,"Negative Discount",""),IF(P785&gt;0.7,"High Discount",""),IF(C785&lt;B785,"Ship Before Order",""))</f>
        <v/>
      </c>
      <c r="Z785" s="2">
        <f>IFERROR(
  IF(ISNUMBER(B785),B785,
    IF(ISNUMBER(SEARCH("-",B785)*1),
      IF(LEN(LEFT(B785,FIND("-",B785)-1))=4,
        DATE(VALUE(LEFT(B785,4)),VALUE(MID(B785,6,2)),VALUE(RIGHT(B785,2))),
        DATE(VALUE(RIGHT(B785,4)),VALUE(MID(B785,4,2)),VALUE(LEFT(B785,2)))
      ),
      IF(ISNUMBER(SEARCH("/",B785)*1),
        DATE(VALUE(RIGHT(B785,4)),VALUE(LEFT(B785,2)),VALUE(MID(B785,4,2))),
        DATEVALUE(B785)
      )
    )
  ),
"INVALID_DATE")</f>
        <v>45450</v>
      </c>
      <c r="AA785" s="2">
        <f>IFERROR(
  IF(ISNUMBER(C785),C785,
    IF(ISNUMBER(SEARCH("-",C785)*1),
      IF(LEN(LEFT(C785,FIND("-",C785)-1))=4,
        DATE(VALUE(LEFT(C785,4)),VALUE(MID(C785,6,2)),VALUE(RIGHT(C785,2))),
        DATE(VALUE(RIGHT(C785,4)),VALUE(MID(C785,4,2)),VALUE(LEFT(C785,2)))
      ),
      IF(ISNUMBER(SEARCH("/",C785)*1),
        DATE(VALUE(RIGHT(C785,4)),VALUE(LEFT(C785,2)),VALUE(MID(C785,4,2))),
        DATEVALUE(C785)
      )
    )
  ),
"INVALID_DATE")</f>
        <v>45450</v>
      </c>
      <c r="AB785">
        <f t="shared" si="75"/>
        <v>0</v>
      </c>
      <c r="AC785" t="str">
        <f t="shared" si="76"/>
        <v>June</v>
      </c>
      <c r="AD785">
        <f t="shared" si="77"/>
        <v>2024</v>
      </c>
    </row>
    <row r="786" spans="1:30">
      <c r="A786" t="s">
        <v>3627</v>
      </c>
      <c r="B786" t="s">
        <v>3628</v>
      </c>
      <c r="C786" t="s">
        <v>2561</v>
      </c>
      <c r="D786" t="s">
        <v>3629</v>
      </c>
      <c r="E786" t="s">
        <v>149</v>
      </c>
      <c r="F786" t="s">
        <v>115</v>
      </c>
      <c r="G786" t="s">
        <v>3630</v>
      </c>
      <c r="H786" t="s">
        <v>161</v>
      </c>
      <c r="I786" t="s">
        <v>162</v>
      </c>
      <c r="J786" t="s">
        <v>93</v>
      </c>
      <c r="K786" t="s">
        <v>101</v>
      </c>
      <c r="L786" t="s">
        <v>3631</v>
      </c>
      <c r="M786" t="s">
        <v>63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41</v>
      </c>
      <c r="U786" t="s">
        <v>42</v>
      </c>
      <c r="V786">
        <f t="shared" si="72"/>
        <v>1589.0840000000001</v>
      </c>
      <c r="W786">
        <f t="shared" si="73"/>
        <v>504.41999999999985</v>
      </c>
      <c r="X786">
        <f t="shared" si="74"/>
        <v>0.31742895260150528</v>
      </c>
      <c r="Y786" t="str">
        <f>_xlfn.TEXTJOIN(", ",TRUE,IF(G786="Unknown","Missing Region",""),IF(M786="Unknown","Missing Ship Mode",""),IF(P786&lt;0,"Negative Discount",""),IF(P786&gt;0.7,"High Discount",""),IF(C786&lt;B786,"Ship Before Order",""))</f>
        <v/>
      </c>
      <c r="Z786" s="2">
        <f>IFERROR(
  IF(ISNUMBER(B786),B786,
    IF(ISNUMBER(SEARCH("-",B786)*1),
      IF(LEN(LEFT(B786,FIND("-",B786)-1))=4,
        DATE(VALUE(LEFT(B786,4)),VALUE(MID(B786,6,2)),VALUE(RIGHT(B786,2))),
        DATE(VALUE(RIGHT(B786,4)),VALUE(MID(B786,4,2)),VALUE(LEFT(B786,2)))
      ),
      IF(ISNUMBER(SEARCH("/",B786)*1),
        DATE(VALUE(RIGHT(B786,4)),VALUE(LEFT(B786,2)),VALUE(MID(B786,4,2))),
        DATEVALUE(B786)
      )
    )
  ),
"INVALID_DATE")</f>
        <v>45934</v>
      </c>
      <c r="AA786" s="2">
        <f>IFERROR(
  IF(ISNUMBER(C786),C786,
    IF(ISNUMBER(SEARCH("-",C786)*1),
      IF(LEN(LEFT(C786,FIND("-",C786)-1))=4,
        DATE(VALUE(LEFT(C786,4)),VALUE(MID(C786,6,2)),VALUE(RIGHT(C786,2))),
        DATE(VALUE(RIGHT(C786,4)),VALUE(MID(C786,4,2)),VALUE(LEFT(C786,2)))
      ),
      IF(ISNUMBER(SEARCH("/",C786)*1),
        DATE(VALUE(RIGHT(C786,4)),VALUE(LEFT(C786,2)),VALUE(MID(C786,4,2))),
        DATEVALUE(C786)
      )
    )
  ),
"INVALID_DATE")</f>
        <v>45935</v>
      </c>
      <c r="AB786">
        <f t="shared" si="75"/>
        <v>1</v>
      </c>
      <c r="AC786" t="str">
        <f t="shared" si="76"/>
        <v>October</v>
      </c>
      <c r="AD786">
        <f t="shared" si="77"/>
        <v>2025</v>
      </c>
    </row>
    <row r="787" spans="1:30">
      <c r="A787" t="s">
        <v>3632</v>
      </c>
      <c r="B787" t="s">
        <v>3633</v>
      </c>
      <c r="C787" t="s">
        <v>281</v>
      </c>
      <c r="D787" t="s">
        <v>3634</v>
      </c>
      <c r="E787" t="s">
        <v>217</v>
      </c>
      <c r="F787" t="s">
        <v>48</v>
      </c>
      <c r="G787" t="s">
        <v>34</v>
      </c>
      <c r="H787" t="s">
        <v>331</v>
      </c>
      <c r="I787" t="s">
        <v>332</v>
      </c>
      <c r="J787" t="s">
        <v>37</v>
      </c>
      <c r="K787" t="s">
        <v>163</v>
      </c>
      <c r="L787" t="s">
        <v>3635</v>
      </c>
      <c r="M787" t="s">
        <v>55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207</v>
      </c>
      <c r="U787" t="s">
        <v>85</v>
      </c>
      <c r="V787">
        <f t="shared" si="72"/>
        <v>4519.41</v>
      </c>
      <c r="W787">
        <f t="shared" si="73"/>
        <v>1015.25</v>
      </c>
      <c r="X787">
        <f t="shared" si="74"/>
        <v>0.28223816825647596</v>
      </c>
      <c r="Y787" t="str">
        <f>_xlfn.TEXTJOIN(", ",TRUE,IF(G787="Unknown","Missing Region",""),IF(M787="Unknown","Missing Ship Mode",""),IF(P787&lt;0,"Negative Discount",""),IF(P787&gt;0.7,"High Discount",""),IF(C787&lt;B787,"Ship Before Order",""))</f>
        <v/>
      </c>
      <c r="Z787" s="2">
        <f>IFERROR(
  IF(ISNUMBER(B787),B787,
    IF(ISNUMBER(SEARCH("-",B787)*1),
      IF(LEN(LEFT(B787,FIND("-",B787)-1))=4,
        DATE(VALUE(LEFT(B787,4)),VALUE(MID(B787,6,2)),VALUE(RIGHT(B787,2))),
        DATE(VALUE(RIGHT(B787,4)),VALUE(MID(B787,4,2)),VALUE(LEFT(B787,2)))
      ),
      IF(ISNUMBER(SEARCH("/",B787)*1),
        DATE(VALUE(RIGHT(B787,4)),VALUE(LEFT(B787,2)),VALUE(MID(B787,4,2))),
        DATEVALUE(B787)
      )
    )
  ),
"INVALID_DATE")</f>
        <v>45435</v>
      </c>
      <c r="AA787" s="2">
        <f>IFERROR(
  IF(ISNUMBER(C787),C787,
    IF(ISNUMBER(SEARCH("-",C787)*1),
      IF(LEN(LEFT(C787,FIND("-",C787)-1))=4,
        DATE(VALUE(LEFT(C787,4)),VALUE(MID(C787,6,2)),VALUE(RIGHT(C787,2))),
        DATE(VALUE(RIGHT(C787,4)),VALUE(MID(C787,4,2)),VALUE(LEFT(C787,2)))
      ),
      IF(ISNUMBER(SEARCH("/",C787)*1),
        DATE(VALUE(RIGHT(C787,4)),VALUE(LEFT(C787,2)),VALUE(MID(C787,4,2))),
        DATEVALUE(C787)
      )
    )
  ),
"INVALID_DATE")</f>
        <v>45441</v>
      </c>
      <c r="AB787">
        <f t="shared" si="75"/>
        <v>6</v>
      </c>
      <c r="AC787" t="str">
        <f t="shared" si="76"/>
        <v>May</v>
      </c>
      <c r="AD787">
        <f t="shared" si="77"/>
        <v>2024</v>
      </c>
    </row>
    <row r="788" spans="1:30">
      <c r="A788" t="s">
        <v>3636</v>
      </c>
      <c r="B788" t="s">
        <v>1279</v>
      </c>
      <c r="C788" t="s">
        <v>2861</v>
      </c>
      <c r="D788" t="s">
        <v>3637</v>
      </c>
      <c r="E788" t="s">
        <v>79</v>
      </c>
      <c r="F788" t="s">
        <v>115</v>
      </c>
      <c r="G788" t="s">
        <v>34</v>
      </c>
      <c r="H788" t="s">
        <v>35</v>
      </c>
      <c r="I788" t="s">
        <v>36</v>
      </c>
      <c r="J788" t="s">
        <v>52</v>
      </c>
      <c r="K788" t="s">
        <v>72</v>
      </c>
      <c r="L788" t="s">
        <v>3638</v>
      </c>
      <c r="M788" t="s">
        <v>279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131</v>
      </c>
      <c r="U788" t="s">
        <v>132</v>
      </c>
      <c r="V788">
        <f t="shared" si="72"/>
        <v>2718.71</v>
      </c>
      <c r="W788">
        <f t="shared" si="73"/>
        <v>653.65999999999985</v>
      </c>
      <c r="X788">
        <f t="shared" si="74"/>
        <v>0.24043020403058801</v>
      </c>
      <c r="Y788" t="str">
        <f>_xlfn.TEXTJOIN(", ",TRUE,IF(G788="Unknown","Missing Region",""),IF(M788="Unknown","Missing Ship Mode",""),IF(P788&lt;0,"Negative Discount",""),IF(P788&gt;0.7,"High Discount",""),IF(C788&lt;B788,"Ship Before Order",""))</f>
        <v>Missing Ship Mode</v>
      </c>
      <c r="Z788" s="2">
        <f>IFERROR(
  IF(ISNUMBER(B788),B788,
    IF(ISNUMBER(SEARCH("-",B788)*1),
      IF(LEN(LEFT(B788,FIND("-",B788)-1))=4,
        DATE(VALUE(LEFT(B788,4)),VALUE(MID(B788,6,2)),VALUE(RIGHT(B788,2))),
        DATE(VALUE(RIGHT(B788,4)),VALUE(MID(B788,4,2)),VALUE(LEFT(B788,2)))
      ),
      IF(ISNUMBER(SEARCH("/",B788)*1),
        DATE(VALUE(RIGHT(B788,4)),VALUE(LEFT(B788,2)),VALUE(MID(B788,4,2))),
        DATEVALUE(B788)
      )
    )
  ),
"INVALID_DATE")</f>
        <v>45844</v>
      </c>
      <c r="AA788" s="2">
        <f>IFERROR(
  IF(ISNUMBER(C788),C788,
    IF(ISNUMBER(SEARCH("-",C788)*1),
      IF(LEN(LEFT(C788,FIND("-",C788)-1))=4,
        DATE(VALUE(LEFT(C788,4)),VALUE(MID(C788,6,2)),VALUE(RIGHT(C788,2))),
        DATE(VALUE(RIGHT(C788,4)),VALUE(MID(C788,4,2)),VALUE(LEFT(C788,2)))
      ),
      IF(ISNUMBER(SEARCH("/",C788)*1),
        DATE(VALUE(RIGHT(C788,4)),VALUE(LEFT(C788,2)),VALUE(MID(C788,4,2))),
        DATEVALUE(C788)
      )
    )
  ),
"INVALID_DATE")</f>
        <v>45846</v>
      </c>
      <c r="AB788">
        <f t="shared" si="75"/>
        <v>2</v>
      </c>
      <c r="AC788" t="str">
        <f t="shared" si="76"/>
        <v>July</v>
      </c>
      <c r="AD788">
        <f t="shared" si="77"/>
        <v>2025</v>
      </c>
    </row>
    <row r="789" spans="1:30">
      <c r="A789" t="s">
        <v>3639</v>
      </c>
      <c r="B789" t="s">
        <v>1332</v>
      </c>
      <c r="C789" t="s">
        <v>3640</v>
      </c>
      <c r="D789" t="s">
        <v>3641</v>
      </c>
      <c r="E789" t="s">
        <v>79</v>
      </c>
      <c r="F789" t="s">
        <v>122</v>
      </c>
      <c r="G789" t="s">
        <v>49</v>
      </c>
      <c r="H789" t="s">
        <v>193</v>
      </c>
      <c r="I789" t="s">
        <v>194</v>
      </c>
      <c r="J789" t="s">
        <v>37</v>
      </c>
      <c r="K789" t="s">
        <v>38</v>
      </c>
      <c r="L789" t="s">
        <v>3642</v>
      </c>
      <c r="M789" t="s">
        <v>40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41</v>
      </c>
      <c r="U789" t="s">
        <v>42</v>
      </c>
      <c r="V789">
        <f t="shared" si="72"/>
        <v>7065.6629999999996</v>
      </c>
      <c r="W789">
        <f t="shared" si="73"/>
        <v>2150.3899999999994</v>
      </c>
      <c r="X789">
        <f t="shared" si="74"/>
        <v>0.30434382633752544</v>
      </c>
      <c r="Y789" t="str">
        <f>_xlfn.TEXTJOIN(", ",TRUE,IF(G789="Unknown","Missing Region",""),IF(M789="Unknown","Missing Ship Mode",""),IF(P789&lt;0,"Negative Discount",""),IF(P789&gt;0.7,"High Discount",""),IF(C789&lt;B789,"Ship Before Order",""))</f>
        <v/>
      </c>
      <c r="Z789" s="2">
        <f>IFERROR(
  IF(ISNUMBER(B789),B789,
    IF(ISNUMBER(SEARCH("-",B789)*1),
      IF(LEN(LEFT(B789,FIND("-",B789)-1))=4,
        DATE(VALUE(LEFT(B789,4)),VALUE(MID(B789,6,2)),VALUE(RIGHT(B789,2))),
        DATE(VALUE(RIGHT(B789,4)),VALUE(MID(B789,4,2)),VALUE(LEFT(B789,2)))
      ),
      IF(ISNUMBER(SEARCH("/",B789)*1),
        DATE(VALUE(RIGHT(B789,4)),VALUE(LEFT(B789,2)),VALUE(MID(B789,4,2))),
        DATEVALUE(B789)
      )
    )
  ),
"INVALID_DATE")</f>
        <v>45547</v>
      </c>
      <c r="AA789" s="2">
        <f>IFERROR(
  IF(ISNUMBER(C789),C789,
    IF(ISNUMBER(SEARCH("-",C789)*1),
      IF(LEN(LEFT(C789,FIND("-",C789)-1))=4,
        DATE(VALUE(LEFT(C789,4)),VALUE(MID(C789,6,2)),VALUE(RIGHT(C789,2))),
        DATE(VALUE(RIGHT(C789,4)),VALUE(MID(C789,4,2)),VALUE(LEFT(C789,2)))
      ),
      IF(ISNUMBER(SEARCH("/",C789)*1),
        DATE(VALUE(RIGHT(C789,4)),VALUE(LEFT(C789,2)),VALUE(MID(C789,4,2))),
        DATEVALUE(C789)
      )
    )
  ),
"INVALID_DATE")</f>
        <v>45553</v>
      </c>
      <c r="AB789">
        <f t="shared" si="75"/>
        <v>6</v>
      </c>
      <c r="AC789" t="str">
        <f t="shared" si="76"/>
        <v>September</v>
      </c>
      <c r="AD789">
        <f t="shared" si="77"/>
        <v>2024</v>
      </c>
    </row>
    <row r="790" spans="1:30">
      <c r="A790" t="s">
        <v>3643</v>
      </c>
      <c r="B790" t="s">
        <v>1307</v>
      </c>
      <c r="C790" t="s">
        <v>546</v>
      </c>
      <c r="D790" t="s">
        <v>3644</v>
      </c>
      <c r="E790" t="s">
        <v>60</v>
      </c>
      <c r="F790" t="s">
        <v>115</v>
      </c>
      <c r="G790" t="s">
        <v>34</v>
      </c>
      <c r="H790" t="s">
        <v>181</v>
      </c>
      <c r="I790" t="s">
        <v>182</v>
      </c>
      <c r="J790" t="s">
        <v>52</v>
      </c>
      <c r="K790" t="s">
        <v>83</v>
      </c>
      <c r="L790" t="s">
        <v>3645</v>
      </c>
      <c r="M790" t="s">
        <v>74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207</v>
      </c>
      <c r="U790" t="s">
        <v>132</v>
      </c>
      <c r="V790">
        <f t="shared" si="72"/>
        <v>17911.007999999998</v>
      </c>
      <c r="W790">
        <f t="shared" si="73"/>
        <v>6364.9599999999991</v>
      </c>
      <c r="X790">
        <f t="shared" si="74"/>
        <v>0.35536577780929163</v>
      </c>
      <c r="Y790" t="str">
        <f>_xlfn.TEXTJOIN(", ",TRUE,IF(G790="Unknown","Missing Region",""),IF(M790="Unknown","Missing Ship Mode",""),IF(P790&lt;0,"Negative Discount",""),IF(P790&gt;0.7,"High Discount",""),IF(C790&lt;B790,"Ship Before Order",""))</f>
        <v/>
      </c>
      <c r="Z790" s="2">
        <f>IFERROR(
  IF(ISNUMBER(B790),B790,
    IF(ISNUMBER(SEARCH("-",B790)*1),
      IF(LEN(LEFT(B790,FIND("-",B790)-1))=4,
        DATE(VALUE(LEFT(B790,4)),VALUE(MID(B790,6,2)),VALUE(RIGHT(B790,2))),
        DATE(VALUE(RIGHT(B790,4)),VALUE(MID(B790,4,2)),VALUE(LEFT(B790,2)))
      ),
      IF(ISNUMBER(SEARCH("/",B790)*1),
        DATE(VALUE(RIGHT(B790,4)),VALUE(LEFT(B790,2)),VALUE(MID(B790,4,2))),
        DATEVALUE(B790)
      )
    )
  ),
"INVALID_DATE")</f>
        <v>45505</v>
      </c>
      <c r="AA790" s="2">
        <f>IFERROR(
  IF(ISNUMBER(C790),C790,
    IF(ISNUMBER(SEARCH("-",C790)*1),
      IF(LEN(LEFT(C790,FIND("-",C790)-1))=4,
        DATE(VALUE(LEFT(C790,4)),VALUE(MID(C790,6,2)),VALUE(RIGHT(C790,2))),
        DATE(VALUE(RIGHT(C790,4)),VALUE(MID(C790,4,2)),VALUE(LEFT(C790,2)))
      ),
      IF(ISNUMBER(SEARCH("/",C790)*1),
        DATE(VALUE(RIGHT(C790,4)),VALUE(LEFT(C790,2)),VALUE(MID(C790,4,2))),
        DATEVALUE(C790)
      )
    )
  ),
"INVALID_DATE")</f>
        <v>45506</v>
      </c>
      <c r="AB790">
        <f t="shared" si="75"/>
        <v>1</v>
      </c>
      <c r="AC790" t="str">
        <f t="shared" si="76"/>
        <v>August</v>
      </c>
      <c r="AD790">
        <f t="shared" si="77"/>
        <v>2024</v>
      </c>
    </row>
    <row r="791" spans="1:30">
      <c r="A791" t="s">
        <v>3646</v>
      </c>
      <c r="B791" t="s">
        <v>3647</v>
      </c>
      <c r="C791" t="s">
        <v>2332</v>
      </c>
      <c r="D791" t="s">
        <v>3648</v>
      </c>
      <c r="E791" t="s">
        <v>149</v>
      </c>
      <c r="F791" t="s">
        <v>122</v>
      </c>
      <c r="G791" t="s">
        <v>279</v>
      </c>
      <c r="H791" t="s">
        <v>35</v>
      </c>
      <c r="I791" t="s">
        <v>142</v>
      </c>
      <c r="J791" t="s">
        <v>93</v>
      </c>
      <c r="K791" t="s">
        <v>101</v>
      </c>
      <c r="L791" t="s">
        <v>3649</v>
      </c>
      <c r="M791" t="s">
        <v>55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41</v>
      </c>
      <c r="U791" t="s">
        <v>42</v>
      </c>
      <c r="V791">
        <f t="shared" si="72"/>
        <v>14149.92</v>
      </c>
      <c r="W791">
        <f t="shared" si="73"/>
        <v>4683.41</v>
      </c>
      <c r="X791">
        <f t="shared" si="74"/>
        <v>0.33098491016203624</v>
      </c>
      <c r="Y791" t="str">
        <f>_xlfn.TEXTJOIN(", ",TRUE,IF(G791="Unknown","Missing Region",""),IF(M791="Unknown","Missing Ship Mode",""),IF(P791&lt;0,"Negative Discount",""),IF(P791&gt;0.7,"High Discount",""),IF(C791&lt;B791,"Ship Before Order",""))</f>
        <v>Missing Region</v>
      </c>
      <c r="Z791" s="2">
        <f>IFERROR(
  IF(ISNUMBER(B791),B791,
    IF(ISNUMBER(SEARCH("-",B791)*1),
      IF(LEN(LEFT(B791,FIND("-",B791)-1))=4,
        DATE(VALUE(LEFT(B791,4)),VALUE(MID(B791,6,2)),VALUE(RIGHT(B791,2))),
        DATE(VALUE(RIGHT(B791,4)),VALUE(MID(B791,4,2)),VALUE(LEFT(B791,2)))
      ),
      IF(ISNUMBER(SEARCH("/",B791)*1),
        DATE(VALUE(RIGHT(B791,4)),VALUE(LEFT(B791,2)),VALUE(MID(B791,4,2))),
        DATEVALUE(B791)
      )
    )
  ),
"INVALID_DATE")</f>
        <v>45723</v>
      </c>
      <c r="AA791" s="2">
        <f>IFERROR(
  IF(ISNUMBER(C791),C791,
    IF(ISNUMBER(SEARCH("-",C791)*1),
      IF(LEN(LEFT(C791,FIND("-",C791)-1))=4,
        DATE(VALUE(LEFT(C791,4)),VALUE(MID(C791,6,2)),VALUE(RIGHT(C791,2))),
        DATE(VALUE(RIGHT(C791,4)),VALUE(MID(C791,4,2)),VALUE(LEFT(C791,2)))
      ),
      IF(ISNUMBER(SEARCH("/",C791)*1),
        DATE(VALUE(RIGHT(C791,4)),VALUE(LEFT(C791,2)),VALUE(MID(C791,4,2))),
        DATEVALUE(C791)
      )
    )
  ),
"INVALID_DATE")</f>
        <v>45724</v>
      </c>
      <c r="AB791">
        <f t="shared" si="75"/>
        <v>1</v>
      </c>
      <c r="AC791" t="str">
        <f t="shared" si="76"/>
        <v>March</v>
      </c>
      <c r="AD791">
        <f t="shared" si="77"/>
        <v>2025</v>
      </c>
    </row>
    <row r="792" spans="1:30">
      <c r="A792" t="s">
        <v>3650</v>
      </c>
      <c r="B792" t="s">
        <v>3651</v>
      </c>
      <c r="C792" t="s">
        <v>3652</v>
      </c>
      <c r="D792" t="s">
        <v>3653</v>
      </c>
      <c r="E792" t="s">
        <v>155</v>
      </c>
      <c r="F792" t="s">
        <v>115</v>
      </c>
      <c r="G792" t="s">
        <v>69</v>
      </c>
      <c r="H792" t="s">
        <v>107</v>
      </c>
      <c r="I792" t="s">
        <v>108</v>
      </c>
      <c r="J792" t="s">
        <v>37</v>
      </c>
      <c r="K792" t="s">
        <v>61</v>
      </c>
      <c r="L792" t="s">
        <v>3654</v>
      </c>
      <c r="M792" t="s">
        <v>74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41</v>
      </c>
      <c r="U792" t="s">
        <v>42</v>
      </c>
      <c r="V792">
        <f t="shared" si="72"/>
        <v>4272.576</v>
      </c>
      <c r="W792">
        <f t="shared" si="73"/>
        <v>943.65999999999985</v>
      </c>
      <c r="X792">
        <f t="shared" si="74"/>
        <v>0.22086420851101676</v>
      </c>
      <c r="Y792" t="str">
        <f>_xlfn.TEXTJOIN(", ",TRUE,IF(G792="Unknown","Missing Region",""),IF(M792="Unknown","Missing Ship Mode",""),IF(P792&lt;0,"Negative Discount",""),IF(P792&gt;0.7,"High Discount",""),IF(C792&lt;B792,"Ship Before Order",""))</f>
        <v>Ship Before Order</v>
      </c>
      <c r="Z792" s="2">
        <f>IFERROR(
  IF(ISNUMBER(B792),B792,
    IF(ISNUMBER(SEARCH("-",B792)*1),
      IF(LEN(LEFT(B792,FIND("-",B792)-1))=4,
        DATE(VALUE(LEFT(B792,4)),VALUE(MID(B792,6,2)),VALUE(RIGHT(B792,2))),
        DATE(VALUE(RIGHT(B792,4)),VALUE(MID(B792,4,2)),VALUE(LEFT(B792,2)))
      ),
      IF(ISNUMBER(SEARCH("/",B792)*1),
        DATE(VALUE(RIGHT(B792,4)),VALUE(LEFT(B792,2)),VALUE(MID(B792,4,2))),
        DATEVALUE(B792)
      )
    )
  ),
"INVALID_DATE")</f>
        <v>45443</v>
      </c>
      <c r="AA792" s="2">
        <f>IFERROR(
  IF(ISNUMBER(C792),C792,
    IF(ISNUMBER(SEARCH("-",C792)*1),
      IF(LEN(LEFT(C792,FIND("-",C792)-1))=4,
        DATE(VALUE(LEFT(C792,4)),VALUE(MID(C792,6,2)),VALUE(RIGHT(C792,2))),
        DATE(VALUE(RIGHT(C792,4)),VALUE(MID(C792,4,2)),VALUE(LEFT(C792,2)))
      ),
      IF(ISNUMBER(SEARCH("/",C792)*1),
        DATE(VALUE(RIGHT(C792,4)),VALUE(LEFT(C792,2)),VALUE(MID(C792,4,2))),
        DATEVALUE(C792)
      )
    )
  ),
"INVALID_DATE")</f>
        <v>45445</v>
      </c>
      <c r="AB792">
        <f t="shared" si="75"/>
        <v>2</v>
      </c>
      <c r="AC792" t="str">
        <f t="shared" si="76"/>
        <v>May</v>
      </c>
      <c r="AD792">
        <f t="shared" si="77"/>
        <v>2024</v>
      </c>
    </row>
    <row r="793" spans="1:30">
      <c r="A793" t="s">
        <v>3655</v>
      </c>
      <c r="B793" t="s">
        <v>3021</v>
      </c>
      <c r="C793" t="s">
        <v>3656</v>
      </c>
      <c r="D793" t="s">
        <v>3657</v>
      </c>
      <c r="E793" t="s">
        <v>155</v>
      </c>
      <c r="F793" t="s">
        <v>122</v>
      </c>
      <c r="G793" t="s">
        <v>69</v>
      </c>
      <c r="H793" t="s">
        <v>236</v>
      </c>
      <c r="I793" t="s">
        <v>237</v>
      </c>
      <c r="J793" t="s">
        <v>52</v>
      </c>
      <c r="K793" t="s">
        <v>211</v>
      </c>
      <c r="L793" t="s">
        <v>3658</v>
      </c>
      <c r="M793" t="s">
        <v>55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41</v>
      </c>
      <c r="U793" t="s">
        <v>42</v>
      </c>
      <c r="V793">
        <f t="shared" si="72"/>
        <v>9352.619999999999</v>
      </c>
      <c r="W793">
        <f t="shared" si="73"/>
        <v>4083.2100000000009</v>
      </c>
      <c r="X793">
        <f t="shared" si="74"/>
        <v>0.43658461479243243</v>
      </c>
      <c r="Y793" t="str">
        <f>_xlfn.TEXTJOIN(", ",TRUE,IF(G793="Unknown","Missing Region",""),IF(M793="Unknown","Missing Ship Mode",""),IF(P793&lt;0,"Negative Discount",""),IF(P793&gt;0.7,"High Discount",""),IF(C793&lt;B793,"Ship Before Order",""))</f>
        <v/>
      </c>
      <c r="Z793" s="2">
        <f>IFERROR(
  IF(ISNUMBER(B793),B793,
    IF(ISNUMBER(SEARCH("-",B793)*1),
      IF(LEN(LEFT(B793,FIND("-",B793)-1))=4,
        DATE(VALUE(LEFT(B793,4)),VALUE(MID(B793,6,2)),VALUE(RIGHT(B793,2))),
        DATE(VALUE(RIGHT(B793,4)),VALUE(MID(B793,4,2)),VALUE(LEFT(B793,2)))
      ),
      IF(ISNUMBER(SEARCH("/",B793)*1),
        DATE(VALUE(RIGHT(B793,4)),VALUE(LEFT(B793,2)),VALUE(MID(B793,4,2))),
        DATEVALUE(B793)
      )
    )
  ),
"INVALID_DATE")</f>
        <v>45567</v>
      </c>
      <c r="AA793" s="2">
        <f>IFERROR(
  IF(ISNUMBER(C793),C793,
    IF(ISNUMBER(SEARCH("-",C793)*1),
      IF(LEN(LEFT(C793,FIND("-",C793)-1))=4,
        DATE(VALUE(LEFT(C793,4)),VALUE(MID(C793,6,2)),VALUE(RIGHT(C793,2))),
        DATE(VALUE(RIGHT(C793,4)),VALUE(MID(C793,4,2)),VALUE(LEFT(C793,2)))
      ),
      IF(ISNUMBER(SEARCH("/",C793)*1),
        DATE(VALUE(RIGHT(C793,4)),VALUE(LEFT(C793,2)),VALUE(MID(C793,4,2))),
        DATEVALUE(C793)
      )
    )
  ),
"INVALID_DATE")</f>
        <v>45571</v>
      </c>
      <c r="AB793">
        <f t="shared" si="75"/>
        <v>4</v>
      </c>
      <c r="AC793" t="str">
        <f t="shared" si="76"/>
        <v>October</v>
      </c>
      <c r="AD793">
        <f t="shared" si="77"/>
        <v>2024</v>
      </c>
    </row>
    <row r="794" spans="1:30">
      <c r="A794" t="s">
        <v>3659</v>
      </c>
      <c r="B794" t="s">
        <v>1238</v>
      </c>
      <c r="C794" t="s">
        <v>3660</v>
      </c>
      <c r="D794" t="s">
        <v>3661</v>
      </c>
      <c r="E794" t="s">
        <v>68</v>
      </c>
      <c r="F794" t="s">
        <v>48</v>
      </c>
      <c r="G794" t="s">
        <v>49</v>
      </c>
      <c r="H794" t="s">
        <v>223</v>
      </c>
      <c r="I794" t="s">
        <v>224</v>
      </c>
      <c r="J794" t="s">
        <v>52</v>
      </c>
      <c r="K794" t="s">
        <v>72</v>
      </c>
      <c r="L794" t="s">
        <v>3662</v>
      </c>
      <c r="M794" t="s">
        <v>40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41</v>
      </c>
      <c r="U794" t="s">
        <v>132</v>
      </c>
      <c r="V794">
        <f t="shared" si="72"/>
        <v>2800.8960000000002</v>
      </c>
      <c r="W794">
        <f t="shared" si="73"/>
        <v>1064.92</v>
      </c>
      <c r="X794">
        <f t="shared" si="74"/>
        <v>0.38020636224070836</v>
      </c>
      <c r="Y794" t="str">
        <f>_xlfn.TEXTJOIN(", ",TRUE,IF(G794="Unknown","Missing Region",""),IF(M794="Unknown","Missing Ship Mode",""),IF(P794&lt;0,"Negative Discount",""),IF(P794&gt;0.7,"High Discount",""),IF(C794&lt;B794,"Ship Before Order",""))</f>
        <v>Ship Before Order</v>
      </c>
      <c r="Z794" s="2">
        <f>IFERROR(
  IF(ISNUMBER(B794),B794,
    IF(ISNUMBER(SEARCH("-",B794)*1),
      IF(LEN(LEFT(B794,FIND("-",B794)-1))=4,
        DATE(VALUE(LEFT(B794,4)),VALUE(MID(B794,6,2)),VALUE(RIGHT(B794,2))),
        DATE(VALUE(RIGHT(B794,4)),VALUE(MID(B794,4,2)),VALUE(LEFT(B794,2)))
      ),
      IF(ISNUMBER(SEARCH("/",B794)*1),
        DATE(VALUE(RIGHT(B794,4)),VALUE(LEFT(B794,2)),VALUE(MID(B794,4,2))),
        DATEVALUE(B794)
      )
    )
  ),
"INVALID_DATE")</f>
        <v>45812</v>
      </c>
      <c r="AA794" s="2">
        <f>IFERROR(
  IF(ISNUMBER(C794),C794,
    IF(ISNUMBER(SEARCH("-",C794)*1),
      IF(LEN(LEFT(C794,FIND("-",C794)-1))=4,
        DATE(VALUE(LEFT(C794,4)),VALUE(MID(C794,6,2)),VALUE(RIGHT(C794,2))),
        DATE(VALUE(RIGHT(C794,4)),VALUE(MID(C794,4,2)),VALUE(LEFT(C794,2)))
      ),
      IF(ISNUMBER(SEARCH("/",C794)*1),
        DATE(VALUE(RIGHT(C794,4)),VALUE(LEFT(C794,2)),VALUE(MID(C794,4,2))),
        DATEVALUE(C794)
      )
    )
  ),
"INVALID_DATE")</f>
        <v>45816</v>
      </c>
      <c r="AB794">
        <f t="shared" si="75"/>
        <v>4</v>
      </c>
      <c r="AC794" t="str">
        <f t="shared" si="76"/>
        <v>June</v>
      </c>
      <c r="AD794">
        <f t="shared" si="77"/>
        <v>2025</v>
      </c>
    </row>
    <row r="795" spans="1:30">
      <c r="A795" t="s">
        <v>3663</v>
      </c>
      <c r="B795" t="s">
        <v>88</v>
      </c>
      <c r="C795" t="s">
        <v>3664</v>
      </c>
      <c r="D795" t="s">
        <v>3665</v>
      </c>
      <c r="E795" t="s">
        <v>90</v>
      </c>
      <c r="F795" t="s">
        <v>115</v>
      </c>
      <c r="G795" t="s">
        <v>34</v>
      </c>
      <c r="H795" t="s">
        <v>35</v>
      </c>
      <c r="I795" t="s">
        <v>36</v>
      </c>
      <c r="J795" t="s">
        <v>93</v>
      </c>
      <c r="K795" t="s">
        <v>101</v>
      </c>
      <c r="L795" t="s">
        <v>3666</v>
      </c>
      <c r="M795" t="s">
        <v>40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41</v>
      </c>
      <c r="U795" t="s">
        <v>42</v>
      </c>
      <c r="V795">
        <f t="shared" si="72"/>
        <v>21511.599999999999</v>
      </c>
      <c r="W795">
        <f t="shared" si="73"/>
        <v>6103.1299999999992</v>
      </c>
      <c r="X795">
        <f t="shared" si="74"/>
        <v>0.28371343833094703</v>
      </c>
      <c r="Y795" t="str">
        <f>_xlfn.TEXTJOIN(", ",TRUE,IF(G795="Unknown","Missing Region",""),IF(M795="Unknown","Missing Ship Mode",""),IF(P795&lt;0,"Negative Discount",""),IF(P795&gt;0.7,"High Discount",""),IF(C795&lt;B795,"Ship Before Order",""))</f>
        <v>Ship Before Order</v>
      </c>
      <c r="Z795" s="2">
        <f>IFERROR(
  IF(ISNUMBER(B795),B795,
    IF(ISNUMBER(SEARCH("-",B795)*1),
      IF(LEN(LEFT(B795,FIND("-",B795)-1))=4,
        DATE(VALUE(LEFT(B795,4)),VALUE(MID(B795,6,2)),VALUE(RIGHT(B795,2))),
        DATE(VALUE(RIGHT(B795,4)),VALUE(MID(B795,4,2)),VALUE(LEFT(B795,2)))
      ),
      IF(ISNUMBER(SEARCH("/",B795)*1),
        DATE(VALUE(RIGHT(B795,4)),VALUE(LEFT(B795,2)),VALUE(MID(B795,4,2))),
        DATEVALUE(B795)
      )
    )
  ),
"INVALID_DATE")</f>
        <v>45440</v>
      </c>
      <c r="AA795" s="2">
        <f>IFERROR(
  IF(ISNUMBER(C795),C795,
    IF(ISNUMBER(SEARCH("-",C795)*1),
      IF(LEN(LEFT(C795,FIND("-",C795)-1))=4,
        DATE(VALUE(LEFT(C795,4)),VALUE(MID(C795,6,2)),VALUE(RIGHT(C795,2))),
        DATE(VALUE(RIGHT(C795,4)),VALUE(MID(C795,4,2)),VALUE(LEFT(C795,2)))
      ),
      IF(ISNUMBER(SEARCH("/",C795)*1),
        DATE(VALUE(RIGHT(C795,4)),VALUE(LEFT(C795,2)),VALUE(MID(C795,4,2))),
        DATEVALUE(C795)
      )
    )
  ),
"INVALID_DATE")</f>
        <v>45446</v>
      </c>
      <c r="AB795">
        <f t="shared" si="75"/>
        <v>6</v>
      </c>
      <c r="AC795" t="str">
        <f t="shared" si="76"/>
        <v>May</v>
      </c>
      <c r="AD795">
        <f t="shared" si="77"/>
        <v>2024</v>
      </c>
    </row>
    <row r="796" spans="1:30">
      <c r="A796" t="s">
        <v>3667</v>
      </c>
      <c r="B796" t="s">
        <v>3668</v>
      </c>
      <c r="C796" t="s">
        <v>1004</v>
      </c>
      <c r="D796" t="s">
        <v>3669</v>
      </c>
      <c r="E796" t="s">
        <v>175</v>
      </c>
      <c r="F796" t="s">
        <v>115</v>
      </c>
      <c r="G796" t="s">
        <v>49</v>
      </c>
      <c r="H796" t="s">
        <v>223</v>
      </c>
      <c r="I796" t="s">
        <v>224</v>
      </c>
      <c r="J796" t="s">
        <v>37</v>
      </c>
      <c r="K796" t="s">
        <v>38</v>
      </c>
      <c r="L796" t="s">
        <v>3670</v>
      </c>
      <c r="M796" t="s">
        <v>74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41</v>
      </c>
      <c r="U796" t="s">
        <v>42</v>
      </c>
      <c r="V796">
        <f t="shared" si="72"/>
        <v>7279.3575000000001</v>
      </c>
      <c r="W796">
        <f t="shared" si="73"/>
        <v>2408.9699999999993</v>
      </c>
      <c r="X796">
        <f t="shared" si="74"/>
        <v>0.33093156541234392</v>
      </c>
      <c r="Y796" t="str">
        <f>_xlfn.TEXTJOIN(", ",TRUE,IF(G796="Unknown","Missing Region",""),IF(M796="Unknown","Missing Ship Mode",""),IF(P796&lt;0,"Negative Discount",""),IF(P796&gt;0.7,"High Discount",""),IF(C796&lt;B796,"Ship Before Order",""))</f>
        <v/>
      </c>
      <c r="Z796" s="2">
        <f>IFERROR(
  IF(ISNUMBER(B796),B796,
    IF(ISNUMBER(SEARCH("-",B796)*1),
      IF(LEN(LEFT(B796,FIND("-",B796)-1))=4,
        DATE(VALUE(LEFT(B796,4)),VALUE(MID(B796,6,2)),VALUE(RIGHT(B796,2))),
        DATE(VALUE(RIGHT(B796,4)),VALUE(MID(B796,4,2)),VALUE(LEFT(B796,2)))
      ),
      IF(ISNUMBER(SEARCH("/",B796)*1),
        DATE(VALUE(RIGHT(B796,4)),VALUE(LEFT(B796,2)),VALUE(MID(B796,4,2))),
        DATEVALUE(B796)
      )
    )
  ),
"INVALID_DATE")</f>
        <v>45830</v>
      </c>
      <c r="AA796" s="2">
        <f>IFERROR(
  IF(ISNUMBER(C796),C796,
    IF(ISNUMBER(SEARCH("-",C796)*1),
      IF(LEN(LEFT(C796,FIND("-",C796)-1))=4,
        DATE(VALUE(LEFT(C796,4)),VALUE(MID(C796,6,2)),VALUE(RIGHT(C796,2))),
        DATE(VALUE(RIGHT(C796,4)),VALUE(MID(C796,4,2)),VALUE(LEFT(C796,2)))
      ),
      IF(ISNUMBER(SEARCH("/",C796)*1),
        DATE(VALUE(RIGHT(C796,4)),VALUE(LEFT(C796,2)),VALUE(MID(C796,4,2))),
        DATEVALUE(C796)
      )
    )
  ),
"INVALID_DATE")</f>
        <v>45832</v>
      </c>
      <c r="AB796">
        <f t="shared" si="75"/>
        <v>2</v>
      </c>
      <c r="AC796" t="str">
        <f t="shared" si="76"/>
        <v>June</v>
      </c>
      <c r="AD796">
        <f t="shared" si="77"/>
        <v>2025</v>
      </c>
    </row>
    <row r="797" spans="1:30">
      <c r="A797" t="s">
        <v>3671</v>
      </c>
      <c r="B797" t="s">
        <v>3672</v>
      </c>
      <c r="C797" t="s">
        <v>537</v>
      </c>
      <c r="D797" t="s">
        <v>3673</v>
      </c>
      <c r="E797" t="s">
        <v>217</v>
      </c>
      <c r="F797" t="s">
        <v>122</v>
      </c>
      <c r="G797" t="s">
        <v>49</v>
      </c>
      <c r="H797" t="s">
        <v>50</v>
      </c>
      <c r="I797" t="s">
        <v>51</v>
      </c>
      <c r="J797" t="s">
        <v>93</v>
      </c>
      <c r="K797" t="s">
        <v>101</v>
      </c>
      <c r="L797" t="s">
        <v>3674</v>
      </c>
      <c r="M797" t="s">
        <v>55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131</v>
      </c>
      <c r="U797" t="s">
        <v>85</v>
      </c>
      <c r="V797">
        <f t="shared" si="72"/>
        <v>26051.94</v>
      </c>
      <c r="W797">
        <f t="shared" si="73"/>
        <v>9168.3499999999985</v>
      </c>
      <c r="X797">
        <f t="shared" si="74"/>
        <v>0.35192580667696921</v>
      </c>
      <c r="Y797" t="str">
        <f>_xlfn.TEXTJOIN(", ",TRUE,IF(G797="Unknown","Missing Region",""),IF(M797="Unknown","Missing Ship Mode",""),IF(P797&lt;0,"Negative Discount",""),IF(P797&gt;0.7,"High Discount",""),IF(C797&lt;B797,"Ship Before Order",""))</f>
        <v>Ship Before Order</v>
      </c>
      <c r="Z797" s="2">
        <f>IFERROR(
  IF(ISNUMBER(B797),B797,
    IF(ISNUMBER(SEARCH("-",B797)*1),
      IF(LEN(LEFT(B797,FIND("-",B797)-1))=4,
        DATE(VALUE(LEFT(B797,4)),VALUE(MID(B797,6,2)),VALUE(RIGHT(B797,2))),
        DATE(VALUE(RIGHT(B797,4)),VALUE(MID(B797,4,2)),VALUE(LEFT(B797,2)))
      ),
      IF(ISNUMBER(SEARCH("/",B797)*1),
        DATE(VALUE(RIGHT(B797,4)),VALUE(LEFT(B797,2)),VALUE(MID(B797,4,2))),
        DATEVALUE(B797)
      )
    )
  ),
"INVALID_DATE")</f>
        <v>45503</v>
      </c>
      <c r="AA797" s="2">
        <f>IFERROR(
  IF(ISNUMBER(C797),C797,
    IF(ISNUMBER(SEARCH("-",C797)*1),
      IF(LEN(LEFT(C797,FIND("-",C797)-1))=4,
        DATE(VALUE(LEFT(C797,4)),VALUE(MID(C797,6,2)),VALUE(RIGHT(C797,2))),
        DATE(VALUE(RIGHT(C797,4)),VALUE(MID(C797,4,2)),VALUE(LEFT(C797,2)))
      ),
      IF(ISNUMBER(SEARCH("/",C797)*1),
        DATE(VALUE(RIGHT(C797,4)),VALUE(LEFT(C797,2)),VALUE(MID(C797,4,2))),
        DATEVALUE(C797)
      )
    )
  ),
"INVALID_DATE")</f>
        <v>45503</v>
      </c>
      <c r="AB797">
        <f t="shared" si="75"/>
        <v>0</v>
      </c>
      <c r="AC797" t="str">
        <f t="shared" si="76"/>
        <v>July</v>
      </c>
      <c r="AD797">
        <f t="shared" si="77"/>
        <v>2024</v>
      </c>
    </row>
    <row r="798" spans="1:30">
      <c r="A798" t="s">
        <v>3675</v>
      </c>
      <c r="B798" t="s">
        <v>804</v>
      </c>
      <c r="C798" t="s">
        <v>3676</v>
      </c>
      <c r="D798" t="s">
        <v>3677</v>
      </c>
      <c r="E798" t="s">
        <v>187</v>
      </c>
      <c r="F798" t="s">
        <v>48</v>
      </c>
      <c r="G798" t="s">
        <v>69</v>
      </c>
      <c r="H798" t="s">
        <v>107</v>
      </c>
      <c r="I798" t="s">
        <v>108</v>
      </c>
      <c r="J798" t="s">
        <v>93</v>
      </c>
      <c r="K798" t="s">
        <v>390</v>
      </c>
      <c r="L798" t="s">
        <v>3678</v>
      </c>
      <c r="M798" t="s">
        <v>63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41</v>
      </c>
      <c r="U798" t="s">
        <v>42</v>
      </c>
      <c r="V798">
        <f t="shared" si="72"/>
        <v>9661.6440000000002</v>
      </c>
      <c r="W798">
        <f t="shared" si="73"/>
        <v>3357.869999999999</v>
      </c>
      <c r="X798">
        <f t="shared" si="74"/>
        <v>0.34754658629383833</v>
      </c>
      <c r="Y798" t="str">
        <f>_xlfn.TEXTJOIN(", ",TRUE,IF(G798="Unknown","Missing Region",""),IF(M798="Unknown","Missing Ship Mode",""),IF(P798&lt;0,"Negative Discount",""),IF(P798&gt;0.7,"High Discount",""),IF(C798&lt;B798,"Ship Before Order",""))</f>
        <v/>
      </c>
      <c r="Z798" s="2">
        <f>IFERROR(
  IF(ISNUMBER(B798),B798,
    IF(ISNUMBER(SEARCH("-",B798)*1),
      IF(LEN(LEFT(B798,FIND("-",B798)-1))=4,
        DATE(VALUE(LEFT(B798,4)),VALUE(MID(B798,6,2)),VALUE(RIGHT(B798,2))),
        DATE(VALUE(RIGHT(B798,4)),VALUE(MID(B798,4,2)),VALUE(LEFT(B798,2)))
      ),
      IF(ISNUMBER(SEARCH("/",B798)*1),
        DATE(VALUE(RIGHT(B798,4)),VALUE(LEFT(B798,2)),VALUE(MID(B798,4,2))),
        DATEVALUE(B798)
      )
    )
  ),
"INVALID_DATE")</f>
        <v>45374</v>
      </c>
      <c r="AA798" s="2">
        <f>IFERROR(
  IF(ISNUMBER(C798),C798,
    IF(ISNUMBER(SEARCH("-",C798)*1),
      IF(LEN(LEFT(C798,FIND("-",C798)-1))=4,
        DATE(VALUE(LEFT(C798,4)),VALUE(MID(C798,6,2)),VALUE(RIGHT(C798,2))),
        DATE(VALUE(RIGHT(C798,4)),VALUE(MID(C798,4,2)),VALUE(LEFT(C798,2)))
      ),
      IF(ISNUMBER(SEARCH("/",C798)*1),
        DATE(VALUE(RIGHT(C798,4)),VALUE(LEFT(C798,2)),VALUE(MID(C798,4,2))),
        DATEVALUE(C798)
      )
    )
  ),
"INVALID_DATE")</f>
        <v>45381</v>
      </c>
      <c r="AB798">
        <f t="shared" si="75"/>
        <v>7</v>
      </c>
      <c r="AC798" t="str">
        <f t="shared" si="76"/>
        <v>March</v>
      </c>
      <c r="AD798">
        <f t="shared" si="77"/>
        <v>2024</v>
      </c>
    </row>
    <row r="799" spans="1:30">
      <c r="A799" t="s">
        <v>3679</v>
      </c>
      <c r="B799" t="s">
        <v>3680</v>
      </c>
      <c r="C799" t="s">
        <v>3591</v>
      </c>
      <c r="D799" t="s">
        <v>3681</v>
      </c>
      <c r="E799" t="s">
        <v>169</v>
      </c>
      <c r="F799" t="s">
        <v>33</v>
      </c>
      <c r="G799" t="s">
        <v>49</v>
      </c>
      <c r="H799" t="s">
        <v>50</v>
      </c>
      <c r="I799" t="s">
        <v>51</v>
      </c>
      <c r="J799" t="s">
        <v>37</v>
      </c>
      <c r="K799" t="s">
        <v>205</v>
      </c>
      <c r="L799" t="s">
        <v>3682</v>
      </c>
      <c r="M799" t="s">
        <v>63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207</v>
      </c>
      <c r="U799" t="s">
        <v>85</v>
      </c>
      <c r="V799">
        <f t="shared" si="72"/>
        <v>13714.96</v>
      </c>
      <c r="W799">
        <f t="shared" si="73"/>
        <v>3164.49</v>
      </c>
      <c r="X799">
        <f t="shared" si="74"/>
        <v>0.23073271814135804</v>
      </c>
      <c r="Y799" t="str">
        <f>_xlfn.TEXTJOIN(", ",TRUE,IF(G799="Unknown","Missing Region",""),IF(M799="Unknown","Missing Ship Mode",""),IF(P799&lt;0,"Negative Discount",""),IF(P799&gt;0.7,"High Discount",""),IF(C799&lt;B799,"Ship Before Order",""))</f>
        <v/>
      </c>
      <c r="Z799" s="2">
        <f>IFERROR(
  IF(ISNUMBER(B799),B799,
    IF(ISNUMBER(SEARCH("-",B799)*1),
      IF(LEN(LEFT(B799,FIND("-",B799)-1))=4,
        DATE(VALUE(LEFT(B799,4)),VALUE(MID(B799,6,2)),VALUE(RIGHT(B799,2))),
        DATE(VALUE(RIGHT(B799,4)),VALUE(MID(B799,4,2)),VALUE(LEFT(B799,2)))
      ),
      IF(ISNUMBER(SEARCH("/",B799)*1),
        DATE(VALUE(RIGHT(B799,4)),VALUE(LEFT(B799,2)),VALUE(MID(B799,4,2))),
        DATEVALUE(B799)
      )
    )
  ),
"INVALID_DATE")</f>
        <v>45400</v>
      </c>
      <c r="AA799" s="2">
        <f>IFERROR(
  IF(ISNUMBER(C799),C799,
    IF(ISNUMBER(SEARCH("-",C799)*1),
      IF(LEN(LEFT(C799,FIND("-",C799)-1))=4,
        DATE(VALUE(LEFT(C799,4)),VALUE(MID(C799,6,2)),VALUE(RIGHT(C799,2))),
        DATE(VALUE(RIGHT(C799,4)),VALUE(MID(C799,4,2)),VALUE(LEFT(C799,2)))
      ),
      IF(ISNUMBER(SEARCH("/",C799)*1),
        DATE(VALUE(RIGHT(C799,4)),VALUE(LEFT(C799,2)),VALUE(MID(C799,4,2))),
        DATEVALUE(C799)
      )
    )
  ),
"INVALID_DATE")</f>
        <v>45404</v>
      </c>
      <c r="AB799">
        <f t="shared" si="75"/>
        <v>4</v>
      </c>
      <c r="AC799" t="str">
        <f t="shared" si="76"/>
        <v>April</v>
      </c>
      <c r="AD799">
        <f t="shared" si="77"/>
        <v>2024</v>
      </c>
    </row>
    <row r="800" spans="1:30">
      <c r="A800" t="s">
        <v>3683</v>
      </c>
      <c r="B800" t="s">
        <v>3684</v>
      </c>
      <c r="C800" t="s">
        <v>3685</v>
      </c>
      <c r="D800" t="s">
        <v>3686</v>
      </c>
      <c r="E800" t="s">
        <v>114</v>
      </c>
      <c r="F800" t="s">
        <v>115</v>
      </c>
      <c r="G800" t="s">
        <v>34</v>
      </c>
      <c r="H800" t="s">
        <v>514</v>
      </c>
      <c r="I800" t="s">
        <v>515</v>
      </c>
      <c r="J800" t="s">
        <v>52</v>
      </c>
      <c r="K800" t="s">
        <v>72</v>
      </c>
      <c r="L800" t="s">
        <v>3687</v>
      </c>
      <c r="M800" t="s">
        <v>74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41</v>
      </c>
      <c r="U800" t="s">
        <v>42</v>
      </c>
      <c r="V800">
        <f t="shared" si="72"/>
        <v>15354.449999999999</v>
      </c>
      <c r="W800">
        <f t="shared" si="73"/>
        <v>5697.9500000000007</v>
      </c>
      <c r="X800">
        <f t="shared" si="74"/>
        <v>0.37109437329243311</v>
      </c>
      <c r="Y800" t="str">
        <f>_xlfn.TEXTJOIN(", ",TRUE,IF(G800="Unknown","Missing Region",""),IF(M800="Unknown","Missing Ship Mode",""),IF(P800&lt;0,"Negative Discount",""),IF(P800&gt;0.7,"High Discount",""),IF(C800&lt;B800,"Ship Before Order",""))</f>
        <v>Ship Before Order</v>
      </c>
      <c r="Z800" s="2">
        <f>IFERROR(
  IF(ISNUMBER(B800),B800,
    IF(ISNUMBER(SEARCH("-",B800)*1),
      IF(LEN(LEFT(B800,FIND("-",B800)-1))=4,
        DATE(VALUE(LEFT(B800,4)),VALUE(MID(B800,6,2)),VALUE(RIGHT(B800,2))),
        DATE(VALUE(RIGHT(B800,4)),VALUE(MID(B800,4,2)),VALUE(LEFT(B800,2)))
      ),
      IF(ISNUMBER(SEARCH("/",B800)*1),
        DATE(VALUE(RIGHT(B800,4)),VALUE(LEFT(B800,2)),VALUE(MID(B800,4,2))),
        DATEVALUE(B800)
      )
    )
  ),
"INVALID_DATE")</f>
        <v>45849</v>
      </c>
      <c r="AA800" s="2">
        <f>IFERROR(
  IF(ISNUMBER(C800),C800,
    IF(ISNUMBER(SEARCH("-",C800)*1),
      IF(LEN(LEFT(C800,FIND("-",C800)-1))=4,
        DATE(VALUE(LEFT(C800,4)),VALUE(MID(C800,6,2)),VALUE(RIGHT(C800,2))),
        DATE(VALUE(RIGHT(C800,4)),VALUE(MID(C800,4,2)),VALUE(LEFT(C800,2)))
      ),
      IF(ISNUMBER(SEARCH("/",C800)*1),
        DATE(VALUE(RIGHT(C800,4)),VALUE(LEFT(C800,2)),VALUE(MID(C800,4,2))),
        DATEVALUE(C800)
      )
    )
  ),
"INVALID_DATE")</f>
        <v>45847</v>
      </c>
      <c r="AB800">
        <f t="shared" si="75"/>
        <v>-2</v>
      </c>
      <c r="AC800" t="str">
        <f t="shared" si="76"/>
        <v>July</v>
      </c>
      <c r="AD800">
        <f t="shared" si="77"/>
        <v>2025</v>
      </c>
    </row>
    <row r="801" spans="1:30">
      <c r="A801" t="s">
        <v>3688</v>
      </c>
      <c r="B801" t="s">
        <v>3374</v>
      </c>
      <c r="C801" t="s">
        <v>2551</v>
      </c>
      <c r="D801" t="s">
        <v>3689</v>
      </c>
      <c r="E801" t="s">
        <v>60</v>
      </c>
      <c r="F801" t="s">
        <v>122</v>
      </c>
      <c r="G801" t="s">
        <v>34</v>
      </c>
      <c r="H801" t="s">
        <v>331</v>
      </c>
      <c r="I801" t="s">
        <v>332</v>
      </c>
      <c r="J801" t="s">
        <v>93</v>
      </c>
      <c r="K801" t="s">
        <v>94</v>
      </c>
      <c r="L801" t="s">
        <v>3690</v>
      </c>
      <c r="M801" t="s">
        <v>279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41</v>
      </c>
      <c r="U801" t="s">
        <v>132</v>
      </c>
      <c r="V801">
        <f t="shared" si="72"/>
        <v>4595.1975000000002</v>
      </c>
      <c r="W801">
        <f t="shared" si="73"/>
        <v>707.79</v>
      </c>
      <c r="X801">
        <f t="shared" si="74"/>
        <v>0.15402811629526461</v>
      </c>
      <c r="Y801" t="str">
        <f>_xlfn.TEXTJOIN(", ",TRUE,IF(G801="Unknown","Missing Region",""),IF(M801="Unknown","Missing Ship Mode",""),IF(P801&lt;0,"Negative Discount",""),IF(P801&gt;0.7,"High Discount",""),IF(C801&lt;B801,"Ship Before Order",""))</f>
        <v>Missing Ship Mode</v>
      </c>
      <c r="Z801" s="2">
        <f>IFERROR(
  IF(ISNUMBER(B801),B801,
    IF(ISNUMBER(SEARCH("-",B801)*1),
      IF(LEN(LEFT(B801,FIND("-",B801)-1))=4,
        DATE(VALUE(LEFT(B801,4)),VALUE(MID(B801,6,2)),VALUE(RIGHT(B801,2))),
        DATE(VALUE(RIGHT(B801,4)),VALUE(MID(B801,4,2)),VALUE(LEFT(B801,2)))
      ),
      IF(ISNUMBER(SEARCH("/",B801)*1),
        DATE(VALUE(RIGHT(B801,4)),VALUE(LEFT(B801,2)),VALUE(MID(B801,4,2))),
        DATEVALUE(B801)
      )
    )
  ),
"INVALID_DATE")</f>
        <v>45575</v>
      </c>
      <c r="AA801" s="2">
        <f>IFERROR(
  IF(ISNUMBER(C801),C801,
    IF(ISNUMBER(SEARCH("-",C801)*1),
      IF(LEN(LEFT(C801,FIND("-",C801)-1))=4,
        DATE(VALUE(LEFT(C801,4)),VALUE(MID(C801,6,2)),VALUE(RIGHT(C801,2))),
        DATE(VALUE(RIGHT(C801,4)),VALUE(MID(C801,4,2)),VALUE(LEFT(C801,2)))
      ),
      IF(ISNUMBER(SEARCH("/",C801)*1),
        DATE(VALUE(RIGHT(C801,4)),VALUE(LEFT(C801,2)),VALUE(MID(C801,4,2))),
        DATEVALUE(C801)
      )
    )
  ),
"INVALID_DATE")</f>
        <v>45582</v>
      </c>
      <c r="AB801">
        <f t="shared" si="75"/>
        <v>7</v>
      </c>
      <c r="AC801" t="str">
        <f t="shared" si="76"/>
        <v>October</v>
      </c>
      <c r="AD801">
        <f t="shared" si="77"/>
        <v>2024</v>
      </c>
    </row>
    <row r="802" spans="1:30">
      <c r="A802" t="s">
        <v>3691</v>
      </c>
      <c r="B802" t="s">
        <v>3692</v>
      </c>
      <c r="C802" t="s">
        <v>3693</v>
      </c>
      <c r="D802" t="s">
        <v>3694</v>
      </c>
      <c r="E802" t="s">
        <v>90</v>
      </c>
      <c r="F802" t="s">
        <v>48</v>
      </c>
      <c r="G802" t="s">
        <v>80</v>
      </c>
      <c r="H802" t="s">
        <v>81</v>
      </c>
      <c r="I802" t="s">
        <v>82</v>
      </c>
      <c r="J802" t="s">
        <v>37</v>
      </c>
      <c r="K802" t="s">
        <v>163</v>
      </c>
      <c r="L802" t="s">
        <v>3695</v>
      </c>
      <c r="M802" t="s">
        <v>40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41</v>
      </c>
      <c r="U802" t="s">
        <v>42</v>
      </c>
      <c r="V802">
        <f t="shared" si="72"/>
        <v>21234.972000000002</v>
      </c>
      <c r="W802">
        <f t="shared" si="73"/>
        <v>4498.880000000001</v>
      </c>
      <c r="X802">
        <f t="shared" si="74"/>
        <v>0.21186184863929641</v>
      </c>
      <c r="Y802" t="str">
        <f>_xlfn.TEXTJOIN(", ",TRUE,IF(G802="Unknown","Missing Region",""),IF(M802="Unknown","Missing Ship Mode",""),IF(P802&lt;0,"Negative Discount",""),IF(P802&gt;0.7,"High Discount",""),IF(C802&lt;B802,"Ship Before Order",""))</f>
        <v/>
      </c>
      <c r="Z802" s="2">
        <f>IFERROR(
  IF(ISNUMBER(B802),B802,
    IF(ISNUMBER(SEARCH("-",B802)*1),
      IF(LEN(LEFT(B802,FIND("-",B802)-1))=4,
        DATE(VALUE(LEFT(B802,4)),VALUE(MID(B802,6,2)),VALUE(RIGHT(B802,2))),
        DATE(VALUE(RIGHT(B802,4)),VALUE(MID(B802,4,2)),VALUE(LEFT(B802,2)))
      ),
      IF(ISNUMBER(SEARCH("/",B802)*1),
        DATE(VALUE(RIGHT(B802,4)),VALUE(LEFT(B802,2)),VALUE(MID(B802,4,2))),
        DATEVALUE(B802)
      )
    )
  ),
"INVALID_DATE")</f>
        <v>45352</v>
      </c>
      <c r="AA802" s="2">
        <f>IFERROR(
  IF(ISNUMBER(C802),C802,
    IF(ISNUMBER(SEARCH("-",C802)*1),
      IF(LEN(LEFT(C802,FIND("-",C802)-1))=4,
        DATE(VALUE(LEFT(C802,4)),VALUE(MID(C802,6,2)),VALUE(RIGHT(C802,2))),
        DATE(VALUE(RIGHT(C802,4)),VALUE(MID(C802,4,2)),VALUE(LEFT(C802,2)))
      ),
      IF(ISNUMBER(SEARCH("/",C802)*1),
        DATE(VALUE(RIGHT(C802,4)),VALUE(LEFT(C802,2)),VALUE(MID(C802,4,2))),
        DATEVALUE(C802)
      )
    )
  ),
"INVALID_DATE")</f>
        <v>45358</v>
      </c>
      <c r="AB802">
        <f t="shared" si="75"/>
        <v>6</v>
      </c>
      <c r="AC802" t="str">
        <f t="shared" si="76"/>
        <v>March</v>
      </c>
      <c r="AD802">
        <f t="shared" si="77"/>
        <v>2024</v>
      </c>
    </row>
    <row r="803" spans="1:30">
      <c r="A803" t="s">
        <v>3696</v>
      </c>
      <c r="B803" t="s">
        <v>3697</v>
      </c>
      <c r="C803" t="s">
        <v>317</v>
      </c>
      <c r="D803" t="s">
        <v>3698</v>
      </c>
      <c r="E803" t="s">
        <v>169</v>
      </c>
      <c r="F803" t="s">
        <v>122</v>
      </c>
      <c r="G803" t="s">
        <v>49</v>
      </c>
      <c r="H803" t="s">
        <v>50</v>
      </c>
      <c r="I803" t="s">
        <v>51</v>
      </c>
      <c r="J803" t="s">
        <v>93</v>
      </c>
      <c r="K803" t="s">
        <v>94</v>
      </c>
      <c r="L803" t="s">
        <v>3699</v>
      </c>
      <c r="M803" t="s">
        <v>40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144</v>
      </c>
      <c r="U803" t="s">
        <v>85</v>
      </c>
      <c r="V803">
        <f t="shared" si="72"/>
        <v>8093.3040000000001</v>
      </c>
      <c r="W803">
        <f t="shared" si="73"/>
        <v>2040.87</v>
      </c>
      <c r="X803">
        <f t="shared" si="74"/>
        <v>0.252167842536419</v>
      </c>
      <c r="Y803" t="str">
        <f>_xlfn.TEXTJOIN(", ",TRUE,IF(G803="Unknown","Missing Region",""),IF(M803="Unknown","Missing Ship Mode",""),IF(P803&lt;0,"Negative Discount",""),IF(P803&gt;0.7,"High Discount",""),IF(C803&lt;B803,"Ship Before Order",""))</f>
        <v>Ship Before Order</v>
      </c>
      <c r="Z803" s="2">
        <f>IFERROR(
  IF(ISNUMBER(B803),B803,
    IF(ISNUMBER(SEARCH("-",B803)*1),
      IF(LEN(LEFT(B803,FIND("-",B803)-1))=4,
        DATE(VALUE(LEFT(B803,4)),VALUE(MID(B803,6,2)),VALUE(RIGHT(B803,2))),
        DATE(VALUE(RIGHT(B803,4)),VALUE(MID(B803,4,2)),VALUE(LEFT(B803,2)))
      ),
      IF(ISNUMBER(SEARCH("/",B803)*1),
        DATE(VALUE(RIGHT(B803,4)),VALUE(LEFT(B803,2)),VALUE(MID(B803,4,2))),
        DATEVALUE(B803)
      )
    )
  ),
"INVALID_DATE")</f>
        <v>45938</v>
      </c>
      <c r="AA803" s="2">
        <f>IFERROR(
  IF(ISNUMBER(C803),C803,
    IF(ISNUMBER(SEARCH("-",C803)*1),
      IF(LEN(LEFT(C803,FIND("-",C803)-1))=4,
        DATE(VALUE(LEFT(C803,4)),VALUE(MID(C803,6,2)),VALUE(RIGHT(C803,2))),
        DATE(VALUE(RIGHT(C803,4)),VALUE(MID(C803,4,2)),VALUE(LEFT(C803,2)))
      ),
      IF(ISNUMBER(SEARCH("/",C803)*1),
        DATE(VALUE(RIGHT(C803,4)),VALUE(LEFT(C803,2)),VALUE(MID(C803,4,2))),
        DATEVALUE(C803)
      )
    )
  ),
"INVALID_DATE")</f>
        <v>45945</v>
      </c>
      <c r="AB803">
        <f t="shared" si="75"/>
        <v>7</v>
      </c>
      <c r="AC803" t="str">
        <f t="shared" si="76"/>
        <v>October</v>
      </c>
      <c r="AD803">
        <f t="shared" si="77"/>
        <v>2025</v>
      </c>
    </row>
    <row r="804" spans="1:30">
      <c r="A804" t="s">
        <v>3700</v>
      </c>
      <c r="B804" t="s">
        <v>3180</v>
      </c>
      <c r="C804" t="s">
        <v>3701</v>
      </c>
      <c r="D804" t="s">
        <v>3702</v>
      </c>
      <c r="E804" t="s">
        <v>187</v>
      </c>
      <c r="F804" t="s">
        <v>48</v>
      </c>
      <c r="G804" t="s">
        <v>49</v>
      </c>
      <c r="H804" t="s">
        <v>223</v>
      </c>
      <c r="I804" t="s">
        <v>224</v>
      </c>
      <c r="J804" t="s">
        <v>52</v>
      </c>
      <c r="K804" t="s">
        <v>72</v>
      </c>
      <c r="L804" t="s">
        <v>3703</v>
      </c>
      <c r="M804" t="s">
        <v>40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3704</v>
      </c>
      <c r="U804" t="s">
        <v>132</v>
      </c>
      <c r="V804">
        <f t="shared" si="72"/>
        <v>8651.4600000000009</v>
      </c>
      <c r="W804">
        <f t="shared" si="73"/>
        <v>3396.8399999999992</v>
      </c>
      <c r="X804">
        <f t="shared" si="74"/>
        <v>0.39263199506210517</v>
      </c>
      <c r="Y804" t="str">
        <f>_xlfn.TEXTJOIN(", ",TRUE,IF(G804="Unknown","Missing Region",""),IF(M804="Unknown","Missing Ship Mode",""),IF(P804&lt;0,"Negative Discount",""),IF(P804&gt;0.7,"High Discount",""),IF(C804&lt;B804,"Ship Before Order",""))</f>
        <v/>
      </c>
      <c r="Z804" s="2">
        <f>IFERROR(
  IF(ISNUMBER(B804),B804,
    IF(ISNUMBER(SEARCH("-",B804)*1),
      IF(LEN(LEFT(B804,FIND("-",B804)-1))=4,
        DATE(VALUE(LEFT(B804,4)),VALUE(MID(B804,6,2)),VALUE(RIGHT(B804,2))),
        DATE(VALUE(RIGHT(B804,4)),VALUE(MID(B804,4,2)),VALUE(LEFT(B804,2)))
      ),
      IF(ISNUMBER(SEARCH("/",B804)*1),
        DATE(VALUE(RIGHT(B804,4)),VALUE(LEFT(B804,2)),VALUE(MID(B804,4,2))),
        DATEVALUE(B804)
      )
    )
  ),
"INVALID_DATE")</f>
        <v>45704</v>
      </c>
      <c r="AA804" s="2">
        <f>IFERROR(
  IF(ISNUMBER(C804),C804,
    IF(ISNUMBER(SEARCH("-",C804)*1),
      IF(LEN(LEFT(C804,FIND("-",C804)-1))=4,
        DATE(VALUE(LEFT(C804,4)),VALUE(MID(C804,6,2)),VALUE(RIGHT(C804,2))),
        DATE(VALUE(RIGHT(C804,4)),VALUE(MID(C804,4,2)),VALUE(LEFT(C804,2)))
      ),
      IF(ISNUMBER(SEARCH("/",C804)*1),
        DATE(VALUE(RIGHT(C804,4)),VALUE(LEFT(C804,2)),VALUE(MID(C804,4,2))),
        DATEVALUE(C804)
      )
    )
  ),
"INVALID_DATE")</f>
        <v>45704</v>
      </c>
      <c r="AB804">
        <f t="shared" si="75"/>
        <v>0</v>
      </c>
      <c r="AC804" t="str">
        <f t="shared" si="76"/>
        <v>February</v>
      </c>
      <c r="AD804">
        <f t="shared" si="77"/>
        <v>2025</v>
      </c>
    </row>
    <row r="805" spans="1:30">
      <c r="A805" t="s">
        <v>3705</v>
      </c>
      <c r="B805" t="s">
        <v>3706</v>
      </c>
      <c r="C805" t="s">
        <v>741</v>
      </c>
      <c r="D805" t="s">
        <v>3707</v>
      </c>
      <c r="E805" t="s">
        <v>187</v>
      </c>
      <c r="F805" t="s">
        <v>33</v>
      </c>
      <c r="G805" t="s">
        <v>279</v>
      </c>
      <c r="H805" t="s">
        <v>319</v>
      </c>
      <c r="I805" t="s">
        <v>320</v>
      </c>
      <c r="J805" t="s">
        <v>37</v>
      </c>
      <c r="K805" t="s">
        <v>116</v>
      </c>
      <c r="L805" t="s">
        <v>3708</v>
      </c>
      <c r="M805" t="s">
        <v>63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41</v>
      </c>
      <c r="U805" t="s">
        <v>42</v>
      </c>
      <c r="V805">
        <f t="shared" si="72"/>
        <v>4306.6499999999996</v>
      </c>
      <c r="W805">
        <f t="shared" si="73"/>
        <v>1737.8299999999995</v>
      </c>
      <c r="X805">
        <f t="shared" si="74"/>
        <v>0.40352245945224247</v>
      </c>
      <c r="Y805" t="str">
        <f>_xlfn.TEXTJOIN(", ",TRUE,IF(G805="Unknown","Missing Region",""),IF(M805="Unknown","Missing Ship Mode",""),IF(P805&lt;0,"Negative Discount",""),IF(P805&gt;0.7,"High Discount",""),IF(C805&lt;B805,"Ship Before Order",""))</f>
        <v>Missing Region</v>
      </c>
      <c r="Z805" s="2">
        <f>IFERROR(
  IF(ISNUMBER(B805),B805,
    IF(ISNUMBER(SEARCH("-",B805)*1),
      IF(LEN(LEFT(B805,FIND("-",B805)-1))=4,
        DATE(VALUE(LEFT(B805,4)),VALUE(MID(B805,6,2)),VALUE(RIGHT(B805,2))),
        DATE(VALUE(RIGHT(B805,4)),VALUE(MID(B805,4,2)),VALUE(LEFT(B805,2)))
      ),
      IF(ISNUMBER(SEARCH("/",B805)*1),
        DATE(VALUE(RIGHT(B805,4)),VALUE(LEFT(B805,2)),VALUE(MID(B805,4,2))),
        DATEVALUE(B805)
      )
    )
  ),
"INVALID_DATE")</f>
        <v>45635</v>
      </c>
      <c r="AA805" s="2">
        <f>IFERROR(
  IF(ISNUMBER(C805),C805,
    IF(ISNUMBER(SEARCH("-",C805)*1),
      IF(LEN(LEFT(C805,FIND("-",C805)-1))=4,
        DATE(VALUE(LEFT(C805,4)),VALUE(MID(C805,6,2)),VALUE(RIGHT(C805,2))),
        DATE(VALUE(RIGHT(C805,4)),VALUE(MID(C805,4,2)),VALUE(LEFT(C805,2)))
      ),
      IF(ISNUMBER(SEARCH("/",C805)*1),
        DATE(VALUE(RIGHT(C805,4)),VALUE(LEFT(C805,2)),VALUE(MID(C805,4,2))),
        DATEVALUE(C805)
      )
    )
  ),
"INVALID_DATE")</f>
        <v>45639</v>
      </c>
      <c r="AB805">
        <f t="shared" si="75"/>
        <v>4</v>
      </c>
      <c r="AC805" t="str">
        <f t="shared" si="76"/>
        <v>December</v>
      </c>
      <c r="AD805">
        <f t="shared" si="77"/>
        <v>2024</v>
      </c>
    </row>
    <row r="806" spans="1:30">
      <c r="A806" t="s">
        <v>3709</v>
      </c>
      <c r="B806" t="s">
        <v>997</v>
      </c>
      <c r="C806" t="s">
        <v>2204</v>
      </c>
      <c r="D806" t="s">
        <v>3710</v>
      </c>
      <c r="E806" t="s">
        <v>155</v>
      </c>
      <c r="F806" t="s">
        <v>122</v>
      </c>
      <c r="G806" t="s">
        <v>69</v>
      </c>
      <c r="H806" t="s">
        <v>70</v>
      </c>
      <c r="I806" t="s">
        <v>71</v>
      </c>
      <c r="J806" t="s">
        <v>52</v>
      </c>
      <c r="K806" t="s">
        <v>72</v>
      </c>
      <c r="L806" t="s">
        <v>3711</v>
      </c>
      <c r="M806" t="s">
        <v>74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41</v>
      </c>
      <c r="U806" t="s">
        <v>42</v>
      </c>
      <c r="V806">
        <f t="shared" si="72"/>
        <v>1948.0889999999997</v>
      </c>
      <c r="W806">
        <f t="shared" si="73"/>
        <v>441.01</v>
      </c>
      <c r="X806">
        <f t="shared" si="74"/>
        <v>0.22638071136343804</v>
      </c>
      <c r="Y806" t="str">
        <f>_xlfn.TEXTJOIN(", ",TRUE,IF(G806="Unknown","Missing Region",""),IF(M806="Unknown","Missing Ship Mode",""),IF(P806&lt;0,"Negative Discount",""),IF(P806&gt;0.7,"High Discount",""),IF(C806&lt;B806,"Ship Before Order",""))</f>
        <v/>
      </c>
      <c r="Z806" s="2">
        <f>IFERROR(
  IF(ISNUMBER(B806),B806,
    IF(ISNUMBER(SEARCH("-",B806)*1),
      IF(LEN(LEFT(B806,FIND("-",B806)-1))=4,
        DATE(VALUE(LEFT(B806,4)),VALUE(MID(B806,6,2)),VALUE(RIGHT(B806,2))),
        DATE(VALUE(RIGHT(B806,4)),VALUE(MID(B806,4,2)),VALUE(LEFT(B806,2)))
      ),
      IF(ISNUMBER(SEARCH("/",B806)*1),
        DATE(VALUE(RIGHT(B806,4)),VALUE(LEFT(B806,2)),VALUE(MID(B806,4,2))),
        DATEVALUE(B806)
      )
    )
  ),
"INVALID_DATE")</f>
        <v>45910</v>
      </c>
      <c r="AA806" s="2">
        <f>IFERROR(
  IF(ISNUMBER(C806),C806,
    IF(ISNUMBER(SEARCH("-",C806)*1),
      IF(LEN(LEFT(C806,FIND("-",C806)-1))=4,
        DATE(VALUE(LEFT(C806,4)),VALUE(MID(C806,6,2)),VALUE(RIGHT(C806,2))),
        DATE(VALUE(RIGHT(C806,4)),VALUE(MID(C806,4,2)),VALUE(LEFT(C806,2)))
      ),
      IF(ISNUMBER(SEARCH("/",C806)*1),
        DATE(VALUE(RIGHT(C806,4)),VALUE(LEFT(C806,2)),VALUE(MID(C806,4,2))),
        DATEVALUE(C806)
      )
    )
  ),
"INVALID_DATE")</f>
        <v>45918</v>
      </c>
      <c r="AB806">
        <f t="shared" si="75"/>
        <v>8</v>
      </c>
      <c r="AC806" t="str">
        <f t="shared" si="76"/>
        <v>September</v>
      </c>
      <c r="AD806">
        <f t="shared" si="77"/>
        <v>2025</v>
      </c>
    </row>
    <row r="807" spans="1:30">
      <c r="A807" t="s">
        <v>3712</v>
      </c>
      <c r="B807" t="s">
        <v>1324</v>
      </c>
      <c r="C807" t="s">
        <v>1071</v>
      </c>
      <c r="D807" t="s">
        <v>3528</v>
      </c>
      <c r="E807" t="s">
        <v>149</v>
      </c>
      <c r="F807" t="s">
        <v>122</v>
      </c>
      <c r="G807" t="s">
        <v>49</v>
      </c>
      <c r="H807" t="s">
        <v>223</v>
      </c>
      <c r="I807" t="s">
        <v>224</v>
      </c>
      <c r="J807" t="s">
        <v>37</v>
      </c>
      <c r="K807" t="s">
        <v>205</v>
      </c>
      <c r="L807" t="s">
        <v>3713</v>
      </c>
      <c r="M807" t="s">
        <v>40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41</v>
      </c>
      <c r="U807" t="s">
        <v>42</v>
      </c>
      <c r="V807">
        <f t="shared" si="72"/>
        <v>3045.09</v>
      </c>
      <c r="W807">
        <f t="shared" si="73"/>
        <v>444</v>
      </c>
      <c r="X807">
        <f t="shared" si="74"/>
        <v>0.14580849827098705</v>
      </c>
      <c r="Y807" t="str">
        <f>_xlfn.TEXTJOIN(", ",TRUE,IF(G807="Unknown","Missing Region",""),IF(M807="Unknown","Missing Ship Mode",""),IF(P807&lt;0,"Negative Discount",""),IF(P807&gt;0.7,"High Discount",""),IF(C807&lt;B807,"Ship Before Order",""))</f>
        <v>Ship Before Order</v>
      </c>
      <c r="Z807" s="2">
        <f>IFERROR(
  IF(ISNUMBER(B807),B807,
    IF(ISNUMBER(SEARCH("-",B807)*1),
      IF(LEN(LEFT(B807,FIND("-",B807)-1))=4,
        DATE(VALUE(LEFT(B807,4)),VALUE(MID(B807,6,2)),VALUE(RIGHT(B807,2))),
        DATE(VALUE(RIGHT(B807,4)),VALUE(MID(B807,4,2)),VALUE(LEFT(B807,2)))
      ),
      IF(ISNUMBER(SEARCH("/",B807)*1),
        DATE(VALUE(RIGHT(B807,4)),VALUE(LEFT(B807,2)),VALUE(MID(B807,4,2))),
        DATEVALUE(B807)
      )
    )
  ),
"INVALID_DATE")</f>
        <v>45753</v>
      </c>
      <c r="AA807" s="2">
        <f>IFERROR(
  IF(ISNUMBER(C807),C807,
    IF(ISNUMBER(SEARCH("-",C807)*1),
      IF(LEN(LEFT(C807,FIND("-",C807)-1))=4,
        DATE(VALUE(LEFT(C807,4)),VALUE(MID(C807,6,2)),VALUE(RIGHT(C807,2))),
        DATE(VALUE(RIGHT(C807,4)),VALUE(MID(C807,4,2)),VALUE(LEFT(C807,2)))
      ),
      IF(ISNUMBER(SEARCH("/",C807)*1),
        DATE(VALUE(RIGHT(C807,4)),VALUE(LEFT(C807,2)),VALUE(MID(C807,4,2))),
        DATEVALUE(C807)
      )
    )
  ),
"INVALID_DATE")</f>
        <v>45754</v>
      </c>
      <c r="AB807">
        <f t="shared" si="75"/>
        <v>1</v>
      </c>
      <c r="AC807" t="str">
        <f t="shared" si="76"/>
        <v>April</v>
      </c>
      <c r="AD807">
        <f t="shared" si="77"/>
        <v>2025</v>
      </c>
    </row>
    <row r="808" spans="1:30">
      <c r="A808" t="s">
        <v>3714</v>
      </c>
      <c r="B808" t="s">
        <v>3715</v>
      </c>
      <c r="C808" t="s">
        <v>3716</v>
      </c>
      <c r="D808" t="s">
        <v>3717</v>
      </c>
      <c r="E808" t="s">
        <v>60</v>
      </c>
      <c r="F808" t="s">
        <v>122</v>
      </c>
      <c r="G808" t="s">
        <v>34</v>
      </c>
      <c r="H808" t="s">
        <v>35</v>
      </c>
      <c r="I808" t="s">
        <v>36</v>
      </c>
      <c r="J808" t="s">
        <v>93</v>
      </c>
      <c r="K808" t="s">
        <v>101</v>
      </c>
      <c r="L808" t="s">
        <v>3718</v>
      </c>
      <c r="M808" t="s">
        <v>74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207</v>
      </c>
      <c r="U808" t="s">
        <v>85</v>
      </c>
      <c r="V808">
        <f t="shared" si="72"/>
        <v>2932.7759999999998</v>
      </c>
      <c r="W808">
        <f t="shared" si="73"/>
        <v>1032.4300000000003</v>
      </c>
      <c r="X808">
        <f t="shared" si="74"/>
        <v>0.3520311786086921</v>
      </c>
      <c r="Y808" t="str">
        <f>_xlfn.TEXTJOIN(", ",TRUE,IF(G808="Unknown","Missing Region",""),IF(M808="Unknown","Missing Ship Mode",""),IF(P808&lt;0,"Negative Discount",""),IF(P808&gt;0.7,"High Discount",""),IF(C808&lt;B808,"Ship Before Order",""))</f>
        <v/>
      </c>
      <c r="Z808" s="2">
        <f>IFERROR(
  IF(ISNUMBER(B808),B808,
    IF(ISNUMBER(SEARCH("-",B808)*1),
      IF(LEN(LEFT(B808,FIND("-",B808)-1))=4,
        DATE(VALUE(LEFT(B808,4)),VALUE(MID(B808,6,2)),VALUE(RIGHT(B808,2))),
        DATE(VALUE(RIGHT(B808,4)),VALUE(MID(B808,4,2)),VALUE(LEFT(B808,2)))
      ),
      IF(ISNUMBER(SEARCH("/",B808)*1),
        DATE(VALUE(RIGHT(B808,4)),VALUE(LEFT(B808,2)),VALUE(MID(B808,4,2))),
        DATEVALUE(B808)
      )
    )
  ),
"INVALID_DATE")</f>
        <v>45605</v>
      </c>
      <c r="AA808" s="2">
        <f>IFERROR(
  IF(ISNUMBER(C808),C808,
    IF(ISNUMBER(SEARCH("-",C808)*1),
      IF(LEN(LEFT(C808,FIND("-",C808)-1))=4,
        DATE(VALUE(LEFT(C808,4)),VALUE(MID(C808,6,2)),VALUE(RIGHT(C808,2))),
        DATE(VALUE(RIGHT(C808,4)),VALUE(MID(C808,4,2)),VALUE(LEFT(C808,2)))
      ),
      IF(ISNUMBER(SEARCH("/",C808)*1),
        DATE(VALUE(RIGHT(C808,4)),VALUE(LEFT(C808,2)),VALUE(MID(C808,4,2))),
        DATEVALUE(C808)
      )
    )
  ),
"INVALID_DATE")</f>
        <v>45611</v>
      </c>
      <c r="AB808">
        <f t="shared" si="75"/>
        <v>6</v>
      </c>
      <c r="AC808" t="str">
        <f t="shared" si="76"/>
        <v>November</v>
      </c>
      <c r="AD808">
        <f t="shared" si="77"/>
        <v>2024</v>
      </c>
    </row>
    <row r="809" spans="1:30">
      <c r="A809" t="s">
        <v>3719</v>
      </c>
      <c r="B809" t="s">
        <v>1284</v>
      </c>
      <c r="C809" t="s">
        <v>2278</v>
      </c>
      <c r="D809" t="s">
        <v>3720</v>
      </c>
      <c r="E809" t="s">
        <v>32</v>
      </c>
      <c r="F809" t="s">
        <v>48</v>
      </c>
      <c r="G809" t="s">
        <v>69</v>
      </c>
      <c r="H809" t="s">
        <v>70</v>
      </c>
      <c r="I809" t="s">
        <v>71</v>
      </c>
      <c r="J809" t="s">
        <v>37</v>
      </c>
      <c r="K809" t="s">
        <v>116</v>
      </c>
      <c r="L809" t="s">
        <v>3721</v>
      </c>
      <c r="M809" t="s">
        <v>3722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41</v>
      </c>
      <c r="U809" t="s">
        <v>42</v>
      </c>
      <c r="V809">
        <f t="shared" si="72"/>
        <v>4379.3640000000005</v>
      </c>
      <c r="W809">
        <f t="shared" si="73"/>
        <v>655.42999999999984</v>
      </c>
      <c r="X809">
        <f t="shared" si="74"/>
        <v>0.1496634211391619</v>
      </c>
      <c r="Y809" t="str">
        <f>_xlfn.TEXTJOIN(", ",TRUE,IF(G809="Unknown","Missing Region",""),IF(M809="Unknown","Missing Ship Mode",""),IF(P809&lt;0,"Negative Discount",""),IF(P809&gt;0.7,"High Discount",""),IF(C809&lt;B809,"Ship Before Order",""))</f>
        <v/>
      </c>
      <c r="Z809" s="2">
        <f>IFERROR(
  IF(ISNUMBER(B809),B809,
    IF(ISNUMBER(SEARCH("-",B809)*1),
      IF(LEN(LEFT(B809,FIND("-",B809)-1))=4,
        DATE(VALUE(LEFT(B809,4)),VALUE(MID(B809,6,2)),VALUE(RIGHT(B809,2))),
        DATE(VALUE(RIGHT(B809,4)),VALUE(MID(B809,4,2)),VALUE(LEFT(B809,2)))
      ),
      IF(ISNUMBER(SEARCH("/",B809)*1),
        DATE(VALUE(RIGHT(B809,4)),VALUE(LEFT(B809,2)),VALUE(MID(B809,4,2))),
        DATEVALUE(B809)
      )
    )
  ),
"INVALID_DATE")</f>
        <v>45695</v>
      </c>
      <c r="AA809" s="2">
        <f>IFERROR(
  IF(ISNUMBER(C809),C809,
    IF(ISNUMBER(SEARCH("-",C809)*1),
      IF(LEN(LEFT(C809,FIND("-",C809)-1))=4,
        DATE(VALUE(LEFT(C809,4)),VALUE(MID(C809,6,2)),VALUE(RIGHT(C809,2))),
        DATE(VALUE(RIGHT(C809,4)),VALUE(MID(C809,4,2)),VALUE(LEFT(C809,2)))
      ),
      IF(ISNUMBER(SEARCH("/",C809)*1),
        DATE(VALUE(RIGHT(C809,4)),VALUE(LEFT(C809,2)),VALUE(MID(C809,4,2))),
        DATEVALUE(C809)
      )
    )
  ),
"INVALID_DATE")</f>
        <v>45696</v>
      </c>
      <c r="AB809">
        <f t="shared" si="75"/>
        <v>1</v>
      </c>
      <c r="AC809" t="str">
        <f t="shared" si="76"/>
        <v>February</v>
      </c>
      <c r="AD809">
        <f t="shared" si="77"/>
        <v>2025</v>
      </c>
    </row>
    <row r="810" spans="1:30">
      <c r="A810" t="s">
        <v>3723</v>
      </c>
      <c r="B810" t="s">
        <v>3724</v>
      </c>
      <c r="C810" t="s">
        <v>2042</v>
      </c>
      <c r="D810" t="s">
        <v>3725</v>
      </c>
      <c r="E810" t="s">
        <v>169</v>
      </c>
      <c r="F810" t="s">
        <v>48</v>
      </c>
      <c r="G810" t="s">
        <v>69</v>
      </c>
      <c r="H810" t="s">
        <v>347</v>
      </c>
      <c r="I810" t="s">
        <v>348</v>
      </c>
      <c r="J810" t="s">
        <v>52</v>
      </c>
      <c r="K810" t="s">
        <v>72</v>
      </c>
      <c r="L810" t="s">
        <v>3726</v>
      </c>
      <c r="M810" t="s">
        <v>63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41</v>
      </c>
      <c r="U810" t="s">
        <v>42</v>
      </c>
      <c r="V810">
        <f t="shared" si="72"/>
        <v>5472.768</v>
      </c>
      <c r="W810">
        <f t="shared" si="73"/>
        <v>995.44000000000051</v>
      </c>
      <c r="X810">
        <f t="shared" si="74"/>
        <v>0.18188960983194982</v>
      </c>
      <c r="Y810" t="str">
        <f>_xlfn.TEXTJOIN(", ",TRUE,IF(G810="Unknown","Missing Region",""),IF(M810="Unknown","Missing Ship Mode",""),IF(P810&lt;0,"Negative Discount",""),IF(P810&gt;0.7,"High Discount",""),IF(C810&lt;B810,"Ship Before Order",""))</f>
        <v>Ship Before Order</v>
      </c>
      <c r="Z810" s="2">
        <f>IFERROR(
  IF(ISNUMBER(B810),B810,
    IF(ISNUMBER(SEARCH("-",B810)*1),
      IF(LEN(LEFT(B810,FIND("-",B810)-1))=4,
        DATE(VALUE(LEFT(B810,4)),VALUE(MID(B810,6,2)),VALUE(RIGHT(B810,2))),
        DATE(VALUE(RIGHT(B810,4)),VALUE(MID(B810,4,2)),VALUE(LEFT(B810,2)))
      ),
      IF(ISNUMBER(SEARCH("/",B810)*1),
        DATE(VALUE(RIGHT(B810,4)),VALUE(LEFT(B810,2)),VALUE(MID(B810,4,2))),
        DATEVALUE(B810)
      )
    )
  ),
"INVALID_DATE")</f>
        <v>45900</v>
      </c>
      <c r="AA810" s="2">
        <f>IFERROR(
  IF(ISNUMBER(C810),C810,
    IF(ISNUMBER(SEARCH("-",C810)*1),
      IF(LEN(LEFT(C810,FIND("-",C810)-1))=4,
        DATE(VALUE(LEFT(C810,4)),VALUE(MID(C810,6,2)),VALUE(RIGHT(C810,2))),
        DATE(VALUE(RIGHT(C810,4)),VALUE(MID(C810,4,2)),VALUE(LEFT(C810,2)))
      ),
      IF(ISNUMBER(SEARCH("/",C810)*1),
        DATE(VALUE(RIGHT(C810,4)),VALUE(LEFT(C810,2)),VALUE(MID(C810,4,2))),
        DATEVALUE(C810)
      )
    )
  ),
"INVALID_DATE")</f>
        <v>45897</v>
      </c>
      <c r="AB810">
        <f t="shared" si="75"/>
        <v>-3</v>
      </c>
      <c r="AC810" t="str">
        <f t="shared" si="76"/>
        <v>August</v>
      </c>
      <c r="AD810">
        <f t="shared" si="77"/>
        <v>2025</v>
      </c>
    </row>
    <row r="811" spans="1:30">
      <c r="A811" t="s">
        <v>3727</v>
      </c>
      <c r="B811" t="s">
        <v>1524</v>
      </c>
      <c r="C811" t="s">
        <v>1524</v>
      </c>
      <c r="D811" t="s">
        <v>3728</v>
      </c>
      <c r="E811" t="s">
        <v>68</v>
      </c>
      <c r="F811" t="s">
        <v>48</v>
      </c>
      <c r="G811" t="s">
        <v>279</v>
      </c>
      <c r="H811" t="s">
        <v>161</v>
      </c>
      <c r="I811" t="s">
        <v>162</v>
      </c>
      <c r="J811" t="s">
        <v>37</v>
      </c>
      <c r="K811" t="s">
        <v>205</v>
      </c>
      <c r="L811" t="s">
        <v>3729</v>
      </c>
      <c r="M811" t="s">
        <v>40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41</v>
      </c>
      <c r="U811" t="s">
        <v>42</v>
      </c>
      <c r="V811">
        <f t="shared" si="72"/>
        <v>7377.1020000000008</v>
      </c>
      <c r="W811">
        <f t="shared" si="73"/>
        <v>2291.8900000000003</v>
      </c>
      <c r="X811">
        <f t="shared" si="74"/>
        <v>0.31067628200783504</v>
      </c>
      <c r="Y811" t="str">
        <f>_xlfn.TEXTJOIN(", ",TRUE,IF(G811="Unknown","Missing Region",""),IF(M811="Unknown","Missing Ship Mode",""),IF(P811&lt;0,"Negative Discount",""),IF(P811&gt;0.7,"High Discount",""),IF(C811&lt;B811,"Ship Before Order",""))</f>
        <v>Missing Region</v>
      </c>
      <c r="Z811" s="2">
        <f>IFERROR(
  IF(ISNUMBER(B811),B811,
    IF(ISNUMBER(SEARCH("-",B811)*1),
      IF(LEN(LEFT(B811,FIND("-",B811)-1))=4,
        DATE(VALUE(LEFT(B811,4)),VALUE(MID(B811,6,2)),VALUE(RIGHT(B811,2))),
        DATE(VALUE(RIGHT(B811,4)),VALUE(MID(B811,4,2)),VALUE(LEFT(B811,2)))
      ),
      IF(ISNUMBER(SEARCH("/",B811)*1),
        DATE(VALUE(RIGHT(B811,4)),VALUE(LEFT(B811,2)),VALUE(MID(B811,4,2))),
        DATEVALUE(B811)
      )
    )
  ),
"INVALID_DATE")</f>
        <v>45833</v>
      </c>
      <c r="AA811" s="2">
        <f>IFERROR(
  IF(ISNUMBER(C811),C811,
    IF(ISNUMBER(SEARCH("-",C811)*1),
      IF(LEN(LEFT(C811,FIND("-",C811)-1))=4,
        DATE(VALUE(LEFT(C811,4)),VALUE(MID(C811,6,2)),VALUE(RIGHT(C811,2))),
        DATE(VALUE(RIGHT(C811,4)),VALUE(MID(C811,4,2)),VALUE(LEFT(C811,2)))
      ),
      IF(ISNUMBER(SEARCH("/",C811)*1),
        DATE(VALUE(RIGHT(C811,4)),VALUE(LEFT(C811,2)),VALUE(MID(C811,4,2))),
        DATEVALUE(C811)
      )
    )
  ),
"INVALID_DATE")</f>
        <v>45833</v>
      </c>
      <c r="AB811">
        <f t="shared" si="75"/>
        <v>0</v>
      </c>
      <c r="AC811" t="str">
        <f t="shared" si="76"/>
        <v>June</v>
      </c>
      <c r="AD811">
        <f t="shared" si="77"/>
        <v>2025</v>
      </c>
    </row>
    <row r="812" spans="1:30">
      <c r="A812" t="s">
        <v>3730</v>
      </c>
      <c r="B812" t="s">
        <v>3731</v>
      </c>
      <c r="C812" t="s">
        <v>3732</v>
      </c>
      <c r="D812" t="s">
        <v>2542</v>
      </c>
      <c r="E812" t="s">
        <v>374</v>
      </c>
      <c r="F812" t="s">
        <v>122</v>
      </c>
      <c r="G812" t="s">
        <v>80</v>
      </c>
      <c r="H812" t="s">
        <v>242</v>
      </c>
      <c r="I812" t="s">
        <v>243</v>
      </c>
      <c r="J812" t="s">
        <v>93</v>
      </c>
      <c r="K812" t="s">
        <v>101</v>
      </c>
      <c r="L812" t="s">
        <v>3733</v>
      </c>
      <c r="M812" t="s">
        <v>63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41</v>
      </c>
      <c r="U812" t="s">
        <v>42</v>
      </c>
      <c r="V812">
        <f t="shared" si="72"/>
        <v>2363.8874999999998</v>
      </c>
      <c r="W812">
        <f t="shared" si="73"/>
        <v>892.37999999999988</v>
      </c>
      <c r="X812">
        <f t="shared" si="74"/>
        <v>0.37750487543836642</v>
      </c>
      <c r="Y812" t="str">
        <f>_xlfn.TEXTJOIN(", ",TRUE,IF(G812="Unknown","Missing Region",""),IF(M812="Unknown","Missing Ship Mode",""),IF(P812&lt;0,"Negative Discount",""),IF(P812&gt;0.7,"High Discount",""),IF(C812&lt;B812,"Ship Before Order",""))</f>
        <v/>
      </c>
      <c r="Z812" s="2">
        <f>IFERROR(
  IF(ISNUMBER(B812),B812,
    IF(ISNUMBER(SEARCH("-",B812)*1),
      IF(LEN(LEFT(B812,FIND("-",B812)-1))=4,
        DATE(VALUE(LEFT(B812,4)),VALUE(MID(B812,6,2)),VALUE(RIGHT(B812,2))),
        DATE(VALUE(RIGHT(B812,4)),VALUE(MID(B812,4,2)),VALUE(LEFT(B812,2)))
      ),
      IF(ISNUMBER(SEARCH("/",B812)*1),
        DATE(VALUE(RIGHT(B812,4)),VALUE(LEFT(B812,2)),VALUE(MID(B812,4,2))),
        DATEVALUE(B812)
      )
    )
  ),
"INVALID_DATE")</f>
        <v>45385</v>
      </c>
      <c r="AA812" s="2">
        <f>IFERROR(
  IF(ISNUMBER(C812),C812,
    IF(ISNUMBER(SEARCH("-",C812)*1),
      IF(LEN(LEFT(C812,FIND("-",C812)-1))=4,
        DATE(VALUE(LEFT(C812,4)),VALUE(MID(C812,6,2)),VALUE(RIGHT(C812,2))),
        DATE(VALUE(RIGHT(C812,4)),VALUE(MID(C812,4,2)),VALUE(LEFT(C812,2)))
      ),
      IF(ISNUMBER(SEARCH("/",C812)*1),
        DATE(VALUE(RIGHT(C812,4)),VALUE(LEFT(C812,2)),VALUE(MID(C812,4,2))),
        DATEVALUE(C812)
      )
    )
  ),
"INVALID_DATE")</f>
        <v>45390</v>
      </c>
      <c r="AB812">
        <f t="shared" si="75"/>
        <v>5</v>
      </c>
      <c r="AC812" t="str">
        <f t="shared" si="76"/>
        <v>April</v>
      </c>
      <c r="AD812">
        <f t="shared" si="77"/>
        <v>2024</v>
      </c>
    </row>
    <row r="813" spans="1:30">
      <c r="A813" t="s">
        <v>3734</v>
      </c>
      <c r="B813" t="s">
        <v>3735</v>
      </c>
      <c r="C813" t="s">
        <v>3736</v>
      </c>
      <c r="D813" t="s">
        <v>3737</v>
      </c>
      <c r="E813" t="s">
        <v>187</v>
      </c>
      <c r="F813" t="s">
        <v>122</v>
      </c>
      <c r="G813" t="s">
        <v>34</v>
      </c>
      <c r="H813" t="s">
        <v>331</v>
      </c>
      <c r="I813" t="s">
        <v>332</v>
      </c>
      <c r="J813" t="s">
        <v>93</v>
      </c>
      <c r="K813" t="s">
        <v>94</v>
      </c>
      <c r="L813" t="s">
        <v>3738</v>
      </c>
      <c r="M813" t="s">
        <v>63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41</v>
      </c>
      <c r="U813" t="s">
        <v>42</v>
      </c>
      <c r="V813">
        <f t="shared" si="72"/>
        <v>2577.2000000000003</v>
      </c>
      <c r="W813">
        <f t="shared" si="73"/>
        <v>1101.33</v>
      </c>
      <c r="X813">
        <f t="shared" si="74"/>
        <v>0.42733586838429305</v>
      </c>
      <c r="Y813" t="str">
        <f>_xlfn.TEXTJOIN(", ",TRUE,IF(G813="Unknown","Missing Region",""),IF(M813="Unknown","Missing Ship Mode",""),IF(P813&lt;0,"Negative Discount",""),IF(P813&gt;0.7,"High Discount",""),IF(C813&lt;B813,"Ship Before Order",""))</f>
        <v/>
      </c>
      <c r="Z813" s="2">
        <f>IFERROR(
  IF(ISNUMBER(B813),B813,
    IF(ISNUMBER(SEARCH("-",B813)*1),
      IF(LEN(LEFT(B813,FIND("-",B813)-1))=4,
        DATE(VALUE(LEFT(B813,4)),VALUE(MID(B813,6,2)),VALUE(RIGHT(B813,2))),
        DATE(VALUE(RIGHT(B813,4)),VALUE(MID(B813,4,2)),VALUE(LEFT(B813,2)))
      ),
      IF(ISNUMBER(SEARCH("/",B813)*1),
        DATE(VALUE(RIGHT(B813,4)),VALUE(LEFT(B813,2)),VALUE(MID(B813,4,2))),
        DATEVALUE(B813)
      )
    )
  ),
"INVALID_DATE")</f>
        <v>45638</v>
      </c>
      <c r="AA813" s="2">
        <f>IFERROR(
  IF(ISNUMBER(C813),C813,
    IF(ISNUMBER(SEARCH("-",C813)*1),
      IF(LEN(LEFT(C813,FIND("-",C813)-1))=4,
        DATE(VALUE(LEFT(C813,4)),VALUE(MID(C813,6,2)),VALUE(RIGHT(C813,2))),
        DATE(VALUE(RIGHT(C813,4)),VALUE(MID(C813,4,2)),VALUE(LEFT(C813,2)))
      ),
      IF(ISNUMBER(SEARCH("/",C813)*1),
        DATE(VALUE(RIGHT(C813,4)),VALUE(LEFT(C813,2)),VALUE(MID(C813,4,2))),
        DATEVALUE(C813)
      )
    )
  ),
"INVALID_DATE")</f>
        <v>45645</v>
      </c>
      <c r="AB813">
        <f t="shared" si="75"/>
        <v>7</v>
      </c>
      <c r="AC813" t="str">
        <f t="shared" si="76"/>
        <v>December</v>
      </c>
      <c r="AD813">
        <f t="shared" si="77"/>
        <v>2024</v>
      </c>
    </row>
    <row r="814" spans="1:30">
      <c r="A814" t="s">
        <v>3739</v>
      </c>
      <c r="B814" t="s">
        <v>818</v>
      </c>
      <c r="C814" t="s">
        <v>3740</v>
      </c>
      <c r="D814" t="s">
        <v>3741</v>
      </c>
      <c r="E814" t="s">
        <v>175</v>
      </c>
      <c r="F814" t="s">
        <v>48</v>
      </c>
      <c r="G814" t="s">
        <v>49</v>
      </c>
      <c r="H814" t="s">
        <v>319</v>
      </c>
      <c r="I814" t="s">
        <v>320</v>
      </c>
      <c r="J814" t="s">
        <v>52</v>
      </c>
      <c r="K814" t="s">
        <v>53</v>
      </c>
      <c r="L814" t="s">
        <v>3742</v>
      </c>
      <c r="M814" t="s">
        <v>63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41</v>
      </c>
      <c r="U814" t="s">
        <v>42</v>
      </c>
      <c r="V814">
        <f t="shared" si="72"/>
        <v>17827.759999999998</v>
      </c>
      <c r="W814">
        <f t="shared" si="73"/>
        <v>3705.6299999999992</v>
      </c>
      <c r="X814">
        <f t="shared" si="74"/>
        <v>0.20785729671029901</v>
      </c>
      <c r="Y814" t="str">
        <f>_xlfn.TEXTJOIN(", ",TRUE,IF(G814="Unknown","Missing Region",""),IF(M814="Unknown","Missing Ship Mode",""),IF(P814&lt;0,"Negative Discount",""),IF(P814&gt;0.7,"High Discount",""),IF(C814&lt;B814,"Ship Before Order",""))</f>
        <v>Ship Before Order</v>
      </c>
      <c r="Z814" s="2">
        <f>IFERROR(
  IF(ISNUMBER(B814),B814,
    IF(ISNUMBER(SEARCH("-",B814)*1),
      IF(LEN(LEFT(B814,FIND("-",B814)-1))=4,
        DATE(VALUE(LEFT(B814,4)),VALUE(MID(B814,6,2)),VALUE(RIGHT(B814,2))),
        DATE(VALUE(RIGHT(B814,4)),VALUE(MID(B814,4,2)),VALUE(LEFT(B814,2)))
      ),
      IF(ISNUMBER(SEARCH("/",B814)*1),
        DATE(VALUE(RIGHT(B814,4)),VALUE(LEFT(B814,2)),VALUE(MID(B814,4,2))),
        DATEVALUE(B814)
      )
    )
  ),
"INVALID_DATE")</f>
        <v>45458</v>
      </c>
      <c r="AA814" s="2">
        <f>IFERROR(
  IF(ISNUMBER(C814),C814,
    IF(ISNUMBER(SEARCH("-",C814)*1),
      IF(LEN(LEFT(C814,FIND("-",C814)-1))=4,
        DATE(VALUE(LEFT(C814,4)),VALUE(MID(C814,6,2)),VALUE(RIGHT(C814,2))),
        DATE(VALUE(RIGHT(C814,4)),VALUE(MID(C814,4,2)),VALUE(LEFT(C814,2)))
      ),
      IF(ISNUMBER(SEARCH("/",C814)*1),
        DATE(VALUE(RIGHT(C814,4)),VALUE(LEFT(C814,2)),VALUE(MID(C814,4,2))),
        DATEVALUE(C814)
      )
    )
  ),
"INVALID_DATE")</f>
        <v>45463</v>
      </c>
      <c r="AB814">
        <f t="shared" si="75"/>
        <v>5</v>
      </c>
      <c r="AC814" t="str">
        <f t="shared" si="76"/>
        <v>June</v>
      </c>
      <c r="AD814">
        <f t="shared" si="77"/>
        <v>2024</v>
      </c>
    </row>
    <row r="815" spans="1:30">
      <c r="A815" t="s">
        <v>3743</v>
      </c>
      <c r="B815" t="s">
        <v>3744</v>
      </c>
      <c r="C815" t="s">
        <v>3745</v>
      </c>
      <c r="D815" t="s">
        <v>3746</v>
      </c>
      <c r="E815" t="s">
        <v>187</v>
      </c>
      <c r="F815" t="s">
        <v>33</v>
      </c>
      <c r="G815" t="s">
        <v>49</v>
      </c>
      <c r="H815" t="s">
        <v>50</v>
      </c>
      <c r="I815" t="s">
        <v>51</v>
      </c>
      <c r="J815" t="s">
        <v>52</v>
      </c>
      <c r="K815" t="s">
        <v>211</v>
      </c>
      <c r="L815" t="s">
        <v>1725</v>
      </c>
      <c r="M815" t="s">
        <v>74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41</v>
      </c>
      <c r="U815" t="s">
        <v>42</v>
      </c>
      <c r="V815">
        <f t="shared" si="72"/>
        <v>2675.34</v>
      </c>
      <c r="W815">
        <f t="shared" si="73"/>
        <v>1079.4700000000003</v>
      </c>
      <c r="X815">
        <f t="shared" si="74"/>
        <v>0.40348890234512247</v>
      </c>
      <c r="Y815" t="str">
        <f>_xlfn.TEXTJOIN(", ",TRUE,IF(G815="Unknown","Missing Region",""),IF(M815="Unknown","Missing Ship Mode",""),IF(P815&lt;0,"Negative Discount",""),IF(P815&gt;0.7,"High Discount",""),IF(C815&lt;B815,"Ship Before Order",""))</f>
        <v/>
      </c>
      <c r="Z815" s="2">
        <f>IFERROR(
  IF(ISNUMBER(B815),B815,
    IF(ISNUMBER(SEARCH("-",B815)*1),
      IF(LEN(LEFT(B815,FIND("-",B815)-1))=4,
        DATE(VALUE(LEFT(B815,4)),VALUE(MID(B815,6,2)),VALUE(RIGHT(B815,2))),
        DATE(VALUE(RIGHT(B815,4)),VALUE(MID(B815,4,2)),VALUE(LEFT(B815,2)))
      ),
      IF(ISNUMBER(SEARCH("/",B815)*1),
        DATE(VALUE(RIGHT(B815,4)),VALUE(LEFT(B815,2)),VALUE(MID(B815,4,2))),
        DATEVALUE(B815)
      )
    )
  ),
"INVALID_DATE")</f>
        <v>45753</v>
      </c>
      <c r="AA815" s="2">
        <f>IFERROR(
  IF(ISNUMBER(C815),C815,
    IF(ISNUMBER(SEARCH("-",C815)*1),
      IF(LEN(LEFT(C815,FIND("-",C815)-1))=4,
        DATE(VALUE(LEFT(C815,4)),VALUE(MID(C815,6,2)),VALUE(RIGHT(C815,2))),
        DATE(VALUE(RIGHT(C815,4)),VALUE(MID(C815,4,2)),VALUE(LEFT(C815,2)))
      ),
      IF(ISNUMBER(SEARCH("/",C815)*1),
        DATE(VALUE(RIGHT(C815,4)),VALUE(LEFT(C815,2)),VALUE(MID(C815,4,2))),
        DATEVALUE(C815)
      )
    )
  ),
"INVALID_DATE")</f>
        <v>45757</v>
      </c>
      <c r="AB815">
        <f t="shared" si="75"/>
        <v>4</v>
      </c>
      <c r="AC815" t="str">
        <f t="shared" si="76"/>
        <v>April</v>
      </c>
      <c r="AD815">
        <f t="shared" si="77"/>
        <v>2025</v>
      </c>
    </row>
    <row r="816" spans="1:30">
      <c r="A816" t="s">
        <v>3747</v>
      </c>
      <c r="B816" t="s">
        <v>1379</v>
      </c>
      <c r="C816" t="s">
        <v>591</v>
      </c>
      <c r="D816" t="s">
        <v>3748</v>
      </c>
      <c r="E816" t="s">
        <v>68</v>
      </c>
      <c r="F816" t="s">
        <v>33</v>
      </c>
      <c r="G816" t="s">
        <v>80</v>
      </c>
      <c r="H816" t="s">
        <v>91</v>
      </c>
      <c r="I816" t="s">
        <v>92</v>
      </c>
      <c r="J816" t="s">
        <v>37</v>
      </c>
      <c r="K816" t="s">
        <v>116</v>
      </c>
      <c r="L816" t="s">
        <v>3749</v>
      </c>
      <c r="M816" t="s">
        <v>63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41</v>
      </c>
      <c r="U816" t="s">
        <v>42</v>
      </c>
      <c r="V816">
        <f t="shared" si="72"/>
        <v>3563.91</v>
      </c>
      <c r="W816">
        <f t="shared" si="73"/>
        <v>924.21</v>
      </c>
      <c r="X816">
        <f t="shared" si="74"/>
        <v>0.25932473042248544</v>
      </c>
      <c r="Y816" t="str">
        <f>_xlfn.TEXTJOIN(", ",TRUE,IF(G816="Unknown","Missing Region",""),IF(M816="Unknown","Missing Ship Mode",""),IF(P816&lt;0,"Negative Discount",""),IF(P816&gt;0.7,"High Discount",""),IF(C816&lt;B816,"Ship Before Order",""))</f>
        <v/>
      </c>
      <c r="Z816" s="2">
        <f>IFERROR(
  IF(ISNUMBER(B816),B816,
    IF(ISNUMBER(SEARCH("-",B816)*1),
      IF(LEN(LEFT(B816,FIND("-",B816)-1))=4,
        DATE(VALUE(LEFT(B816,4)),VALUE(MID(B816,6,2)),VALUE(RIGHT(B816,2))),
        DATE(VALUE(RIGHT(B816,4)),VALUE(MID(B816,4,2)),VALUE(LEFT(B816,2)))
      ),
      IF(ISNUMBER(SEARCH("/",B816)*1),
        DATE(VALUE(RIGHT(B816,4)),VALUE(LEFT(B816,2)),VALUE(MID(B816,4,2))),
        DATEVALUE(B816)
      )
    )
  ),
"INVALID_DATE")</f>
        <v>45875</v>
      </c>
      <c r="AA816" s="2">
        <f>IFERROR(
  IF(ISNUMBER(C816),C816,
    IF(ISNUMBER(SEARCH("-",C816)*1),
      IF(LEN(LEFT(C816,FIND("-",C816)-1))=4,
        DATE(VALUE(LEFT(C816,4)),VALUE(MID(C816,6,2)),VALUE(RIGHT(C816,2))),
        DATE(VALUE(RIGHT(C816,4)),VALUE(MID(C816,4,2)),VALUE(LEFT(C816,2)))
      ),
      IF(ISNUMBER(SEARCH("/",C816)*1),
        DATE(VALUE(RIGHT(C816,4)),VALUE(LEFT(C816,2)),VALUE(MID(C816,4,2))),
        DATEVALUE(C816)
      )
    )
  ),
"INVALID_DATE")</f>
        <v>45880</v>
      </c>
      <c r="AB816">
        <f t="shared" si="75"/>
        <v>5</v>
      </c>
      <c r="AC816" t="str">
        <f t="shared" si="76"/>
        <v>August</v>
      </c>
      <c r="AD816">
        <f t="shared" si="77"/>
        <v>2025</v>
      </c>
    </row>
    <row r="817" spans="1:30">
      <c r="A817" t="s">
        <v>3750</v>
      </c>
      <c r="B817" t="s">
        <v>2450</v>
      </c>
      <c r="C817" t="s">
        <v>3751</v>
      </c>
      <c r="D817" t="s">
        <v>3752</v>
      </c>
      <c r="E817" t="s">
        <v>217</v>
      </c>
      <c r="F817" t="s">
        <v>33</v>
      </c>
      <c r="G817" t="s">
        <v>49</v>
      </c>
      <c r="H817" t="s">
        <v>50</v>
      </c>
      <c r="I817" t="s">
        <v>51</v>
      </c>
      <c r="J817" t="s">
        <v>93</v>
      </c>
      <c r="K817" t="s">
        <v>390</v>
      </c>
      <c r="L817" t="s">
        <v>3753</v>
      </c>
      <c r="M817" t="s">
        <v>74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144</v>
      </c>
      <c r="U817" t="s">
        <v>85</v>
      </c>
      <c r="V817">
        <f t="shared" si="72"/>
        <v>4259.0694999999996</v>
      </c>
      <c r="W817">
        <f t="shared" si="73"/>
        <v>1128.7499999999995</v>
      </c>
      <c r="X817">
        <f t="shared" si="74"/>
        <v>0.26502264578886942</v>
      </c>
      <c r="Y817" t="str">
        <f>_xlfn.TEXTJOIN(", ",TRUE,IF(G817="Unknown","Missing Region",""),IF(M817="Unknown","Missing Ship Mode",""),IF(P817&lt;0,"Negative Discount",""),IF(P817&gt;0.7,"High Discount",""),IF(C817&lt;B817,"Ship Before Order",""))</f>
        <v/>
      </c>
      <c r="Z817" s="2">
        <f>IFERROR(
  IF(ISNUMBER(B817),B817,
    IF(ISNUMBER(SEARCH("-",B817)*1),
      IF(LEN(LEFT(B817,FIND("-",B817)-1))=4,
        DATE(VALUE(LEFT(B817,4)),VALUE(MID(B817,6,2)),VALUE(RIGHT(B817,2))),
        DATE(VALUE(RIGHT(B817,4)),VALUE(MID(B817,4,2)),VALUE(LEFT(B817,2)))
      ),
      IF(ISNUMBER(SEARCH("/",B817)*1),
        DATE(VALUE(RIGHT(B817,4)),VALUE(LEFT(B817,2)),VALUE(MID(B817,4,2))),
        DATEVALUE(B817)
      )
    )
  ),
"INVALID_DATE")</f>
        <v>45383</v>
      </c>
      <c r="AA817" s="2">
        <f>IFERROR(
  IF(ISNUMBER(C817),C817,
    IF(ISNUMBER(SEARCH("-",C817)*1),
      IF(LEN(LEFT(C817,FIND("-",C817)-1))=4,
        DATE(VALUE(LEFT(C817,4)),VALUE(MID(C817,6,2)),VALUE(RIGHT(C817,2))),
        DATE(VALUE(RIGHT(C817,4)),VALUE(MID(C817,4,2)),VALUE(LEFT(C817,2)))
      ),
      IF(ISNUMBER(SEARCH("/",C817)*1),
        DATE(VALUE(RIGHT(C817,4)),VALUE(LEFT(C817,2)),VALUE(MID(C817,4,2))),
        DATEVALUE(C817)
      )
    )
  ),
"INVALID_DATE")</f>
        <v>45390</v>
      </c>
      <c r="AB817">
        <f t="shared" si="75"/>
        <v>7</v>
      </c>
      <c r="AC817" t="str">
        <f t="shared" si="76"/>
        <v>April</v>
      </c>
      <c r="AD817">
        <f t="shared" si="77"/>
        <v>2024</v>
      </c>
    </row>
    <row r="818" spans="1:30">
      <c r="A818" t="s">
        <v>3754</v>
      </c>
      <c r="B818" t="s">
        <v>3755</v>
      </c>
      <c r="C818" t="s">
        <v>3756</v>
      </c>
      <c r="D818" t="s">
        <v>3757</v>
      </c>
      <c r="E818" t="s">
        <v>155</v>
      </c>
      <c r="F818" t="s">
        <v>48</v>
      </c>
      <c r="G818" t="s">
        <v>49</v>
      </c>
      <c r="H818" t="s">
        <v>319</v>
      </c>
      <c r="I818" t="s">
        <v>320</v>
      </c>
      <c r="J818" t="s">
        <v>52</v>
      </c>
      <c r="K818" t="s">
        <v>72</v>
      </c>
      <c r="L818" t="s">
        <v>3758</v>
      </c>
      <c r="M818" t="s">
        <v>63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41</v>
      </c>
      <c r="U818" t="s">
        <v>42</v>
      </c>
      <c r="V818">
        <f t="shared" si="72"/>
        <v>786.87</v>
      </c>
      <c r="W818">
        <f t="shared" si="73"/>
        <v>288.37</v>
      </c>
      <c r="X818">
        <f t="shared" si="74"/>
        <v>0.36647730883119195</v>
      </c>
      <c r="Y818" t="str">
        <f>_xlfn.TEXTJOIN(", ",TRUE,IF(G818="Unknown","Missing Region",""),IF(M818="Unknown","Missing Ship Mode",""),IF(P818&lt;0,"Negative Discount",""),IF(P818&gt;0.7,"High Discount",""),IF(C818&lt;B818,"Ship Before Order",""))</f>
        <v/>
      </c>
      <c r="Z818" s="2">
        <f>IFERROR(
  IF(ISNUMBER(B818),B818,
    IF(ISNUMBER(SEARCH("-",B818)*1),
      IF(LEN(LEFT(B818,FIND("-",B818)-1))=4,
        DATE(VALUE(LEFT(B818,4)),VALUE(MID(B818,6,2)),VALUE(RIGHT(B818,2))),
        DATE(VALUE(RIGHT(B818,4)),VALUE(MID(B818,4,2)),VALUE(LEFT(B818,2)))
      ),
      IF(ISNUMBER(SEARCH("/",B818)*1),
        DATE(VALUE(RIGHT(B818,4)),VALUE(LEFT(B818,2)),VALUE(MID(B818,4,2))),
        DATEVALUE(B818)
      )
    )
  ),
"INVALID_DATE")</f>
        <v>45623</v>
      </c>
      <c r="AA818" s="2">
        <f>IFERROR(
  IF(ISNUMBER(C818),C818,
    IF(ISNUMBER(SEARCH("-",C818)*1),
      IF(LEN(LEFT(C818,FIND("-",C818)-1))=4,
        DATE(VALUE(LEFT(C818,4)),VALUE(MID(C818,6,2)),VALUE(RIGHT(C818,2))),
        DATE(VALUE(RIGHT(C818,4)),VALUE(MID(C818,4,2)),VALUE(LEFT(C818,2)))
      ),
      IF(ISNUMBER(SEARCH("/",C818)*1),
        DATE(VALUE(RIGHT(C818,4)),VALUE(LEFT(C818,2)),VALUE(MID(C818,4,2))),
        DATEVALUE(C818)
      )
    )
  ),
"INVALID_DATE")</f>
        <v>45626</v>
      </c>
      <c r="AB818">
        <f t="shared" si="75"/>
        <v>3</v>
      </c>
      <c r="AC818" t="str">
        <f t="shared" si="76"/>
        <v>November</v>
      </c>
      <c r="AD818">
        <f t="shared" si="77"/>
        <v>2024</v>
      </c>
    </row>
    <row r="819" spans="1:30">
      <c r="A819" t="s">
        <v>3759</v>
      </c>
      <c r="B819" t="s">
        <v>3760</v>
      </c>
      <c r="C819" t="s">
        <v>3761</v>
      </c>
      <c r="D819" t="s">
        <v>3762</v>
      </c>
      <c r="E819" t="s">
        <v>175</v>
      </c>
      <c r="F819" t="s">
        <v>33</v>
      </c>
      <c r="G819" t="s">
        <v>49</v>
      </c>
      <c r="H819" t="s">
        <v>193</v>
      </c>
      <c r="I819" t="s">
        <v>194</v>
      </c>
      <c r="J819" t="s">
        <v>37</v>
      </c>
      <c r="K819" t="s">
        <v>205</v>
      </c>
      <c r="L819" t="s">
        <v>3763</v>
      </c>
      <c r="M819" t="s">
        <v>74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41</v>
      </c>
      <c r="U819" t="s">
        <v>42</v>
      </c>
      <c r="V819">
        <f t="shared" si="72"/>
        <v>8233.6049999999996</v>
      </c>
      <c r="W819">
        <f t="shared" si="73"/>
        <v>3519.8100000000004</v>
      </c>
      <c r="X819">
        <f t="shared" si="74"/>
        <v>0.42749344150796731</v>
      </c>
      <c r="Y819" t="str">
        <f>_xlfn.TEXTJOIN(", ",TRUE,IF(G819="Unknown","Missing Region",""),IF(M819="Unknown","Missing Ship Mode",""),IF(P819&lt;0,"Negative Discount",""),IF(P819&gt;0.7,"High Discount",""),IF(C819&lt;B819,"Ship Before Order",""))</f>
        <v>Ship Before Order</v>
      </c>
      <c r="Z819" s="2">
        <f>IFERROR(
  IF(ISNUMBER(B819),B819,
    IF(ISNUMBER(SEARCH("-",B819)*1),
      IF(LEN(LEFT(B819,FIND("-",B819)-1))=4,
        DATE(VALUE(LEFT(B819,4)),VALUE(MID(B819,6,2)),VALUE(RIGHT(B819,2))),
        DATE(VALUE(RIGHT(B819,4)),VALUE(MID(B819,4,2)),VALUE(LEFT(B819,2)))
      ),
      IF(ISNUMBER(SEARCH("/",B819)*1),
        DATE(VALUE(RIGHT(B819,4)),VALUE(LEFT(B819,2)),VALUE(MID(B819,4,2))),
        DATEVALUE(B819)
      )
    )
  ),
"INVALID_DATE")</f>
        <v>45752</v>
      </c>
      <c r="AA819" s="2">
        <f>IFERROR(
  IF(ISNUMBER(C819),C819,
    IF(ISNUMBER(SEARCH("-",C819)*1),
      IF(LEN(LEFT(C819,FIND("-",C819)-1))=4,
        DATE(VALUE(LEFT(C819,4)),VALUE(MID(C819,6,2)),VALUE(RIGHT(C819,2))),
        DATE(VALUE(RIGHT(C819,4)),VALUE(MID(C819,4,2)),VALUE(LEFT(C819,2)))
      ),
      IF(ISNUMBER(SEARCH("/",C819)*1),
        DATE(VALUE(RIGHT(C819,4)),VALUE(LEFT(C819,2)),VALUE(MID(C819,4,2))),
        DATEVALUE(C819)
      )
    )
  ),
"INVALID_DATE")</f>
        <v>45752</v>
      </c>
      <c r="AB819">
        <f t="shared" si="75"/>
        <v>0</v>
      </c>
      <c r="AC819" t="str">
        <f t="shared" si="76"/>
        <v>April</v>
      </c>
      <c r="AD819">
        <f t="shared" si="77"/>
        <v>2025</v>
      </c>
    </row>
    <row r="820" spans="1:30">
      <c r="A820" t="s">
        <v>3764</v>
      </c>
      <c r="B820" t="s">
        <v>3765</v>
      </c>
      <c r="C820" t="s">
        <v>3246</v>
      </c>
      <c r="D820" t="s">
        <v>3766</v>
      </c>
      <c r="E820" t="s">
        <v>149</v>
      </c>
      <c r="F820" t="s">
        <v>48</v>
      </c>
      <c r="G820" t="s">
        <v>80</v>
      </c>
      <c r="H820" t="s">
        <v>81</v>
      </c>
      <c r="I820" t="s">
        <v>82</v>
      </c>
      <c r="J820" t="s">
        <v>37</v>
      </c>
      <c r="K820" t="s">
        <v>116</v>
      </c>
      <c r="L820" t="s">
        <v>3767</v>
      </c>
      <c r="M820" t="s">
        <v>63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41</v>
      </c>
      <c r="U820" t="s">
        <v>42</v>
      </c>
      <c r="V820">
        <f t="shared" si="72"/>
        <v>18067.084800000001</v>
      </c>
      <c r="W820">
        <f t="shared" si="73"/>
        <v>2590.0100000000002</v>
      </c>
      <c r="X820">
        <f t="shared" si="74"/>
        <v>0.20428105178307487</v>
      </c>
      <c r="Y820" t="str">
        <f>_xlfn.TEXTJOIN(", ",TRUE,IF(G820="Unknown","Missing Region",""),IF(M820="Unknown","Missing Ship Mode",""),IF(P820&lt;0,"Negative Discount",""),IF(P820&gt;0.7,"High Discount",""),IF(C820&lt;B820,"Ship Before Order",""))</f>
        <v>Negative Discount, Ship Before Order</v>
      </c>
      <c r="Z820" s="2">
        <f>IFERROR(
  IF(ISNUMBER(B820),B820,
    IF(ISNUMBER(SEARCH("-",B820)*1),
      IF(LEN(LEFT(B820,FIND("-",B820)-1))=4,
        DATE(VALUE(LEFT(B820,4)),VALUE(MID(B820,6,2)),VALUE(RIGHT(B820,2))),
        DATE(VALUE(RIGHT(B820,4)),VALUE(MID(B820,4,2)),VALUE(LEFT(B820,2)))
      ),
      IF(ISNUMBER(SEARCH("/",B820)*1),
        DATE(VALUE(RIGHT(B820,4)),VALUE(LEFT(B820,2)),VALUE(MID(B820,4,2))),
        DATEVALUE(B820)
      )
    )
  ),
"INVALID_DATE")</f>
        <v>45564</v>
      </c>
      <c r="AA820" s="2">
        <f>IFERROR(
  IF(ISNUMBER(C820),C820,
    IF(ISNUMBER(SEARCH("-",C820)*1),
      IF(LEN(LEFT(C820,FIND("-",C820)-1))=4,
        DATE(VALUE(LEFT(C820,4)),VALUE(MID(C820,6,2)),VALUE(RIGHT(C820,2))),
        DATE(VALUE(RIGHT(C820,4)),VALUE(MID(C820,4,2)),VALUE(LEFT(C820,2)))
      ),
      IF(ISNUMBER(SEARCH("/",C820)*1),
        DATE(VALUE(RIGHT(C820,4)),VALUE(LEFT(C820,2)),VALUE(MID(C820,4,2))),
        DATEVALUE(C820)
      )
    )
  ),
"INVALID_DATE")</f>
        <v>45570</v>
      </c>
      <c r="AB820">
        <f t="shared" si="75"/>
        <v>6</v>
      </c>
      <c r="AC820" t="str">
        <f t="shared" si="76"/>
        <v>September</v>
      </c>
      <c r="AD820">
        <f t="shared" si="77"/>
        <v>2024</v>
      </c>
    </row>
    <row r="821" spans="1:30">
      <c r="A821" t="s">
        <v>3768</v>
      </c>
      <c r="B821" t="s">
        <v>1602</v>
      </c>
      <c r="C821" t="s">
        <v>3769</v>
      </c>
      <c r="D821" t="s">
        <v>3770</v>
      </c>
      <c r="E821" t="s">
        <v>32</v>
      </c>
      <c r="F821" t="s">
        <v>122</v>
      </c>
      <c r="G821" t="s">
        <v>69</v>
      </c>
      <c r="H821" t="s">
        <v>249</v>
      </c>
      <c r="I821" t="s">
        <v>250</v>
      </c>
      <c r="J821" t="s">
        <v>93</v>
      </c>
      <c r="K821" t="s">
        <v>3771</v>
      </c>
      <c r="L821" t="s">
        <v>3772</v>
      </c>
      <c r="M821" t="s">
        <v>74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207</v>
      </c>
      <c r="U821" t="s">
        <v>85</v>
      </c>
      <c r="V821">
        <f t="shared" si="72"/>
        <v>33968.080000000002</v>
      </c>
      <c r="W821">
        <f t="shared" si="73"/>
        <v>7065.6400000000031</v>
      </c>
      <c r="X821">
        <f t="shared" si="74"/>
        <v>0.20800822419165288</v>
      </c>
      <c r="Y821" t="str">
        <f>_xlfn.TEXTJOIN(", ",TRUE,IF(G821="Unknown","Missing Region",""),IF(M821="Unknown","Missing Ship Mode",""),IF(P821&lt;0,"Negative Discount",""),IF(P821&gt;0.7,"High Discount",""),IF(C821&lt;B821,"Ship Before Order",""))</f>
        <v/>
      </c>
      <c r="Z821" s="2">
        <f>IFERROR(
  IF(ISNUMBER(B821),B821,
    IF(ISNUMBER(SEARCH("-",B821)*1),
      IF(LEN(LEFT(B821,FIND("-",B821)-1))=4,
        DATE(VALUE(LEFT(B821,4)),VALUE(MID(B821,6,2)),VALUE(RIGHT(B821,2))),
        DATE(VALUE(RIGHT(B821,4)),VALUE(MID(B821,4,2)),VALUE(LEFT(B821,2)))
      ),
      IF(ISNUMBER(SEARCH("/",B821)*1),
        DATE(VALUE(RIGHT(B821,4)),VALUE(LEFT(B821,2)),VALUE(MID(B821,4,2))),
        DATEVALUE(B821)
      )
    )
  ),
"INVALID_DATE")</f>
        <v>45504</v>
      </c>
      <c r="AA821" s="2">
        <f>IFERROR(
  IF(ISNUMBER(C821),C821,
    IF(ISNUMBER(SEARCH("-",C821)*1),
      IF(LEN(LEFT(C821,FIND("-",C821)-1))=4,
        DATE(VALUE(LEFT(C821,4)),VALUE(MID(C821,6,2)),VALUE(RIGHT(C821,2))),
        DATE(VALUE(RIGHT(C821,4)),VALUE(MID(C821,4,2)),VALUE(LEFT(C821,2)))
      ),
      IF(ISNUMBER(SEARCH("/",C821)*1),
        DATE(VALUE(RIGHT(C821,4)),VALUE(LEFT(C821,2)),VALUE(MID(C821,4,2))),
        DATEVALUE(C821)
      )
    )
  ),
"INVALID_DATE")</f>
        <v>45504</v>
      </c>
      <c r="AB821">
        <f t="shared" si="75"/>
        <v>0</v>
      </c>
      <c r="AC821" t="str">
        <f t="shared" si="76"/>
        <v>July</v>
      </c>
      <c r="AD821">
        <f t="shared" si="77"/>
        <v>2024</v>
      </c>
    </row>
    <row r="822" spans="1:30">
      <c r="A822" t="s">
        <v>3773</v>
      </c>
      <c r="B822" t="s">
        <v>3774</v>
      </c>
      <c r="C822" t="s">
        <v>3775</v>
      </c>
      <c r="D822" t="s">
        <v>3776</v>
      </c>
      <c r="E822" t="s">
        <v>79</v>
      </c>
      <c r="F822" t="s">
        <v>122</v>
      </c>
      <c r="G822" t="s">
        <v>34</v>
      </c>
      <c r="H822" t="s">
        <v>181</v>
      </c>
      <c r="I822" t="s">
        <v>182</v>
      </c>
      <c r="J822" t="s">
        <v>52</v>
      </c>
      <c r="K822" t="s">
        <v>211</v>
      </c>
      <c r="L822" t="s">
        <v>3777</v>
      </c>
      <c r="M822" t="s">
        <v>74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41</v>
      </c>
      <c r="U822" t="s">
        <v>42</v>
      </c>
      <c r="V822">
        <f t="shared" si="72"/>
        <v>511.31200000000001</v>
      </c>
      <c r="W822">
        <f t="shared" si="73"/>
        <v>74.88</v>
      </c>
      <c r="X822">
        <f t="shared" si="74"/>
        <v>0.14644736070094463</v>
      </c>
      <c r="Y822" t="str">
        <f>_xlfn.TEXTJOIN(", ",TRUE,IF(G822="Unknown","Missing Region",""),IF(M822="Unknown","Missing Ship Mode",""),IF(P822&lt;0,"Negative Discount",""),IF(P822&gt;0.7,"High Discount",""),IF(C822&lt;B822,"Ship Before Order",""))</f>
        <v/>
      </c>
      <c r="Z822" s="2">
        <f>IFERROR(
  IF(ISNUMBER(B822),B822,
    IF(ISNUMBER(SEARCH("-",B822)*1),
      IF(LEN(LEFT(B822,FIND("-",B822)-1))=4,
        DATE(VALUE(LEFT(B822,4)),VALUE(MID(B822,6,2)),VALUE(RIGHT(B822,2))),
        DATE(VALUE(RIGHT(B822,4)),VALUE(MID(B822,4,2)),VALUE(LEFT(B822,2)))
      ),
      IF(ISNUMBER(SEARCH("/",B822)*1),
        DATE(VALUE(RIGHT(B822,4)),VALUE(LEFT(B822,2)),VALUE(MID(B822,4,2))),
        DATEVALUE(B822)
      )
    )
  ),
"INVALID_DATE")</f>
        <v>45694</v>
      </c>
      <c r="AA822" s="2">
        <f>IFERROR(
  IF(ISNUMBER(C822),C822,
    IF(ISNUMBER(SEARCH("-",C822)*1),
      IF(LEN(LEFT(C822,FIND("-",C822)-1))=4,
        DATE(VALUE(LEFT(C822,4)),VALUE(MID(C822,6,2)),VALUE(RIGHT(C822,2))),
        DATE(VALUE(RIGHT(C822,4)),VALUE(MID(C822,4,2)),VALUE(LEFT(C822,2)))
      ),
      IF(ISNUMBER(SEARCH("/",C822)*1),
        DATE(VALUE(RIGHT(C822,4)),VALUE(LEFT(C822,2)),VALUE(MID(C822,4,2))),
        DATEVALUE(C822)
      )
    )
  ),
"INVALID_DATE")</f>
        <v>45698</v>
      </c>
      <c r="AB822">
        <f t="shared" si="75"/>
        <v>4</v>
      </c>
      <c r="AC822" t="str">
        <f t="shared" si="76"/>
        <v>February</v>
      </c>
      <c r="AD822">
        <f t="shared" si="77"/>
        <v>2025</v>
      </c>
    </row>
    <row r="823" spans="1:30">
      <c r="A823" t="s">
        <v>3778</v>
      </c>
      <c r="B823" t="s">
        <v>3779</v>
      </c>
      <c r="C823" t="s">
        <v>3780</v>
      </c>
      <c r="D823" t="s">
        <v>3781</v>
      </c>
      <c r="E823" t="s">
        <v>169</v>
      </c>
      <c r="F823" t="s">
        <v>115</v>
      </c>
      <c r="G823" t="s">
        <v>69</v>
      </c>
      <c r="H823" t="s">
        <v>236</v>
      </c>
      <c r="I823" t="s">
        <v>237</v>
      </c>
      <c r="J823" t="s">
        <v>93</v>
      </c>
      <c r="K823" t="s">
        <v>94</v>
      </c>
      <c r="L823" t="s">
        <v>3782</v>
      </c>
      <c r="M823" t="s">
        <v>63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41</v>
      </c>
      <c r="U823" t="s">
        <v>42</v>
      </c>
      <c r="V823">
        <f t="shared" si="72"/>
        <v>10877.944000000001</v>
      </c>
      <c r="W823">
        <f t="shared" si="73"/>
        <v>1767.8000000000011</v>
      </c>
      <c r="X823">
        <f t="shared" si="74"/>
        <v>0.16251238745571311</v>
      </c>
      <c r="Y823" t="str">
        <f>_xlfn.TEXTJOIN(", ",TRUE,IF(G823="Unknown","Missing Region",""),IF(M823="Unknown","Missing Ship Mode",""),IF(P823&lt;0,"Negative Discount",""),IF(P823&gt;0.7,"High Discount",""),IF(C823&lt;B823,"Ship Before Order",""))</f>
        <v>Ship Before Order</v>
      </c>
      <c r="Z823" s="2">
        <f>IFERROR(
  IF(ISNUMBER(B823),B823,
    IF(ISNUMBER(SEARCH("-",B823)*1),
      IF(LEN(LEFT(B823,FIND("-",B823)-1))=4,
        DATE(VALUE(LEFT(B823,4)),VALUE(MID(B823,6,2)),VALUE(RIGHT(B823,2))),
        DATE(VALUE(RIGHT(B823,4)),VALUE(MID(B823,4,2)),VALUE(LEFT(B823,2)))
      ),
      IF(ISNUMBER(SEARCH("/",B823)*1),
        DATE(VALUE(RIGHT(B823,4)),VALUE(LEFT(B823,2)),VALUE(MID(B823,4,2))),
        DATEVALUE(B823)
      )
    )
  ),
"INVALID_DATE")</f>
        <v>45476</v>
      </c>
      <c r="AA823" s="2">
        <f>IFERROR(
  IF(ISNUMBER(C823),C823,
    IF(ISNUMBER(SEARCH("-",C823)*1),
      IF(LEN(LEFT(C823,FIND("-",C823)-1))=4,
        DATE(VALUE(LEFT(C823,4)),VALUE(MID(C823,6,2)),VALUE(RIGHT(C823,2))),
        DATE(VALUE(RIGHT(C823,4)),VALUE(MID(C823,4,2)),VALUE(LEFT(C823,2)))
      ),
      IF(ISNUMBER(SEARCH("/",C823)*1),
        DATE(VALUE(RIGHT(C823,4)),VALUE(LEFT(C823,2)),VALUE(MID(C823,4,2))),
        DATEVALUE(C823)
      )
    )
  ),
"INVALID_DATE")</f>
        <v>45479</v>
      </c>
      <c r="AB823">
        <f t="shared" si="75"/>
        <v>3</v>
      </c>
      <c r="AC823" t="str">
        <f t="shared" si="76"/>
        <v>July</v>
      </c>
      <c r="AD823">
        <f t="shared" si="77"/>
        <v>2024</v>
      </c>
    </row>
    <row r="824" spans="1:30">
      <c r="A824" t="s">
        <v>3783</v>
      </c>
      <c r="B824" t="s">
        <v>3784</v>
      </c>
      <c r="C824" t="s">
        <v>3785</v>
      </c>
      <c r="D824" t="s">
        <v>3786</v>
      </c>
      <c r="E824" t="s">
        <v>47</v>
      </c>
      <c r="F824" t="s">
        <v>115</v>
      </c>
      <c r="G824" t="s">
        <v>49</v>
      </c>
      <c r="H824" t="s">
        <v>223</v>
      </c>
      <c r="I824" t="s">
        <v>224</v>
      </c>
      <c r="J824" t="s">
        <v>52</v>
      </c>
      <c r="K824" t="s">
        <v>72</v>
      </c>
      <c r="L824" t="s">
        <v>3787</v>
      </c>
      <c r="M824" t="s">
        <v>40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144</v>
      </c>
      <c r="U824" t="s">
        <v>132</v>
      </c>
      <c r="V824">
        <f t="shared" si="72"/>
        <v>10246.528</v>
      </c>
      <c r="W824">
        <f t="shared" si="73"/>
        <v>1612.1100000000006</v>
      </c>
      <c r="X824">
        <f t="shared" si="74"/>
        <v>0.15733228712549516</v>
      </c>
      <c r="Y824" t="str">
        <f>_xlfn.TEXTJOIN(", ",TRUE,IF(G824="Unknown","Missing Region",""),IF(M824="Unknown","Missing Ship Mode",""),IF(P824&lt;0,"Negative Discount",""),IF(P824&gt;0.7,"High Discount",""),IF(C824&lt;B824,"Ship Before Order",""))</f>
        <v>Ship Before Order</v>
      </c>
      <c r="Z824" s="2">
        <f>IFERROR(
  IF(ISNUMBER(B824),B824,
    IF(ISNUMBER(SEARCH("-",B824)*1),
      IF(LEN(LEFT(B824,FIND("-",B824)-1))=4,
        DATE(VALUE(LEFT(B824,4)),VALUE(MID(B824,6,2)),VALUE(RIGHT(B824,2))),
        DATE(VALUE(RIGHT(B824,4)),VALUE(MID(B824,4,2)),VALUE(LEFT(B824,2)))
      ),
      IF(ISNUMBER(SEARCH("/",B824)*1),
        DATE(VALUE(RIGHT(B824,4)),VALUE(LEFT(B824,2)),VALUE(MID(B824,4,2))),
        DATEVALUE(B824)
      )
    )
  ),
"INVALID_DATE")</f>
        <v>45577</v>
      </c>
      <c r="AA824" s="2">
        <f>IFERROR(
  IF(ISNUMBER(C824),C824,
    IF(ISNUMBER(SEARCH("-",C824)*1),
      IF(LEN(LEFT(C824,FIND("-",C824)-1))=4,
        DATE(VALUE(LEFT(C824,4)),VALUE(MID(C824,6,2)),VALUE(RIGHT(C824,2))),
        DATE(VALUE(RIGHT(C824,4)),VALUE(MID(C824,4,2)),VALUE(LEFT(C824,2)))
      ),
      IF(ISNUMBER(SEARCH("/",C824)*1),
        DATE(VALUE(RIGHT(C824,4)),VALUE(LEFT(C824,2)),VALUE(MID(C824,4,2))),
        DATEVALUE(C824)
      )
    )
  ),
"INVALID_DATE")</f>
        <v>45573</v>
      </c>
      <c r="AB824">
        <f t="shared" si="75"/>
        <v>-4</v>
      </c>
      <c r="AC824" t="str">
        <f t="shared" si="76"/>
        <v>October</v>
      </c>
      <c r="AD824">
        <f t="shared" si="77"/>
        <v>2024</v>
      </c>
    </row>
    <row r="825" spans="1:30">
      <c r="A825" t="s">
        <v>3788</v>
      </c>
      <c r="B825" t="s">
        <v>3789</v>
      </c>
      <c r="C825" t="s">
        <v>2186</v>
      </c>
      <c r="D825" t="s">
        <v>3790</v>
      </c>
      <c r="E825" t="s">
        <v>47</v>
      </c>
      <c r="F825" t="s">
        <v>122</v>
      </c>
      <c r="G825" t="s">
        <v>80</v>
      </c>
      <c r="H825" t="s">
        <v>256</v>
      </c>
      <c r="I825" t="s">
        <v>257</v>
      </c>
      <c r="J825" t="s">
        <v>37</v>
      </c>
      <c r="K825" t="s">
        <v>38</v>
      </c>
      <c r="L825" t="s">
        <v>3791</v>
      </c>
      <c r="M825" t="s">
        <v>55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41</v>
      </c>
      <c r="U825" t="s">
        <v>42</v>
      </c>
      <c r="V825">
        <f t="shared" si="72"/>
        <v>1704.2415000000001</v>
      </c>
      <c r="W825">
        <f t="shared" si="73"/>
        <v>746.69</v>
      </c>
      <c r="X825">
        <f t="shared" si="74"/>
        <v>0.43813664742055114</v>
      </c>
      <c r="Y825" t="str">
        <f>_xlfn.TEXTJOIN(", ",TRUE,IF(G825="Unknown","Missing Region",""),IF(M825="Unknown","Missing Ship Mode",""),IF(P825&lt;0,"Negative Discount",""),IF(P825&gt;0.7,"High Discount",""),IF(C825&lt;B825,"Ship Before Order",""))</f>
        <v>Ship Before Order</v>
      </c>
      <c r="Z825" s="2">
        <f>IFERROR(
  IF(ISNUMBER(B825),B825,
    IF(ISNUMBER(SEARCH("-",B825)*1),
      IF(LEN(LEFT(B825,FIND("-",B825)-1))=4,
        DATE(VALUE(LEFT(B825,4)),VALUE(MID(B825,6,2)),VALUE(RIGHT(B825,2))),
        DATE(VALUE(RIGHT(B825,4)),VALUE(MID(B825,4,2)),VALUE(LEFT(B825,2)))
      ),
      IF(ISNUMBER(SEARCH("/",B825)*1),
        DATE(VALUE(RIGHT(B825,4)),VALUE(LEFT(B825,2)),VALUE(MID(B825,4,2))),
        DATEVALUE(B825)
      )
    )
  ),
"INVALID_DATE")</f>
        <v>45663</v>
      </c>
      <c r="AA825" s="2">
        <f>IFERROR(
  IF(ISNUMBER(C825),C825,
    IF(ISNUMBER(SEARCH("-",C825)*1),
      IF(LEN(LEFT(C825,FIND("-",C825)-1))=4,
        DATE(VALUE(LEFT(C825,4)),VALUE(MID(C825,6,2)),VALUE(RIGHT(C825,2))),
        DATE(VALUE(RIGHT(C825,4)),VALUE(MID(C825,4,2)),VALUE(LEFT(C825,2)))
      ),
      IF(ISNUMBER(SEARCH("/",C825)*1),
        DATE(VALUE(RIGHT(C825,4)),VALUE(LEFT(C825,2)),VALUE(MID(C825,4,2))),
        DATEVALUE(C825)
      )
    )
  ),
"INVALID_DATE")</f>
        <v>45669</v>
      </c>
      <c r="AB825">
        <f t="shared" si="75"/>
        <v>6</v>
      </c>
      <c r="AC825" t="str">
        <f t="shared" si="76"/>
        <v>January</v>
      </c>
      <c r="AD825">
        <f t="shared" si="77"/>
        <v>2025</v>
      </c>
    </row>
    <row r="826" spans="1:30">
      <c r="A826" t="s">
        <v>3792</v>
      </c>
      <c r="B826" t="s">
        <v>3793</v>
      </c>
      <c r="C826" t="s">
        <v>2123</v>
      </c>
      <c r="D826" t="s">
        <v>3794</v>
      </c>
      <c r="E826" t="s">
        <v>149</v>
      </c>
      <c r="F826" t="s">
        <v>33</v>
      </c>
      <c r="G826" t="s">
        <v>80</v>
      </c>
      <c r="H826" t="s">
        <v>256</v>
      </c>
      <c r="I826" t="s">
        <v>257</v>
      </c>
      <c r="J826" t="s">
        <v>37</v>
      </c>
      <c r="K826" t="s">
        <v>38</v>
      </c>
      <c r="L826" t="s">
        <v>3795</v>
      </c>
      <c r="M826" t="s">
        <v>63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41</v>
      </c>
      <c r="U826" t="s">
        <v>42</v>
      </c>
      <c r="V826">
        <f t="shared" si="72"/>
        <v>33719.223999999995</v>
      </c>
      <c r="W826">
        <f t="shared" si="73"/>
        <v>4794.7900000000009</v>
      </c>
      <c r="X826">
        <f t="shared" si="74"/>
        <v>0.14219753600468812</v>
      </c>
      <c r="Y826" t="str">
        <f>_xlfn.TEXTJOIN(", ",TRUE,IF(G826="Unknown","Missing Region",""),IF(M826="Unknown","Missing Ship Mode",""),IF(P826&lt;0,"Negative Discount",""),IF(P826&gt;0.7,"High Discount",""),IF(C826&lt;B826,"Ship Before Order",""))</f>
        <v/>
      </c>
      <c r="Z826" s="2">
        <f>IFERROR(
  IF(ISNUMBER(B826),B826,
    IF(ISNUMBER(SEARCH("-",B826)*1),
      IF(LEN(LEFT(B826,FIND("-",B826)-1))=4,
        DATE(VALUE(LEFT(B826,4)),VALUE(MID(B826,6,2)),VALUE(RIGHT(B826,2))),
        DATE(VALUE(RIGHT(B826,4)),VALUE(MID(B826,4,2)),VALUE(LEFT(B826,2)))
      ),
      IF(ISNUMBER(SEARCH("/",B826)*1),
        DATE(VALUE(RIGHT(B826,4)),VALUE(LEFT(B826,2)),VALUE(MID(B826,4,2))),
        DATEVALUE(B826)
      )
    )
  ),
"INVALID_DATE")</f>
        <v>45737</v>
      </c>
      <c r="AA826" s="2">
        <f>IFERROR(
  IF(ISNUMBER(C826),C826,
    IF(ISNUMBER(SEARCH("-",C826)*1),
      IF(LEN(LEFT(C826,FIND("-",C826)-1))=4,
        DATE(VALUE(LEFT(C826,4)),VALUE(MID(C826,6,2)),VALUE(RIGHT(C826,2))),
        DATE(VALUE(RIGHT(C826,4)),VALUE(MID(C826,4,2)),VALUE(LEFT(C826,2)))
      ),
      IF(ISNUMBER(SEARCH("/",C826)*1),
        DATE(VALUE(RIGHT(C826,4)),VALUE(LEFT(C826,2)),VALUE(MID(C826,4,2))),
        DATEVALUE(C826)
      )
    )
  ),
"INVALID_DATE")</f>
        <v>45738</v>
      </c>
      <c r="AB826">
        <f t="shared" si="75"/>
        <v>1</v>
      </c>
      <c r="AC826" t="str">
        <f t="shared" si="76"/>
        <v>March</v>
      </c>
      <c r="AD826">
        <f t="shared" si="77"/>
        <v>2025</v>
      </c>
    </row>
    <row r="827" spans="1:30">
      <c r="A827" t="s">
        <v>3796</v>
      </c>
      <c r="B827" t="s">
        <v>3797</v>
      </c>
      <c r="C827" t="s">
        <v>3798</v>
      </c>
      <c r="D827" t="s">
        <v>3799</v>
      </c>
      <c r="E827" t="s">
        <v>90</v>
      </c>
      <c r="F827" t="s">
        <v>48</v>
      </c>
      <c r="G827" t="s">
        <v>34</v>
      </c>
      <c r="H827" t="s">
        <v>181</v>
      </c>
      <c r="I827" t="s">
        <v>182</v>
      </c>
      <c r="J827" t="s">
        <v>93</v>
      </c>
      <c r="K827" t="s">
        <v>390</v>
      </c>
      <c r="L827" t="s">
        <v>3800</v>
      </c>
      <c r="M827" t="s">
        <v>63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41</v>
      </c>
      <c r="U827" t="s">
        <v>42</v>
      </c>
      <c r="V827">
        <f t="shared" si="72"/>
        <v>2720.17</v>
      </c>
      <c r="W827">
        <f t="shared" si="73"/>
        <v>885.94</v>
      </c>
      <c r="X827">
        <f t="shared" si="74"/>
        <v>0.3256928794891496</v>
      </c>
      <c r="Y827" t="str">
        <f>_xlfn.TEXTJOIN(", ",TRUE,IF(G827="Unknown","Missing Region",""),IF(M827="Unknown","Missing Ship Mode",""),IF(P827&lt;0,"Negative Discount",""),IF(P827&gt;0.7,"High Discount",""),IF(C827&lt;B827,"Ship Before Order",""))</f>
        <v/>
      </c>
      <c r="Z827" s="2">
        <f>IFERROR(
  IF(ISNUMBER(B827),B827,
    IF(ISNUMBER(SEARCH("-",B827)*1),
      IF(LEN(LEFT(B827,FIND("-",B827)-1))=4,
        DATE(VALUE(LEFT(B827,4)),VALUE(MID(B827,6,2)),VALUE(RIGHT(B827,2))),
        DATE(VALUE(RIGHT(B827,4)),VALUE(MID(B827,4,2)),VALUE(LEFT(B827,2)))
      ),
      IF(ISNUMBER(SEARCH("/",B827)*1),
        DATE(VALUE(RIGHT(B827,4)),VALUE(LEFT(B827,2)),VALUE(MID(B827,4,2))),
        DATEVALUE(B827)
      )
    )
  ),
"INVALID_DATE")</f>
        <v>45763</v>
      </c>
      <c r="AA827" s="2">
        <f>IFERROR(
  IF(ISNUMBER(C827),C827,
    IF(ISNUMBER(SEARCH("-",C827)*1),
      IF(LEN(LEFT(C827,FIND("-",C827)-1))=4,
        DATE(VALUE(LEFT(C827,4)),VALUE(MID(C827,6,2)),VALUE(RIGHT(C827,2))),
        DATE(VALUE(RIGHT(C827,4)),VALUE(MID(C827,4,2)),VALUE(LEFT(C827,2)))
      ),
      IF(ISNUMBER(SEARCH("/",C827)*1),
        DATE(VALUE(RIGHT(C827,4)),VALUE(LEFT(C827,2)),VALUE(MID(C827,4,2))),
        DATEVALUE(C827)
      )
    )
  ),
"INVALID_DATE")</f>
        <v>45764</v>
      </c>
      <c r="AB827">
        <f t="shared" si="75"/>
        <v>1</v>
      </c>
      <c r="AC827" t="str">
        <f t="shared" si="76"/>
        <v>April</v>
      </c>
      <c r="AD827">
        <f t="shared" si="77"/>
        <v>2025</v>
      </c>
    </row>
    <row r="828" spans="1:30">
      <c r="A828" t="s">
        <v>3801</v>
      </c>
      <c r="B828" t="s">
        <v>3111</v>
      </c>
      <c r="C828" t="s">
        <v>3802</v>
      </c>
      <c r="D828" t="s">
        <v>3803</v>
      </c>
      <c r="E828" t="s">
        <v>114</v>
      </c>
      <c r="F828" t="s">
        <v>33</v>
      </c>
      <c r="G828" t="s">
        <v>80</v>
      </c>
      <c r="H828" t="s">
        <v>35</v>
      </c>
      <c r="I828" t="s">
        <v>142</v>
      </c>
      <c r="J828" t="s">
        <v>93</v>
      </c>
      <c r="K828" t="s">
        <v>94</v>
      </c>
      <c r="L828" t="s">
        <v>3804</v>
      </c>
      <c r="M828" t="s">
        <v>74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41</v>
      </c>
      <c r="U828" t="s">
        <v>42</v>
      </c>
      <c r="V828">
        <f t="shared" si="72"/>
        <v>8213.0249999999996</v>
      </c>
      <c r="W828">
        <f t="shared" si="73"/>
        <v>2643.7200000000003</v>
      </c>
      <c r="X828">
        <f t="shared" si="74"/>
        <v>0.32189377354493226</v>
      </c>
      <c r="Y828" t="str">
        <f>_xlfn.TEXTJOIN(", ",TRUE,IF(G828="Unknown","Missing Region",""),IF(M828="Unknown","Missing Ship Mode",""),IF(P828&lt;0,"Negative Discount",""),IF(P828&gt;0.7,"High Discount",""),IF(C828&lt;B828,"Ship Before Order",""))</f>
        <v>Ship Before Order</v>
      </c>
      <c r="Z828" s="2">
        <f>IFERROR(
  IF(ISNUMBER(B828),B828,
    IF(ISNUMBER(SEARCH("-",B828)*1),
      IF(LEN(LEFT(B828,FIND("-",B828)-1))=4,
        DATE(VALUE(LEFT(B828,4)),VALUE(MID(B828,6,2)),VALUE(RIGHT(B828,2))),
        DATE(VALUE(RIGHT(B828,4)),VALUE(MID(B828,4,2)),VALUE(LEFT(B828,2)))
      ),
      IF(ISNUMBER(SEARCH("/",B828)*1),
        DATE(VALUE(RIGHT(B828,4)),VALUE(LEFT(B828,2)),VALUE(MID(B828,4,2))),
        DATEVALUE(B828)
      )
    )
  ),
"INVALID_DATE")</f>
        <v>45879</v>
      </c>
      <c r="AA828" s="2">
        <f>IFERROR(
  IF(ISNUMBER(C828),C828,
    IF(ISNUMBER(SEARCH("-",C828)*1),
      IF(LEN(LEFT(C828,FIND("-",C828)-1))=4,
        DATE(VALUE(LEFT(C828,4)),VALUE(MID(C828,6,2)),VALUE(RIGHT(C828,2))),
        DATE(VALUE(RIGHT(C828,4)),VALUE(MID(C828,4,2)),VALUE(LEFT(C828,2)))
      ),
      IF(ISNUMBER(SEARCH("/",C828)*1),
        DATE(VALUE(RIGHT(C828,4)),VALUE(LEFT(C828,2)),VALUE(MID(C828,4,2))),
        DATEVALUE(C828)
      )
    )
  ),
"INVALID_DATE")</f>
        <v>45883</v>
      </c>
      <c r="AB828">
        <f t="shared" si="75"/>
        <v>4</v>
      </c>
      <c r="AC828" t="str">
        <f t="shared" si="76"/>
        <v>August</v>
      </c>
      <c r="AD828">
        <f t="shared" si="77"/>
        <v>2025</v>
      </c>
    </row>
    <row r="829" spans="1:30">
      <c r="A829" t="s">
        <v>3805</v>
      </c>
      <c r="B829" t="s">
        <v>3806</v>
      </c>
      <c r="C829" t="s">
        <v>1758</v>
      </c>
      <c r="D829" t="s">
        <v>3807</v>
      </c>
      <c r="E829" t="s">
        <v>149</v>
      </c>
      <c r="F829" t="s">
        <v>122</v>
      </c>
      <c r="G829" t="s">
        <v>69</v>
      </c>
      <c r="H829" t="s">
        <v>347</v>
      </c>
      <c r="I829" t="s">
        <v>348</v>
      </c>
      <c r="J829" t="s">
        <v>37</v>
      </c>
      <c r="K829" t="s">
        <v>38</v>
      </c>
      <c r="L829" t="s">
        <v>3808</v>
      </c>
      <c r="M829" t="s">
        <v>55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41</v>
      </c>
      <c r="U829" t="s">
        <v>85</v>
      </c>
      <c r="V829">
        <f t="shared" si="72"/>
        <v>633.66750000000002</v>
      </c>
      <c r="W829">
        <f t="shared" si="73"/>
        <v>113.19999999999993</v>
      </c>
      <c r="X829">
        <f t="shared" si="74"/>
        <v>0.1786418798428204</v>
      </c>
      <c r="Y829" t="str">
        <f>_xlfn.TEXTJOIN(", ",TRUE,IF(G829="Unknown","Missing Region",""),IF(M829="Unknown","Missing Ship Mode",""),IF(P829&lt;0,"Negative Discount",""),IF(P829&gt;0.7,"High Discount",""),IF(C829&lt;B829,"Ship Before Order",""))</f>
        <v>Ship Before Order</v>
      </c>
      <c r="Z829" s="2">
        <f>IFERROR(
  IF(ISNUMBER(B829),B829,
    IF(ISNUMBER(SEARCH("-",B829)*1),
      IF(LEN(LEFT(B829,FIND("-",B829)-1))=4,
        DATE(VALUE(LEFT(B829,4)),VALUE(MID(B829,6,2)),VALUE(RIGHT(B829,2))),
        DATE(VALUE(RIGHT(B829,4)),VALUE(MID(B829,4,2)),VALUE(LEFT(B829,2)))
      ),
      IF(ISNUMBER(SEARCH("/",B829)*1),
        DATE(VALUE(RIGHT(B829,4)),VALUE(LEFT(B829,2)),VALUE(MID(B829,4,2))),
        DATEVALUE(B829)
      )
    )
  ),
"INVALID_DATE")</f>
        <v>45620</v>
      </c>
      <c r="AA829" s="2">
        <f>IFERROR(
  IF(ISNUMBER(C829),C829,
    IF(ISNUMBER(SEARCH("-",C829)*1),
      IF(LEN(LEFT(C829,FIND("-",C829)-1))=4,
        DATE(VALUE(LEFT(C829,4)),VALUE(MID(C829,6,2)),VALUE(RIGHT(C829,2))),
        DATE(VALUE(RIGHT(C829,4)),VALUE(MID(C829,4,2)),VALUE(LEFT(C829,2)))
      ),
      IF(ISNUMBER(SEARCH("/",C829)*1),
        DATE(VALUE(RIGHT(C829,4)),VALUE(LEFT(C829,2)),VALUE(MID(C829,4,2))),
        DATEVALUE(C829)
      )
    )
  ),
"INVALID_DATE")</f>
        <v>45627</v>
      </c>
      <c r="AB829">
        <f t="shared" si="75"/>
        <v>7</v>
      </c>
      <c r="AC829" t="str">
        <f t="shared" si="76"/>
        <v>November</v>
      </c>
      <c r="AD829">
        <f t="shared" si="77"/>
        <v>2024</v>
      </c>
    </row>
    <row r="830" spans="1:30">
      <c r="A830" t="s">
        <v>3809</v>
      </c>
      <c r="B830" t="s">
        <v>3810</v>
      </c>
      <c r="C830" t="s">
        <v>3811</v>
      </c>
      <c r="D830" t="s">
        <v>3812</v>
      </c>
      <c r="E830" t="s">
        <v>32</v>
      </c>
      <c r="F830" t="s">
        <v>115</v>
      </c>
      <c r="G830" t="s">
        <v>49</v>
      </c>
      <c r="H830" t="s">
        <v>50</v>
      </c>
      <c r="I830" t="s">
        <v>51</v>
      </c>
      <c r="J830" t="s">
        <v>52</v>
      </c>
      <c r="K830" t="s">
        <v>83</v>
      </c>
      <c r="L830" t="s">
        <v>3813</v>
      </c>
      <c r="M830" t="s">
        <v>40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207</v>
      </c>
      <c r="U830" t="s">
        <v>85</v>
      </c>
      <c r="V830">
        <f t="shared" si="72"/>
        <v>25216.534</v>
      </c>
      <c r="W830">
        <f t="shared" si="73"/>
        <v>10999.589999999998</v>
      </c>
      <c r="X830">
        <f t="shared" si="74"/>
        <v>0.43620553660634515</v>
      </c>
      <c r="Y830" t="str">
        <f>_xlfn.TEXTJOIN(", ",TRUE,IF(G830="Unknown","Missing Region",""),IF(M830="Unknown","Missing Ship Mode",""),IF(P830&lt;0,"Negative Discount",""),IF(P830&gt;0.7,"High Discount",""),IF(C830&lt;B830,"Ship Before Order",""))</f>
        <v/>
      </c>
      <c r="Z830" s="2">
        <f>IFERROR(
  IF(ISNUMBER(B830),B830,
    IF(ISNUMBER(SEARCH("-",B830)*1),
      IF(LEN(LEFT(B830,FIND("-",B830)-1))=4,
        DATE(VALUE(LEFT(B830,4)),VALUE(MID(B830,6,2)),VALUE(RIGHT(B830,2))),
        DATE(VALUE(RIGHT(B830,4)),VALUE(MID(B830,4,2)),VALUE(LEFT(B830,2)))
      ),
      IF(ISNUMBER(SEARCH("/",B830)*1),
        DATE(VALUE(RIGHT(B830,4)),VALUE(LEFT(B830,2)),VALUE(MID(B830,4,2))),
        DATEVALUE(B830)
      )
    )
  ),
"INVALID_DATE")</f>
        <v>45940</v>
      </c>
      <c r="AA830" s="2">
        <f>IFERROR(
  IF(ISNUMBER(C830),C830,
    IF(ISNUMBER(SEARCH("-",C830)*1),
      IF(LEN(LEFT(C830,FIND("-",C830)-1))=4,
        DATE(VALUE(LEFT(C830,4)),VALUE(MID(C830,6,2)),VALUE(RIGHT(C830,2))),
        DATE(VALUE(RIGHT(C830,4)),VALUE(MID(C830,4,2)),VALUE(LEFT(C830,2)))
      ),
      IF(ISNUMBER(SEARCH("/",C830)*1),
        DATE(VALUE(RIGHT(C830,4)),VALUE(LEFT(C830,2)),VALUE(MID(C830,4,2))),
        DATEVALUE(C830)
      )
    )
  ),
"INVALID_DATE")</f>
        <v>45941</v>
      </c>
      <c r="AB830">
        <f t="shared" si="75"/>
        <v>1</v>
      </c>
      <c r="AC830" t="str">
        <f t="shared" si="76"/>
        <v>October</v>
      </c>
      <c r="AD830">
        <f t="shared" si="77"/>
        <v>2025</v>
      </c>
    </row>
    <row r="831" spans="1:30">
      <c r="A831" t="s">
        <v>3814</v>
      </c>
      <c r="B831" t="s">
        <v>3815</v>
      </c>
      <c r="C831" t="s">
        <v>1482</v>
      </c>
      <c r="D831" t="s">
        <v>3816</v>
      </c>
      <c r="E831" t="s">
        <v>114</v>
      </c>
      <c r="F831" t="s">
        <v>48</v>
      </c>
      <c r="G831" t="s">
        <v>80</v>
      </c>
      <c r="H831" t="s">
        <v>256</v>
      </c>
      <c r="I831" t="s">
        <v>257</v>
      </c>
      <c r="J831" t="s">
        <v>52</v>
      </c>
      <c r="K831" t="s">
        <v>72</v>
      </c>
      <c r="L831" t="s">
        <v>3817</v>
      </c>
      <c r="M831" t="s">
        <v>40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41</v>
      </c>
      <c r="U831" t="s">
        <v>42</v>
      </c>
      <c r="V831">
        <f t="shared" si="72"/>
        <v>6521.3820000000005</v>
      </c>
      <c r="W831">
        <f t="shared" si="73"/>
        <v>2010.2799999999997</v>
      </c>
      <c r="X831">
        <f t="shared" si="74"/>
        <v>0.30825990817894372</v>
      </c>
      <c r="Y831" t="str">
        <f>_xlfn.TEXTJOIN(", ",TRUE,IF(G831="Unknown","Missing Region",""),IF(M831="Unknown","Missing Ship Mode",""),IF(P831&lt;0,"Negative Discount",""),IF(P831&gt;0.7,"High Discount",""),IF(C831&lt;B831,"Ship Before Order",""))</f>
        <v/>
      </c>
      <c r="Z831" s="2">
        <f>IFERROR(
  IF(ISNUMBER(B831),B831,
    IF(ISNUMBER(SEARCH("-",B831)*1),
      IF(LEN(LEFT(B831,FIND("-",B831)-1))=4,
        DATE(VALUE(LEFT(B831,4)),VALUE(MID(B831,6,2)),VALUE(RIGHT(B831,2))),
        DATE(VALUE(RIGHT(B831,4)),VALUE(MID(B831,4,2)),VALUE(LEFT(B831,2)))
      ),
      IF(ISNUMBER(SEARCH("/",B831)*1),
        DATE(VALUE(RIGHT(B831,4)),VALUE(LEFT(B831,2)),VALUE(MID(B831,4,2))),
        DATEVALUE(B831)
      )
    )
  ),
"INVALID_DATE")</f>
        <v>45348</v>
      </c>
      <c r="AA831" s="2">
        <f>IFERROR(
  IF(ISNUMBER(C831),C831,
    IF(ISNUMBER(SEARCH("-",C831)*1),
      IF(LEN(LEFT(C831,FIND("-",C831)-1))=4,
        DATE(VALUE(LEFT(C831,4)),VALUE(MID(C831,6,2)),VALUE(RIGHT(C831,2))),
        DATE(VALUE(RIGHT(C831,4)),VALUE(MID(C831,4,2)),VALUE(LEFT(C831,2)))
      ),
      IF(ISNUMBER(SEARCH("/",C831)*1),
        DATE(VALUE(RIGHT(C831,4)),VALUE(LEFT(C831,2)),VALUE(MID(C831,4,2))),
        DATEVALUE(C831)
      )
    )
  ),
"INVALID_DATE")</f>
        <v>45350</v>
      </c>
      <c r="AB831">
        <f t="shared" si="75"/>
        <v>2</v>
      </c>
      <c r="AC831" t="str">
        <f t="shared" si="76"/>
        <v>February</v>
      </c>
      <c r="AD831">
        <f t="shared" si="77"/>
        <v>2024</v>
      </c>
    </row>
    <row r="832" spans="1:30">
      <c r="A832" t="s">
        <v>3818</v>
      </c>
      <c r="B832" t="s">
        <v>2916</v>
      </c>
      <c r="C832" t="s">
        <v>728</v>
      </c>
      <c r="D832" t="s">
        <v>3819</v>
      </c>
      <c r="E832" t="s">
        <v>114</v>
      </c>
      <c r="F832" t="s">
        <v>48</v>
      </c>
      <c r="G832" t="s">
        <v>279</v>
      </c>
      <c r="H832" t="s">
        <v>347</v>
      </c>
      <c r="I832" t="s">
        <v>348</v>
      </c>
      <c r="J832" t="s">
        <v>93</v>
      </c>
      <c r="K832" t="s">
        <v>390</v>
      </c>
      <c r="L832" t="s">
        <v>3820</v>
      </c>
      <c r="M832" t="s">
        <v>63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41</v>
      </c>
      <c r="U832" t="s">
        <v>42</v>
      </c>
      <c r="V832">
        <f t="shared" si="72"/>
        <v>12867.552</v>
      </c>
      <c r="W832">
        <f t="shared" si="73"/>
        <v>2798.6099999999988</v>
      </c>
      <c r="X832">
        <f t="shared" si="74"/>
        <v>0.2174936176661447</v>
      </c>
      <c r="Y832" t="str">
        <f>_xlfn.TEXTJOIN(", ",TRUE,IF(G832="Unknown","Missing Region",""),IF(M832="Unknown","Missing Ship Mode",""),IF(P832&lt;0,"Negative Discount",""),IF(P832&gt;0.7,"High Discount",""),IF(C832&lt;B832,"Ship Before Order",""))</f>
        <v>Missing Region</v>
      </c>
      <c r="Z832" s="2">
        <f>IFERROR(
  IF(ISNUMBER(B832),B832,
    IF(ISNUMBER(SEARCH("-",B832)*1),
      IF(LEN(LEFT(B832,FIND("-",B832)-1))=4,
        DATE(VALUE(LEFT(B832,4)),VALUE(MID(B832,6,2)),VALUE(RIGHT(B832,2))),
        DATE(VALUE(RIGHT(B832,4)),VALUE(MID(B832,4,2)),VALUE(LEFT(B832,2)))
      ),
      IF(ISNUMBER(SEARCH("/",B832)*1),
        DATE(VALUE(RIGHT(B832,4)),VALUE(LEFT(B832,2)),VALUE(MID(B832,4,2))),
        DATEVALUE(B832)
      )
    )
  ),
"INVALID_DATE")</f>
        <v>45853</v>
      </c>
      <c r="AA832" s="2">
        <f>IFERROR(
  IF(ISNUMBER(C832),C832,
    IF(ISNUMBER(SEARCH("-",C832)*1),
      IF(LEN(LEFT(C832,FIND("-",C832)-1))=4,
        DATE(VALUE(LEFT(C832,4)),VALUE(MID(C832,6,2)),VALUE(RIGHT(C832,2))),
        DATE(VALUE(RIGHT(C832,4)),VALUE(MID(C832,4,2)),VALUE(LEFT(C832,2)))
      ),
      IF(ISNUMBER(SEARCH("/",C832)*1),
        DATE(VALUE(RIGHT(C832,4)),VALUE(LEFT(C832,2)),VALUE(MID(C832,4,2))),
        DATEVALUE(C832)
      )
    )
  ),
"INVALID_DATE")</f>
        <v>45856</v>
      </c>
      <c r="AB832">
        <f t="shared" si="75"/>
        <v>3</v>
      </c>
      <c r="AC832" t="str">
        <f t="shared" si="76"/>
        <v>July</v>
      </c>
      <c r="AD832">
        <f t="shared" si="77"/>
        <v>2025</v>
      </c>
    </row>
    <row r="833" spans="1:30">
      <c r="A833" t="s">
        <v>3821</v>
      </c>
      <c r="B833" t="s">
        <v>477</v>
      </c>
      <c r="C833" t="s">
        <v>3263</v>
      </c>
      <c r="D833" t="s">
        <v>3822</v>
      </c>
      <c r="E833" t="s">
        <v>217</v>
      </c>
      <c r="F833" t="s">
        <v>122</v>
      </c>
      <c r="G833" t="s">
        <v>279</v>
      </c>
      <c r="H833" t="s">
        <v>331</v>
      </c>
      <c r="I833" t="s">
        <v>332</v>
      </c>
      <c r="J833" t="s">
        <v>52</v>
      </c>
      <c r="K833" t="s">
        <v>83</v>
      </c>
      <c r="L833" t="s">
        <v>3823</v>
      </c>
      <c r="M833" t="s">
        <v>63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207</v>
      </c>
      <c r="U833" t="s">
        <v>132</v>
      </c>
      <c r="V833">
        <f t="shared" si="72"/>
        <v>26489.654999999995</v>
      </c>
      <c r="W833">
        <f t="shared" si="73"/>
        <v>10671.190000000002</v>
      </c>
      <c r="X833">
        <f t="shared" si="74"/>
        <v>0.40284375218245616</v>
      </c>
      <c r="Y833" t="str">
        <f>_xlfn.TEXTJOIN(", ",TRUE,IF(G833="Unknown","Missing Region",""),IF(M833="Unknown","Missing Ship Mode",""),IF(P833&lt;0,"Negative Discount",""),IF(P833&gt;0.7,"High Discount",""),IF(C833&lt;B833,"Ship Before Order",""))</f>
        <v>Missing Region, Ship Before Order</v>
      </c>
      <c r="Z833" s="2">
        <f>IFERROR(
  IF(ISNUMBER(B833),B833,
    IF(ISNUMBER(SEARCH("-",B833)*1),
      IF(LEN(LEFT(B833,FIND("-",B833)-1))=4,
        DATE(VALUE(LEFT(B833,4)),VALUE(MID(B833,6,2)),VALUE(RIGHT(B833,2))),
        DATE(VALUE(RIGHT(B833,4)),VALUE(MID(B833,4,2)),VALUE(LEFT(B833,2)))
      ),
      IF(ISNUMBER(SEARCH("/",B833)*1),
        DATE(VALUE(RIGHT(B833,4)),VALUE(LEFT(B833,2)),VALUE(MID(B833,4,2))),
        DATEVALUE(B833)
      )
    )
  ),
"INVALID_DATE")</f>
        <v>45750</v>
      </c>
      <c r="AA833" s="2">
        <f>IFERROR(
  IF(ISNUMBER(C833),C833,
    IF(ISNUMBER(SEARCH("-",C833)*1),
      IF(LEN(LEFT(C833,FIND("-",C833)-1))=4,
        DATE(VALUE(LEFT(C833,4)),VALUE(MID(C833,6,2)),VALUE(RIGHT(C833,2))),
        DATE(VALUE(RIGHT(C833,4)),VALUE(MID(C833,4,2)),VALUE(LEFT(C833,2)))
      ),
      IF(ISNUMBER(SEARCH("/",C833)*1),
        DATE(VALUE(RIGHT(C833,4)),VALUE(LEFT(C833,2)),VALUE(MID(C833,4,2))),
        DATEVALUE(C833)
      )
    )
  ),
"INVALID_DATE")</f>
        <v>45750</v>
      </c>
      <c r="AB833">
        <f t="shared" si="75"/>
        <v>0</v>
      </c>
      <c r="AC833" t="str">
        <f t="shared" si="76"/>
        <v>April</v>
      </c>
      <c r="AD833">
        <f t="shared" si="77"/>
        <v>2025</v>
      </c>
    </row>
    <row r="834" spans="1:30">
      <c r="A834" t="s">
        <v>3824</v>
      </c>
      <c r="B834" t="s">
        <v>3825</v>
      </c>
      <c r="C834" t="s">
        <v>3826</v>
      </c>
      <c r="D834" t="s">
        <v>3827</v>
      </c>
      <c r="E834" t="s">
        <v>374</v>
      </c>
      <c r="F834" t="s">
        <v>48</v>
      </c>
      <c r="G834" t="s">
        <v>69</v>
      </c>
      <c r="H834" t="s">
        <v>107</v>
      </c>
      <c r="I834" t="s">
        <v>108</v>
      </c>
      <c r="J834" t="s">
        <v>93</v>
      </c>
      <c r="K834" t="s">
        <v>230</v>
      </c>
      <c r="L834" t="s">
        <v>3828</v>
      </c>
      <c r="M834" t="s">
        <v>40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41</v>
      </c>
      <c r="U834" t="s">
        <v>42</v>
      </c>
      <c r="V834">
        <f t="shared" ref="V834:V897" si="78">O834*(1-P834)*N834</f>
        <v>36782.271000000001</v>
      </c>
      <c r="W834">
        <f t="shared" ref="W834:W897" si="79">Q834-R834</f>
        <v>10879.459999999995</v>
      </c>
      <c r="X834">
        <f t="shared" ref="X834:X897" si="80">IF(Q834=0,"",S834/Q834)</f>
        <v>0.2957800048773499</v>
      </c>
      <c r="Y834" t="str">
        <f>_xlfn.TEXTJOIN(", ",TRUE,IF(G834="Unknown","Missing Region",""),IF(M834="Unknown","Missing Ship Mode",""),IF(P834&lt;0,"Negative Discount",""),IF(P834&gt;0.7,"High Discount",""),IF(C834&lt;B834,"Ship Before Order",""))</f>
        <v/>
      </c>
      <c r="Z834" s="2">
        <f>IFERROR(
  IF(ISNUMBER(B834),B834,
    IF(ISNUMBER(SEARCH("-",B834)*1),
      IF(LEN(LEFT(B834,FIND("-",B834)-1))=4,
        DATE(VALUE(LEFT(B834,4)),VALUE(MID(B834,6,2)),VALUE(RIGHT(B834,2))),
        DATE(VALUE(RIGHT(B834,4)),VALUE(MID(B834,4,2)),VALUE(LEFT(B834,2)))
      ),
      IF(ISNUMBER(SEARCH("/",B834)*1),
        DATE(VALUE(RIGHT(B834,4)),VALUE(LEFT(B834,2)),VALUE(MID(B834,4,2))),
        DATEVALUE(B834)
      )
    )
  ),
"INVALID_DATE")</f>
        <v>45803</v>
      </c>
      <c r="AA834" s="2">
        <f>IFERROR(
  IF(ISNUMBER(C834),C834,
    IF(ISNUMBER(SEARCH("-",C834)*1),
      IF(LEN(LEFT(C834,FIND("-",C834)-1))=4,
        DATE(VALUE(LEFT(C834,4)),VALUE(MID(C834,6,2)),VALUE(RIGHT(C834,2))),
        DATE(VALUE(RIGHT(C834,4)),VALUE(MID(C834,4,2)),VALUE(LEFT(C834,2)))
      ),
      IF(ISNUMBER(SEARCH("/",C834)*1),
        DATE(VALUE(RIGHT(C834,4)),VALUE(LEFT(C834,2)),VALUE(MID(C834,4,2))),
        DATEVALUE(C834)
      )
    )
  ),
"INVALID_DATE")</f>
        <v>45805</v>
      </c>
      <c r="AB834">
        <f t="shared" si="75"/>
        <v>2</v>
      </c>
      <c r="AC834" t="str">
        <f t="shared" si="76"/>
        <v>May</v>
      </c>
      <c r="AD834">
        <f t="shared" si="77"/>
        <v>2025</v>
      </c>
    </row>
    <row r="835" spans="1:30">
      <c r="A835" t="s">
        <v>3829</v>
      </c>
      <c r="B835" t="s">
        <v>3830</v>
      </c>
      <c r="C835" t="s">
        <v>3831</v>
      </c>
      <c r="D835" t="s">
        <v>3832</v>
      </c>
      <c r="E835" t="s">
        <v>155</v>
      </c>
      <c r="F835" t="s">
        <v>122</v>
      </c>
      <c r="G835" t="s">
        <v>49</v>
      </c>
      <c r="H835" t="s">
        <v>128</v>
      </c>
      <c r="I835" t="s">
        <v>129</v>
      </c>
      <c r="J835" t="s">
        <v>52</v>
      </c>
      <c r="K835" t="s">
        <v>211</v>
      </c>
      <c r="L835" t="s">
        <v>3833</v>
      </c>
      <c r="M835" t="s">
        <v>63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41</v>
      </c>
      <c r="U835" t="s">
        <v>42</v>
      </c>
      <c r="V835">
        <f t="shared" si="78"/>
        <v>23696.400000000001</v>
      </c>
      <c r="W835">
        <f t="shared" si="79"/>
        <v>5586.630000000001</v>
      </c>
      <c r="X835">
        <f t="shared" si="80"/>
        <v>0.2357585962424672</v>
      </c>
      <c r="Y835" t="str">
        <f>_xlfn.TEXTJOIN(", ",TRUE,IF(G835="Unknown","Missing Region",""),IF(M835="Unknown","Missing Ship Mode",""),IF(P835&lt;0,"Negative Discount",""),IF(P835&gt;0.7,"High Discount",""),IF(C835&lt;B835,"Ship Before Order",""))</f>
        <v>Ship Before Order</v>
      </c>
      <c r="Z835" s="2">
        <f>IFERROR(
  IF(ISNUMBER(B835),B835,
    IF(ISNUMBER(SEARCH("-",B835)*1),
      IF(LEN(LEFT(B835,FIND("-",B835)-1))=4,
        DATE(VALUE(LEFT(B835,4)),VALUE(MID(B835,6,2)),VALUE(RIGHT(B835,2))),
        DATE(VALUE(RIGHT(B835,4)),VALUE(MID(B835,4,2)),VALUE(LEFT(B835,2)))
      ),
      IF(ISNUMBER(SEARCH("/",B835)*1),
        DATE(VALUE(RIGHT(B835,4)),VALUE(LEFT(B835,2)),VALUE(MID(B835,4,2))),
        DATEVALUE(B835)
      )
    )
  ),
"INVALID_DATE")</f>
        <v>45447</v>
      </c>
      <c r="AA835" s="2">
        <f>IFERROR(
  IF(ISNUMBER(C835),C835,
    IF(ISNUMBER(SEARCH("-",C835)*1),
      IF(LEN(LEFT(C835,FIND("-",C835)-1))=4,
        DATE(VALUE(LEFT(C835,4)),VALUE(MID(C835,6,2)),VALUE(RIGHT(C835,2))),
        DATE(VALUE(RIGHT(C835,4)),VALUE(MID(C835,4,2)),VALUE(LEFT(C835,2)))
      ),
      IF(ISNUMBER(SEARCH("/",C835)*1),
        DATE(VALUE(RIGHT(C835,4)),VALUE(LEFT(C835,2)),VALUE(MID(C835,4,2))),
        DATEVALUE(C835)
      )
    )
  ),
"INVALID_DATE")</f>
        <v>45447</v>
      </c>
      <c r="AB835">
        <f t="shared" ref="AB835:AB898" si="81">AA835-Z835</f>
        <v>0</v>
      </c>
      <c r="AC835" t="str">
        <f t="shared" ref="AC835:AC898" si="82">TEXT(Z835,"mmmm")</f>
        <v>June</v>
      </c>
      <c r="AD835">
        <f t="shared" ref="AD835:AD898" si="83">YEAR(Z835)</f>
        <v>2024</v>
      </c>
    </row>
    <row r="836" spans="1:30">
      <c r="A836" t="s">
        <v>3834</v>
      </c>
      <c r="B836" t="s">
        <v>240</v>
      </c>
      <c r="C836" t="s">
        <v>3835</v>
      </c>
      <c r="D836" t="s">
        <v>3836</v>
      </c>
      <c r="E836" t="s">
        <v>169</v>
      </c>
      <c r="F836" t="s">
        <v>122</v>
      </c>
      <c r="G836" t="s">
        <v>69</v>
      </c>
      <c r="H836" t="s">
        <v>70</v>
      </c>
      <c r="I836" t="s">
        <v>71</v>
      </c>
      <c r="J836" t="s">
        <v>37</v>
      </c>
      <c r="K836" t="s">
        <v>61</v>
      </c>
      <c r="L836" t="s">
        <v>3837</v>
      </c>
      <c r="M836" t="s">
        <v>63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41</v>
      </c>
      <c r="U836" t="s">
        <v>42</v>
      </c>
      <c r="V836">
        <f t="shared" si="78"/>
        <v>4047.66</v>
      </c>
      <c r="W836">
        <f t="shared" si="79"/>
        <v>968.73</v>
      </c>
      <c r="X836">
        <f t="shared" si="80"/>
        <v>0.31618021276490615</v>
      </c>
      <c r="Y836" t="str">
        <f>_xlfn.TEXTJOIN(", ",TRUE,IF(G836="Unknown","Missing Region",""),IF(M836="Unknown","Missing Ship Mode",""),IF(P836&lt;0,"Negative Discount",""),IF(P836&gt;0.7,"High Discount",""),IF(C836&lt;B836,"Ship Before Order",""))</f>
        <v/>
      </c>
      <c r="Z836" s="2">
        <f>IFERROR(
  IF(ISNUMBER(B836),B836,
    IF(ISNUMBER(SEARCH("-",B836)*1),
      IF(LEN(LEFT(B836,FIND("-",B836)-1))=4,
        DATE(VALUE(LEFT(B836,4)),VALUE(MID(B836,6,2)),VALUE(RIGHT(B836,2))),
        DATE(VALUE(RIGHT(B836,4)),VALUE(MID(B836,4,2)),VALUE(LEFT(B836,2)))
      ),
      IF(ISNUMBER(SEARCH("/",B836)*1),
        DATE(VALUE(RIGHT(B836,4)),VALUE(LEFT(B836,2)),VALUE(MID(B836,4,2))),
        DATEVALUE(B836)
      )
    )
  ),
"INVALID_DATE")</f>
        <v>45583</v>
      </c>
      <c r="AA836" s="2">
        <f>IFERROR(
  IF(ISNUMBER(C836),C836,
    IF(ISNUMBER(SEARCH("-",C836)*1),
      IF(LEN(LEFT(C836,FIND("-",C836)-1))=4,
        DATE(VALUE(LEFT(C836,4)),VALUE(MID(C836,6,2)),VALUE(RIGHT(C836,2))),
        DATE(VALUE(RIGHT(C836,4)),VALUE(MID(C836,4,2)),VALUE(LEFT(C836,2)))
      ),
      IF(ISNUMBER(SEARCH("/",C836)*1),
        DATE(VALUE(RIGHT(C836,4)),VALUE(LEFT(C836,2)),VALUE(MID(C836,4,2))),
        DATEVALUE(C836)
      )
    )
  ),
"INVALID_DATE")</f>
        <v>45587</v>
      </c>
      <c r="AB836">
        <f t="shared" si="81"/>
        <v>4</v>
      </c>
      <c r="AC836" t="str">
        <f t="shared" si="82"/>
        <v>October</v>
      </c>
      <c r="AD836">
        <f t="shared" si="83"/>
        <v>2024</v>
      </c>
    </row>
    <row r="837" spans="1:30">
      <c r="A837" t="s">
        <v>3838</v>
      </c>
      <c r="B837" t="s">
        <v>2758</v>
      </c>
      <c r="C837" t="s">
        <v>963</v>
      </c>
      <c r="D837" t="s">
        <v>3839</v>
      </c>
      <c r="E837" t="s">
        <v>149</v>
      </c>
      <c r="F837" t="s">
        <v>48</v>
      </c>
      <c r="G837" t="s">
        <v>49</v>
      </c>
      <c r="H837" t="s">
        <v>223</v>
      </c>
      <c r="I837" t="s">
        <v>224</v>
      </c>
      <c r="J837" t="s">
        <v>93</v>
      </c>
      <c r="K837" t="s">
        <v>230</v>
      </c>
      <c r="L837" t="s">
        <v>3840</v>
      </c>
      <c r="M837" t="s">
        <v>40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41</v>
      </c>
      <c r="U837" t="s">
        <v>42</v>
      </c>
      <c r="V837">
        <f t="shared" si="78"/>
        <v>10038.773499999999</v>
      </c>
      <c r="W837">
        <f t="shared" si="79"/>
        <v>4365.67</v>
      </c>
      <c r="X837">
        <f t="shared" si="80"/>
        <v>0.43488096649290697</v>
      </c>
      <c r="Y837" t="str">
        <f>_xlfn.TEXTJOIN(", ",TRUE,IF(G837="Unknown","Missing Region",""),IF(M837="Unknown","Missing Ship Mode",""),IF(P837&lt;0,"Negative Discount",""),IF(P837&gt;0.7,"High Discount",""),IF(C837&lt;B837,"Ship Before Order",""))</f>
        <v>Ship Before Order</v>
      </c>
      <c r="Z837" s="2">
        <f>IFERROR(
  IF(ISNUMBER(B837),B837,
    IF(ISNUMBER(SEARCH("-",B837)*1),
      IF(LEN(LEFT(B837,FIND("-",B837)-1))=4,
        DATE(VALUE(LEFT(B837,4)),VALUE(MID(B837,6,2)),VALUE(RIGHT(B837,2))),
        DATE(VALUE(RIGHT(B837,4)),VALUE(MID(B837,4,2)),VALUE(LEFT(B837,2)))
      ),
      IF(ISNUMBER(SEARCH("/",B837)*1),
        DATE(VALUE(RIGHT(B837,4)),VALUE(LEFT(B837,2)),VALUE(MID(B837,4,2))),
        DATEVALUE(B837)
      )
    )
  ),
"INVALID_DATE")</f>
        <v>45926</v>
      </c>
      <c r="AA837" s="2">
        <f>IFERROR(
  IF(ISNUMBER(C837),C837,
    IF(ISNUMBER(SEARCH("-",C837)*1),
      IF(LEN(LEFT(C837,FIND("-",C837)-1))=4,
        DATE(VALUE(LEFT(C837,4)),VALUE(MID(C837,6,2)),VALUE(RIGHT(C837,2))),
        DATE(VALUE(RIGHT(C837,4)),VALUE(MID(C837,4,2)),VALUE(LEFT(C837,2)))
      ),
      IF(ISNUMBER(SEARCH("/",C837)*1),
        DATE(VALUE(RIGHT(C837,4)),VALUE(LEFT(C837,2)),VALUE(MID(C837,4,2))),
        DATEVALUE(C837)
      )
    )
  ),
"INVALID_DATE")</f>
        <v>45934</v>
      </c>
      <c r="AB837">
        <f t="shared" si="81"/>
        <v>8</v>
      </c>
      <c r="AC837" t="str">
        <f t="shared" si="82"/>
        <v>September</v>
      </c>
      <c r="AD837">
        <f t="shared" si="83"/>
        <v>2025</v>
      </c>
    </row>
    <row r="838" spans="1:30">
      <c r="A838" t="s">
        <v>3841</v>
      </c>
      <c r="B838" t="s">
        <v>2470</v>
      </c>
      <c r="C838" t="s">
        <v>3842</v>
      </c>
      <c r="D838" t="s">
        <v>3843</v>
      </c>
      <c r="E838" t="s">
        <v>60</v>
      </c>
      <c r="F838" t="s">
        <v>48</v>
      </c>
      <c r="G838" t="s">
        <v>34</v>
      </c>
      <c r="H838" t="s">
        <v>35</v>
      </c>
      <c r="I838" t="s">
        <v>36</v>
      </c>
      <c r="J838" t="s">
        <v>37</v>
      </c>
      <c r="K838" t="s">
        <v>116</v>
      </c>
      <c r="L838" t="s">
        <v>3844</v>
      </c>
      <c r="M838" t="s">
        <v>40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41</v>
      </c>
      <c r="U838" t="s">
        <v>42</v>
      </c>
      <c r="V838">
        <f t="shared" si="78"/>
        <v>1074.22</v>
      </c>
      <c r="W838">
        <f t="shared" si="79"/>
        <v>223.36</v>
      </c>
      <c r="X838">
        <f t="shared" si="80"/>
        <v>0.20792761259332354</v>
      </c>
      <c r="Y838" t="str">
        <f>_xlfn.TEXTJOIN(", ",TRUE,IF(G838="Unknown","Missing Region",""),IF(M838="Unknown","Missing Ship Mode",""),IF(P838&lt;0,"Negative Discount",""),IF(P838&gt;0.7,"High Discount",""),IF(C838&lt;B838,"Ship Before Order",""))</f>
        <v/>
      </c>
      <c r="Z838" s="2">
        <f>IFERROR(
  IF(ISNUMBER(B838),B838,
    IF(ISNUMBER(SEARCH("-",B838)*1),
      IF(LEN(LEFT(B838,FIND("-",B838)-1))=4,
        DATE(VALUE(LEFT(B838,4)),VALUE(MID(B838,6,2)),VALUE(RIGHT(B838,2))),
        DATE(VALUE(RIGHT(B838,4)),VALUE(MID(B838,4,2)),VALUE(LEFT(B838,2)))
      ),
      IF(ISNUMBER(SEARCH("/",B838)*1),
        DATE(VALUE(RIGHT(B838,4)),VALUE(LEFT(B838,2)),VALUE(MID(B838,4,2))),
        DATEVALUE(B838)
      )
    )
  ),
"INVALID_DATE")</f>
        <v>45641</v>
      </c>
      <c r="AA838" s="2">
        <f>IFERROR(
  IF(ISNUMBER(C838),C838,
    IF(ISNUMBER(SEARCH("-",C838)*1),
      IF(LEN(LEFT(C838,FIND("-",C838)-1))=4,
        DATE(VALUE(LEFT(C838,4)),VALUE(MID(C838,6,2)),VALUE(RIGHT(C838,2))),
        DATE(VALUE(RIGHT(C838,4)),VALUE(MID(C838,4,2)),VALUE(LEFT(C838,2)))
      ),
      IF(ISNUMBER(SEARCH("/",C838)*1),
        DATE(VALUE(RIGHT(C838,4)),VALUE(LEFT(C838,2)),VALUE(MID(C838,4,2))),
        DATEVALUE(C838)
      )
    )
  ),
"INVALID_DATE")</f>
        <v>45644</v>
      </c>
      <c r="AB838">
        <f t="shared" si="81"/>
        <v>3</v>
      </c>
      <c r="AC838" t="str">
        <f t="shared" si="82"/>
        <v>December</v>
      </c>
      <c r="AD838">
        <f t="shared" si="83"/>
        <v>2024</v>
      </c>
    </row>
    <row r="839" spans="1:30">
      <c r="A839" t="s">
        <v>3845</v>
      </c>
      <c r="B839" t="s">
        <v>506</v>
      </c>
      <c r="C839" t="s">
        <v>3846</v>
      </c>
      <c r="D839" t="s">
        <v>3847</v>
      </c>
      <c r="E839" t="s">
        <v>32</v>
      </c>
      <c r="F839" t="s">
        <v>122</v>
      </c>
      <c r="G839" t="s">
        <v>80</v>
      </c>
      <c r="H839" t="s">
        <v>81</v>
      </c>
      <c r="I839" t="s">
        <v>82</v>
      </c>
      <c r="J839" t="s">
        <v>37</v>
      </c>
      <c r="K839" t="s">
        <v>38</v>
      </c>
      <c r="L839" t="s">
        <v>3848</v>
      </c>
      <c r="M839" t="s">
        <v>63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41</v>
      </c>
      <c r="U839" t="s">
        <v>42</v>
      </c>
      <c r="V839">
        <f t="shared" si="78"/>
        <v>9399.6674999999996</v>
      </c>
      <c r="W839">
        <f t="shared" si="79"/>
        <v>2859.3</v>
      </c>
      <c r="X839">
        <f t="shared" si="80"/>
        <v>0.30419153012818539</v>
      </c>
      <c r="Y839" t="str">
        <f>_xlfn.TEXTJOIN(", ",TRUE,IF(G839="Unknown","Missing Region",""),IF(M839="Unknown","Missing Ship Mode",""),IF(P839&lt;0,"Negative Discount",""),IF(P839&gt;0.7,"High Discount",""),IF(C839&lt;B839,"Ship Before Order",""))</f>
        <v>Ship Before Order</v>
      </c>
      <c r="Z839" s="2">
        <f>IFERROR(
  IF(ISNUMBER(B839),B839,
    IF(ISNUMBER(SEARCH("-",B839)*1),
      IF(LEN(LEFT(B839,FIND("-",B839)-1))=4,
        DATE(VALUE(LEFT(B839,4)),VALUE(MID(B839,6,2)),VALUE(RIGHT(B839,2))),
        DATE(VALUE(RIGHT(B839,4)),VALUE(MID(B839,4,2)),VALUE(LEFT(B839,2)))
      ),
      IF(ISNUMBER(SEARCH("/",B839)*1),
        DATE(VALUE(RIGHT(B839,4)),VALUE(LEFT(B839,2)),VALUE(MID(B839,4,2))),
        DATEVALUE(B839)
      )
    )
  ),
"INVALID_DATE")</f>
        <v>45927</v>
      </c>
      <c r="AA839" s="2">
        <f>IFERROR(
  IF(ISNUMBER(C839),C839,
    IF(ISNUMBER(SEARCH("-",C839)*1),
      IF(LEN(LEFT(C839,FIND("-",C839)-1))=4,
        DATE(VALUE(LEFT(C839,4)),VALUE(MID(C839,6,2)),VALUE(RIGHT(C839,2))),
        DATE(VALUE(RIGHT(C839,4)),VALUE(MID(C839,4,2)),VALUE(LEFT(C839,2)))
      ),
      IF(ISNUMBER(SEARCH("/",C839)*1),
        DATE(VALUE(RIGHT(C839,4)),VALUE(LEFT(C839,2)),VALUE(MID(C839,4,2))),
        DATEVALUE(C839)
      )
    )
  ),
"INVALID_DATE")</f>
        <v>45928</v>
      </c>
      <c r="AB839">
        <f t="shared" si="81"/>
        <v>1</v>
      </c>
      <c r="AC839" t="str">
        <f t="shared" si="82"/>
        <v>September</v>
      </c>
      <c r="AD839">
        <f t="shared" si="83"/>
        <v>2025</v>
      </c>
    </row>
    <row r="840" spans="1:30">
      <c r="A840" t="s">
        <v>3849</v>
      </c>
      <c r="B840" t="s">
        <v>477</v>
      </c>
      <c r="C840" t="s">
        <v>3850</v>
      </c>
      <c r="D840" t="s">
        <v>3851</v>
      </c>
      <c r="E840" t="s">
        <v>79</v>
      </c>
      <c r="F840" t="s">
        <v>48</v>
      </c>
      <c r="G840" t="s">
        <v>80</v>
      </c>
      <c r="H840" t="s">
        <v>256</v>
      </c>
      <c r="I840" t="s">
        <v>257</v>
      </c>
      <c r="J840" t="s">
        <v>37</v>
      </c>
      <c r="K840" t="s">
        <v>38</v>
      </c>
      <c r="L840" t="s">
        <v>3852</v>
      </c>
      <c r="M840" t="s">
        <v>55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41</v>
      </c>
      <c r="U840" t="s">
        <v>132</v>
      </c>
      <c r="V840">
        <f t="shared" si="78"/>
        <v>1470.57</v>
      </c>
      <c r="W840">
        <f t="shared" si="79"/>
        <v>636.54999999999995</v>
      </c>
      <c r="X840">
        <f t="shared" si="80"/>
        <v>0.43285936745615644</v>
      </c>
      <c r="Y840" t="str">
        <f>_xlfn.TEXTJOIN(", ",TRUE,IF(G840="Unknown","Missing Region",""),IF(M840="Unknown","Missing Ship Mode",""),IF(P840&lt;0,"Negative Discount",""),IF(P840&gt;0.7,"High Discount",""),IF(C840&lt;B840,"Ship Before Order",""))</f>
        <v/>
      </c>
      <c r="Z840" s="2">
        <f>IFERROR(
  IF(ISNUMBER(B840),B840,
    IF(ISNUMBER(SEARCH("-",B840)*1),
      IF(LEN(LEFT(B840,FIND("-",B840)-1))=4,
        DATE(VALUE(LEFT(B840,4)),VALUE(MID(B840,6,2)),VALUE(RIGHT(B840,2))),
        DATE(VALUE(RIGHT(B840,4)),VALUE(MID(B840,4,2)),VALUE(LEFT(B840,2)))
      ),
      IF(ISNUMBER(SEARCH("/",B840)*1),
        DATE(VALUE(RIGHT(B840,4)),VALUE(LEFT(B840,2)),VALUE(MID(B840,4,2))),
        DATEVALUE(B840)
      )
    )
  ),
"INVALID_DATE")</f>
        <v>45750</v>
      </c>
      <c r="AA840" s="2">
        <f>IFERROR(
  IF(ISNUMBER(C840),C840,
    IF(ISNUMBER(SEARCH("-",C840)*1),
      IF(LEN(LEFT(C840,FIND("-",C840)-1))=4,
        DATE(VALUE(LEFT(C840,4)),VALUE(MID(C840,6,2)),VALUE(RIGHT(C840,2))),
        DATE(VALUE(RIGHT(C840,4)),VALUE(MID(C840,4,2)),VALUE(LEFT(C840,2)))
      ),
      IF(ISNUMBER(SEARCH("/",C840)*1),
        DATE(VALUE(RIGHT(C840,4)),VALUE(LEFT(C840,2)),VALUE(MID(C840,4,2))),
        DATEVALUE(C840)
      )
    )
  ),
"INVALID_DATE")</f>
        <v>45754</v>
      </c>
      <c r="AB840">
        <f t="shared" si="81"/>
        <v>4</v>
      </c>
      <c r="AC840" t="str">
        <f t="shared" si="82"/>
        <v>April</v>
      </c>
      <c r="AD840">
        <f t="shared" si="83"/>
        <v>2025</v>
      </c>
    </row>
    <row r="841" spans="1:30">
      <c r="A841" t="s">
        <v>3853</v>
      </c>
      <c r="B841" t="s">
        <v>3854</v>
      </c>
      <c r="C841" t="s">
        <v>3855</v>
      </c>
      <c r="D841" t="s">
        <v>3856</v>
      </c>
      <c r="E841" t="s">
        <v>187</v>
      </c>
      <c r="F841" t="s">
        <v>122</v>
      </c>
      <c r="G841" t="s">
        <v>49</v>
      </c>
      <c r="H841" t="s">
        <v>50</v>
      </c>
      <c r="I841" t="s">
        <v>51</v>
      </c>
      <c r="J841" t="s">
        <v>93</v>
      </c>
      <c r="K841" t="s">
        <v>230</v>
      </c>
      <c r="L841" t="s">
        <v>3857</v>
      </c>
      <c r="M841" t="s">
        <v>74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41</v>
      </c>
      <c r="U841" t="s">
        <v>42</v>
      </c>
      <c r="V841">
        <f t="shared" si="78"/>
        <v>3826.2959999999998</v>
      </c>
      <c r="W841">
        <f t="shared" si="79"/>
        <v>1632.1800000000003</v>
      </c>
      <c r="X841">
        <f t="shared" si="80"/>
        <v>0.4265687478765387</v>
      </c>
      <c r="Y841" t="str">
        <f>_xlfn.TEXTJOIN(", ",TRUE,IF(G841="Unknown","Missing Region",""),IF(M841="Unknown","Missing Ship Mode",""),IF(P841&lt;0,"Negative Discount",""),IF(P841&gt;0.7,"High Discount",""),IF(C841&lt;B841,"Ship Before Order",""))</f>
        <v/>
      </c>
      <c r="Z841" s="2">
        <f>IFERROR(
  IF(ISNUMBER(B841),B841,
    IF(ISNUMBER(SEARCH("-",B841)*1),
      IF(LEN(LEFT(B841,FIND("-",B841)-1))=4,
        DATE(VALUE(LEFT(B841,4)),VALUE(MID(B841,6,2)),VALUE(RIGHT(B841,2))),
        DATE(VALUE(RIGHT(B841,4)),VALUE(MID(B841,4,2)),VALUE(LEFT(B841,2)))
      ),
      IF(ISNUMBER(SEARCH("/",B841)*1),
        DATE(VALUE(RIGHT(B841,4)),VALUE(LEFT(B841,2)),VALUE(MID(B841,4,2))),
        DATEVALUE(B841)
      )
    )
  ),
"INVALID_DATE")</f>
        <v>45555</v>
      </c>
      <c r="AA841" s="2">
        <f>IFERROR(
  IF(ISNUMBER(C841),C841,
    IF(ISNUMBER(SEARCH("-",C841)*1),
      IF(LEN(LEFT(C841,FIND("-",C841)-1))=4,
        DATE(VALUE(LEFT(C841,4)),VALUE(MID(C841,6,2)),VALUE(RIGHT(C841,2))),
        DATE(VALUE(RIGHT(C841,4)),VALUE(MID(C841,4,2)),VALUE(LEFT(C841,2)))
      ),
      IF(ISNUMBER(SEARCH("/",C841)*1),
        DATE(VALUE(RIGHT(C841,4)),VALUE(LEFT(C841,2)),VALUE(MID(C841,4,2))),
        DATEVALUE(C841)
      )
    )
  ),
"INVALID_DATE")</f>
        <v>45557</v>
      </c>
      <c r="AB841">
        <f t="shared" si="81"/>
        <v>2</v>
      </c>
      <c r="AC841" t="str">
        <f t="shared" si="82"/>
        <v>September</v>
      </c>
      <c r="AD841">
        <f t="shared" si="83"/>
        <v>2024</v>
      </c>
    </row>
    <row r="842" spans="1:30">
      <c r="A842" t="s">
        <v>3858</v>
      </c>
      <c r="B842" t="s">
        <v>1906</v>
      </c>
      <c r="C842" t="s">
        <v>2205</v>
      </c>
      <c r="D842" t="s">
        <v>3859</v>
      </c>
      <c r="E842" t="s">
        <v>100</v>
      </c>
      <c r="F842" t="s">
        <v>122</v>
      </c>
      <c r="G842" t="s">
        <v>34</v>
      </c>
      <c r="H842" t="s">
        <v>514</v>
      </c>
      <c r="I842" t="s">
        <v>515</v>
      </c>
      <c r="J842" t="s">
        <v>52</v>
      </c>
      <c r="K842" t="s">
        <v>83</v>
      </c>
      <c r="L842" t="s">
        <v>3860</v>
      </c>
      <c r="M842" t="s">
        <v>55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41</v>
      </c>
      <c r="U842" t="s">
        <v>42</v>
      </c>
      <c r="V842">
        <f t="shared" si="78"/>
        <v>6336.44</v>
      </c>
      <c r="W842">
        <f t="shared" si="79"/>
        <v>1655.7599999999993</v>
      </c>
      <c r="X842">
        <f t="shared" si="80"/>
        <v>0.26130761121386775</v>
      </c>
      <c r="Y842" t="str">
        <f>_xlfn.TEXTJOIN(", ",TRUE,IF(G842="Unknown","Missing Region",""),IF(M842="Unknown","Missing Ship Mode",""),IF(P842&lt;0,"Negative Discount",""),IF(P842&gt;0.7,"High Discount",""),IF(C842&lt;B842,"Ship Before Order",""))</f>
        <v>Ship Before Order</v>
      </c>
      <c r="Z842" s="2">
        <f>IFERROR(
  IF(ISNUMBER(B842),B842,
    IF(ISNUMBER(SEARCH("-",B842)*1),
      IF(LEN(LEFT(B842,FIND("-",B842)-1))=4,
        DATE(VALUE(LEFT(B842,4)),VALUE(MID(B842,6,2)),VALUE(RIGHT(B842,2))),
        DATE(VALUE(RIGHT(B842,4)),VALUE(MID(B842,4,2)),VALUE(LEFT(B842,2)))
      ),
      IF(ISNUMBER(SEARCH("/",B842)*1),
        DATE(VALUE(RIGHT(B842,4)),VALUE(LEFT(B842,2)),VALUE(MID(B842,4,2))),
        DATEVALUE(B842)
      )
    )
  ),
"INVALID_DATE")</f>
        <v>45919</v>
      </c>
      <c r="AA842" s="2">
        <f>IFERROR(
  IF(ISNUMBER(C842),C842,
    IF(ISNUMBER(SEARCH("-",C842)*1),
      IF(LEN(LEFT(C842,FIND("-",C842)-1))=4,
        DATE(VALUE(LEFT(C842,4)),VALUE(MID(C842,6,2)),VALUE(RIGHT(C842,2))),
        DATE(VALUE(RIGHT(C842,4)),VALUE(MID(C842,4,2)),VALUE(LEFT(C842,2)))
      ),
      IF(ISNUMBER(SEARCH("/",C842)*1),
        DATE(VALUE(RIGHT(C842,4)),VALUE(LEFT(C842,2)),VALUE(MID(C842,4,2))),
        DATEVALUE(C842)
      )
    )
  ),
"INVALID_DATE")</f>
        <v>45919</v>
      </c>
      <c r="AB842">
        <f t="shared" si="81"/>
        <v>0</v>
      </c>
      <c r="AC842" t="str">
        <f t="shared" si="82"/>
        <v>September</v>
      </c>
      <c r="AD842">
        <f t="shared" si="83"/>
        <v>2025</v>
      </c>
    </row>
    <row r="843" spans="1:30">
      <c r="A843" t="s">
        <v>3861</v>
      </c>
      <c r="B843" t="s">
        <v>3862</v>
      </c>
      <c r="C843" t="s">
        <v>3863</v>
      </c>
      <c r="D843" t="s">
        <v>3864</v>
      </c>
      <c r="E843" t="s">
        <v>79</v>
      </c>
      <c r="F843" t="s">
        <v>48</v>
      </c>
      <c r="G843" t="s">
        <v>49</v>
      </c>
      <c r="H843" t="s">
        <v>193</v>
      </c>
      <c r="I843" t="s">
        <v>194</v>
      </c>
      <c r="J843" t="s">
        <v>37</v>
      </c>
      <c r="K843" t="s">
        <v>61</v>
      </c>
      <c r="L843" t="s">
        <v>3865</v>
      </c>
      <c r="M843" t="s">
        <v>74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41</v>
      </c>
      <c r="U843" t="s">
        <v>42</v>
      </c>
      <c r="V843">
        <f t="shared" si="78"/>
        <v>21850.829999999998</v>
      </c>
      <c r="W843">
        <f t="shared" si="79"/>
        <v>5250.7000000000007</v>
      </c>
      <c r="X843">
        <f t="shared" si="80"/>
        <v>0.24029750814957598</v>
      </c>
      <c r="Y843" t="str">
        <f>_xlfn.TEXTJOIN(", ",TRUE,IF(G843="Unknown","Missing Region",""),IF(M843="Unknown","Missing Ship Mode",""),IF(P843&lt;0,"Negative Discount",""),IF(P843&gt;0.7,"High Discount",""),IF(C843&lt;B843,"Ship Before Order",""))</f>
        <v>Ship Before Order</v>
      </c>
      <c r="Z843" s="2">
        <f>IFERROR(
  IF(ISNUMBER(B843),B843,
    IF(ISNUMBER(SEARCH("-",B843)*1),
      IF(LEN(LEFT(B843,FIND("-",B843)-1))=4,
        DATE(VALUE(LEFT(B843,4)),VALUE(MID(B843,6,2)),VALUE(RIGHT(B843,2))),
        DATE(VALUE(RIGHT(B843,4)),VALUE(MID(B843,4,2)),VALUE(LEFT(B843,2)))
      ),
      IF(ISNUMBER(SEARCH("/",B843)*1),
        DATE(VALUE(RIGHT(B843,4)),VALUE(LEFT(B843,2)),VALUE(MID(B843,4,2))),
        DATEVALUE(B843)
      )
    )
  ),
"INVALID_DATE")</f>
        <v>45694</v>
      </c>
      <c r="AA843" s="2">
        <f>IFERROR(
  IF(ISNUMBER(C843),C843,
    IF(ISNUMBER(SEARCH("-",C843)*1),
      IF(LEN(LEFT(C843,FIND("-",C843)-1))=4,
        DATE(VALUE(LEFT(C843,4)),VALUE(MID(C843,6,2)),VALUE(RIGHT(C843,2))),
        DATE(VALUE(RIGHT(C843,4)),VALUE(MID(C843,4,2)),VALUE(LEFT(C843,2)))
      ),
      IF(ISNUMBER(SEARCH("/",C843)*1),
        DATE(VALUE(RIGHT(C843,4)),VALUE(LEFT(C843,2)),VALUE(MID(C843,4,2))),
        DATEVALUE(C843)
      )
    )
  ),
"INVALID_DATE")</f>
        <v>45700</v>
      </c>
      <c r="AB843">
        <f t="shared" si="81"/>
        <v>6</v>
      </c>
      <c r="AC843" t="str">
        <f t="shared" si="82"/>
        <v>February</v>
      </c>
      <c r="AD843">
        <f t="shared" si="83"/>
        <v>2025</v>
      </c>
    </row>
    <row r="844" spans="1:30">
      <c r="A844" t="s">
        <v>3866</v>
      </c>
      <c r="B844" t="s">
        <v>3867</v>
      </c>
      <c r="C844" t="s">
        <v>3868</v>
      </c>
      <c r="D844" t="s">
        <v>3869</v>
      </c>
      <c r="E844" t="s">
        <v>3870</v>
      </c>
      <c r="F844" t="s">
        <v>33</v>
      </c>
      <c r="G844" t="s">
        <v>34</v>
      </c>
      <c r="H844" t="s">
        <v>331</v>
      </c>
      <c r="I844" t="s">
        <v>332</v>
      </c>
      <c r="J844" t="s">
        <v>93</v>
      </c>
      <c r="K844" t="s">
        <v>390</v>
      </c>
      <c r="L844" t="s">
        <v>3871</v>
      </c>
      <c r="M844" t="s">
        <v>63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41</v>
      </c>
      <c r="U844" t="s">
        <v>132</v>
      </c>
      <c r="V844">
        <f t="shared" si="78"/>
        <v>7453.0719999999992</v>
      </c>
      <c r="W844">
        <f t="shared" si="79"/>
        <v>2319.29</v>
      </c>
      <c r="X844">
        <f t="shared" si="80"/>
        <v>0.31118586032332984</v>
      </c>
      <c r="Y844" t="str">
        <f>_xlfn.TEXTJOIN(", ",TRUE,IF(G844="Unknown","Missing Region",""),IF(M844="Unknown","Missing Ship Mode",""),IF(P844&lt;0,"Negative Discount",""),IF(P844&gt;0.7,"High Discount",""),IF(C844&lt;B844,"Ship Before Order",""))</f>
        <v>Ship Before Order</v>
      </c>
      <c r="Z844" s="2">
        <f>IFERROR(
  IF(ISNUMBER(B844),B844,
    IF(ISNUMBER(SEARCH("-",B844)*1),
      IF(LEN(LEFT(B844,FIND("-",B844)-1))=4,
        DATE(VALUE(LEFT(B844,4)),VALUE(MID(B844,6,2)),VALUE(RIGHT(B844,2))),
        DATE(VALUE(RIGHT(B844,4)),VALUE(MID(B844,4,2)),VALUE(LEFT(B844,2)))
      ),
      IF(ISNUMBER(SEARCH("/",B844)*1),
        DATE(VALUE(RIGHT(B844,4)),VALUE(LEFT(B844,2)),VALUE(MID(B844,4,2))),
        DATEVALUE(B844)
      )
    )
  ),
"INVALID_DATE")</f>
        <v>45382</v>
      </c>
      <c r="AA844" s="2">
        <f>IFERROR(
  IF(ISNUMBER(C844),C844,
    IF(ISNUMBER(SEARCH("-",C844)*1),
      IF(LEN(LEFT(C844,FIND("-",C844)-1))=4,
        DATE(VALUE(LEFT(C844,4)),VALUE(MID(C844,6,2)),VALUE(RIGHT(C844,2))),
        DATE(VALUE(RIGHT(C844,4)),VALUE(MID(C844,4,2)),VALUE(LEFT(C844,2)))
      ),
      IF(ISNUMBER(SEARCH("/",C844)*1),
        DATE(VALUE(RIGHT(C844,4)),VALUE(LEFT(C844,2)),VALUE(MID(C844,4,2))),
        DATEVALUE(C844)
      )
    )
  ),
"INVALID_DATE")</f>
        <v>45381</v>
      </c>
      <c r="AB844">
        <f t="shared" si="81"/>
        <v>-1</v>
      </c>
      <c r="AC844" t="str">
        <f t="shared" si="82"/>
        <v>March</v>
      </c>
      <c r="AD844">
        <f t="shared" si="83"/>
        <v>2024</v>
      </c>
    </row>
    <row r="845" spans="1:30">
      <c r="A845" t="s">
        <v>3872</v>
      </c>
      <c r="B845" t="s">
        <v>2708</v>
      </c>
      <c r="C845" t="s">
        <v>3873</v>
      </c>
      <c r="D845" t="s">
        <v>3874</v>
      </c>
      <c r="E845" t="s">
        <v>149</v>
      </c>
      <c r="F845" t="s">
        <v>48</v>
      </c>
      <c r="G845" t="s">
        <v>34</v>
      </c>
      <c r="H845" t="s">
        <v>181</v>
      </c>
      <c r="I845" t="s">
        <v>182</v>
      </c>
      <c r="J845" t="s">
        <v>93</v>
      </c>
      <c r="K845" t="s">
        <v>230</v>
      </c>
      <c r="L845" t="s">
        <v>3875</v>
      </c>
      <c r="M845" t="s">
        <v>63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41</v>
      </c>
      <c r="U845" t="s">
        <v>42</v>
      </c>
      <c r="V845">
        <f t="shared" si="78"/>
        <v>36623.793599999997</v>
      </c>
      <c r="W845">
        <f t="shared" si="79"/>
        <v>11989.580000000002</v>
      </c>
      <c r="X845">
        <f t="shared" si="80"/>
        <v>0.33391875602968668</v>
      </c>
      <c r="Y845" t="str">
        <f>_xlfn.TEXTJOIN(", ",TRUE,IF(G845="Unknown","Missing Region",""),IF(M845="Unknown","Missing Ship Mode",""),IF(P845&lt;0,"Negative Discount",""),IF(P845&gt;0.7,"High Discount",""),IF(C845&lt;B845,"Ship Before Order",""))</f>
        <v>Negative Discount</v>
      </c>
      <c r="Z845" s="2">
        <f>IFERROR(
  IF(ISNUMBER(B845),B845,
    IF(ISNUMBER(SEARCH("-",B845)*1),
      IF(LEN(LEFT(B845,FIND("-",B845)-1))=4,
        DATE(VALUE(LEFT(B845,4)),VALUE(MID(B845,6,2)),VALUE(RIGHT(B845,2))),
        DATE(VALUE(RIGHT(B845,4)),VALUE(MID(B845,4,2)),VALUE(LEFT(B845,2)))
      ),
      IF(ISNUMBER(SEARCH("/",B845)*1),
        DATE(VALUE(RIGHT(B845,4)),VALUE(LEFT(B845,2)),VALUE(MID(B845,4,2))),
        DATEVALUE(B845)
      )
    )
  ),
"INVALID_DATE")</f>
        <v>45856</v>
      </c>
      <c r="AA845" s="2">
        <f>IFERROR(
  IF(ISNUMBER(C845),C845,
    IF(ISNUMBER(SEARCH("-",C845)*1),
      IF(LEN(LEFT(C845,FIND("-",C845)-1))=4,
        DATE(VALUE(LEFT(C845,4)),VALUE(MID(C845,6,2)),VALUE(RIGHT(C845,2))),
        DATE(VALUE(RIGHT(C845,4)),VALUE(MID(C845,4,2)),VALUE(LEFT(C845,2)))
      ),
      IF(ISNUMBER(SEARCH("/",C845)*1),
        DATE(VALUE(RIGHT(C845,4)),VALUE(LEFT(C845,2)),VALUE(MID(C845,4,2))),
        DATEVALUE(C845)
      )
    )
  ),
"INVALID_DATE")</f>
        <v>45863</v>
      </c>
      <c r="AB845">
        <f t="shared" si="81"/>
        <v>7</v>
      </c>
      <c r="AC845" t="str">
        <f t="shared" si="82"/>
        <v>July</v>
      </c>
      <c r="AD845">
        <f t="shared" si="83"/>
        <v>2025</v>
      </c>
    </row>
    <row r="846" spans="1:30">
      <c r="A846" t="s">
        <v>3876</v>
      </c>
      <c r="B846" t="s">
        <v>3877</v>
      </c>
      <c r="C846" t="s">
        <v>3878</v>
      </c>
      <c r="D846" t="s">
        <v>3879</v>
      </c>
      <c r="E846" t="s">
        <v>114</v>
      </c>
      <c r="F846" t="s">
        <v>122</v>
      </c>
      <c r="G846" t="s">
        <v>80</v>
      </c>
      <c r="H846" t="s">
        <v>256</v>
      </c>
      <c r="I846" t="s">
        <v>257</v>
      </c>
      <c r="J846" t="s">
        <v>37</v>
      </c>
      <c r="K846" t="s">
        <v>61</v>
      </c>
      <c r="L846" t="s">
        <v>3880</v>
      </c>
      <c r="M846" t="s">
        <v>63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41</v>
      </c>
      <c r="U846" t="s">
        <v>42</v>
      </c>
      <c r="V846">
        <f t="shared" si="78"/>
        <v>3515.15</v>
      </c>
      <c r="W846">
        <f t="shared" si="79"/>
        <v>1298.81</v>
      </c>
      <c r="X846">
        <f t="shared" si="80"/>
        <v>0.36948921098672882</v>
      </c>
      <c r="Y846" t="str">
        <f>_xlfn.TEXTJOIN(", ",TRUE,IF(G846="Unknown","Missing Region",""),IF(M846="Unknown","Missing Ship Mode",""),IF(P846&lt;0,"Negative Discount",""),IF(P846&gt;0.7,"High Discount",""),IF(C846&lt;B846,"Ship Before Order",""))</f>
        <v/>
      </c>
      <c r="Z846" s="2">
        <f>IFERROR(
  IF(ISNUMBER(B846),B846,
    IF(ISNUMBER(SEARCH("-",B846)*1),
      IF(LEN(LEFT(B846,FIND("-",B846)-1))=4,
        DATE(VALUE(LEFT(B846,4)),VALUE(MID(B846,6,2)),VALUE(RIGHT(B846,2))),
        DATE(VALUE(RIGHT(B846,4)),VALUE(MID(B846,4,2)),VALUE(LEFT(B846,2)))
      ),
      IF(ISNUMBER(SEARCH("/",B846)*1),
        DATE(VALUE(RIGHT(B846,4)),VALUE(LEFT(B846,2)),VALUE(MID(B846,4,2))),
        DATEVALUE(B846)
      )
    )
  ),
"INVALID_DATE")</f>
        <v>45677</v>
      </c>
      <c r="AA846" s="2">
        <f>IFERROR(
  IF(ISNUMBER(C846),C846,
    IF(ISNUMBER(SEARCH("-",C846)*1),
      IF(LEN(LEFT(C846,FIND("-",C846)-1))=4,
        DATE(VALUE(LEFT(C846,4)),VALUE(MID(C846,6,2)),VALUE(RIGHT(C846,2))),
        DATE(VALUE(RIGHT(C846,4)),VALUE(MID(C846,4,2)),VALUE(LEFT(C846,2)))
      ),
      IF(ISNUMBER(SEARCH("/",C846)*1),
        DATE(VALUE(RIGHT(C846,4)),VALUE(LEFT(C846,2)),VALUE(MID(C846,4,2))),
        DATEVALUE(C846)
      )
    )
  ),
"INVALID_DATE")</f>
        <v>45682</v>
      </c>
      <c r="AB846">
        <f t="shared" si="81"/>
        <v>5</v>
      </c>
      <c r="AC846" t="str">
        <f t="shared" si="82"/>
        <v>January</v>
      </c>
      <c r="AD846">
        <f t="shared" si="83"/>
        <v>2025</v>
      </c>
    </row>
    <row r="847" spans="1:30">
      <c r="A847" t="s">
        <v>3881</v>
      </c>
      <c r="B847" t="s">
        <v>2780</v>
      </c>
      <c r="C847" t="s">
        <v>3882</v>
      </c>
      <c r="D847" t="s">
        <v>901</v>
      </c>
      <c r="E847" t="s">
        <v>32</v>
      </c>
      <c r="F847" t="s">
        <v>33</v>
      </c>
      <c r="G847" t="s">
        <v>49</v>
      </c>
      <c r="H847" t="s">
        <v>50</v>
      </c>
      <c r="I847" t="s">
        <v>51</v>
      </c>
      <c r="J847" t="s">
        <v>52</v>
      </c>
      <c r="K847" t="s">
        <v>53</v>
      </c>
      <c r="L847" t="s">
        <v>3883</v>
      </c>
      <c r="M847" t="s">
        <v>63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144</v>
      </c>
      <c r="U847" t="s">
        <v>132</v>
      </c>
      <c r="V847">
        <f t="shared" si="78"/>
        <v>24409.552500000002</v>
      </c>
      <c r="W847">
        <f t="shared" si="79"/>
        <v>7251.9699999999975</v>
      </c>
      <c r="X847">
        <f t="shared" si="80"/>
        <v>0.29709560397467388</v>
      </c>
      <c r="Y847" t="str">
        <f>_xlfn.TEXTJOIN(", ",TRUE,IF(G847="Unknown","Missing Region",""),IF(M847="Unknown","Missing Ship Mode",""),IF(P847&lt;0,"Negative Discount",""),IF(P847&gt;0.7,"High Discount",""),IF(C847&lt;B847,"Ship Before Order",""))</f>
        <v/>
      </c>
      <c r="Z847" s="2">
        <f>IFERROR(
  IF(ISNUMBER(B847),B847,
    IF(ISNUMBER(SEARCH("-",B847)*1),
      IF(LEN(LEFT(B847,FIND("-",B847)-1))=4,
        DATE(VALUE(LEFT(B847,4)),VALUE(MID(B847,6,2)),VALUE(RIGHT(B847,2))),
        DATE(VALUE(RIGHT(B847,4)),VALUE(MID(B847,4,2)),VALUE(LEFT(B847,2)))
      ),
      IF(ISNUMBER(SEARCH("/",B847)*1),
        DATE(VALUE(RIGHT(B847,4)),VALUE(LEFT(B847,2)),VALUE(MID(B847,4,2))),
        DATEVALUE(B847)
      )
    )
  ),
"INVALID_DATE")</f>
        <v>45345</v>
      </c>
      <c r="AA847" s="2">
        <f>IFERROR(
  IF(ISNUMBER(C847),C847,
    IF(ISNUMBER(SEARCH("-",C847)*1),
      IF(LEN(LEFT(C847,FIND("-",C847)-1))=4,
        DATE(VALUE(LEFT(C847,4)),VALUE(MID(C847,6,2)),VALUE(RIGHT(C847,2))),
        DATE(VALUE(RIGHT(C847,4)),VALUE(MID(C847,4,2)),VALUE(LEFT(C847,2)))
      ),
      IF(ISNUMBER(SEARCH("/",C847)*1),
        DATE(VALUE(RIGHT(C847,4)),VALUE(LEFT(C847,2)),VALUE(MID(C847,4,2))),
        DATEVALUE(C847)
      )
    )
  ),
"INVALID_DATE")</f>
        <v>45349</v>
      </c>
      <c r="AB847">
        <f t="shared" si="81"/>
        <v>4</v>
      </c>
      <c r="AC847" t="str">
        <f t="shared" si="82"/>
        <v>February</v>
      </c>
      <c r="AD847">
        <f t="shared" si="83"/>
        <v>2024</v>
      </c>
    </row>
    <row r="848" spans="1:30">
      <c r="A848" t="s">
        <v>3884</v>
      </c>
      <c r="B848" t="s">
        <v>3885</v>
      </c>
      <c r="C848" t="s">
        <v>3886</v>
      </c>
      <c r="D848" t="s">
        <v>3887</v>
      </c>
      <c r="E848" t="s">
        <v>149</v>
      </c>
      <c r="F848" t="s">
        <v>48</v>
      </c>
      <c r="G848" t="s">
        <v>80</v>
      </c>
      <c r="H848" t="s">
        <v>242</v>
      </c>
      <c r="I848" t="s">
        <v>243</v>
      </c>
      <c r="J848" t="s">
        <v>52</v>
      </c>
      <c r="K848" t="s">
        <v>211</v>
      </c>
      <c r="L848" t="s">
        <v>3888</v>
      </c>
      <c r="M848" t="s">
        <v>74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144</v>
      </c>
      <c r="U848" t="s">
        <v>132</v>
      </c>
      <c r="V848">
        <f t="shared" si="78"/>
        <v>7955.04</v>
      </c>
      <c r="W848">
        <f t="shared" si="79"/>
        <v>2374.3599999999997</v>
      </c>
      <c r="X848">
        <f t="shared" si="80"/>
        <v>0.29847241497214344</v>
      </c>
      <c r="Y848" t="str">
        <f>_xlfn.TEXTJOIN(", ",TRUE,IF(G848="Unknown","Missing Region",""),IF(M848="Unknown","Missing Ship Mode",""),IF(P848&lt;0,"Negative Discount",""),IF(P848&gt;0.7,"High Discount",""),IF(C848&lt;B848,"Ship Before Order",""))</f>
        <v/>
      </c>
      <c r="Z848" s="2">
        <f>IFERROR(
  IF(ISNUMBER(B848),B848,
    IF(ISNUMBER(SEARCH("-",B848)*1),
      IF(LEN(LEFT(B848,FIND("-",B848)-1))=4,
        DATE(VALUE(LEFT(B848,4)),VALUE(MID(B848,6,2)),VALUE(RIGHT(B848,2))),
        DATE(VALUE(RIGHT(B848,4)),VALUE(MID(B848,4,2)),VALUE(LEFT(B848,2)))
      ),
      IF(ISNUMBER(SEARCH("/",B848)*1),
        DATE(VALUE(RIGHT(B848,4)),VALUE(LEFT(B848,2)),VALUE(MID(B848,4,2))),
        DATEVALUE(B848)
      )
    )
  ),
"INVALID_DATE")</f>
        <v>45396</v>
      </c>
      <c r="AA848" s="2">
        <f>IFERROR(
  IF(ISNUMBER(C848),C848,
    IF(ISNUMBER(SEARCH("-",C848)*1),
      IF(LEN(LEFT(C848,FIND("-",C848)-1))=4,
        DATE(VALUE(LEFT(C848,4)),VALUE(MID(C848,6,2)),VALUE(RIGHT(C848,2))),
        DATE(VALUE(RIGHT(C848,4)),VALUE(MID(C848,4,2)),VALUE(LEFT(C848,2)))
      ),
      IF(ISNUMBER(SEARCH("/",C848)*1),
        DATE(VALUE(RIGHT(C848,4)),VALUE(LEFT(C848,2)),VALUE(MID(C848,4,2))),
        DATEVALUE(C848)
      )
    )
  ),
"INVALID_DATE")</f>
        <v>45404</v>
      </c>
      <c r="AB848">
        <f t="shared" si="81"/>
        <v>8</v>
      </c>
      <c r="AC848" t="str">
        <f t="shared" si="82"/>
        <v>April</v>
      </c>
      <c r="AD848">
        <f t="shared" si="83"/>
        <v>2024</v>
      </c>
    </row>
    <row r="849" spans="1:30">
      <c r="A849" t="s">
        <v>3889</v>
      </c>
      <c r="B849" t="s">
        <v>3890</v>
      </c>
      <c r="C849" t="s">
        <v>3891</v>
      </c>
      <c r="D849" t="s">
        <v>3892</v>
      </c>
      <c r="E849" t="s">
        <v>217</v>
      </c>
      <c r="F849" t="s">
        <v>122</v>
      </c>
      <c r="G849" t="s">
        <v>49</v>
      </c>
      <c r="H849" t="s">
        <v>50</v>
      </c>
      <c r="I849" t="s">
        <v>51</v>
      </c>
      <c r="J849" t="s">
        <v>52</v>
      </c>
      <c r="K849" t="s">
        <v>53</v>
      </c>
      <c r="L849" t="s">
        <v>3893</v>
      </c>
      <c r="M849" t="s">
        <v>40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41</v>
      </c>
      <c r="U849" t="s">
        <v>42</v>
      </c>
      <c r="V849">
        <f t="shared" si="78"/>
        <v>336.12800000000004</v>
      </c>
      <c r="W849">
        <f t="shared" si="79"/>
        <v>93.94</v>
      </c>
      <c r="X849">
        <f t="shared" si="80"/>
        <v>0.27947520304644036</v>
      </c>
      <c r="Y849" t="str">
        <f>_xlfn.TEXTJOIN(", ",TRUE,IF(G849="Unknown","Missing Region",""),IF(M849="Unknown","Missing Ship Mode",""),IF(P849&lt;0,"Negative Discount",""),IF(P849&gt;0.7,"High Discount",""),IF(C849&lt;B849,"Ship Before Order",""))</f>
        <v>Ship Before Order</v>
      </c>
      <c r="Z849" s="2">
        <f>IFERROR(
  IF(ISNUMBER(B849),B849,
    IF(ISNUMBER(SEARCH("-",B849)*1),
      IF(LEN(LEFT(B849,FIND("-",B849)-1))=4,
        DATE(VALUE(LEFT(B849,4)),VALUE(MID(B849,6,2)),VALUE(RIGHT(B849,2))),
        DATE(VALUE(RIGHT(B849,4)),VALUE(MID(B849,4,2)),VALUE(LEFT(B849,2)))
      ),
      IF(ISNUMBER(SEARCH("/",B849)*1),
        DATE(VALUE(RIGHT(B849,4)),VALUE(LEFT(B849,2)),VALUE(MID(B849,4,2))),
        DATEVALUE(B849)
      )
    )
  ),
"INVALID_DATE")</f>
        <v>45797</v>
      </c>
      <c r="AA849" s="2">
        <f>IFERROR(
  IF(ISNUMBER(C849),C849,
    IF(ISNUMBER(SEARCH("-",C849)*1),
      IF(LEN(LEFT(C849,FIND("-",C849)-1))=4,
        DATE(VALUE(LEFT(C849,4)),VALUE(MID(C849,6,2)),VALUE(RIGHT(C849,2))),
        DATE(VALUE(RIGHT(C849,4)),VALUE(MID(C849,4,2)),VALUE(LEFT(C849,2)))
      ),
      IF(ISNUMBER(SEARCH("/",C849)*1),
        DATE(VALUE(RIGHT(C849,4)),VALUE(LEFT(C849,2)),VALUE(MID(C849,4,2))),
        DATEVALUE(C849)
      )
    )
  ),
"INVALID_DATE")</f>
        <v>45799</v>
      </c>
      <c r="AB849">
        <f t="shared" si="81"/>
        <v>2</v>
      </c>
      <c r="AC849" t="str">
        <f t="shared" si="82"/>
        <v>May</v>
      </c>
      <c r="AD849">
        <f t="shared" si="83"/>
        <v>2025</v>
      </c>
    </row>
    <row r="850" spans="1:30">
      <c r="A850" t="s">
        <v>3894</v>
      </c>
      <c r="B850" t="s">
        <v>3153</v>
      </c>
      <c r="C850" t="s">
        <v>3895</v>
      </c>
      <c r="D850" t="s">
        <v>3896</v>
      </c>
      <c r="E850" t="s">
        <v>155</v>
      </c>
      <c r="F850" t="s">
        <v>122</v>
      </c>
      <c r="G850" t="s">
        <v>69</v>
      </c>
      <c r="H850" t="s">
        <v>347</v>
      </c>
      <c r="I850" t="s">
        <v>348</v>
      </c>
      <c r="J850" t="s">
        <v>52</v>
      </c>
      <c r="K850" t="s">
        <v>72</v>
      </c>
      <c r="L850" t="s">
        <v>3897</v>
      </c>
      <c r="M850" t="s">
        <v>40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41</v>
      </c>
      <c r="U850" t="s">
        <v>42</v>
      </c>
      <c r="V850">
        <f t="shared" si="78"/>
        <v>1308.2624999999998</v>
      </c>
      <c r="W850">
        <f t="shared" si="79"/>
        <v>224.70000000000005</v>
      </c>
      <c r="X850">
        <f t="shared" si="80"/>
        <v>0.17175484995337317</v>
      </c>
      <c r="Y850" t="str">
        <f>_xlfn.TEXTJOIN(", ",TRUE,IF(G850="Unknown","Missing Region",""),IF(M850="Unknown","Missing Ship Mode",""),IF(P850&lt;0,"Negative Discount",""),IF(P850&gt;0.7,"High Discount",""),IF(C850&lt;B850,"Ship Before Order",""))</f>
        <v/>
      </c>
      <c r="Z850" s="2">
        <f>IFERROR(
  IF(ISNUMBER(B850),B850,
    IF(ISNUMBER(SEARCH("-",B850)*1),
      IF(LEN(LEFT(B850,FIND("-",B850)-1))=4,
        DATE(VALUE(LEFT(B850,4)),VALUE(MID(B850,6,2)),VALUE(RIGHT(B850,2))),
        DATE(VALUE(RIGHT(B850,4)),VALUE(MID(B850,4,2)),VALUE(LEFT(B850,2)))
      ),
      IF(ISNUMBER(SEARCH("/",B850)*1),
        DATE(VALUE(RIGHT(B850,4)),VALUE(LEFT(B850,2)),VALUE(MID(B850,4,2))),
        DATEVALUE(B850)
      )
    )
  ),
"INVALID_DATE")</f>
        <v>45804</v>
      </c>
      <c r="AA850" s="2">
        <f>IFERROR(
  IF(ISNUMBER(C850),C850,
    IF(ISNUMBER(SEARCH("-",C850)*1),
      IF(LEN(LEFT(C850,FIND("-",C850)-1))=4,
        DATE(VALUE(LEFT(C850,4)),VALUE(MID(C850,6,2)),VALUE(RIGHT(C850,2))),
        DATE(VALUE(RIGHT(C850,4)),VALUE(MID(C850,4,2)),VALUE(LEFT(C850,2)))
      ),
      IF(ISNUMBER(SEARCH("/",C850)*1),
        DATE(VALUE(RIGHT(C850,4)),VALUE(LEFT(C850,2)),VALUE(MID(C850,4,2))),
        DATEVALUE(C850)
      )
    )
  ),
"INVALID_DATE")</f>
        <v>45806</v>
      </c>
      <c r="AB850">
        <f t="shared" si="81"/>
        <v>2</v>
      </c>
      <c r="AC850" t="str">
        <f t="shared" si="82"/>
        <v>May</v>
      </c>
      <c r="AD850">
        <f t="shared" si="83"/>
        <v>2025</v>
      </c>
    </row>
    <row r="851" spans="1:30">
      <c r="A851" t="s">
        <v>3898</v>
      </c>
      <c r="B851" t="s">
        <v>3899</v>
      </c>
      <c r="C851" t="s">
        <v>1079</v>
      </c>
      <c r="D851" t="s">
        <v>3900</v>
      </c>
      <c r="E851" t="s">
        <v>60</v>
      </c>
      <c r="F851" t="s">
        <v>122</v>
      </c>
      <c r="G851" t="s">
        <v>80</v>
      </c>
      <c r="H851" t="s">
        <v>242</v>
      </c>
      <c r="I851" t="s">
        <v>243</v>
      </c>
      <c r="J851" t="s">
        <v>52</v>
      </c>
      <c r="K851" t="s">
        <v>211</v>
      </c>
      <c r="L851" t="s">
        <v>3901</v>
      </c>
      <c r="M851" t="s">
        <v>74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41</v>
      </c>
      <c r="U851" t="s">
        <v>42</v>
      </c>
      <c r="V851">
        <f t="shared" si="78"/>
        <v>1631.1120000000001</v>
      </c>
      <c r="W851">
        <f t="shared" si="79"/>
        <v>732.37999999999988</v>
      </c>
      <c r="X851">
        <f t="shared" si="80"/>
        <v>0.24313504300752248</v>
      </c>
      <c r="Y851" t="str">
        <f>_xlfn.TEXTJOIN(", ",TRUE,IF(G851="Unknown","Missing Region",""),IF(M851="Unknown","Missing Ship Mode",""),IF(P851&lt;0,"Negative Discount",""),IF(P851&gt;0.7,"High Discount",""),IF(C851&lt;B851,"Ship Before Order",""))</f>
        <v>Ship Before Order</v>
      </c>
      <c r="Z851" s="2">
        <f>IFERROR(
  IF(ISNUMBER(B851),B851,
    IF(ISNUMBER(SEARCH("-",B851)*1),
      IF(LEN(LEFT(B851,FIND("-",B851)-1))=4,
        DATE(VALUE(LEFT(B851,4)),VALUE(MID(B851,6,2)),VALUE(RIGHT(B851,2))),
        DATE(VALUE(RIGHT(B851,4)),VALUE(MID(B851,4,2)),VALUE(LEFT(B851,2)))
      ),
      IF(ISNUMBER(SEARCH("/",B851)*1),
        DATE(VALUE(RIGHT(B851,4)),VALUE(LEFT(B851,2)),VALUE(MID(B851,4,2))),
        DATEVALUE(B851)
      )
    )
  ),
"INVALID_DATE")</f>
        <v>45357</v>
      </c>
      <c r="AA851" s="2">
        <f>IFERROR(
  IF(ISNUMBER(C851),C851,
    IF(ISNUMBER(SEARCH("-",C851)*1),
      IF(LEN(LEFT(C851,FIND("-",C851)-1))=4,
        DATE(VALUE(LEFT(C851,4)),VALUE(MID(C851,6,2)),VALUE(RIGHT(C851,2))),
        DATE(VALUE(RIGHT(C851,4)),VALUE(MID(C851,4,2)),VALUE(LEFT(C851,2)))
      ),
      IF(ISNUMBER(SEARCH("/",C851)*1),
        DATE(VALUE(RIGHT(C851,4)),VALUE(LEFT(C851,2)),VALUE(MID(C851,4,2))),
        DATEVALUE(C851)
      )
    )
  ),
"INVALID_DATE")</f>
        <v>45363</v>
      </c>
      <c r="AB851">
        <f t="shared" si="81"/>
        <v>6</v>
      </c>
      <c r="AC851" t="str">
        <f t="shared" si="82"/>
        <v>March</v>
      </c>
      <c r="AD851">
        <f t="shared" si="83"/>
        <v>2024</v>
      </c>
    </row>
    <row r="852" spans="1:30">
      <c r="A852" t="s">
        <v>3902</v>
      </c>
      <c r="B852" t="s">
        <v>2112</v>
      </c>
      <c r="C852" t="s">
        <v>3779</v>
      </c>
      <c r="D852" t="s">
        <v>3903</v>
      </c>
      <c r="E852" t="s">
        <v>149</v>
      </c>
      <c r="F852" t="s">
        <v>122</v>
      </c>
      <c r="G852" t="s">
        <v>49</v>
      </c>
      <c r="H852" t="s">
        <v>128</v>
      </c>
      <c r="I852" t="s">
        <v>129</v>
      </c>
      <c r="J852" t="s">
        <v>37</v>
      </c>
      <c r="K852" t="s">
        <v>38</v>
      </c>
      <c r="L852" t="s">
        <v>3904</v>
      </c>
      <c r="M852" t="s">
        <v>63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41</v>
      </c>
      <c r="U852" t="s">
        <v>42</v>
      </c>
      <c r="V852">
        <f t="shared" si="78"/>
        <v>7266.0599999999995</v>
      </c>
      <c r="W852">
        <f t="shared" si="79"/>
        <v>1049.17</v>
      </c>
      <c r="X852">
        <f t="shared" si="80"/>
        <v>0.14439324750965449</v>
      </c>
      <c r="Y852" t="str">
        <f>_xlfn.TEXTJOIN(", ",TRUE,IF(G852="Unknown","Missing Region",""),IF(M852="Unknown","Missing Ship Mode",""),IF(P852&lt;0,"Negative Discount",""),IF(P852&gt;0.7,"High Discount",""),IF(C852&lt;B852,"Ship Before Order",""))</f>
        <v>Ship Before Order</v>
      </c>
      <c r="Z852" s="2">
        <f>IFERROR(
  IF(ISNUMBER(B852),B852,
    IF(ISNUMBER(SEARCH("-",B852)*1),
      IF(LEN(LEFT(B852,FIND("-",B852)-1))=4,
        DATE(VALUE(LEFT(B852,4)),VALUE(MID(B852,6,2)),VALUE(RIGHT(B852,2))),
        DATE(VALUE(RIGHT(B852,4)),VALUE(MID(B852,4,2)),VALUE(LEFT(B852,2)))
      ),
      IF(ISNUMBER(SEARCH("/",B852)*1),
        DATE(VALUE(RIGHT(B852,4)),VALUE(LEFT(B852,2)),VALUE(MID(B852,4,2))),
        DATEVALUE(B852)
      )
    )
  ),
"INVALID_DATE")</f>
        <v>45473</v>
      </c>
      <c r="AA852" s="2">
        <f>IFERROR(
  IF(ISNUMBER(C852),C852,
    IF(ISNUMBER(SEARCH("-",C852)*1),
      IF(LEN(LEFT(C852,FIND("-",C852)-1))=4,
        DATE(VALUE(LEFT(C852,4)),VALUE(MID(C852,6,2)),VALUE(RIGHT(C852,2))),
        DATE(VALUE(RIGHT(C852,4)),VALUE(MID(C852,4,2)),VALUE(LEFT(C852,2)))
      ),
      IF(ISNUMBER(SEARCH("/",C852)*1),
        DATE(VALUE(RIGHT(C852,4)),VALUE(LEFT(C852,2)),VALUE(MID(C852,4,2))),
        DATEVALUE(C852)
      )
    )
  ),
"INVALID_DATE")</f>
        <v>45476</v>
      </c>
      <c r="AB852">
        <f t="shared" si="81"/>
        <v>3</v>
      </c>
      <c r="AC852" t="str">
        <f t="shared" si="82"/>
        <v>June</v>
      </c>
      <c r="AD852">
        <f t="shared" si="83"/>
        <v>2024</v>
      </c>
    </row>
    <row r="853" spans="1:30">
      <c r="A853" t="s">
        <v>3905</v>
      </c>
      <c r="B853" t="s">
        <v>814</v>
      </c>
      <c r="C853" t="s">
        <v>3162</v>
      </c>
      <c r="D853" t="s">
        <v>3906</v>
      </c>
      <c r="E853" t="s">
        <v>32</v>
      </c>
      <c r="F853" t="s">
        <v>48</v>
      </c>
      <c r="G853" t="s">
        <v>80</v>
      </c>
      <c r="H853" t="s">
        <v>242</v>
      </c>
      <c r="I853" t="s">
        <v>243</v>
      </c>
      <c r="J853" t="s">
        <v>93</v>
      </c>
      <c r="K853" t="s">
        <v>94</v>
      </c>
      <c r="L853" t="s">
        <v>3907</v>
      </c>
      <c r="M853" t="s">
        <v>63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41</v>
      </c>
      <c r="U853" t="s">
        <v>42</v>
      </c>
      <c r="V853">
        <f t="shared" si="78"/>
        <v>1858.08</v>
      </c>
      <c r="W853">
        <f t="shared" si="79"/>
        <v>267.32999999999993</v>
      </c>
      <c r="X853">
        <f t="shared" si="80"/>
        <v>0.143874321880651</v>
      </c>
      <c r="Y853" t="str">
        <f>_xlfn.TEXTJOIN(", ",TRUE,IF(G853="Unknown","Missing Region",""),IF(M853="Unknown","Missing Ship Mode",""),IF(P853&lt;0,"Negative Discount",""),IF(P853&gt;0.7,"High Discount",""),IF(C853&lt;B853,"Ship Before Order",""))</f>
        <v>Ship Before Order</v>
      </c>
      <c r="Z853" s="2">
        <f>IFERROR(
  IF(ISNUMBER(B853),B853,
    IF(ISNUMBER(SEARCH("-",B853)*1),
      IF(LEN(LEFT(B853,FIND("-",B853)-1))=4,
        DATE(VALUE(LEFT(B853,4)),VALUE(MID(B853,6,2)),VALUE(RIGHT(B853,2))),
        DATE(VALUE(RIGHT(B853,4)),VALUE(MID(B853,4,2)),VALUE(LEFT(B853,2)))
      ),
      IF(ISNUMBER(SEARCH("/",B853)*1),
        DATE(VALUE(RIGHT(B853,4)),VALUE(LEFT(B853,2)),VALUE(MID(B853,4,2))),
        DATEVALUE(B853)
      )
    )
  ),
"INVALID_DATE")</f>
        <v>45377</v>
      </c>
      <c r="AA853" s="2">
        <f>IFERROR(
  IF(ISNUMBER(C853),C853,
    IF(ISNUMBER(SEARCH("-",C853)*1),
      IF(LEN(LEFT(C853,FIND("-",C853)-1))=4,
        DATE(VALUE(LEFT(C853,4)),VALUE(MID(C853,6,2)),VALUE(RIGHT(C853,2))),
        DATE(VALUE(RIGHT(C853,4)),VALUE(MID(C853,4,2)),VALUE(LEFT(C853,2)))
      ),
      IF(ISNUMBER(SEARCH("/",C853)*1),
        DATE(VALUE(RIGHT(C853,4)),VALUE(LEFT(C853,2)),VALUE(MID(C853,4,2))),
        DATEVALUE(C853)
      )
    )
  ),
"INVALID_DATE")</f>
        <v>45383</v>
      </c>
      <c r="AB853">
        <f t="shared" si="81"/>
        <v>6</v>
      </c>
      <c r="AC853" t="str">
        <f t="shared" si="82"/>
        <v>March</v>
      </c>
      <c r="AD853">
        <f t="shared" si="83"/>
        <v>2024</v>
      </c>
    </row>
    <row r="854" spans="1:30">
      <c r="A854" t="s">
        <v>3908</v>
      </c>
      <c r="B854" t="s">
        <v>3909</v>
      </c>
      <c r="C854" t="s">
        <v>3732</v>
      </c>
      <c r="D854" t="s">
        <v>3910</v>
      </c>
      <c r="E854" t="s">
        <v>79</v>
      </c>
      <c r="F854" t="s">
        <v>33</v>
      </c>
      <c r="G854" t="s">
        <v>49</v>
      </c>
      <c r="H854" t="s">
        <v>223</v>
      </c>
      <c r="I854" t="s">
        <v>224</v>
      </c>
      <c r="J854" t="s">
        <v>52</v>
      </c>
      <c r="K854" t="s">
        <v>53</v>
      </c>
      <c r="L854" t="s">
        <v>3911</v>
      </c>
      <c r="M854" t="s">
        <v>40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144</v>
      </c>
      <c r="U854" t="s">
        <v>85</v>
      </c>
      <c r="V854">
        <f t="shared" si="78"/>
        <v>25021.8325</v>
      </c>
      <c r="W854">
        <f t="shared" si="79"/>
        <v>9477.3900000000012</v>
      </c>
      <c r="X854">
        <f t="shared" si="80"/>
        <v>0.37876486252204572</v>
      </c>
      <c r="Y854" t="str">
        <f>_xlfn.TEXTJOIN(", ",TRUE,IF(G854="Unknown","Missing Region",""),IF(M854="Unknown","Missing Ship Mode",""),IF(P854&lt;0,"Negative Discount",""),IF(P854&gt;0.7,"High Discount",""),IF(C854&lt;B854,"Ship Before Order",""))</f>
        <v/>
      </c>
      <c r="Z854" s="2">
        <f>IFERROR(
  IF(ISNUMBER(B854),B854,
    IF(ISNUMBER(SEARCH("-",B854)*1),
      IF(LEN(LEFT(B854,FIND("-",B854)-1))=4,
        DATE(VALUE(LEFT(B854,4)),VALUE(MID(B854,6,2)),VALUE(RIGHT(B854,2))),
        DATE(VALUE(RIGHT(B854,4)),VALUE(MID(B854,4,2)),VALUE(LEFT(B854,2)))
      ),
      IF(ISNUMBER(SEARCH("/",B854)*1),
        DATE(VALUE(RIGHT(B854,4)),VALUE(LEFT(B854,2)),VALUE(MID(B854,4,2))),
        DATEVALUE(B854)
      )
    )
  ),
"INVALID_DATE")</f>
        <v>45383</v>
      </c>
      <c r="AA854" s="2">
        <f>IFERROR(
  IF(ISNUMBER(C854),C854,
    IF(ISNUMBER(SEARCH("-",C854)*1),
      IF(LEN(LEFT(C854,FIND("-",C854)-1))=4,
        DATE(VALUE(LEFT(C854,4)),VALUE(MID(C854,6,2)),VALUE(RIGHT(C854,2))),
        DATE(VALUE(RIGHT(C854,4)),VALUE(MID(C854,4,2)),VALUE(LEFT(C854,2)))
      ),
      IF(ISNUMBER(SEARCH("/",C854)*1),
        DATE(VALUE(RIGHT(C854,4)),VALUE(LEFT(C854,2)),VALUE(MID(C854,4,2))),
        DATEVALUE(C854)
      )
    )
  ),
"INVALID_DATE")</f>
        <v>45390</v>
      </c>
      <c r="AB854">
        <f t="shared" si="81"/>
        <v>7</v>
      </c>
      <c r="AC854" t="str">
        <f t="shared" si="82"/>
        <v>April</v>
      </c>
      <c r="AD854">
        <f t="shared" si="83"/>
        <v>2024</v>
      </c>
    </row>
    <row r="855" spans="1:30">
      <c r="A855" t="s">
        <v>3912</v>
      </c>
      <c r="B855" t="s">
        <v>3913</v>
      </c>
      <c r="C855" t="s">
        <v>3891</v>
      </c>
      <c r="D855" t="s">
        <v>3914</v>
      </c>
      <c r="E855" t="s">
        <v>68</v>
      </c>
      <c r="F855" t="s">
        <v>115</v>
      </c>
      <c r="G855" t="s">
        <v>69</v>
      </c>
      <c r="H855" t="s">
        <v>347</v>
      </c>
      <c r="I855" t="s">
        <v>348</v>
      </c>
      <c r="J855" t="s">
        <v>93</v>
      </c>
      <c r="K855" t="s">
        <v>94</v>
      </c>
      <c r="L855" t="s">
        <v>3915</v>
      </c>
      <c r="M855" t="s">
        <v>55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41</v>
      </c>
      <c r="U855" t="s">
        <v>42</v>
      </c>
      <c r="V855">
        <f t="shared" si="78"/>
        <v>3710.72</v>
      </c>
      <c r="W855">
        <f t="shared" si="79"/>
        <v>595.42999999999984</v>
      </c>
      <c r="X855">
        <f t="shared" si="80"/>
        <v>0.16046212055881337</v>
      </c>
      <c r="Y855" t="str">
        <f>_xlfn.TEXTJOIN(", ",TRUE,IF(G855="Unknown","Missing Region",""),IF(M855="Unknown","Missing Ship Mode",""),IF(P855&lt;0,"Negative Discount",""),IF(P855&gt;0.7,"High Discount",""),IF(C855&lt;B855,"Ship Before Order",""))</f>
        <v>Ship Before Order</v>
      </c>
      <c r="Z855" s="2">
        <f>IFERROR(
  IF(ISNUMBER(B855),B855,
    IF(ISNUMBER(SEARCH("-",B855)*1),
      IF(LEN(LEFT(B855,FIND("-",B855)-1))=4,
        DATE(VALUE(LEFT(B855,4)),VALUE(MID(B855,6,2)),VALUE(RIGHT(B855,2))),
        DATE(VALUE(RIGHT(B855,4)),VALUE(MID(B855,4,2)),VALUE(LEFT(B855,2)))
      ),
      IF(ISNUMBER(SEARCH("/",B855)*1),
        DATE(VALUE(RIGHT(B855,4)),VALUE(LEFT(B855,2)),VALUE(MID(B855,4,2))),
        DATEVALUE(B855)
      )
    )
  ),
"INVALID_DATE")</f>
        <v>45793</v>
      </c>
      <c r="AA855" s="2">
        <f>IFERROR(
  IF(ISNUMBER(C855),C855,
    IF(ISNUMBER(SEARCH("-",C855)*1),
      IF(LEN(LEFT(C855,FIND("-",C855)-1))=4,
        DATE(VALUE(LEFT(C855,4)),VALUE(MID(C855,6,2)),VALUE(RIGHT(C855,2))),
        DATE(VALUE(RIGHT(C855,4)),VALUE(MID(C855,4,2)),VALUE(LEFT(C855,2)))
      ),
      IF(ISNUMBER(SEARCH("/",C855)*1),
        DATE(VALUE(RIGHT(C855,4)),VALUE(LEFT(C855,2)),VALUE(MID(C855,4,2))),
        DATEVALUE(C855)
      )
    )
  ),
"INVALID_DATE")</f>
        <v>45799</v>
      </c>
      <c r="AB855">
        <f t="shared" si="81"/>
        <v>6</v>
      </c>
      <c r="AC855" t="str">
        <f t="shared" si="82"/>
        <v>May</v>
      </c>
      <c r="AD855">
        <f t="shared" si="83"/>
        <v>2025</v>
      </c>
    </row>
    <row r="856" spans="1:30">
      <c r="A856" t="s">
        <v>3916</v>
      </c>
      <c r="B856" t="s">
        <v>3917</v>
      </c>
      <c r="C856" t="s">
        <v>3918</v>
      </c>
      <c r="D856" t="s">
        <v>3919</v>
      </c>
      <c r="E856" t="s">
        <v>149</v>
      </c>
      <c r="F856" t="s">
        <v>33</v>
      </c>
      <c r="G856" t="s">
        <v>69</v>
      </c>
      <c r="H856" t="s">
        <v>236</v>
      </c>
      <c r="I856" t="s">
        <v>237</v>
      </c>
      <c r="J856" t="s">
        <v>52</v>
      </c>
      <c r="K856" t="s">
        <v>211</v>
      </c>
      <c r="L856" t="s">
        <v>3920</v>
      </c>
      <c r="M856" t="s">
        <v>40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41</v>
      </c>
      <c r="U856" t="s">
        <v>42</v>
      </c>
      <c r="V856">
        <f t="shared" si="78"/>
        <v>8487.8319999999985</v>
      </c>
      <c r="W856">
        <f t="shared" si="79"/>
        <v>3242.1099999999997</v>
      </c>
      <c r="X856">
        <f t="shared" si="80"/>
        <v>0.38197159933693303</v>
      </c>
      <c r="Y856" t="str">
        <f>_xlfn.TEXTJOIN(", ",TRUE,IF(G856="Unknown","Missing Region",""),IF(M856="Unknown","Missing Ship Mode",""),IF(P856&lt;0,"Negative Discount",""),IF(P856&gt;0.7,"High Discount",""),IF(C856&lt;B856,"Ship Before Order",""))</f>
        <v/>
      </c>
      <c r="Z856" s="2">
        <f>IFERROR(
  IF(ISNUMBER(B856),B856,
    IF(ISNUMBER(SEARCH("-",B856)*1),
      IF(LEN(LEFT(B856,FIND("-",B856)-1))=4,
        DATE(VALUE(LEFT(B856,4)),VALUE(MID(B856,6,2)),VALUE(RIGHT(B856,2))),
        DATE(VALUE(RIGHT(B856,4)),VALUE(MID(B856,4,2)),VALUE(LEFT(B856,2)))
      ),
      IF(ISNUMBER(SEARCH("/",B856)*1),
        DATE(VALUE(RIGHT(B856,4)),VALUE(LEFT(B856,2)),VALUE(MID(B856,4,2))),
        DATEVALUE(B856)
      )
    )
  ),
"INVALID_DATE")</f>
        <v>45741</v>
      </c>
      <c r="AA856" s="2">
        <f>IFERROR(
  IF(ISNUMBER(C856),C856,
    IF(ISNUMBER(SEARCH("-",C856)*1),
      IF(LEN(LEFT(C856,FIND("-",C856)-1))=4,
        DATE(VALUE(LEFT(C856,4)),VALUE(MID(C856,6,2)),VALUE(RIGHT(C856,2))),
        DATE(VALUE(RIGHT(C856,4)),VALUE(MID(C856,4,2)),VALUE(LEFT(C856,2)))
      ),
      IF(ISNUMBER(SEARCH("/",C856)*1),
        DATE(VALUE(RIGHT(C856,4)),VALUE(LEFT(C856,2)),VALUE(MID(C856,4,2))),
        DATEVALUE(C856)
      )
    )
  ),
"INVALID_DATE")</f>
        <v>45749</v>
      </c>
      <c r="AB856">
        <f t="shared" si="81"/>
        <v>8</v>
      </c>
      <c r="AC856" t="str">
        <f t="shared" si="82"/>
        <v>March</v>
      </c>
      <c r="AD856">
        <f t="shared" si="83"/>
        <v>2025</v>
      </c>
    </row>
    <row r="857" spans="1:30">
      <c r="A857" t="s">
        <v>3921</v>
      </c>
      <c r="B857" t="s">
        <v>746</v>
      </c>
      <c r="C857" t="s">
        <v>3922</v>
      </c>
      <c r="D857" t="s">
        <v>1724</v>
      </c>
      <c r="E857" t="s">
        <v>155</v>
      </c>
      <c r="F857" t="s">
        <v>33</v>
      </c>
      <c r="G857" t="s">
        <v>34</v>
      </c>
      <c r="H857" t="s">
        <v>35</v>
      </c>
      <c r="I857" t="s">
        <v>36</v>
      </c>
      <c r="J857" t="s">
        <v>37</v>
      </c>
      <c r="K857" t="s">
        <v>3923</v>
      </c>
      <c r="L857" t="s">
        <v>3924</v>
      </c>
      <c r="M857" t="s">
        <v>40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41</v>
      </c>
      <c r="U857" t="s">
        <v>42</v>
      </c>
      <c r="V857">
        <f t="shared" si="78"/>
        <v>3110.2950000000001</v>
      </c>
      <c r="W857">
        <f t="shared" si="79"/>
        <v>1009.27</v>
      </c>
      <c r="X857">
        <f t="shared" si="80"/>
        <v>0.32449281419798731</v>
      </c>
      <c r="Y857" t="str">
        <f>_xlfn.TEXTJOIN(", ",TRUE,IF(G857="Unknown","Missing Region",""),IF(M857="Unknown","Missing Ship Mode",""),IF(P857&lt;0,"Negative Discount",""),IF(P857&gt;0.7,"High Discount",""),IF(C857&lt;B857,"Ship Before Order",""))</f>
        <v>Ship Before Order</v>
      </c>
      <c r="Z857" s="2">
        <f>IFERROR(
  IF(ISNUMBER(B857),B857,
    IF(ISNUMBER(SEARCH("-",B857)*1),
      IF(LEN(LEFT(B857,FIND("-",B857)-1))=4,
        DATE(VALUE(LEFT(B857,4)),VALUE(MID(B857,6,2)),VALUE(RIGHT(B857,2))),
        DATE(VALUE(RIGHT(B857,4)),VALUE(MID(B857,4,2)),VALUE(LEFT(B857,2)))
      ),
      IF(ISNUMBER(SEARCH("/",B857)*1),
        DATE(VALUE(RIGHT(B857,4)),VALUE(LEFT(B857,2)),VALUE(MID(B857,4,2))),
        DATEVALUE(B857)
      )
    )
  ),
"INVALID_DATE")</f>
        <v>45498</v>
      </c>
      <c r="AA857" s="2">
        <f>IFERROR(
  IF(ISNUMBER(C857),C857,
    IF(ISNUMBER(SEARCH("-",C857)*1),
      IF(LEN(LEFT(C857,FIND("-",C857)-1))=4,
        DATE(VALUE(LEFT(C857,4)),VALUE(MID(C857,6,2)),VALUE(RIGHT(C857,2))),
        DATE(VALUE(RIGHT(C857,4)),VALUE(MID(C857,4,2)),VALUE(LEFT(C857,2)))
      ),
      IF(ISNUMBER(SEARCH("/",C857)*1),
        DATE(VALUE(RIGHT(C857,4)),VALUE(LEFT(C857,2)),VALUE(MID(C857,4,2))),
        DATEVALUE(C857)
      )
    )
  ),
"INVALID_DATE")</f>
        <v>45506</v>
      </c>
      <c r="AB857">
        <f t="shared" si="81"/>
        <v>8</v>
      </c>
      <c r="AC857" t="str">
        <f t="shared" si="82"/>
        <v>July</v>
      </c>
      <c r="AD857">
        <f t="shared" si="83"/>
        <v>2024</v>
      </c>
    </row>
    <row r="858" spans="1:30">
      <c r="A858" t="s">
        <v>3925</v>
      </c>
      <c r="B858" t="s">
        <v>3926</v>
      </c>
      <c r="C858" t="s">
        <v>698</v>
      </c>
      <c r="D858" t="s">
        <v>1987</v>
      </c>
      <c r="E858" t="s">
        <v>187</v>
      </c>
      <c r="F858" t="s">
        <v>122</v>
      </c>
      <c r="G858" t="s">
        <v>69</v>
      </c>
      <c r="H858" t="s">
        <v>347</v>
      </c>
      <c r="I858" t="s">
        <v>348</v>
      </c>
      <c r="J858" t="s">
        <v>37</v>
      </c>
      <c r="K858" t="s">
        <v>163</v>
      </c>
      <c r="L858" t="s">
        <v>3927</v>
      </c>
      <c r="M858" t="s">
        <v>74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207</v>
      </c>
      <c r="U858" t="s">
        <v>85</v>
      </c>
      <c r="V858">
        <f t="shared" si="78"/>
        <v>1833.2639999999999</v>
      </c>
      <c r="W858">
        <f t="shared" si="79"/>
        <v>218.75</v>
      </c>
      <c r="X858">
        <f t="shared" si="80"/>
        <v>0.1845524339829579</v>
      </c>
      <c r="Y858" t="str">
        <f>_xlfn.TEXTJOIN(", ",TRUE,IF(G858="Unknown","Missing Region",""),IF(M858="Unknown","Missing Ship Mode",""),IF(P858&lt;0,"Negative Discount",""),IF(P858&gt;0.7,"High Discount",""),IF(C858&lt;B858,"Ship Before Order",""))</f>
        <v>Negative Discount, Ship Before Order</v>
      </c>
      <c r="Z858" s="2">
        <f>IFERROR(
  IF(ISNUMBER(B858),B858,
    IF(ISNUMBER(SEARCH("-",B858)*1),
      IF(LEN(LEFT(B858,FIND("-",B858)-1))=4,
        DATE(VALUE(LEFT(B858,4)),VALUE(MID(B858,6,2)),VALUE(RIGHT(B858,2))),
        DATE(VALUE(RIGHT(B858,4)),VALUE(MID(B858,4,2)),VALUE(LEFT(B858,2)))
      ),
      IF(ISNUMBER(SEARCH("/",B858)*1),
        DATE(VALUE(RIGHT(B858,4)),VALUE(LEFT(B858,2)),VALUE(MID(B858,4,2))),
        DATEVALUE(B858)
      )
    )
  ),
"INVALID_DATE")</f>
        <v>45455</v>
      </c>
      <c r="AA858" s="2">
        <f>IFERROR(
  IF(ISNUMBER(C858),C858,
    IF(ISNUMBER(SEARCH("-",C858)*1),
      IF(LEN(LEFT(C858,FIND("-",C858)-1))=4,
        DATE(VALUE(LEFT(C858,4)),VALUE(MID(C858,6,2)),VALUE(RIGHT(C858,2))),
        DATE(VALUE(RIGHT(C858,4)),VALUE(MID(C858,4,2)),VALUE(LEFT(C858,2)))
      ),
      IF(ISNUMBER(SEARCH("/",C858)*1),
        DATE(VALUE(RIGHT(C858,4)),VALUE(LEFT(C858,2)),VALUE(MID(C858,4,2))),
        DATEVALUE(C858)
      )
    )
  ),
"INVALID_DATE")</f>
        <v>45462</v>
      </c>
      <c r="AB858">
        <f t="shared" si="81"/>
        <v>7</v>
      </c>
      <c r="AC858" t="str">
        <f t="shared" si="82"/>
        <v>June</v>
      </c>
      <c r="AD858">
        <f t="shared" si="83"/>
        <v>2024</v>
      </c>
    </row>
    <row r="859" spans="1:30">
      <c r="A859" t="s">
        <v>3928</v>
      </c>
      <c r="B859" t="s">
        <v>3929</v>
      </c>
      <c r="C859" t="s">
        <v>3930</v>
      </c>
      <c r="D859" t="s">
        <v>3243</v>
      </c>
      <c r="E859" t="s">
        <v>175</v>
      </c>
      <c r="F859" t="s">
        <v>122</v>
      </c>
      <c r="G859" t="s">
        <v>69</v>
      </c>
      <c r="H859" t="s">
        <v>249</v>
      </c>
      <c r="I859" t="s">
        <v>250</v>
      </c>
      <c r="J859" t="s">
        <v>37</v>
      </c>
      <c r="K859" t="s">
        <v>163</v>
      </c>
      <c r="L859" t="s">
        <v>3931</v>
      </c>
      <c r="M859" t="s">
        <v>63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41</v>
      </c>
      <c r="U859" t="s">
        <v>42</v>
      </c>
      <c r="V859">
        <f t="shared" si="78"/>
        <v>12190.365</v>
      </c>
      <c r="W859">
        <f t="shared" si="79"/>
        <v>2013.3700000000008</v>
      </c>
      <c r="X859">
        <f t="shared" si="80"/>
        <v>0.16516083200168</v>
      </c>
      <c r="Y859" t="str">
        <f>_xlfn.TEXTJOIN(", ",TRUE,IF(G859="Unknown","Missing Region",""),IF(M859="Unknown","Missing Ship Mode",""),IF(P859&lt;0,"Negative Discount",""),IF(P859&gt;0.7,"High Discount",""),IF(C859&lt;B859,"Ship Before Order",""))</f>
        <v/>
      </c>
      <c r="Z859" s="2">
        <f>IFERROR(
  IF(ISNUMBER(B859),B859,
    IF(ISNUMBER(SEARCH("-",B859)*1),
      IF(LEN(LEFT(B859,FIND("-",B859)-1))=4,
        DATE(VALUE(LEFT(B859,4)),VALUE(MID(B859,6,2)),VALUE(RIGHT(B859,2))),
        DATE(VALUE(RIGHT(B859,4)),VALUE(MID(B859,4,2)),VALUE(LEFT(B859,2)))
      ),
      IF(ISNUMBER(SEARCH("/",B859)*1),
        DATE(VALUE(RIGHT(B859,4)),VALUE(LEFT(B859,2)),VALUE(MID(B859,4,2))),
        DATEVALUE(B859)
      )
    )
  ),
"INVALID_DATE")</f>
        <v>45447</v>
      </c>
      <c r="AA859" s="2">
        <f>IFERROR(
  IF(ISNUMBER(C859),C859,
    IF(ISNUMBER(SEARCH("-",C859)*1),
      IF(LEN(LEFT(C859,FIND("-",C859)-1))=4,
        DATE(VALUE(LEFT(C859,4)),VALUE(MID(C859,6,2)),VALUE(RIGHT(C859,2))),
        DATE(VALUE(RIGHT(C859,4)),VALUE(MID(C859,4,2)),VALUE(LEFT(C859,2)))
      ),
      IF(ISNUMBER(SEARCH("/",C859)*1),
        DATE(VALUE(RIGHT(C859,4)),VALUE(LEFT(C859,2)),VALUE(MID(C859,4,2))),
        DATEVALUE(C859)
      )
    )
  ),
"INVALID_DATE")</f>
        <v>45447</v>
      </c>
      <c r="AB859">
        <f t="shared" si="81"/>
        <v>0</v>
      </c>
      <c r="AC859" t="str">
        <f t="shared" si="82"/>
        <v>June</v>
      </c>
      <c r="AD859">
        <f t="shared" si="83"/>
        <v>2024</v>
      </c>
    </row>
    <row r="860" spans="1:30">
      <c r="A860" t="s">
        <v>3932</v>
      </c>
      <c r="B860" t="s">
        <v>1233</v>
      </c>
      <c r="C860" t="s">
        <v>1302</v>
      </c>
      <c r="D860" t="s">
        <v>3933</v>
      </c>
      <c r="E860" t="s">
        <v>68</v>
      </c>
      <c r="F860" t="s">
        <v>33</v>
      </c>
      <c r="G860" t="s">
        <v>49</v>
      </c>
      <c r="H860" t="s">
        <v>50</v>
      </c>
      <c r="I860" t="s">
        <v>51</v>
      </c>
      <c r="J860" t="s">
        <v>93</v>
      </c>
      <c r="K860" t="s">
        <v>94</v>
      </c>
      <c r="L860" t="s">
        <v>3934</v>
      </c>
      <c r="M860" t="s">
        <v>40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41</v>
      </c>
      <c r="U860" t="s">
        <v>42</v>
      </c>
      <c r="V860">
        <f t="shared" si="78"/>
        <v>11619.44</v>
      </c>
      <c r="W860">
        <f t="shared" si="79"/>
        <v>4435.1200000000008</v>
      </c>
      <c r="X860">
        <f t="shared" si="80"/>
        <v>0.38682070736627583</v>
      </c>
      <c r="Y860" t="str">
        <f>_xlfn.TEXTJOIN(", ",TRUE,IF(G860="Unknown","Missing Region",""),IF(M860="Unknown","Missing Ship Mode",""),IF(P860&lt;0,"Negative Discount",""),IF(P860&gt;0.7,"High Discount",""),IF(C860&lt;B860,"Ship Before Order",""))</f>
        <v/>
      </c>
      <c r="Z860" s="2">
        <f>IFERROR(
  IF(ISNUMBER(B860),B860,
    IF(ISNUMBER(SEARCH("-",B860)*1),
      IF(LEN(LEFT(B860,FIND("-",B860)-1))=4,
        DATE(VALUE(LEFT(B860,4)),VALUE(MID(B860,6,2)),VALUE(RIGHT(B860,2))),
        DATE(VALUE(RIGHT(B860,4)),VALUE(MID(B860,4,2)),VALUE(LEFT(B860,2)))
      ),
      IF(ISNUMBER(SEARCH("/",B860)*1),
        DATE(VALUE(RIGHT(B860,4)),VALUE(LEFT(B860,2)),VALUE(MID(B860,4,2))),
        DATEVALUE(B860)
      )
    )
  ),
"INVALID_DATE")</f>
        <v>45414</v>
      </c>
      <c r="AA860" s="2">
        <f>IFERROR(
  IF(ISNUMBER(C860),C860,
    IF(ISNUMBER(SEARCH("-",C860)*1),
      IF(LEN(LEFT(C860,FIND("-",C860)-1))=4,
        DATE(VALUE(LEFT(C860,4)),VALUE(MID(C860,6,2)),VALUE(RIGHT(C860,2))),
        DATE(VALUE(RIGHT(C860,4)),VALUE(MID(C860,4,2)),VALUE(LEFT(C860,2)))
      ),
      IF(ISNUMBER(SEARCH("/",C860)*1),
        DATE(VALUE(RIGHT(C860,4)),VALUE(LEFT(C860,2)),VALUE(MID(C860,4,2))),
        DATEVALUE(C860)
      )
    )
  ),
"INVALID_DATE")</f>
        <v>45421</v>
      </c>
      <c r="AB860">
        <f t="shared" si="81"/>
        <v>7</v>
      </c>
      <c r="AC860" t="str">
        <f t="shared" si="82"/>
        <v>May</v>
      </c>
      <c r="AD860">
        <f t="shared" si="83"/>
        <v>2024</v>
      </c>
    </row>
    <row r="861" spans="1:30">
      <c r="A861" t="s">
        <v>3935</v>
      </c>
      <c r="B861" t="s">
        <v>3513</v>
      </c>
      <c r="C861" t="s">
        <v>3936</v>
      </c>
      <c r="D861" t="s">
        <v>3937</v>
      </c>
      <c r="E861" t="s">
        <v>114</v>
      </c>
      <c r="F861" t="s">
        <v>115</v>
      </c>
      <c r="G861" t="s">
        <v>69</v>
      </c>
      <c r="H861" t="s">
        <v>347</v>
      </c>
      <c r="I861" t="s">
        <v>348</v>
      </c>
      <c r="J861" t="s">
        <v>93</v>
      </c>
      <c r="K861" t="s">
        <v>230</v>
      </c>
      <c r="L861" t="s">
        <v>3938</v>
      </c>
      <c r="M861" t="s">
        <v>74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41</v>
      </c>
      <c r="U861" t="s">
        <v>42</v>
      </c>
      <c r="V861">
        <f t="shared" si="78"/>
        <v>25075.439999999999</v>
      </c>
      <c r="W861">
        <f t="shared" si="79"/>
        <v>8792.6999999999989</v>
      </c>
      <c r="X861">
        <f t="shared" si="80"/>
        <v>0.35064987892535487</v>
      </c>
      <c r="Y861" t="str">
        <f>_xlfn.TEXTJOIN(", ",TRUE,IF(G861="Unknown","Missing Region",""),IF(M861="Unknown","Missing Ship Mode",""),IF(P861&lt;0,"Negative Discount",""),IF(P861&gt;0.7,"High Discount",""),IF(C861&lt;B861,"Ship Before Order",""))</f>
        <v/>
      </c>
      <c r="Z861" s="2">
        <f>IFERROR(
  IF(ISNUMBER(B861),B861,
    IF(ISNUMBER(SEARCH("-",B861)*1),
      IF(LEN(LEFT(B861,FIND("-",B861)-1))=4,
        DATE(VALUE(LEFT(B861,4)),VALUE(MID(B861,6,2)),VALUE(RIGHT(B861,2))),
        DATE(VALUE(RIGHT(B861,4)),VALUE(MID(B861,4,2)),VALUE(LEFT(B861,2)))
      ),
      IF(ISNUMBER(SEARCH("/",B861)*1),
        DATE(VALUE(RIGHT(B861,4)),VALUE(LEFT(B861,2)),VALUE(MID(B861,4,2))),
        DATEVALUE(B861)
      )
    )
  ),
"INVALID_DATE")</f>
        <v>45592</v>
      </c>
      <c r="AA861" s="2">
        <f>IFERROR(
  IF(ISNUMBER(C861),C861,
    IF(ISNUMBER(SEARCH("-",C861)*1),
      IF(LEN(LEFT(C861,FIND("-",C861)-1))=4,
        DATE(VALUE(LEFT(C861,4)),VALUE(MID(C861,6,2)),VALUE(RIGHT(C861,2))),
        DATE(VALUE(RIGHT(C861,4)),VALUE(MID(C861,4,2)),VALUE(LEFT(C861,2)))
      ),
      IF(ISNUMBER(SEARCH("/",C861)*1),
        DATE(VALUE(RIGHT(C861,4)),VALUE(LEFT(C861,2)),VALUE(MID(C861,4,2))),
        DATEVALUE(C861)
      )
    )
  ),
"INVALID_DATE")</f>
        <v>45597</v>
      </c>
      <c r="AB861">
        <f t="shared" si="81"/>
        <v>5</v>
      </c>
      <c r="AC861" t="str">
        <f t="shared" si="82"/>
        <v>October</v>
      </c>
      <c r="AD861">
        <f t="shared" si="83"/>
        <v>2024</v>
      </c>
    </row>
    <row r="862" spans="1:30">
      <c r="A862" t="s">
        <v>3939</v>
      </c>
      <c r="B862" t="s">
        <v>751</v>
      </c>
      <c r="C862" t="s">
        <v>3940</v>
      </c>
      <c r="D862" t="s">
        <v>3941</v>
      </c>
      <c r="E862" t="s">
        <v>90</v>
      </c>
      <c r="F862" t="s">
        <v>122</v>
      </c>
      <c r="G862" t="s">
        <v>34</v>
      </c>
      <c r="H862" t="s">
        <v>181</v>
      </c>
      <c r="I862" t="s">
        <v>182</v>
      </c>
      <c r="J862" t="s">
        <v>37</v>
      </c>
      <c r="K862" t="s">
        <v>163</v>
      </c>
      <c r="L862" t="s">
        <v>3942</v>
      </c>
      <c r="M862" t="s">
        <v>40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41</v>
      </c>
      <c r="U862" t="s">
        <v>42</v>
      </c>
      <c r="V862">
        <f t="shared" si="78"/>
        <v>4177.4539999999997</v>
      </c>
      <c r="W862">
        <f t="shared" si="79"/>
        <v>1877.9499999999998</v>
      </c>
      <c r="X862">
        <f t="shared" si="80"/>
        <v>0.44954457863050429</v>
      </c>
      <c r="Y862" t="str">
        <f>_xlfn.TEXTJOIN(", ",TRUE,IF(G862="Unknown","Missing Region",""),IF(M862="Unknown","Missing Ship Mode",""),IF(P862&lt;0,"Negative Discount",""),IF(P862&gt;0.7,"High Discount",""),IF(C862&lt;B862,"Ship Before Order",""))</f>
        <v/>
      </c>
      <c r="Z862" s="2">
        <f>IFERROR(
  IF(ISNUMBER(B862),B862,
    IF(ISNUMBER(SEARCH("-",B862)*1),
      IF(LEN(LEFT(B862,FIND("-",B862)-1))=4,
        DATE(VALUE(LEFT(B862,4)),VALUE(MID(B862,6,2)),VALUE(RIGHT(B862,2))),
        DATE(VALUE(RIGHT(B862,4)),VALUE(MID(B862,4,2)),VALUE(LEFT(B862,2)))
      ),
      IF(ISNUMBER(SEARCH("/",B862)*1),
        DATE(VALUE(RIGHT(B862,4)),VALUE(LEFT(B862,2)),VALUE(MID(B862,4,2))),
        DATEVALUE(B862)
      )
    )
  ),
"INVALID_DATE")</f>
        <v>45324</v>
      </c>
      <c r="AA862" s="2">
        <f>IFERROR(
  IF(ISNUMBER(C862),C862,
    IF(ISNUMBER(SEARCH("-",C862)*1),
      IF(LEN(LEFT(C862,FIND("-",C862)-1))=4,
        DATE(VALUE(LEFT(C862,4)),VALUE(MID(C862,6,2)),VALUE(RIGHT(C862,2))),
        DATE(VALUE(RIGHT(C862,4)),VALUE(MID(C862,4,2)),VALUE(LEFT(C862,2)))
      ),
      IF(ISNUMBER(SEARCH("/",C862)*1),
        DATE(VALUE(RIGHT(C862,4)),VALUE(LEFT(C862,2)),VALUE(MID(C862,4,2))),
        DATEVALUE(C862)
      )
    )
  ),
"INVALID_DATE")</f>
        <v>45326</v>
      </c>
      <c r="AB862">
        <f t="shared" si="81"/>
        <v>2</v>
      </c>
      <c r="AC862" t="str">
        <f t="shared" si="82"/>
        <v>February</v>
      </c>
      <c r="AD862">
        <f t="shared" si="83"/>
        <v>2024</v>
      </c>
    </row>
    <row r="863" spans="1:30">
      <c r="A863" t="s">
        <v>3943</v>
      </c>
      <c r="B863" t="s">
        <v>3944</v>
      </c>
      <c r="C863" t="s">
        <v>3945</v>
      </c>
      <c r="D863" t="s">
        <v>3946</v>
      </c>
      <c r="E863" t="s">
        <v>149</v>
      </c>
      <c r="F863" t="s">
        <v>122</v>
      </c>
      <c r="G863" t="s">
        <v>34</v>
      </c>
      <c r="H863" t="s">
        <v>514</v>
      </c>
      <c r="I863" t="s">
        <v>515</v>
      </c>
      <c r="J863" t="s">
        <v>52</v>
      </c>
      <c r="K863" t="s">
        <v>72</v>
      </c>
      <c r="L863" t="s">
        <v>3947</v>
      </c>
      <c r="M863" t="s">
        <v>55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41</v>
      </c>
      <c r="U863" t="s">
        <v>42</v>
      </c>
      <c r="V863">
        <f t="shared" si="78"/>
        <v>10898.175999999999</v>
      </c>
      <c r="W863">
        <f t="shared" si="79"/>
        <v>4666.7700000000004</v>
      </c>
      <c r="X863">
        <f t="shared" si="80"/>
        <v>0.42821553690616232</v>
      </c>
      <c r="Y863" t="str">
        <f>_xlfn.TEXTJOIN(", ",TRUE,IF(G863="Unknown","Missing Region",""),IF(M863="Unknown","Missing Ship Mode",""),IF(P863&lt;0,"Negative Discount",""),IF(P863&gt;0.7,"High Discount",""),IF(C863&lt;B863,"Ship Before Order",""))</f>
        <v/>
      </c>
      <c r="Z863" s="2">
        <f>IFERROR(
  IF(ISNUMBER(B863),B863,
    IF(ISNUMBER(SEARCH("-",B863)*1),
      IF(LEN(LEFT(B863,FIND("-",B863)-1))=4,
        DATE(VALUE(LEFT(B863,4)),VALUE(MID(B863,6,2)),VALUE(RIGHT(B863,2))),
        DATE(VALUE(RIGHT(B863,4)),VALUE(MID(B863,4,2)),VALUE(LEFT(B863,2)))
      ),
      IF(ISNUMBER(SEARCH("/",B863)*1),
        DATE(VALUE(RIGHT(B863,4)),VALUE(LEFT(B863,2)),VALUE(MID(B863,4,2))),
        DATEVALUE(B863)
      )
    )
  ),
"INVALID_DATE")</f>
        <v>45724</v>
      </c>
      <c r="AA863" s="2">
        <f>IFERROR(
  IF(ISNUMBER(C863),C863,
    IF(ISNUMBER(SEARCH("-",C863)*1),
      IF(LEN(LEFT(C863,FIND("-",C863)-1))=4,
        DATE(VALUE(LEFT(C863,4)),VALUE(MID(C863,6,2)),VALUE(RIGHT(C863,2))),
        DATE(VALUE(RIGHT(C863,4)),VALUE(MID(C863,4,2)),VALUE(LEFT(C863,2)))
      ),
      IF(ISNUMBER(SEARCH("/",C863)*1),
        DATE(VALUE(RIGHT(C863,4)),VALUE(LEFT(C863,2)),VALUE(MID(C863,4,2))),
        DATEVALUE(C863)
      )
    )
  ),
"INVALID_DATE")</f>
        <v>45725</v>
      </c>
      <c r="AB863">
        <f t="shared" si="81"/>
        <v>1</v>
      </c>
      <c r="AC863" t="str">
        <f t="shared" si="82"/>
        <v>March</v>
      </c>
      <c r="AD863">
        <f t="shared" si="83"/>
        <v>2025</v>
      </c>
    </row>
    <row r="864" spans="1:30">
      <c r="A864" t="s">
        <v>3948</v>
      </c>
      <c r="B864" t="s">
        <v>3323</v>
      </c>
      <c r="C864" t="s">
        <v>3949</v>
      </c>
      <c r="D864" t="s">
        <v>3950</v>
      </c>
      <c r="E864" t="s">
        <v>149</v>
      </c>
      <c r="F864" t="s">
        <v>48</v>
      </c>
      <c r="G864" t="s">
        <v>49</v>
      </c>
      <c r="H864" t="s">
        <v>319</v>
      </c>
      <c r="I864" t="s">
        <v>320</v>
      </c>
      <c r="J864" t="s">
        <v>37</v>
      </c>
      <c r="K864" t="s">
        <v>205</v>
      </c>
      <c r="L864" t="s">
        <v>3951</v>
      </c>
      <c r="M864" t="s">
        <v>63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41</v>
      </c>
      <c r="U864" t="s">
        <v>85</v>
      </c>
      <c r="V864">
        <f t="shared" si="78"/>
        <v>6975.7000000000007</v>
      </c>
      <c r="W864">
        <f t="shared" si="79"/>
        <v>2177.8199999999997</v>
      </c>
      <c r="X864">
        <f t="shared" si="80"/>
        <v>0.31220092607193545</v>
      </c>
      <c r="Y864" t="str">
        <f>_xlfn.TEXTJOIN(", ",TRUE,IF(G864="Unknown","Missing Region",""),IF(M864="Unknown","Missing Ship Mode",""),IF(P864&lt;0,"Negative Discount",""),IF(P864&gt;0.7,"High Discount",""),IF(C864&lt;B864,"Ship Before Order",""))</f>
        <v/>
      </c>
      <c r="Z864" s="2">
        <f>IFERROR(
  IF(ISNUMBER(B864),B864,
    IF(ISNUMBER(SEARCH("-",B864)*1),
      IF(LEN(LEFT(B864,FIND("-",B864)-1))=4,
        DATE(VALUE(LEFT(B864,4)),VALUE(MID(B864,6,2)),VALUE(RIGHT(B864,2))),
        DATE(VALUE(RIGHT(B864,4)),VALUE(MID(B864,4,2)),VALUE(LEFT(B864,2)))
      ),
      IF(ISNUMBER(SEARCH("/",B864)*1),
        DATE(VALUE(RIGHT(B864,4)),VALUE(LEFT(B864,2)),VALUE(MID(B864,4,2))),
        DATEVALUE(B864)
      )
    )
  ),
"INVALID_DATE")</f>
        <v>45742</v>
      </c>
      <c r="AA864" s="2">
        <f>IFERROR(
  IF(ISNUMBER(C864),C864,
    IF(ISNUMBER(SEARCH("-",C864)*1),
      IF(LEN(LEFT(C864,FIND("-",C864)-1))=4,
        DATE(VALUE(LEFT(C864,4)),VALUE(MID(C864,6,2)),VALUE(RIGHT(C864,2))),
        DATE(VALUE(RIGHT(C864,4)),VALUE(MID(C864,4,2)),VALUE(LEFT(C864,2)))
      ),
      IF(ISNUMBER(SEARCH("/",C864)*1),
        DATE(VALUE(RIGHT(C864,4)),VALUE(LEFT(C864,2)),VALUE(MID(C864,4,2))),
        DATEVALUE(C864)
      )
    )
  ),
"INVALID_DATE")</f>
        <v>45747</v>
      </c>
      <c r="AB864">
        <f t="shared" si="81"/>
        <v>5</v>
      </c>
      <c r="AC864" t="str">
        <f t="shared" si="82"/>
        <v>March</v>
      </c>
      <c r="AD864">
        <f t="shared" si="83"/>
        <v>2025</v>
      </c>
    </row>
    <row r="865" spans="1:30">
      <c r="A865" t="s">
        <v>3952</v>
      </c>
      <c r="B865" t="s">
        <v>3953</v>
      </c>
      <c r="C865" t="s">
        <v>2740</v>
      </c>
      <c r="D865" t="s">
        <v>3954</v>
      </c>
      <c r="E865" t="s">
        <v>169</v>
      </c>
      <c r="F865" t="s">
        <v>122</v>
      </c>
      <c r="G865" t="s">
        <v>80</v>
      </c>
      <c r="H865" t="s">
        <v>91</v>
      </c>
      <c r="I865" t="s">
        <v>92</v>
      </c>
      <c r="J865" t="s">
        <v>52</v>
      </c>
      <c r="K865" t="s">
        <v>72</v>
      </c>
      <c r="L865" t="s">
        <v>3955</v>
      </c>
      <c r="M865" t="s">
        <v>55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41</v>
      </c>
      <c r="U865" t="s">
        <v>42</v>
      </c>
      <c r="V865">
        <f t="shared" si="78"/>
        <v>8811.69</v>
      </c>
      <c r="W865">
        <f t="shared" si="79"/>
        <v>2045.7800000000007</v>
      </c>
      <c r="X865">
        <f t="shared" si="80"/>
        <v>0.23216658779416888</v>
      </c>
      <c r="Y865" t="str">
        <f>_xlfn.TEXTJOIN(", ",TRUE,IF(G865="Unknown","Missing Region",""),IF(M865="Unknown","Missing Ship Mode",""),IF(P865&lt;0,"Negative Discount",""),IF(P865&gt;0.7,"High Discount",""),IF(C865&lt;B865,"Ship Before Order",""))</f>
        <v/>
      </c>
      <c r="Z865" s="2">
        <f>IFERROR(
  IF(ISNUMBER(B865),B865,
    IF(ISNUMBER(SEARCH("-",B865)*1),
      IF(LEN(LEFT(B865,FIND("-",B865)-1))=4,
        DATE(VALUE(LEFT(B865,4)),VALUE(MID(B865,6,2)),VALUE(RIGHT(B865,2))),
        DATE(VALUE(RIGHT(B865,4)),VALUE(MID(B865,4,2)),VALUE(LEFT(B865,2)))
      ),
      IF(ISNUMBER(SEARCH("/",B865)*1),
        DATE(VALUE(RIGHT(B865,4)),VALUE(LEFT(B865,2)),VALUE(MID(B865,4,2))),
        DATEVALUE(B865)
      )
    )
  ),
"INVALID_DATE")</f>
        <v>45906</v>
      </c>
      <c r="AA865" s="2">
        <f>IFERROR(
  IF(ISNUMBER(C865),C865,
    IF(ISNUMBER(SEARCH("-",C865)*1),
      IF(LEN(LEFT(C865,FIND("-",C865)-1))=4,
        DATE(VALUE(LEFT(C865,4)),VALUE(MID(C865,6,2)),VALUE(RIGHT(C865,2))),
        DATE(VALUE(RIGHT(C865,4)),VALUE(MID(C865,4,2)),VALUE(LEFT(C865,2)))
      ),
      IF(ISNUMBER(SEARCH("/",C865)*1),
        DATE(VALUE(RIGHT(C865,4)),VALUE(LEFT(C865,2)),VALUE(MID(C865,4,2))),
        DATEVALUE(C865)
      )
    )
  ),
"INVALID_DATE")</f>
        <v>45908</v>
      </c>
      <c r="AB865">
        <f t="shared" si="81"/>
        <v>2</v>
      </c>
      <c r="AC865" t="str">
        <f t="shared" si="82"/>
        <v>September</v>
      </c>
      <c r="AD865">
        <f t="shared" si="83"/>
        <v>2025</v>
      </c>
    </row>
    <row r="866" spans="1:30">
      <c r="A866" t="s">
        <v>3956</v>
      </c>
      <c r="B866" t="s">
        <v>3957</v>
      </c>
      <c r="C866" t="s">
        <v>580</v>
      </c>
      <c r="D866" t="s">
        <v>3958</v>
      </c>
      <c r="E866" t="s">
        <v>90</v>
      </c>
      <c r="F866" t="s">
        <v>33</v>
      </c>
      <c r="G866" t="s">
        <v>69</v>
      </c>
      <c r="H866" t="s">
        <v>347</v>
      </c>
      <c r="I866" t="s">
        <v>348</v>
      </c>
      <c r="J866" t="s">
        <v>93</v>
      </c>
      <c r="K866" t="s">
        <v>230</v>
      </c>
      <c r="L866" t="s">
        <v>3959</v>
      </c>
      <c r="M866" t="s">
        <v>63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41</v>
      </c>
      <c r="U866" t="s">
        <v>42</v>
      </c>
      <c r="V866">
        <f t="shared" si="78"/>
        <v>17034.349999999999</v>
      </c>
      <c r="W866">
        <f t="shared" si="79"/>
        <v>2402.989999999998</v>
      </c>
      <c r="X866">
        <f t="shared" si="80"/>
        <v>0.14106731398615152</v>
      </c>
      <c r="Y866" t="str">
        <f>_xlfn.TEXTJOIN(", ",TRUE,IF(G866="Unknown","Missing Region",""),IF(M866="Unknown","Missing Ship Mode",""),IF(P866&lt;0,"Negative Discount",""),IF(P866&gt;0.7,"High Discount",""),IF(C866&lt;B866,"Ship Before Order",""))</f>
        <v/>
      </c>
      <c r="Z866" s="2">
        <f>IFERROR(
  IF(ISNUMBER(B866),B866,
    IF(ISNUMBER(SEARCH("-",B866)*1),
      IF(LEN(LEFT(B866,FIND("-",B866)-1))=4,
        DATE(VALUE(LEFT(B866,4)),VALUE(MID(B866,6,2)),VALUE(RIGHT(B866,2))),
        DATE(VALUE(RIGHT(B866,4)),VALUE(MID(B866,4,2)),VALUE(LEFT(B866,2)))
      ),
      IF(ISNUMBER(SEARCH("/",B866)*1),
        DATE(VALUE(RIGHT(B866,4)),VALUE(LEFT(B866,2)),VALUE(MID(B866,4,2))),
        DATEVALUE(B866)
      )
    )
  ),
"INVALID_DATE")</f>
        <v>45902</v>
      </c>
      <c r="AA866" s="2">
        <f>IFERROR(
  IF(ISNUMBER(C866),C866,
    IF(ISNUMBER(SEARCH("-",C866)*1),
      IF(LEN(LEFT(C866,FIND("-",C866)-1))=4,
        DATE(VALUE(LEFT(C866,4)),VALUE(MID(C866,6,2)),VALUE(RIGHT(C866,2))),
        DATE(VALUE(RIGHT(C866,4)),VALUE(MID(C866,4,2)),VALUE(LEFT(C866,2)))
      ),
      IF(ISNUMBER(SEARCH("/",C866)*1),
        DATE(VALUE(RIGHT(C866,4)),VALUE(LEFT(C866,2)),VALUE(MID(C866,4,2))),
        DATEVALUE(C866)
      )
    )
  ),
"INVALID_DATE")</f>
        <v>45905</v>
      </c>
      <c r="AB866">
        <f t="shared" si="81"/>
        <v>3</v>
      </c>
      <c r="AC866" t="str">
        <f t="shared" si="82"/>
        <v>September</v>
      </c>
      <c r="AD866">
        <f t="shared" si="83"/>
        <v>2025</v>
      </c>
    </row>
    <row r="867" spans="1:30">
      <c r="A867" t="s">
        <v>3960</v>
      </c>
      <c r="B867" t="s">
        <v>3774</v>
      </c>
      <c r="C867" t="s">
        <v>1928</v>
      </c>
      <c r="D867" t="s">
        <v>3961</v>
      </c>
      <c r="E867" t="s">
        <v>374</v>
      </c>
      <c r="F867" t="s">
        <v>33</v>
      </c>
      <c r="G867" t="s">
        <v>80</v>
      </c>
      <c r="H867" t="s">
        <v>81</v>
      </c>
      <c r="I867" t="s">
        <v>82</v>
      </c>
      <c r="J867" t="s">
        <v>37</v>
      </c>
      <c r="K867" t="s">
        <v>116</v>
      </c>
      <c r="L867" t="s">
        <v>3962</v>
      </c>
      <c r="M867" t="s">
        <v>40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41</v>
      </c>
      <c r="U867" t="s">
        <v>42</v>
      </c>
      <c r="V867">
        <f t="shared" si="78"/>
        <v>7984.08</v>
      </c>
      <c r="W867">
        <f t="shared" si="79"/>
        <v>2326.0299999999997</v>
      </c>
      <c r="X867">
        <f t="shared" si="80"/>
        <v>0.29133350367230793</v>
      </c>
      <c r="Y867" t="str">
        <f>_xlfn.TEXTJOIN(", ",TRUE,IF(G867="Unknown","Missing Region",""),IF(M867="Unknown","Missing Ship Mode",""),IF(P867&lt;0,"Negative Discount",""),IF(P867&gt;0.7,"High Discount",""),IF(C867&lt;B867,"Ship Before Order",""))</f>
        <v/>
      </c>
      <c r="Z867" s="2">
        <f>IFERROR(
  IF(ISNUMBER(B867),B867,
    IF(ISNUMBER(SEARCH("-",B867)*1),
      IF(LEN(LEFT(B867,FIND("-",B867)-1))=4,
        DATE(VALUE(LEFT(B867,4)),VALUE(MID(B867,6,2)),VALUE(RIGHT(B867,2))),
        DATE(VALUE(RIGHT(B867,4)),VALUE(MID(B867,4,2)),VALUE(LEFT(B867,2)))
      ),
      IF(ISNUMBER(SEARCH("/",B867)*1),
        DATE(VALUE(RIGHT(B867,4)),VALUE(LEFT(B867,2)),VALUE(MID(B867,4,2))),
        DATEVALUE(B867)
      )
    )
  ),
"INVALID_DATE")</f>
        <v>45694</v>
      </c>
      <c r="AA867" s="2">
        <f>IFERROR(
  IF(ISNUMBER(C867),C867,
    IF(ISNUMBER(SEARCH("-",C867)*1),
      IF(LEN(LEFT(C867,FIND("-",C867)-1))=4,
        DATE(VALUE(LEFT(C867,4)),VALUE(MID(C867,6,2)),VALUE(RIGHT(C867,2))),
        DATE(VALUE(RIGHT(C867,4)),VALUE(MID(C867,4,2)),VALUE(LEFT(C867,2)))
      ),
      IF(ISNUMBER(SEARCH("/",C867)*1),
        DATE(VALUE(RIGHT(C867,4)),VALUE(LEFT(C867,2)),VALUE(MID(C867,4,2))),
        DATEVALUE(C867)
      )
    )
  ),
"INVALID_DATE")</f>
        <v>45702</v>
      </c>
      <c r="AB867">
        <f t="shared" si="81"/>
        <v>8</v>
      </c>
      <c r="AC867" t="str">
        <f t="shared" si="82"/>
        <v>February</v>
      </c>
      <c r="AD867">
        <f t="shared" si="83"/>
        <v>2025</v>
      </c>
    </row>
    <row r="868" spans="1:30">
      <c r="A868" t="s">
        <v>3963</v>
      </c>
      <c r="B868" t="s">
        <v>1194</v>
      </c>
      <c r="C868" t="s">
        <v>3964</v>
      </c>
      <c r="D868" t="s">
        <v>3965</v>
      </c>
      <c r="E868" t="s">
        <v>149</v>
      </c>
      <c r="F868" t="s">
        <v>33</v>
      </c>
      <c r="G868" t="s">
        <v>49</v>
      </c>
      <c r="H868" t="s">
        <v>193</v>
      </c>
      <c r="I868" t="s">
        <v>194</v>
      </c>
      <c r="J868" t="s">
        <v>52</v>
      </c>
      <c r="K868" t="s">
        <v>211</v>
      </c>
      <c r="L868" t="s">
        <v>3966</v>
      </c>
      <c r="M868" t="s">
        <v>63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144</v>
      </c>
      <c r="U868" t="s">
        <v>85</v>
      </c>
      <c r="V868">
        <f t="shared" si="78"/>
        <v>21912.263999999999</v>
      </c>
      <c r="W868">
        <f t="shared" si="79"/>
        <v>5544.4799999999977</v>
      </c>
      <c r="X868">
        <f t="shared" si="80"/>
        <v>0.25303095162251632</v>
      </c>
      <c r="Y868" t="str">
        <f>_xlfn.TEXTJOIN(", ",TRUE,IF(G868="Unknown","Missing Region",""),IF(M868="Unknown","Missing Ship Mode",""),IF(P868&lt;0,"Negative Discount",""),IF(P868&gt;0.7,"High Discount",""),IF(C868&lt;B868,"Ship Before Order",""))</f>
        <v/>
      </c>
      <c r="Z868" s="2">
        <f>IFERROR(
  IF(ISNUMBER(B868),B868,
    IF(ISNUMBER(SEARCH("-",B868)*1),
      IF(LEN(LEFT(B868,FIND("-",B868)-1))=4,
        DATE(VALUE(LEFT(B868,4)),VALUE(MID(B868,6,2)),VALUE(RIGHT(B868,2))),
        DATE(VALUE(RIGHT(B868,4)),VALUE(MID(B868,4,2)),VALUE(LEFT(B868,2)))
      ),
      IF(ISNUMBER(SEARCH("/",B868)*1),
        DATE(VALUE(RIGHT(B868,4)),VALUE(LEFT(B868,2)),VALUE(MID(B868,4,2))),
        DATEVALUE(B868)
      )
    )
  ),
"INVALID_DATE")</f>
        <v>45714</v>
      </c>
      <c r="AA868" s="2">
        <f>IFERROR(
  IF(ISNUMBER(C868),C868,
    IF(ISNUMBER(SEARCH("-",C868)*1),
      IF(LEN(LEFT(C868,FIND("-",C868)-1))=4,
        DATE(VALUE(LEFT(C868,4)),VALUE(MID(C868,6,2)),VALUE(RIGHT(C868,2))),
        DATE(VALUE(RIGHT(C868,4)),VALUE(MID(C868,4,2)),VALUE(LEFT(C868,2)))
      ),
      IF(ISNUMBER(SEARCH("/",C868)*1),
        DATE(VALUE(RIGHT(C868,4)),VALUE(LEFT(C868,2)),VALUE(MID(C868,4,2))),
        DATEVALUE(C868)
      )
    )
  ),
"INVALID_DATE")</f>
        <v>45722</v>
      </c>
      <c r="AB868">
        <f t="shared" si="81"/>
        <v>8</v>
      </c>
      <c r="AC868" t="str">
        <f t="shared" si="82"/>
        <v>February</v>
      </c>
      <c r="AD868">
        <f t="shared" si="83"/>
        <v>2025</v>
      </c>
    </row>
    <row r="869" spans="1:30">
      <c r="A869" t="s">
        <v>3967</v>
      </c>
      <c r="B869" t="s">
        <v>3968</v>
      </c>
      <c r="C869" t="s">
        <v>3969</v>
      </c>
      <c r="D869" t="s">
        <v>3970</v>
      </c>
      <c r="E869" t="s">
        <v>155</v>
      </c>
      <c r="F869" t="s">
        <v>122</v>
      </c>
      <c r="G869" t="s">
        <v>69</v>
      </c>
      <c r="H869" t="s">
        <v>107</v>
      </c>
      <c r="I869" t="s">
        <v>108</v>
      </c>
      <c r="J869" t="s">
        <v>93</v>
      </c>
      <c r="K869" t="s">
        <v>94</v>
      </c>
      <c r="L869" t="s">
        <v>3971</v>
      </c>
      <c r="M869" t="s">
        <v>55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207</v>
      </c>
      <c r="U869" t="s">
        <v>85</v>
      </c>
      <c r="V869">
        <f t="shared" si="78"/>
        <v>4695.7049999999999</v>
      </c>
      <c r="W869">
        <f t="shared" si="79"/>
        <v>824.00999999999976</v>
      </c>
      <c r="X869">
        <f t="shared" si="80"/>
        <v>0.17548182379623911</v>
      </c>
      <c r="Y869" t="str">
        <f>_xlfn.TEXTJOIN(", ",TRUE,IF(G869="Unknown","Missing Region",""),IF(M869="Unknown","Missing Ship Mode",""),IF(P869&lt;0,"Negative Discount",""),IF(P869&gt;0.7,"High Discount",""),IF(C869&lt;B869,"Ship Before Order",""))</f>
        <v/>
      </c>
      <c r="Z869" s="2">
        <f>IFERROR(
  IF(ISNUMBER(B869),B869,
    IF(ISNUMBER(SEARCH("-",B869)*1),
      IF(LEN(LEFT(B869,FIND("-",B869)-1))=4,
        DATE(VALUE(LEFT(B869,4)),VALUE(MID(B869,6,2)),VALUE(RIGHT(B869,2))),
        DATE(VALUE(RIGHT(B869,4)),VALUE(MID(B869,4,2)),VALUE(LEFT(B869,2)))
      ),
      IF(ISNUMBER(SEARCH("/",B869)*1),
        DATE(VALUE(RIGHT(B869,4)),VALUE(LEFT(B869,2)),VALUE(MID(B869,4,2))),
        DATEVALUE(B869)
      )
    )
  ),
"INVALID_DATE")</f>
        <v>45617</v>
      </c>
      <c r="AA869" s="2">
        <f>IFERROR(
  IF(ISNUMBER(C869),C869,
    IF(ISNUMBER(SEARCH("-",C869)*1),
      IF(LEN(LEFT(C869,FIND("-",C869)-1))=4,
        DATE(VALUE(LEFT(C869,4)),VALUE(MID(C869,6,2)),VALUE(RIGHT(C869,2))),
        DATE(VALUE(RIGHT(C869,4)),VALUE(MID(C869,4,2)),VALUE(LEFT(C869,2)))
      ),
      IF(ISNUMBER(SEARCH("/",C869)*1),
        DATE(VALUE(RIGHT(C869,4)),VALUE(LEFT(C869,2)),VALUE(MID(C869,4,2))),
        DATEVALUE(C869)
      )
    )
  ),
"INVALID_DATE")</f>
        <v>45618</v>
      </c>
      <c r="AB869">
        <f t="shared" si="81"/>
        <v>1</v>
      </c>
      <c r="AC869" t="str">
        <f t="shared" si="82"/>
        <v>November</v>
      </c>
      <c r="AD869">
        <f t="shared" si="83"/>
        <v>2024</v>
      </c>
    </row>
    <row r="870" spans="1:30">
      <c r="A870" t="s">
        <v>3972</v>
      </c>
      <c r="B870" t="s">
        <v>822</v>
      </c>
      <c r="C870" t="s">
        <v>2151</v>
      </c>
      <c r="D870" t="s">
        <v>3973</v>
      </c>
      <c r="E870" t="s">
        <v>90</v>
      </c>
      <c r="F870" t="s">
        <v>122</v>
      </c>
      <c r="G870" t="s">
        <v>69</v>
      </c>
      <c r="H870" t="s">
        <v>236</v>
      </c>
      <c r="I870" t="s">
        <v>237</v>
      </c>
      <c r="J870" t="s">
        <v>37</v>
      </c>
      <c r="K870" t="s">
        <v>163</v>
      </c>
      <c r="L870" t="s">
        <v>3974</v>
      </c>
      <c r="M870" t="s">
        <v>55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41</v>
      </c>
      <c r="U870" t="s">
        <v>42</v>
      </c>
      <c r="V870">
        <f t="shared" si="78"/>
        <v>1923.2369999999999</v>
      </c>
      <c r="W870">
        <f t="shared" si="79"/>
        <v>829.57999999999993</v>
      </c>
      <c r="X870">
        <f t="shared" si="80"/>
        <v>0.43134502194213931</v>
      </c>
      <c r="Y870" t="str">
        <f>_xlfn.TEXTJOIN(", ",TRUE,IF(G870="Unknown","Missing Region",""),IF(M870="Unknown","Missing Ship Mode",""),IF(P870&lt;0,"Negative Discount",""),IF(P870&gt;0.7,"High Discount",""),IF(C870&lt;B870,"Ship Before Order",""))</f>
        <v/>
      </c>
      <c r="Z870" s="2">
        <f>IFERROR(
  IF(ISNUMBER(B870),B870,
    IF(ISNUMBER(SEARCH("-",B870)*1),
      IF(LEN(LEFT(B870,FIND("-",B870)-1))=4,
        DATE(VALUE(LEFT(B870,4)),VALUE(MID(B870,6,2)),VALUE(RIGHT(B870,2))),
        DATE(VALUE(RIGHT(B870,4)),VALUE(MID(B870,4,2)),VALUE(LEFT(B870,2)))
      ),
      IF(ISNUMBER(SEARCH("/",B870)*1),
        DATE(VALUE(RIGHT(B870,4)),VALUE(LEFT(B870,2)),VALUE(MID(B870,4,2))),
        DATEVALUE(B870)
      )
    )
  ),
"INVALID_DATE")</f>
        <v>45758</v>
      </c>
      <c r="AA870" s="2">
        <f>IFERROR(
  IF(ISNUMBER(C870),C870,
    IF(ISNUMBER(SEARCH("-",C870)*1),
      IF(LEN(LEFT(C870,FIND("-",C870)-1))=4,
        DATE(VALUE(LEFT(C870,4)),VALUE(MID(C870,6,2)),VALUE(RIGHT(C870,2))),
        DATE(VALUE(RIGHT(C870,4)),VALUE(MID(C870,4,2)),VALUE(LEFT(C870,2)))
      ),
      IF(ISNUMBER(SEARCH("/",C870)*1),
        DATE(VALUE(RIGHT(C870,4)),VALUE(LEFT(C870,2)),VALUE(MID(C870,4,2))),
        DATEVALUE(C870)
      )
    )
  ),
"INVALID_DATE")</f>
        <v>45762</v>
      </c>
      <c r="AB870">
        <f t="shared" si="81"/>
        <v>4</v>
      </c>
      <c r="AC870" t="str">
        <f t="shared" si="82"/>
        <v>April</v>
      </c>
      <c r="AD870">
        <f t="shared" si="83"/>
        <v>2025</v>
      </c>
    </row>
    <row r="871" spans="1:30">
      <c r="A871" t="s">
        <v>3975</v>
      </c>
      <c r="B871" t="s">
        <v>3976</v>
      </c>
      <c r="C871" t="s">
        <v>795</v>
      </c>
      <c r="D871" t="s">
        <v>3977</v>
      </c>
      <c r="E871" t="s">
        <v>187</v>
      </c>
      <c r="F871" t="s">
        <v>122</v>
      </c>
      <c r="G871" t="s">
        <v>279</v>
      </c>
      <c r="H871" t="s">
        <v>514</v>
      </c>
      <c r="I871" t="s">
        <v>515</v>
      </c>
      <c r="J871" t="s">
        <v>52</v>
      </c>
      <c r="K871" t="s">
        <v>83</v>
      </c>
      <c r="L871" t="s">
        <v>1760</v>
      </c>
      <c r="M871" t="s">
        <v>55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41</v>
      </c>
      <c r="U871" t="s">
        <v>42</v>
      </c>
      <c r="V871">
        <f t="shared" si="78"/>
        <v>4301.91</v>
      </c>
      <c r="W871">
        <f t="shared" si="79"/>
        <v>1927.5099999999998</v>
      </c>
      <c r="X871">
        <f t="shared" si="80"/>
        <v>0.4480591179266884</v>
      </c>
      <c r="Y871" t="str">
        <f>_xlfn.TEXTJOIN(", ",TRUE,IF(G871="Unknown","Missing Region",""),IF(M871="Unknown","Missing Ship Mode",""),IF(P871&lt;0,"Negative Discount",""),IF(P871&gt;0.7,"High Discount",""),IF(C871&lt;B871,"Ship Before Order",""))</f>
        <v>Missing Region</v>
      </c>
      <c r="Z871" s="2">
        <f>IFERROR(
  IF(ISNUMBER(B871),B871,
    IF(ISNUMBER(SEARCH("-",B871)*1),
      IF(LEN(LEFT(B871,FIND("-",B871)-1))=4,
        DATE(VALUE(LEFT(B871,4)),VALUE(MID(B871,6,2)),VALUE(RIGHT(B871,2))),
        DATE(VALUE(RIGHT(B871,4)),VALUE(MID(B871,4,2)),VALUE(LEFT(B871,2)))
      ),
      IF(ISNUMBER(SEARCH("/",B871)*1),
        DATE(VALUE(RIGHT(B871,4)),VALUE(LEFT(B871,2)),VALUE(MID(B871,4,2))),
        DATEVALUE(B871)
      )
    )
  ),
"INVALID_DATE")</f>
        <v>45722</v>
      </c>
      <c r="AA871" s="2">
        <f>IFERROR(
  IF(ISNUMBER(C871),C871,
    IF(ISNUMBER(SEARCH("-",C871)*1),
      IF(LEN(LEFT(C871,FIND("-",C871)-1))=4,
        DATE(VALUE(LEFT(C871,4)),VALUE(MID(C871,6,2)),VALUE(RIGHT(C871,2))),
        DATE(VALUE(RIGHT(C871,4)),VALUE(MID(C871,4,2)),VALUE(LEFT(C871,2)))
      ),
      IF(ISNUMBER(SEARCH("/",C871)*1),
        DATE(VALUE(RIGHT(C871,4)),VALUE(LEFT(C871,2)),VALUE(MID(C871,4,2))),
        DATEVALUE(C871)
      )
    )
  ),
"INVALID_DATE")</f>
        <v>45723</v>
      </c>
      <c r="AB871">
        <f t="shared" si="81"/>
        <v>1</v>
      </c>
      <c r="AC871" t="str">
        <f t="shared" si="82"/>
        <v>March</v>
      </c>
      <c r="AD871">
        <f t="shared" si="83"/>
        <v>2025</v>
      </c>
    </row>
    <row r="872" spans="1:30">
      <c r="A872" t="s">
        <v>3978</v>
      </c>
      <c r="B872" t="s">
        <v>3979</v>
      </c>
      <c r="C872" t="s">
        <v>3980</v>
      </c>
      <c r="D872" t="s">
        <v>3981</v>
      </c>
      <c r="E872" t="s">
        <v>90</v>
      </c>
      <c r="F872" t="s">
        <v>115</v>
      </c>
      <c r="G872" t="s">
        <v>80</v>
      </c>
      <c r="H872" t="s">
        <v>256</v>
      </c>
      <c r="I872" t="s">
        <v>257</v>
      </c>
      <c r="J872" t="s">
        <v>52</v>
      </c>
      <c r="K872" t="s">
        <v>53</v>
      </c>
      <c r="L872" t="s">
        <v>3982</v>
      </c>
      <c r="M872" t="s">
        <v>74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41</v>
      </c>
      <c r="U872" t="s">
        <v>85</v>
      </c>
      <c r="V872">
        <f t="shared" si="78"/>
        <v>22436.838</v>
      </c>
      <c r="W872">
        <f t="shared" si="79"/>
        <v>4982.1700000000019</v>
      </c>
      <c r="X872">
        <f t="shared" si="80"/>
        <v>0.22205310551753277</v>
      </c>
      <c r="Y872" t="str">
        <f>_xlfn.TEXTJOIN(", ",TRUE,IF(G872="Unknown","Missing Region",""),IF(M872="Unknown","Missing Ship Mode",""),IF(P872&lt;0,"Negative Discount",""),IF(P872&gt;0.7,"High Discount",""),IF(C872&lt;B872,"Ship Before Order",""))</f>
        <v/>
      </c>
      <c r="Z872" s="2">
        <f>IFERROR(
  IF(ISNUMBER(B872),B872,
    IF(ISNUMBER(SEARCH("-",B872)*1),
      IF(LEN(LEFT(B872,FIND("-",B872)-1))=4,
        DATE(VALUE(LEFT(B872,4)),VALUE(MID(B872,6,2)),VALUE(RIGHT(B872,2))),
        DATE(VALUE(RIGHT(B872,4)),VALUE(MID(B872,4,2)),VALUE(LEFT(B872,2)))
      ),
      IF(ISNUMBER(SEARCH("/",B872)*1),
        DATE(VALUE(RIGHT(B872,4)),VALUE(LEFT(B872,2)),VALUE(MID(B872,4,2))),
        DATEVALUE(B872)
      )
    )
  ),
"INVALID_DATE")</f>
        <v>45814</v>
      </c>
      <c r="AA872" s="2">
        <f>IFERROR(
  IF(ISNUMBER(C872),C872,
    IF(ISNUMBER(SEARCH("-",C872)*1),
      IF(LEN(LEFT(C872,FIND("-",C872)-1))=4,
        DATE(VALUE(LEFT(C872,4)),VALUE(MID(C872,6,2)),VALUE(RIGHT(C872,2))),
        DATE(VALUE(RIGHT(C872,4)),VALUE(MID(C872,4,2)),VALUE(LEFT(C872,2)))
      ),
      IF(ISNUMBER(SEARCH("/",C872)*1),
        DATE(VALUE(RIGHT(C872,4)),VALUE(LEFT(C872,2)),VALUE(MID(C872,4,2))),
        DATEVALUE(C872)
      )
    )
  ),
"INVALID_DATE")</f>
        <v>45815</v>
      </c>
      <c r="AB872">
        <f t="shared" si="81"/>
        <v>1</v>
      </c>
      <c r="AC872" t="str">
        <f t="shared" si="82"/>
        <v>June</v>
      </c>
      <c r="AD872">
        <f t="shared" si="83"/>
        <v>2025</v>
      </c>
    </row>
    <row r="873" spans="1:30">
      <c r="A873" t="s">
        <v>3983</v>
      </c>
      <c r="B873" t="s">
        <v>3984</v>
      </c>
      <c r="C873" t="s">
        <v>2838</v>
      </c>
      <c r="D873" t="s">
        <v>3803</v>
      </c>
      <c r="E873" t="s">
        <v>100</v>
      </c>
      <c r="F873" t="s">
        <v>48</v>
      </c>
      <c r="G873" t="s">
        <v>69</v>
      </c>
      <c r="H873" t="s">
        <v>70</v>
      </c>
      <c r="I873" t="s">
        <v>71</v>
      </c>
      <c r="J873" t="s">
        <v>93</v>
      </c>
      <c r="K873" t="s">
        <v>94</v>
      </c>
      <c r="L873" t="s">
        <v>3985</v>
      </c>
      <c r="M873" t="s">
        <v>63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131</v>
      </c>
      <c r="U873" t="s">
        <v>85</v>
      </c>
      <c r="V873">
        <f t="shared" si="78"/>
        <v>19676.07</v>
      </c>
      <c r="W873">
        <f t="shared" si="79"/>
        <v>7217.4499999999989</v>
      </c>
      <c r="X873">
        <f t="shared" si="80"/>
        <v>0.36681359641432459</v>
      </c>
      <c r="Y873" t="str">
        <f>_xlfn.TEXTJOIN(", ",TRUE,IF(G873="Unknown","Missing Region",""),IF(M873="Unknown","Missing Ship Mode",""),IF(P873&lt;0,"Negative Discount",""),IF(P873&gt;0.7,"High Discount",""),IF(C873&lt;B873,"Ship Before Order",""))</f>
        <v/>
      </c>
      <c r="Z873" s="2">
        <f>IFERROR(
  IF(ISNUMBER(B873),B873,
    IF(ISNUMBER(SEARCH("-",B873)*1),
      IF(LEN(LEFT(B873,FIND("-",B873)-1))=4,
        DATE(VALUE(LEFT(B873,4)),VALUE(MID(B873,6,2)),VALUE(RIGHT(B873,2))),
        DATE(VALUE(RIGHT(B873,4)),VALUE(MID(B873,4,2)),VALUE(LEFT(B873,2)))
      ),
      IF(ISNUMBER(SEARCH("/",B873)*1),
        DATE(VALUE(RIGHT(B873,4)),VALUE(LEFT(B873,2)),VALUE(MID(B873,4,2))),
        DATEVALUE(B873)
      )
    )
  ),
"INVALID_DATE")</f>
        <v>45342</v>
      </c>
      <c r="AA873" s="2">
        <f>IFERROR(
  IF(ISNUMBER(C873),C873,
    IF(ISNUMBER(SEARCH("-",C873)*1),
      IF(LEN(LEFT(C873,FIND("-",C873)-1))=4,
        DATE(VALUE(LEFT(C873,4)),VALUE(MID(C873,6,2)),VALUE(RIGHT(C873,2))),
        DATE(VALUE(RIGHT(C873,4)),VALUE(MID(C873,4,2)),VALUE(LEFT(C873,2)))
      ),
      IF(ISNUMBER(SEARCH("/",C873)*1),
        DATE(VALUE(RIGHT(C873,4)),VALUE(LEFT(C873,2)),VALUE(MID(C873,4,2))),
        DATEVALUE(C873)
      )
    )
  ),
"INVALID_DATE")</f>
        <v>45344</v>
      </c>
      <c r="AB873">
        <f t="shared" si="81"/>
        <v>2</v>
      </c>
      <c r="AC873" t="str">
        <f t="shared" si="82"/>
        <v>February</v>
      </c>
      <c r="AD873">
        <f t="shared" si="83"/>
        <v>2024</v>
      </c>
    </row>
    <row r="874" spans="1:30">
      <c r="A874" t="s">
        <v>3986</v>
      </c>
      <c r="B874" t="s">
        <v>3514</v>
      </c>
      <c r="C874" t="s">
        <v>3987</v>
      </c>
      <c r="D874" t="s">
        <v>2970</v>
      </c>
      <c r="E874" t="s">
        <v>32</v>
      </c>
      <c r="F874" t="s">
        <v>115</v>
      </c>
      <c r="G874" t="s">
        <v>49</v>
      </c>
      <c r="H874" t="s">
        <v>128</v>
      </c>
      <c r="I874" t="s">
        <v>129</v>
      </c>
      <c r="J874" t="s">
        <v>52</v>
      </c>
      <c r="K874" t="s">
        <v>72</v>
      </c>
      <c r="L874" t="s">
        <v>3988</v>
      </c>
      <c r="M874" t="s">
        <v>74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41</v>
      </c>
      <c r="U874" t="s">
        <v>42</v>
      </c>
      <c r="V874">
        <f t="shared" si="78"/>
        <v>8848.08</v>
      </c>
      <c r="W874">
        <f t="shared" si="79"/>
        <v>3156.5199999999995</v>
      </c>
      <c r="X874">
        <f t="shared" si="80"/>
        <v>0.35674632236598225</v>
      </c>
      <c r="Y874" t="str">
        <f>_xlfn.TEXTJOIN(", ",TRUE,IF(G874="Unknown","Missing Region",""),IF(M874="Unknown","Missing Ship Mode",""),IF(P874&lt;0,"Negative Discount",""),IF(P874&gt;0.7,"High Discount",""),IF(C874&lt;B874,"Ship Before Order",""))</f>
        <v>Ship Before Order</v>
      </c>
      <c r="Z874" s="2">
        <f>IFERROR(
  IF(ISNUMBER(B874),B874,
    IF(ISNUMBER(SEARCH("-",B874)*1),
      IF(LEN(LEFT(B874,FIND("-",B874)-1))=4,
        DATE(VALUE(LEFT(B874,4)),VALUE(MID(B874,6,2)),VALUE(RIGHT(B874,2))),
        DATE(VALUE(RIGHT(B874,4)),VALUE(MID(B874,4,2)),VALUE(LEFT(B874,2)))
      ),
      IF(ISNUMBER(SEARCH("/",B874)*1),
        DATE(VALUE(RIGHT(B874,4)),VALUE(LEFT(B874,2)),VALUE(MID(B874,4,2))),
        DATEVALUE(B874)
      )
    )
  ),
"INVALID_DATE")</f>
        <v>45597</v>
      </c>
      <c r="AA874" s="2">
        <f>IFERROR(
  IF(ISNUMBER(C874),C874,
    IF(ISNUMBER(SEARCH("-",C874)*1),
      IF(LEN(LEFT(C874,FIND("-",C874)-1))=4,
        DATE(VALUE(LEFT(C874,4)),VALUE(MID(C874,6,2)),VALUE(RIGHT(C874,2))),
        DATE(VALUE(RIGHT(C874,4)),VALUE(MID(C874,4,2)),VALUE(LEFT(C874,2)))
      ),
      IF(ISNUMBER(SEARCH("/",C874)*1),
        DATE(VALUE(RIGHT(C874,4)),VALUE(LEFT(C874,2)),VALUE(MID(C874,4,2))),
        DATEVALUE(C874)
      )
    )
  ),
"INVALID_DATE")</f>
        <v>45598</v>
      </c>
      <c r="AB874">
        <f t="shared" si="81"/>
        <v>1</v>
      </c>
      <c r="AC874" t="str">
        <f t="shared" si="82"/>
        <v>November</v>
      </c>
      <c r="AD874">
        <f t="shared" si="83"/>
        <v>2024</v>
      </c>
    </row>
    <row r="875" spans="1:30">
      <c r="A875" t="s">
        <v>3989</v>
      </c>
      <c r="B875" t="s">
        <v>3990</v>
      </c>
      <c r="C875" t="s">
        <v>3991</v>
      </c>
      <c r="D875" t="s">
        <v>3992</v>
      </c>
      <c r="E875" t="s">
        <v>114</v>
      </c>
      <c r="F875" t="s">
        <v>122</v>
      </c>
      <c r="G875" t="s">
        <v>80</v>
      </c>
      <c r="H875" t="s">
        <v>242</v>
      </c>
      <c r="I875" t="s">
        <v>243</v>
      </c>
      <c r="J875" t="s">
        <v>37</v>
      </c>
      <c r="K875" t="s">
        <v>163</v>
      </c>
      <c r="L875" t="s">
        <v>3993</v>
      </c>
      <c r="M875" t="s">
        <v>40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41</v>
      </c>
      <c r="U875" t="s">
        <v>42</v>
      </c>
      <c r="V875">
        <f t="shared" si="78"/>
        <v>4487.8319999999994</v>
      </c>
      <c r="W875">
        <f t="shared" si="79"/>
        <v>1854.0499999999997</v>
      </c>
      <c r="X875">
        <f t="shared" si="80"/>
        <v>0.4131283939008385</v>
      </c>
      <c r="Y875" t="str">
        <f>_xlfn.TEXTJOIN(", ",TRUE,IF(G875="Unknown","Missing Region",""),IF(M875="Unknown","Missing Ship Mode",""),IF(P875&lt;0,"Negative Discount",""),IF(P875&gt;0.7,"High Discount",""),IF(C875&lt;B875,"Ship Before Order",""))</f>
        <v/>
      </c>
      <c r="Z875" s="2">
        <f>IFERROR(
  IF(ISNUMBER(B875),B875,
    IF(ISNUMBER(SEARCH("-",B875)*1),
      IF(LEN(LEFT(B875,FIND("-",B875)-1))=4,
        DATE(VALUE(LEFT(B875,4)),VALUE(MID(B875,6,2)),VALUE(RIGHT(B875,2))),
        DATE(VALUE(RIGHT(B875,4)),VALUE(MID(B875,4,2)),VALUE(LEFT(B875,2)))
      ),
      IF(ISNUMBER(SEARCH("/",B875)*1),
        DATE(VALUE(RIGHT(B875,4)),VALUE(LEFT(B875,2)),VALUE(MID(B875,4,2))),
        DATEVALUE(B875)
      )
    )
  ),
"INVALID_DATE")</f>
        <v>45689</v>
      </c>
      <c r="AA875" s="2">
        <f>IFERROR(
  IF(ISNUMBER(C875),C875,
    IF(ISNUMBER(SEARCH("-",C875)*1),
      IF(LEN(LEFT(C875,FIND("-",C875)-1))=4,
        DATE(VALUE(LEFT(C875,4)),VALUE(MID(C875,6,2)),VALUE(RIGHT(C875,2))),
        DATE(VALUE(RIGHT(C875,4)),VALUE(MID(C875,4,2)),VALUE(LEFT(C875,2)))
      ),
      IF(ISNUMBER(SEARCH("/",C875)*1),
        DATE(VALUE(RIGHT(C875,4)),VALUE(LEFT(C875,2)),VALUE(MID(C875,4,2))),
        DATEVALUE(C875)
      )
    )
  ),
"INVALID_DATE")</f>
        <v>45696</v>
      </c>
      <c r="AB875">
        <f t="shared" si="81"/>
        <v>7</v>
      </c>
      <c r="AC875" t="str">
        <f t="shared" si="82"/>
        <v>February</v>
      </c>
      <c r="AD875">
        <f t="shared" si="83"/>
        <v>2025</v>
      </c>
    </row>
    <row r="876" spans="1:30">
      <c r="A876" t="s">
        <v>3994</v>
      </c>
      <c r="B876" t="s">
        <v>2916</v>
      </c>
      <c r="C876" t="s">
        <v>1519</v>
      </c>
      <c r="D876" t="s">
        <v>3995</v>
      </c>
      <c r="E876" t="s">
        <v>90</v>
      </c>
      <c r="F876" t="s">
        <v>48</v>
      </c>
      <c r="G876" t="s">
        <v>80</v>
      </c>
      <c r="H876" t="s">
        <v>81</v>
      </c>
      <c r="I876" t="s">
        <v>82</v>
      </c>
      <c r="J876" t="s">
        <v>37</v>
      </c>
      <c r="K876" t="s">
        <v>38</v>
      </c>
      <c r="L876" t="s">
        <v>3996</v>
      </c>
      <c r="M876" t="s">
        <v>74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41</v>
      </c>
      <c r="U876" t="s">
        <v>42</v>
      </c>
      <c r="V876">
        <f t="shared" si="78"/>
        <v>29829.088</v>
      </c>
      <c r="W876">
        <f t="shared" si="79"/>
        <v>9118.91</v>
      </c>
      <c r="X876">
        <f t="shared" si="80"/>
        <v>0.30570526958750671</v>
      </c>
      <c r="Y876" t="str">
        <f>_xlfn.TEXTJOIN(", ",TRUE,IF(G876="Unknown","Missing Region",""),IF(M876="Unknown","Missing Ship Mode",""),IF(P876&lt;0,"Negative Discount",""),IF(P876&gt;0.7,"High Discount",""),IF(C876&lt;B876,"Ship Before Order",""))</f>
        <v/>
      </c>
      <c r="Z876" s="2">
        <f>IFERROR(
  IF(ISNUMBER(B876),B876,
    IF(ISNUMBER(SEARCH("-",B876)*1),
      IF(LEN(LEFT(B876,FIND("-",B876)-1))=4,
        DATE(VALUE(LEFT(B876,4)),VALUE(MID(B876,6,2)),VALUE(RIGHT(B876,2))),
        DATE(VALUE(RIGHT(B876,4)),VALUE(MID(B876,4,2)),VALUE(LEFT(B876,2)))
      ),
      IF(ISNUMBER(SEARCH("/",B876)*1),
        DATE(VALUE(RIGHT(B876,4)),VALUE(LEFT(B876,2)),VALUE(MID(B876,4,2))),
        DATEVALUE(B876)
      )
    )
  ),
"INVALID_DATE")</f>
        <v>45853</v>
      </c>
      <c r="AA876" s="2">
        <f>IFERROR(
  IF(ISNUMBER(C876),C876,
    IF(ISNUMBER(SEARCH("-",C876)*1),
      IF(LEN(LEFT(C876,FIND("-",C876)-1))=4,
        DATE(VALUE(LEFT(C876,4)),VALUE(MID(C876,6,2)),VALUE(RIGHT(C876,2))),
        DATE(VALUE(RIGHT(C876,4)),VALUE(MID(C876,4,2)),VALUE(LEFT(C876,2)))
      ),
      IF(ISNUMBER(SEARCH("/",C876)*1),
        DATE(VALUE(RIGHT(C876,4)),VALUE(LEFT(C876,2)),VALUE(MID(C876,4,2))),
        DATEVALUE(C876)
      )
    )
  ),
"INVALID_DATE")</f>
        <v>45854</v>
      </c>
      <c r="AB876">
        <f t="shared" si="81"/>
        <v>1</v>
      </c>
      <c r="AC876" t="str">
        <f t="shared" si="82"/>
        <v>July</v>
      </c>
      <c r="AD876">
        <f t="shared" si="83"/>
        <v>2025</v>
      </c>
    </row>
    <row r="877" spans="1:30">
      <c r="A877" t="s">
        <v>3997</v>
      </c>
      <c r="B877" t="s">
        <v>3998</v>
      </c>
      <c r="C877" t="s">
        <v>3999</v>
      </c>
      <c r="D877" t="s">
        <v>4000</v>
      </c>
      <c r="E877" t="s">
        <v>47</v>
      </c>
      <c r="F877" t="s">
        <v>115</v>
      </c>
      <c r="G877" t="s">
        <v>80</v>
      </c>
      <c r="H877" t="s">
        <v>81</v>
      </c>
      <c r="I877" t="s">
        <v>82</v>
      </c>
      <c r="J877" t="s">
        <v>93</v>
      </c>
      <c r="K877" t="s">
        <v>101</v>
      </c>
      <c r="L877" t="s">
        <v>4001</v>
      </c>
      <c r="M877" t="s">
        <v>63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41</v>
      </c>
      <c r="U877" t="s">
        <v>42</v>
      </c>
      <c r="V877">
        <f t="shared" si="78"/>
        <v>21574.671999999999</v>
      </c>
      <c r="W877">
        <f t="shared" si="79"/>
        <v>6901.8399999999983</v>
      </c>
      <c r="X877">
        <f t="shared" si="80"/>
        <v>0.31990477722254851</v>
      </c>
      <c r="Y877" t="str">
        <f>_xlfn.TEXTJOIN(", ",TRUE,IF(G877="Unknown","Missing Region",""),IF(M877="Unknown","Missing Ship Mode",""),IF(P877&lt;0,"Negative Discount",""),IF(P877&gt;0.7,"High Discount",""),IF(C877&lt;B877,"Ship Before Order",""))</f>
        <v>Ship Before Order</v>
      </c>
      <c r="Z877" s="2">
        <f>IFERROR(
  IF(ISNUMBER(B877),B877,
    IF(ISNUMBER(SEARCH("-",B877)*1),
      IF(LEN(LEFT(B877,FIND("-",B877)-1))=4,
        DATE(VALUE(LEFT(B877,4)),VALUE(MID(B877,6,2)),VALUE(RIGHT(B877,2))),
        DATE(VALUE(RIGHT(B877,4)),VALUE(MID(B877,4,2)),VALUE(LEFT(B877,2)))
      ),
      IF(ISNUMBER(SEARCH("/",B877)*1),
        DATE(VALUE(RIGHT(B877,4)),VALUE(LEFT(B877,2)),VALUE(MID(B877,4,2))),
        DATEVALUE(B877)
      )
    )
  ),
"INVALID_DATE")</f>
        <v>45514</v>
      </c>
      <c r="AA877" s="2">
        <f>IFERROR(
  IF(ISNUMBER(C877),C877,
    IF(ISNUMBER(SEARCH("-",C877)*1),
      IF(LEN(LEFT(C877,FIND("-",C877)-1))=4,
        DATE(VALUE(LEFT(C877,4)),VALUE(MID(C877,6,2)),VALUE(RIGHT(C877,2))),
        DATE(VALUE(RIGHT(C877,4)),VALUE(MID(C877,4,2)),VALUE(LEFT(C877,2)))
      ),
      IF(ISNUMBER(SEARCH("/",C877)*1),
        DATE(VALUE(RIGHT(C877,4)),VALUE(LEFT(C877,2)),VALUE(MID(C877,4,2))),
        DATEVALUE(C877)
      )
    )
  ),
"INVALID_DATE")</f>
        <v>45515</v>
      </c>
      <c r="AB877">
        <f t="shared" si="81"/>
        <v>1</v>
      </c>
      <c r="AC877" t="str">
        <f t="shared" si="82"/>
        <v>August</v>
      </c>
      <c r="AD877">
        <f t="shared" si="83"/>
        <v>2024</v>
      </c>
    </row>
    <row r="878" spans="1:30">
      <c r="A878" t="s">
        <v>4002</v>
      </c>
      <c r="B878" t="s">
        <v>4003</v>
      </c>
      <c r="C878" t="s">
        <v>4004</v>
      </c>
      <c r="D878" t="s">
        <v>4005</v>
      </c>
      <c r="E878" t="s">
        <v>149</v>
      </c>
      <c r="F878" t="s">
        <v>33</v>
      </c>
      <c r="G878" t="s">
        <v>80</v>
      </c>
      <c r="H878" t="s">
        <v>35</v>
      </c>
      <c r="I878" t="s">
        <v>142</v>
      </c>
      <c r="J878" t="s">
        <v>52</v>
      </c>
      <c r="K878" t="s">
        <v>83</v>
      </c>
      <c r="L878" t="s">
        <v>1299</v>
      </c>
      <c r="M878" t="s">
        <v>63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41</v>
      </c>
      <c r="U878" t="s">
        <v>42</v>
      </c>
      <c r="V878">
        <f t="shared" si="78"/>
        <v>22741.32</v>
      </c>
      <c r="W878">
        <f t="shared" si="79"/>
        <v>6352.75</v>
      </c>
      <c r="X878">
        <f t="shared" si="80"/>
        <v>0.27934834037777928</v>
      </c>
      <c r="Y878" t="str">
        <f>_xlfn.TEXTJOIN(", ",TRUE,IF(G878="Unknown","Missing Region",""),IF(M878="Unknown","Missing Ship Mode",""),IF(P878&lt;0,"Negative Discount",""),IF(P878&gt;0.7,"High Discount",""),IF(C878&lt;B878,"Ship Before Order",""))</f>
        <v/>
      </c>
      <c r="Z878" s="2">
        <f>IFERROR(
  IF(ISNUMBER(B878),B878,
    IF(ISNUMBER(SEARCH("-",B878)*1),
      IF(LEN(LEFT(B878,FIND("-",B878)-1))=4,
        DATE(VALUE(LEFT(B878,4)),VALUE(MID(B878,6,2)),VALUE(RIGHT(B878,2))),
        DATE(VALUE(RIGHT(B878,4)),VALUE(MID(B878,4,2)),VALUE(LEFT(B878,2)))
      ),
      IF(ISNUMBER(SEARCH("/",B878)*1),
        DATE(VALUE(RIGHT(B878,4)),VALUE(LEFT(B878,2)),VALUE(MID(B878,4,2))),
        DATEVALUE(B878)
      )
    )
  ),
"INVALID_DATE")</f>
        <v>45614</v>
      </c>
      <c r="AA878" s="2">
        <f>IFERROR(
  IF(ISNUMBER(C878),C878,
    IF(ISNUMBER(SEARCH("-",C878)*1),
      IF(LEN(LEFT(C878,FIND("-",C878)-1))=4,
        DATE(VALUE(LEFT(C878,4)),VALUE(MID(C878,6,2)),VALUE(RIGHT(C878,2))),
        DATE(VALUE(RIGHT(C878,4)),VALUE(MID(C878,4,2)),VALUE(LEFT(C878,2)))
      ),
      IF(ISNUMBER(SEARCH("/",C878)*1),
        DATE(VALUE(RIGHT(C878,4)),VALUE(LEFT(C878,2)),VALUE(MID(C878,4,2))),
        DATEVALUE(C878)
      )
    )
  ),
"INVALID_DATE")</f>
        <v>45616</v>
      </c>
      <c r="AB878">
        <f t="shared" si="81"/>
        <v>2</v>
      </c>
      <c r="AC878" t="str">
        <f t="shared" si="82"/>
        <v>November</v>
      </c>
      <c r="AD878">
        <f t="shared" si="83"/>
        <v>2024</v>
      </c>
    </row>
    <row r="879" spans="1:30">
      <c r="A879" t="s">
        <v>4006</v>
      </c>
      <c r="B879" t="s">
        <v>4007</v>
      </c>
      <c r="C879" t="s">
        <v>2775</v>
      </c>
      <c r="D879" t="s">
        <v>4008</v>
      </c>
      <c r="E879" t="s">
        <v>169</v>
      </c>
      <c r="F879" t="s">
        <v>33</v>
      </c>
      <c r="G879" t="s">
        <v>80</v>
      </c>
      <c r="H879" t="s">
        <v>35</v>
      </c>
      <c r="I879" t="s">
        <v>142</v>
      </c>
      <c r="J879" t="s">
        <v>37</v>
      </c>
      <c r="K879" t="s">
        <v>163</v>
      </c>
      <c r="L879" t="s">
        <v>4009</v>
      </c>
      <c r="M879" t="s">
        <v>40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41</v>
      </c>
      <c r="U879" t="s">
        <v>42</v>
      </c>
      <c r="V879">
        <f t="shared" si="78"/>
        <v>3641.5439999999999</v>
      </c>
      <c r="W879">
        <f t="shared" si="79"/>
        <v>951.17000000000007</v>
      </c>
      <c r="X879">
        <f t="shared" si="80"/>
        <v>0.26119993189694468</v>
      </c>
      <c r="Y879" t="str">
        <f>_xlfn.TEXTJOIN(", ",TRUE,IF(G879="Unknown","Missing Region",""),IF(M879="Unknown","Missing Ship Mode",""),IF(P879&lt;0,"Negative Discount",""),IF(P879&gt;0.7,"High Discount",""),IF(C879&lt;B879,"Ship Before Order",""))</f>
        <v>Ship Before Order</v>
      </c>
      <c r="Z879" s="2">
        <f>IFERROR(
  IF(ISNUMBER(B879),B879,
    IF(ISNUMBER(SEARCH("-",B879)*1),
      IF(LEN(LEFT(B879,FIND("-",B879)-1))=4,
        DATE(VALUE(LEFT(B879,4)),VALUE(MID(B879,6,2)),VALUE(RIGHT(B879,2))),
        DATE(VALUE(RIGHT(B879,4)),VALUE(MID(B879,4,2)),VALUE(LEFT(B879,2)))
      ),
      IF(ISNUMBER(SEARCH("/",B879)*1),
        DATE(VALUE(RIGHT(B879,4)),VALUE(LEFT(B879,2)),VALUE(MID(B879,4,2))),
        DATEVALUE(B879)
      )
    )
  ),
"INVALID_DATE")</f>
        <v>45895</v>
      </c>
      <c r="AA879" s="2">
        <f>IFERROR(
  IF(ISNUMBER(C879),C879,
    IF(ISNUMBER(SEARCH("-",C879)*1),
      IF(LEN(LEFT(C879,FIND("-",C879)-1))=4,
        DATE(VALUE(LEFT(C879,4)),VALUE(MID(C879,6,2)),VALUE(RIGHT(C879,2))),
        DATE(VALUE(RIGHT(C879,4)),VALUE(MID(C879,4,2)),VALUE(LEFT(C879,2)))
      ),
      IF(ISNUMBER(SEARCH("/",C879)*1),
        DATE(VALUE(RIGHT(C879,4)),VALUE(LEFT(C879,2)),VALUE(MID(C879,4,2))),
        DATEVALUE(C879)
      )
    )
  ),
"INVALID_DATE")</f>
        <v>45903</v>
      </c>
      <c r="AB879">
        <f t="shared" si="81"/>
        <v>8</v>
      </c>
      <c r="AC879" t="str">
        <f t="shared" si="82"/>
        <v>August</v>
      </c>
      <c r="AD879">
        <f t="shared" si="83"/>
        <v>2025</v>
      </c>
    </row>
    <row r="880" spans="1:30">
      <c r="A880" t="s">
        <v>4010</v>
      </c>
      <c r="B880" t="s">
        <v>2046</v>
      </c>
      <c r="C880" t="s">
        <v>2046</v>
      </c>
      <c r="D880" t="s">
        <v>4011</v>
      </c>
      <c r="E880" t="s">
        <v>32</v>
      </c>
      <c r="F880" t="s">
        <v>115</v>
      </c>
      <c r="G880" t="s">
        <v>49</v>
      </c>
      <c r="H880" t="s">
        <v>128</v>
      </c>
      <c r="I880" t="s">
        <v>129</v>
      </c>
      <c r="J880" t="s">
        <v>37</v>
      </c>
      <c r="K880" t="s">
        <v>38</v>
      </c>
      <c r="L880" t="s">
        <v>4012</v>
      </c>
      <c r="M880" t="s">
        <v>63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41</v>
      </c>
      <c r="U880" t="s">
        <v>42</v>
      </c>
      <c r="V880">
        <f t="shared" si="78"/>
        <v>11834.796</v>
      </c>
      <c r="W880">
        <f t="shared" si="79"/>
        <v>2512.4399999999987</v>
      </c>
      <c r="X880">
        <f t="shared" si="80"/>
        <v>0.21229256092202659</v>
      </c>
      <c r="Y880" t="str">
        <f>_xlfn.TEXTJOIN(", ",TRUE,IF(G880="Unknown","Missing Region",""),IF(M880="Unknown","Missing Ship Mode",""),IF(P880&lt;0,"Negative Discount",""),IF(P880&gt;0.7,"High Discount",""),IF(C880&lt;B880,"Ship Before Order",""))</f>
        <v/>
      </c>
      <c r="Z880" s="2">
        <f>IFERROR(
  IF(ISNUMBER(B880),B880,
    IF(ISNUMBER(SEARCH("-",B880)*1),
      IF(LEN(LEFT(B880,FIND("-",B880)-1))=4,
        DATE(VALUE(LEFT(B880,4)),VALUE(MID(B880,6,2)),VALUE(RIGHT(B880,2))),
        DATE(VALUE(RIGHT(B880,4)),VALUE(MID(B880,4,2)),VALUE(LEFT(B880,2)))
      ),
      IF(ISNUMBER(SEARCH("/",B880)*1),
        DATE(VALUE(RIGHT(B880,4)),VALUE(LEFT(B880,2)),VALUE(MID(B880,4,2))),
        DATEVALUE(B880)
      )
    )
  ),
"INVALID_DATE")</f>
        <v>45313</v>
      </c>
      <c r="AA880" s="2">
        <f>IFERROR(
  IF(ISNUMBER(C880),C880,
    IF(ISNUMBER(SEARCH("-",C880)*1),
      IF(LEN(LEFT(C880,FIND("-",C880)-1))=4,
        DATE(VALUE(LEFT(C880,4)),VALUE(MID(C880,6,2)),VALUE(RIGHT(C880,2))),
        DATE(VALUE(RIGHT(C880,4)),VALUE(MID(C880,4,2)),VALUE(LEFT(C880,2)))
      ),
      IF(ISNUMBER(SEARCH("/",C880)*1),
        DATE(VALUE(RIGHT(C880,4)),VALUE(LEFT(C880,2)),VALUE(MID(C880,4,2))),
        DATEVALUE(C880)
      )
    )
  ),
"INVALID_DATE")</f>
        <v>45313</v>
      </c>
      <c r="AB880">
        <f t="shared" si="81"/>
        <v>0</v>
      </c>
      <c r="AC880" t="str">
        <f t="shared" si="82"/>
        <v>January</v>
      </c>
      <c r="AD880">
        <f t="shared" si="83"/>
        <v>2024</v>
      </c>
    </row>
    <row r="881" spans="1:30">
      <c r="A881" t="s">
        <v>4013</v>
      </c>
      <c r="B881" t="s">
        <v>4014</v>
      </c>
      <c r="C881" t="s">
        <v>443</v>
      </c>
      <c r="D881" t="s">
        <v>4015</v>
      </c>
      <c r="E881" t="s">
        <v>79</v>
      </c>
      <c r="F881" t="s">
        <v>122</v>
      </c>
      <c r="G881" t="s">
        <v>34</v>
      </c>
      <c r="H881" t="s">
        <v>181</v>
      </c>
      <c r="I881" t="s">
        <v>182</v>
      </c>
      <c r="J881" t="s">
        <v>37</v>
      </c>
      <c r="K881" t="s">
        <v>61</v>
      </c>
      <c r="L881" t="s">
        <v>4016</v>
      </c>
      <c r="M881" t="s">
        <v>74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41</v>
      </c>
      <c r="U881" t="s">
        <v>42</v>
      </c>
      <c r="V881">
        <f t="shared" si="78"/>
        <v>6028.3529999999992</v>
      </c>
      <c r="W881">
        <f t="shared" si="79"/>
        <v>1594.7200000000003</v>
      </c>
      <c r="X881">
        <f t="shared" si="80"/>
        <v>0.2645367306145131</v>
      </c>
      <c r="Y881" t="str">
        <f>_xlfn.TEXTJOIN(", ",TRUE,IF(G881="Unknown","Missing Region",""),IF(M881="Unknown","Missing Ship Mode",""),IF(P881&lt;0,"Negative Discount",""),IF(P881&gt;0.7,"High Discount",""),IF(C881&lt;B881,"Ship Before Order",""))</f>
        <v>Ship Before Order</v>
      </c>
      <c r="Z881" s="2">
        <f>IFERROR(
  IF(ISNUMBER(B881),B881,
    IF(ISNUMBER(SEARCH("-",B881)*1),
      IF(LEN(LEFT(B881,FIND("-",B881)-1))=4,
        DATE(VALUE(LEFT(B881,4)),VALUE(MID(B881,6,2)),VALUE(RIGHT(B881,2))),
        DATE(VALUE(RIGHT(B881,4)),VALUE(MID(B881,4,2)),VALUE(LEFT(B881,2)))
      ),
      IF(ISNUMBER(SEARCH("/",B881)*1),
        DATE(VALUE(RIGHT(B881,4)),VALUE(LEFT(B881,2)),VALUE(MID(B881,4,2))),
        DATEVALUE(B881)
      )
    )
  ),
"INVALID_DATE")</f>
        <v>45896</v>
      </c>
      <c r="AA881" s="2">
        <f>IFERROR(
  IF(ISNUMBER(C881),C881,
    IF(ISNUMBER(SEARCH("-",C881)*1),
      IF(LEN(LEFT(C881,FIND("-",C881)-1))=4,
        DATE(VALUE(LEFT(C881,4)),VALUE(MID(C881,6,2)),VALUE(RIGHT(C881,2))),
        DATE(VALUE(RIGHT(C881,4)),VALUE(MID(C881,4,2)),VALUE(LEFT(C881,2)))
      ),
      IF(ISNUMBER(SEARCH("/",C881)*1),
        DATE(VALUE(RIGHT(C881,4)),VALUE(LEFT(C881,2)),VALUE(MID(C881,4,2))),
        DATEVALUE(C881)
      )
    )
  ),
"INVALID_DATE")</f>
        <v>45897</v>
      </c>
      <c r="AB881">
        <f t="shared" si="81"/>
        <v>1</v>
      </c>
      <c r="AC881" t="str">
        <f t="shared" si="82"/>
        <v>August</v>
      </c>
      <c r="AD881">
        <f t="shared" si="83"/>
        <v>2025</v>
      </c>
    </row>
    <row r="882" spans="1:30">
      <c r="A882" t="s">
        <v>4017</v>
      </c>
      <c r="B882" t="s">
        <v>4018</v>
      </c>
      <c r="C882" t="s">
        <v>1131</v>
      </c>
      <c r="D882" t="s">
        <v>4019</v>
      </c>
      <c r="E882" t="s">
        <v>169</v>
      </c>
      <c r="F882" t="s">
        <v>48</v>
      </c>
      <c r="G882" t="s">
        <v>279</v>
      </c>
      <c r="H882" t="s">
        <v>161</v>
      </c>
      <c r="I882" t="s">
        <v>162</v>
      </c>
      <c r="J882" t="s">
        <v>52</v>
      </c>
      <c r="K882" t="s">
        <v>83</v>
      </c>
      <c r="L882" t="s">
        <v>4020</v>
      </c>
      <c r="M882" t="s">
        <v>63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41</v>
      </c>
      <c r="U882" t="s">
        <v>42</v>
      </c>
      <c r="V882">
        <f t="shared" si="78"/>
        <v>16173.85</v>
      </c>
      <c r="W882">
        <f t="shared" si="79"/>
        <v>2537.5100000000002</v>
      </c>
      <c r="X882">
        <f t="shared" si="80"/>
        <v>0.15688967067210344</v>
      </c>
      <c r="Y882" t="str">
        <f>_xlfn.TEXTJOIN(", ",TRUE,IF(G882="Unknown","Missing Region",""),IF(M882="Unknown","Missing Ship Mode",""),IF(P882&lt;0,"Negative Discount",""),IF(P882&gt;0.7,"High Discount",""),IF(C882&lt;B882,"Ship Before Order",""))</f>
        <v>Missing Region, Ship Before Order</v>
      </c>
      <c r="Z882" s="2">
        <f>IFERROR(
  IF(ISNUMBER(B882),B882,
    IF(ISNUMBER(SEARCH("-",B882)*1),
      IF(LEN(LEFT(B882,FIND("-",B882)-1))=4,
        DATE(VALUE(LEFT(B882,4)),VALUE(MID(B882,6,2)),VALUE(RIGHT(B882,2))),
        DATE(VALUE(RIGHT(B882,4)),VALUE(MID(B882,4,2)),VALUE(LEFT(B882,2)))
      ),
      IF(ISNUMBER(SEARCH("/",B882)*1),
        DATE(VALUE(RIGHT(B882,4)),VALUE(LEFT(B882,2)),VALUE(MID(B882,4,2))),
        DATEVALUE(B882)
      )
    )
  ),
"INVALID_DATE")</f>
        <v>45359</v>
      </c>
      <c r="AA882" s="2">
        <f>IFERROR(
  IF(ISNUMBER(C882),C882,
    IF(ISNUMBER(SEARCH("-",C882)*1),
      IF(LEN(LEFT(C882,FIND("-",C882)-1))=4,
        DATE(VALUE(LEFT(C882,4)),VALUE(MID(C882,6,2)),VALUE(RIGHT(C882,2))),
        DATE(VALUE(RIGHT(C882,4)),VALUE(MID(C882,4,2)),VALUE(LEFT(C882,2)))
      ),
      IF(ISNUMBER(SEARCH("/",C882)*1),
        DATE(VALUE(RIGHT(C882,4)),VALUE(LEFT(C882,2)),VALUE(MID(C882,4,2))),
        DATEVALUE(C882)
      )
    )
  ),
"INVALID_DATE")</f>
        <v>45366</v>
      </c>
      <c r="AB882">
        <f t="shared" si="81"/>
        <v>7</v>
      </c>
      <c r="AC882" t="str">
        <f t="shared" si="82"/>
        <v>March</v>
      </c>
      <c r="AD882">
        <f t="shared" si="83"/>
        <v>2024</v>
      </c>
    </row>
    <row r="883" spans="1:30">
      <c r="A883" t="s">
        <v>4021</v>
      </c>
      <c r="B883" t="s">
        <v>2546</v>
      </c>
      <c r="C883" t="s">
        <v>4022</v>
      </c>
      <c r="D883" t="s">
        <v>4023</v>
      </c>
      <c r="E883" t="s">
        <v>79</v>
      </c>
      <c r="F883" t="s">
        <v>48</v>
      </c>
      <c r="G883" t="s">
        <v>69</v>
      </c>
      <c r="H883" t="s">
        <v>107</v>
      </c>
      <c r="I883" t="s">
        <v>108</v>
      </c>
      <c r="J883" t="s">
        <v>93</v>
      </c>
      <c r="K883" t="s">
        <v>101</v>
      </c>
      <c r="L883" t="s">
        <v>4024</v>
      </c>
      <c r="M883" t="s">
        <v>40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41</v>
      </c>
      <c r="U883" t="s">
        <v>42</v>
      </c>
      <c r="V883">
        <f t="shared" si="78"/>
        <v>25155.5625</v>
      </c>
      <c r="W883">
        <f t="shared" si="79"/>
        <v>7562.8700000000026</v>
      </c>
      <c r="X883">
        <f t="shared" si="80"/>
        <v>0.30064407232436885</v>
      </c>
      <c r="Y883" t="str">
        <f>_xlfn.TEXTJOIN(", ",TRUE,IF(G883="Unknown","Missing Region",""),IF(M883="Unknown","Missing Ship Mode",""),IF(P883&lt;0,"Negative Discount",""),IF(P883&gt;0.7,"High Discount",""),IF(C883&lt;B883,"Ship Before Order",""))</f>
        <v/>
      </c>
      <c r="Z883" s="2">
        <f>IFERROR(
  IF(ISNUMBER(B883),B883,
    IF(ISNUMBER(SEARCH("-",B883)*1),
      IF(LEN(LEFT(B883,FIND("-",B883)-1))=4,
        DATE(VALUE(LEFT(B883,4)),VALUE(MID(B883,6,2)),VALUE(RIGHT(B883,2))),
        DATE(VALUE(RIGHT(B883,4)),VALUE(MID(B883,4,2)),VALUE(LEFT(B883,2)))
      ),
      IF(ISNUMBER(SEARCH("/",B883)*1),
        DATE(VALUE(RIGHT(B883,4)),VALUE(LEFT(B883,2)),VALUE(MID(B883,4,2))),
        DATEVALUE(B883)
      )
    )
  ),
"INVALID_DATE")</f>
        <v>45627</v>
      </c>
      <c r="AA883" s="2">
        <f>IFERROR(
  IF(ISNUMBER(C883),C883,
    IF(ISNUMBER(SEARCH("-",C883)*1),
      IF(LEN(LEFT(C883,FIND("-",C883)-1))=4,
        DATE(VALUE(LEFT(C883,4)),VALUE(MID(C883,6,2)),VALUE(RIGHT(C883,2))),
        DATE(VALUE(RIGHT(C883,4)),VALUE(MID(C883,4,2)),VALUE(LEFT(C883,2)))
      ),
      IF(ISNUMBER(SEARCH("/",C883)*1),
        DATE(VALUE(RIGHT(C883,4)),VALUE(LEFT(C883,2)),VALUE(MID(C883,4,2))),
        DATEVALUE(C883)
      )
    )
  ),
"INVALID_DATE")</f>
        <v>45631</v>
      </c>
      <c r="AB883">
        <f t="shared" si="81"/>
        <v>4</v>
      </c>
      <c r="AC883" t="str">
        <f t="shared" si="82"/>
        <v>December</v>
      </c>
      <c r="AD883">
        <f t="shared" si="83"/>
        <v>2024</v>
      </c>
    </row>
    <row r="884" spans="1:30">
      <c r="A884" t="s">
        <v>4025</v>
      </c>
      <c r="B884" t="s">
        <v>4026</v>
      </c>
      <c r="C884" t="s">
        <v>1343</v>
      </c>
      <c r="D884" t="s">
        <v>4027</v>
      </c>
      <c r="E884" t="s">
        <v>175</v>
      </c>
      <c r="F884" t="s">
        <v>115</v>
      </c>
      <c r="G884" t="s">
        <v>49</v>
      </c>
      <c r="H884" t="s">
        <v>193</v>
      </c>
      <c r="I884" t="s">
        <v>194</v>
      </c>
      <c r="J884" t="s">
        <v>93</v>
      </c>
      <c r="K884" t="s">
        <v>94</v>
      </c>
      <c r="L884" t="s">
        <v>4028</v>
      </c>
      <c r="M884" t="s">
        <v>74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144</v>
      </c>
      <c r="U884" t="s">
        <v>132</v>
      </c>
      <c r="V884">
        <f t="shared" si="78"/>
        <v>7649.8</v>
      </c>
      <c r="W884">
        <f t="shared" si="79"/>
        <v>2755.2700000000004</v>
      </c>
      <c r="X884">
        <f t="shared" si="80"/>
        <v>0.36017542942299147</v>
      </c>
      <c r="Y884" t="str">
        <f>_xlfn.TEXTJOIN(", ",TRUE,IF(G884="Unknown","Missing Region",""),IF(M884="Unknown","Missing Ship Mode",""),IF(P884&lt;0,"Negative Discount",""),IF(P884&gt;0.7,"High Discount",""),IF(C884&lt;B884,"Ship Before Order",""))</f>
        <v/>
      </c>
      <c r="Z884" s="2">
        <f>IFERROR(
  IF(ISNUMBER(B884),B884,
    IF(ISNUMBER(SEARCH("-",B884)*1),
      IF(LEN(LEFT(B884,FIND("-",B884)-1))=4,
        DATE(VALUE(LEFT(B884,4)),VALUE(MID(B884,6,2)),VALUE(RIGHT(B884,2))),
        DATE(VALUE(RIGHT(B884,4)),VALUE(MID(B884,4,2)),VALUE(LEFT(B884,2)))
      ),
      IF(ISNUMBER(SEARCH("/",B884)*1),
        DATE(VALUE(RIGHT(B884,4)),VALUE(LEFT(B884,2)),VALUE(MID(B884,4,2))),
        DATEVALUE(B884)
      )
    )
  ),
"INVALID_DATE")</f>
        <v>45690</v>
      </c>
      <c r="AA884" s="2">
        <f>IFERROR(
  IF(ISNUMBER(C884),C884,
    IF(ISNUMBER(SEARCH("-",C884)*1),
      IF(LEN(LEFT(C884,FIND("-",C884)-1))=4,
        DATE(VALUE(LEFT(C884,4)),VALUE(MID(C884,6,2)),VALUE(RIGHT(C884,2))),
        DATE(VALUE(RIGHT(C884,4)),VALUE(MID(C884,4,2)),VALUE(LEFT(C884,2)))
      ),
      IF(ISNUMBER(SEARCH("/",C884)*1),
        DATE(VALUE(RIGHT(C884,4)),VALUE(LEFT(C884,2)),VALUE(MID(C884,4,2))),
        DATEVALUE(C884)
      )
    )
  ),
"INVALID_DATE")</f>
        <v>45698</v>
      </c>
      <c r="AB884">
        <f t="shared" si="81"/>
        <v>8</v>
      </c>
      <c r="AC884" t="str">
        <f t="shared" si="82"/>
        <v>February</v>
      </c>
      <c r="AD884">
        <f t="shared" si="83"/>
        <v>2025</v>
      </c>
    </row>
    <row r="885" spans="1:30">
      <c r="A885" t="s">
        <v>4029</v>
      </c>
      <c r="B885" t="s">
        <v>4030</v>
      </c>
      <c r="C885" t="s">
        <v>4031</v>
      </c>
      <c r="D885" t="s">
        <v>4032</v>
      </c>
      <c r="E885" t="s">
        <v>169</v>
      </c>
      <c r="F885" t="s">
        <v>48</v>
      </c>
      <c r="G885" t="s">
        <v>80</v>
      </c>
      <c r="H885" t="s">
        <v>256</v>
      </c>
      <c r="I885" t="s">
        <v>257</v>
      </c>
      <c r="J885" t="s">
        <v>37</v>
      </c>
      <c r="K885" t="s">
        <v>163</v>
      </c>
      <c r="L885" t="s">
        <v>4033</v>
      </c>
      <c r="M885" t="s">
        <v>55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41</v>
      </c>
      <c r="U885" t="s">
        <v>42</v>
      </c>
      <c r="V885">
        <f t="shared" si="78"/>
        <v>1620.87</v>
      </c>
      <c r="W885">
        <f t="shared" si="79"/>
        <v>517.26</v>
      </c>
      <c r="X885">
        <f t="shared" si="80"/>
        <v>0.31912491439782342</v>
      </c>
      <c r="Y885" t="str">
        <f>_xlfn.TEXTJOIN(", ",TRUE,IF(G885="Unknown","Missing Region",""),IF(M885="Unknown","Missing Ship Mode",""),IF(P885&lt;0,"Negative Discount",""),IF(P885&gt;0.7,"High Discount",""),IF(C885&lt;B885,"Ship Before Order",""))</f>
        <v>Ship Before Order</v>
      </c>
      <c r="Z885" s="2">
        <f>IFERROR(
  IF(ISNUMBER(B885),B885,
    IF(ISNUMBER(SEARCH("-",B885)*1),
      IF(LEN(LEFT(B885,FIND("-",B885)-1))=4,
        DATE(VALUE(LEFT(B885,4)),VALUE(MID(B885,6,2)),VALUE(RIGHT(B885,2))),
        DATE(VALUE(RIGHT(B885,4)),VALUE(MID(B885,4,2)),VALUE(LEFT(B885,2)))
      ),
      IF(ISNUMBER(SEARCH("/",B885)*1),
        DATE(VALUE(RIGHT(B885,4)),VALUE(LEFT(B885,2)),VALUE(MID(B885,4,2))),
        DATEVALUE(B885)
      )
    )
  ),
"INVALID_DATE")</f>
        <v>45775</v>
      </c>
      <c r="AA885" s="2">
        <f>IFERROR(
  IF(ISNUMBER(C885),C885,
    IF(ISNUMBER(SEARCH("-",C885)*1),
      IF(LEN(LEFT(C885,FIND("-",C885)-1))=4,
        DATE(VALUE(LEFT(C885,4)),VALUE(MID(C885,6,2)),VALUE(RIGHT(C885,2))),
        DATE(VALUE(RIGHT(C885,4)),VALUE(MID(C885,4,2)),VALUE(LEFT(C885,2)))
      ),
      IF(ISNUMBER(SEARCH("/",C885)*1),
        DATE(VALUE(RIGHT(C885,4)),VALUE(LEFT(C885,2)),VALUE(MID(C885,4,2))),
        DATEVALUE(C885)
      )
    )
  ),
"INVALID_DATE")</f>
        <v>45778</v>
      </c>
      <c r="AB885">
        <f t="shared" si="81"/>
        <v>3</v>
      </c>
      <c r="AC885" t="str">
        <f t="shared" si="82"/>
        <v>April</v>
      </c>
      <c r="AD885">
        <f t="shared" si="83"/>
        <v>2025</v>
      </c>
    </row>
    <row r="886" spans="1:30">
      <c r="A886" t="s">
        <v>4034</v>
      </c>
      <c r="B886" t="s">
        <v>4035</v>
      </c>
      <c r="C886" t="s">
        <v>4036</v>
      </c>
      <c r="D886" t="s">
        <v>4037</v>
      </c>
      <c r="E886" t="s">
        <v>100</v>
      </c>
      <c r="F886" t="s">
        <v>122</v>
      </c>
      <c r="G886" t="s">
        <v>69</v>
      </c>
      <c r="H886" t="s">
        <v>236</v>
      </c>
      <c r="I886" t="s">
        <v>237</v>
      </c>
      <c r="J886" t="s">
        <v>37</v>
      </c>
      <c r="K886" t="s">
        <v>163</v>
      </c>
      <c r="L886" t="s">
        <v>4038</v>
      </c>
      <c r="M886" t="s">
        <v>55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41</v>
      </c>
      <c r="U886" t="s">
        <v>42</v>
      </c>
      <c r="V886">
        <f t="shared" si="78"/>
        <v>3567.518</v>
      </c>
      <c r="W886">
        <f t="shared" si="79"/>
        <v>1155.7199999999998</v>
      </c>
      <c r="X886">
        <f t="shared" si="80"/>
        <v>0.32395613759698616</v>
      </c>
      <c r="Y886" t="str">
        <f>_xlfn.TEXTJOIN(", ",TRUE,IF(G886="Unknown","Missing Region",""),IF(M886="Unknown","Missing Ship Mode",""),IF(P886&lt;0,"Negative Discount",""),IF(P886&gt;0.7,"High Discount",""),IF(C886&lt;B886,"Ship Before Order",""))</f>
        <v/>
      </c>
      <c r="Z886" s="2">
        <f>IFERROR(
  IF(ISNUMBER(B886),B886,
    IF(ISNUMBER(SEARCH("-",B886)*1),
      IF(LEN(LEFT(B886,FIND("-",B886)-1))=4,
        DATE(VALUE(LEFT(B886,4)),VALUE(MID(B886,6,2)),VALUE(RIGHT(B886,2))),
        DATE(VALUE(RIGHT(B886,4)),VALUE(MID(B886,4,2)),VALUE(LEFT(B886,2)))
      ),
      IF(ISNUMBER(SEARCH("/",B886)*1),
        DATE(VALUE(RIGHT(B886,4)),VALUE(LEFT(B886,2)),VALUE(MID(B886,4,2))),
        DATEVALUE(B886)
      )
    )
  ),
"INVALID_DATE")</f>
        <v>45675</v>
      </c>
      <c r="AA886" s="2">
        <f>IFERROR(
  IF(ISNUMBER(C886),C886,
    IF(ISNUMBER(SEARCH("-",C886)*1),
      IF(LEN(LEFT(C886,FIND("-",C886)-1))=4,
        DATE(VALUE(LEFT(C886,4)),VALUE(MID(C886,6,2)),VALUE(RIGHT(C886,2))),
        DATE(VALUE(RIGHT(C886,4)),VALUE(MID(C886,4,2)),VALUE(LEFT(C886,2)))
      ),
      IF(ISNUMBER(SEARCH("/",C886)*1),
        DATE(VALUE(RIGHT(C886,4)),VALUE(LEFT(C886,2)),VALUE(MID(C886,4,2))),
        DATEVALUE(C886)
      )
    )
  ),
"INVALID_DATE")</f>
        <v>45682</v>
      </c>
      <c r="AB886">
        <f t="shared" si="81"/>
        <v>7</v>
      </c>
      <c r="AC886" t="str">
        <f t="shared" si="82"/>
        <v>January</v>
      </c>
      <c r="AD886">
        <f t="shared" si="83"/>
        <v>2025</v>
      </c>
    </row>
    <row r="887" spans="1:30">
      <c r="A887" t="s">
        <v>4039</v>
      </c>
      <c r="B887" t="s">
        <v>4040</v>
      </c>
      <c r="C887" t="s">
        <v>4040</v>
      </c>
      <c r="D887" t="s">
        <v>4041</v>
      </c>
      <c r="E887" t="s">
        <v>217</v>
      </c>
      <c r="F887" t="s">
        <v>33</v>
      </c>
      <c r="G887" t="s">
        <v>34</v>
      </c>
      <c r="H887" t="s">
        <v>35</v>
      </c>
      <c r="I887" t="s">
        <v>36</v>
      </c>
      <c r="J887" t="s">
        <v>52</v>
      </c>
      <c r="K887" t="s">
        <v>53</v>
      </c>
      <c r="L887" t="s">
        <v>4042</v>
      </c>
      <c r="M887" t="s">
        <v>74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41</v>
      </c>
      <c r="U887" t="s">
        <v>42</v>
      </c>
      <c r="V887">
        <f t="shared" si="78"/>
        <v>1625.31</v>
      </c>
      <c r="W887">
        <f t="shared" si="79"/>
        <v>467.41999999999985</v>
      </c>
      <c r="X887">
        <f t="shared" si="80"/>
        <v>0.28758821394072515</v>
      </c>
      <c r="Y887" t="str">
        <f>_xlfn.TEXTJOIN(", ",TRUE,IF(G887="Unknown","Missing Region",""),IF(M887="Unknown","Missing Ship Mode",""),IF(P887&lt;0,"Negative Discount",""),IF(P887&gt;0.7,"High Discount",""),IF(C887&lt;B887,"Ship Before Order",""))</f>
        <v/>
      </c>
      <c r="Z887" s="2">
        <f>IFERROR(
  IF(ISNUMBER(B887),B887,
    IF(ISNUMBER(SEARCH("-",B887)*1),
      IF(LEN(LEFT(B887,FIND("-",B887)-1))=4,
        DATE(VALUE(LEFT(B887,4)),VALUE(MID(B887,6,2)),VALUE(RIGHT(B887,2))),
        DATE(VALUE(RIGHT(B887,4)),VALUE(MID(B887,4,2)),VALUE(LEFT(B887,2)))
      ),
      IF(ISNUMBER(SEARCH("/",B887)*1),
        DATE(VALUE(RIGHT(B887,4)),VALUE(LEFT(B887,2)),VALUE(MID(B887,4,2))),
        DATEVALUE(B887)
      )
    )
  ),
"INVALID_DATE")</f>
        <v>45296</v>
      </c>
      <c r="AA887" s="2">
        <f>IFERROR(
  IF(ISNUMBER(C887),C887,
    IF(ISNUMBER(SEARCH("-",C887)*1),
      IF(LEN(LEFT(C887,FIND("-",C887)-1))=4,
        DATE(VALUE(LEFT(C887,4)),VALUE(MID(C887,6,2)),VALUE(RIGHT(C887,2))),
        DATE(VALUE(RIGHT(C887,4)),VALUE(MID(C887,4,2)),VALUE(LEFT(C887,2)))
      ),
      IF(ISNUMBER(SEARCH("/",C887)*1),
        DATE(VALUE(RIGHT(C887,4)),VALUE(LEFT(C887,2)),VALUE(MID(C887,4,2))),
        DATEVALUE(C887)
      )
    )
  ),
"INVALID_DATE")</f>
        <v>45296</v>
      </c>
      <c r="AB887">
        <f t="shared" si="81"/>
        <v>0</v>
      </c>
      <c r="AC887" t="str">
        <f t="shared" si="82"/>
        <v>January</v>
      </c>
      <c r="AD887">
        <f t="shared" si="83"/>
        <v>2024</v>
      </c>
    </row>
    <row r="888" spans="1:30">
      <c r="A888" t="s">
        <v>4043</v>
      </c>
      <c r="B888" t="s">
        <v>4044</v>
      </c>
      <c r="C888" t="s">
        <v>4045</v>
      </c>
      <c r="D888" t="s">
        <v>4046</v>
      </c>
      <c r="E888" t="s">
        <v>68</v>
      </c>
      <c r="F888" t="s">
        <v>122</v>
      </c>
      <c r="G888" t="s">
        <v>69</v>
      </c>
      <c r="H888" t="s">
        <v>347</v>
      </c>
      <c r="I888" t="s">
        <v>348</v>
      </c>
      <c r="J888" t="s">
        <v>93</v>
      </c>
      <c r="K888" t="s">
        <v>94</v>
      </c>
      <c r="L888" t="s">
        <v>4047</v>
      </c>
      <c r="M888" t="s">
        <v>63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41</v>
      </c>
      <c r="U888" t="s">
        <v>85</v>
      </c>
      <c r="V888">
        <f t="shared" si="78"/>
        <v>23739.904999999999</v>
      </c>
      <c r="W888">
        <f t="shared" si="79"/>
        <v>6023.380000000001</v>
      </c>
      <c r="X888">
        <f t="shared" si="80"/>
        <v>0.25372389942670354</v>
      </c>
      <c r="Y888" t="str">
        <f>_xlfn.TEXTJOIN(", ",TRUE,IF(G888="Unknown","Missing Region",""),IF(M888="Unknown","Missing Ship Mode",""),IF(P888&lt;0,"Negative Discount",""),IF(P888&gt;0.7,"High Discount",""),IF(C888&lt;B888,"Ship Before Order",""))</f>
        <v>Ship Before Order</v>
      </c>
      <c r="Z888" s="2">
        <f>IFERROR(
  IF(ISNUMBER(B888),B888,
    IF(ISNUMBER(SEARCH("-",B888)*1),
      IF(LEN(LEFT(B888,FIND("-",B888)-1))=4,
        DATE(VALUE(LEFT(B888,4)),VALUE(MID(B888,6,2)),VALUE(RIGHT(B888,2))),
        DATE(VALUE(RIGHT(B888,4)),VALUE(MID(B888,4,2)),VALUE(LEFT(B888,2)))
      ),
      IF(ISNUMBER(SEARCH("/",B888)*1),
        DATE(VALUE(RIGHT(B888,4)),VALUE(LEFT(B888,2)),VALUE(MID(B888,4,2))),
        DATEVALUE(B888)
      )
    )
  ),
"INVALID_DATE")</f>
        <v>45773</v>
      </c>
      <c r="AA888" s="2">
        <f>IFERROR(
  IF(ISNUMBER(C888),C888,
    IF(ISNUMBER(SEARCH("-",C888)*1),
      IF(LEN(LEFT(C888,FIND("-",C888)-1))=4,
        DATE(VALUE(LEFT(C888,4)),VALUE(MID(C888,6,2)),VALUE(RIGHT(C888,2))),
        DATE(VALUE(RIGHT(C888,4)),VALUE(MID(C888,4,2)),VALUE(LEFT(C888,2)))
      ),
      IF(ISNUMBER(SEARCH("/",C888)*1),
        DATE(VALUE(RIGHT(C888,4)),VALUE(LEFT(C888,2)),VALUE(MID(C888,4,2))),
        DATEVALUE(C888)
      )
    )
  ),
"INVALID_DATE")</f>
        <v>45780</v>
      </c>
      <c r="AB888">
        <f t="shared" si="81"/>
        <v>7</v>
      </c>
      <c r="AC888" t="str">
        <f t="shared" si="82"/>
        <v>April</v>
      </c>
      <c r="AD888">
        <f t="shared" si="83"/>
        <v>2025</v>
      </c>
    </row>
    <row r="889" spans="1:30">
      <c r="A889" t="s">
        <v>4048</v>
      </c>
      <c r="B889" t="s">
        <v>3926</v>
      </c>
      <c r="C889" t="s">
        <v>692</v>
      </c>
      <c r="D889" t="s">
        <v>4049</v>
      </c>
      <c r="E889" t="s">
        <v>169</v>
      </c>
      <c r="F889" t="s">
        <v>48</v>
      </c>
      <c r="G889" t="s">
        <v>69</v>
      </c>
      <c r="H889" t="s">
        <v>107</v>
      </c>
      <c r="I889" t="s">
        <v>108</v>
      </c>
      <c r="J889" t="s">
        <v>37</v>
      </c>
      <c r="K889" t="s">
        <v>61</v>
      </c>
      <c r="L889" t="s">
        <v>4050</v>
      </c>
      <c r="M889" t="s">
        <v>74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41</v>
      </c>
      <c r="U889" t="s">
        <v>42</v>
      </c>
      <c r="V889">
        <f t="shared" si="78"/>
        <v>16704.52</v>
      </c>
      <c r="W889">
        <f t="shared" si="79"/>
        <v>6546.24</v>
      </c>
      <c r="X889">
        <f t="shared" si="80"/>
        <v>0.39188435225914897</v>
      </c>
      <c r="Y889" t="str">
        <f>_xlfn.TEXTJOIN(", ",TRUE,IF(G889="Unknown","Missing Region",""),IF(M889="Unknown","Missing Ship Mode",""),IF(P889&lt;0,"Negative Discount",""),IF(P889&gt;0.7,"High Discount",""),IF(C889&lt;B889,"Ship Before Order",""))</f>
        <v/>
      </c>
      <c r="Z889" s="2">
        <f>IFERROR(
  IF(ISNUMBER(B889),B889,
    IF(ISNUMBER(SEARCH("-",B889)*1),
      IF(LEN(LEFT(B889,FIND("-",B889)-1))=4,
        DATE(VALUE(LEFT(B889,4)),VALUE(MID(B889,6,2)),VALUE(RIGHT(B889,2))),
        DATE(VALUE(RIGHT(B889,4)),VALUE(MID(B889,4,2)),VALUE(LEFT(B889,2)))
      ),
      IF(ISNUMBER(SEARCH("/",B889)*1),
        DATE(VALUE(RIGHT(B889,4)),VALUE(LEFT(B889,2)),VALUE(MID(B889,4,2))),
        DATEVALUE(B889)
      )
    )
  ),
"INVALID_DATE")</f>
        <v>45455</v>
      </c>
      <c r="AA889" s="2">
        <f>IFERROR(
  IF(ISNUMBER(C889),C889,
    IF(ISNUMBER(SEARCH("-",C889)*1),
      IF(LEN(LEFT(C889,FIND("-",C889)-1))=4,
        DATE(VALUE(LEFT(C889,4)),VALUE(MID(C889,6,2)),VALUE(RIGHT(C889,2))),
        DATE(VALUE(RIGHT(C889,4)),VALUE(MID(C889,4,2)),VALUE(LEFT(C889,2)))
      ),
      IF(ISNUMBER(SEARCH("/",C889)*1),
        DATE(VALUE(RIGHT(C889,4)),VALUE(LEFT(C889,2)),VALUE(MID(C889,4,2))),
        DATEVALUE(C889)
      )
    )
  ),
"INVALID_DATE")</f>
        <v>45461</v>
      </c>
      <c r="AB889">
        <f t="shared" si="81"/>
        <v>6</v>
      </c>
      <c r="AC889" t="str">
        <f t="shared" si="82"/>
        <v>June</v>
      </c>
      <c r="AD889">
        <f t="shared" si="83"/>
        <v>2024</v>
      </c>
    </row>
    <row r="890" spans="1:30">
      <c r="A890" t="s">
        <v>4051</v>
      </c>
      <c r="B890" t="s">
        <v>4052</v>
      </c>
      <c r="C890" t="s">
        <v>3586</v>
      </c>
      <c r="D890" t="s">
        <v>4053</v>
      </c>
      <c r="E890" t="s">
        <v>155</v>
      </c>
      <c r="F890" t="s">
        <v>48</v>
      </c>
      <c r="G890" t="s">
        <v>80</v>
      </c>
      <c r="H890" t="s">
        <v>81</v>
      </c>
      <c r="I890" t="s">
        <v>82</v>
      </c>
      <c r="J890" t="s">
        <v>37</v>
      </c>
      <c r="K890" t="s">
        <v>61</v>
      </c>
      <c r="L890" t="s">
        <v>4054</v>
      </c>
      <c r="M890" t="s">
        <v>74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131</v>
      </c>
      <c r="U890" t="s">
        <v>85</v>
      </c>
      <c r="V890">
        <f t="shared" si="78"/>
        <v>12685.103999999999</v>
      </c>
      <c r="W890">
        <f t="shared" si="79"/>
        <v>1905.5400000000009</v>
      </c>
      <c r="X890">
        <f t="shared" si="80"/>
        <v>0.15021876059313682</v>
      </c>
      <c r="Y890" t="str">
        <f>_xlfn.TEXTJOIN(", ",TRUE,IF(G890="Unknown","Missing Region",""),IF(M890="Unknown","Missing Ship Mode",""),IF(P890&lt;0,"Negative Discount",""),IF(P890&gt;0.7,"High Discount",""),IF(C890&lt;B890,"Ship Before Order",""))</f>
        <v/>
      </c>
      <c r="Z890" s="2">
        <f>IFERROR(
  IF(ISNUMBER(B890),B890,
    IF(ISNUMBER(SEARCH("-",B890)*1),
      IF(LEN(LEFT(B890,FIND("-",B890)-1))=4,
        DATE(VALUE(LEFT(B890,4)),VALUE(MID(B890,6,2)),VALUE(RIGHT(B890,2))),
        DATE(VALUE(RIGHT(B890,4)),VALUE(MID(B890,4,2)),VALUE(LEFT(B890,2)))
      ),
      IF(ISNUMBER(SEARCH("/",B890)*1),
        DATE(VALUE(RIGHT(B890,4)),VALUE(LEFT(B890,2)),VALUE(MID(B890,4,2))),
        DATEVALUE(B890)
      )
    )
  ),
"INVALID_DATE")</f>
        <v>45875</v>
      </c>
      <c r="AA890" s="2">
        <f>IFERROR(
  IF(ISNUMBER(C890),C890,
    IF(ISNUMBER(SEARCH("-",C890)*1),
      IF(LEN(LEFT(C890,FIND("-",C890)-1))=4,
        DATE(VALUE(LEFT(C890,4)),VALUE(MID(C890,6,2)),VALUE(RIGHT(C890,2))),
        DATE(VALUE(RIGHT(C890,4)),VALUE(MID(C890,4,2)),VALUE(LEFT(C890,2)))
      ),
      IF(ISNUMBER(SEARCH("/",C890)*1),
        DATE(VALUE(RIGHT(C890,4)),VALUE(LEFT(C890,2)),VALUE(MID(C890,4,2))),
        DATEVALUE(C890)
      )
    )
  ),
"INVALID_DATE")</f>
        <v>45876</v>
      </c>
      <c r="AB890">
        <f t="shared" si="81"/>
        <v>1</v>
      </c>
      <c r="AC890" t="str">
        <f t="shared" si="82"/>
        <v>August</v>
      </c>
      <c r="AD890">
        <f t="shared" si="83"/>
        <v>2025</v>
      </c>
    </row>
    <row r="891" spans="1:30">
      <c r="A891" t="s">
        <v>4055</v>
      </c>
      <c r="B891" t="s">
        <v>4056</v>
      </c>
      <c r="C891" t="s">
        <v>4057</v>
      </c>
      <c r="D891" t="s">
        <v>1357</v>
      </c>
      <c r="E891" t="s">
        <v>114</v>
      </c>
      <c r="F891" t="s">
        <v>122</v>
      </c>
      <c r="G891" t="s">
        <v>80</v>
      </c>
      <c r="H891" t="s">
        <v>91</v>
      </c>
      <c r="I891" t="s">
        <v>92</v>
      </c>
      <c r="J891" t="s">
        <v>37</v>
      </c>
      <c r="K891" t="s">
        <v>163</v>
      </c>
      <c r="L891" t="s">
        <v>4058</v>
      </c>
      <c r="M891" t="s">
        <v>63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41</v>
      </c>
      <c r="U891" t="s">
        <v>132</v>
      </c>
      <c r="V891">
        <f t="shared" si="78"/>
        <v>5883.12</v>
      </c>
      <c r="W891">
        <f t="shared" si="79"/>
        <v>1235.21</v>
      </c>
      <c r="X891">
        <f t="shared" si="80"/>
        <v>0.20995832143488491</v>
      </c>
      <c r="Y891" t="str">
        <f>_xlfn.TEXTJOIN(", ",TRUE,IF(G891="Unknown","Missing Region",""),IF(M891="Unknown","Missing Ship Mode",""),IF(P891&lt;0,"Negative Discount",""),IF(P891&gt;0.7,"High Discount",""),IF(C891&lt;B891,"Ship Before Order",""))</f>
        <v>Ship Before Order</v>
      </c>
      <c r="Z891" s="2">
        <f>IFERROR(
  IF(ISNUMBER(B891),B891,
    IF(ISNUMBER(SEARCH("-",B891)*1),
      IF(LEN(LEFT(B891,FIND("-",B891)-1))=4,
        DATE(VALUE(LEFT(B891,4)),VALUE(MID(B891,6,2)),VALUE(RIGHT(B891,2))),
        DATE(VALUE(RIGHT(B891,4)),VALUE(MID(B891,4,2)),VALUE(LEFT(B891,2)))
      ),
      IF(ISNUMBER(SEARCH("/",B891)*1),
        DATE(VALUE(RIGHT(B891,4)),VALUE(LEFT(B891,2)),VALUE(MID(B891,4,2))),
        DATEVALUE(B891)
      )
    )
  ),
"INVALID_DATE")</f>
        <v>45726</v>
      </c>
      <c r="AA891" s="2">
        <f>IFERROR(
  IF(ISNUMBER(C891),C891,
    IF(ISNUMBER(SEARCH("-",C891)*1),
      IF(LEN(LEFT(C891,FIND("-",C891)-1))=4,
        DATE(VALUE(LEFT(C891,4)),VALUE(MID(C891,6,2)),VALUE(RIGHT(C891,2))),
        DATE(VALUE(RIGHT(C891,4)),VALUE(MID(C891,4,2)),VALUE(LEFT(C891,2)))
      ),
      IF(ISNUMBER(SEARCH("/",C891)*1),
        DATE(VALUE(RIGHT(C891,4)),VALUE(LEFT(C891,2)),VALUE(MID(C891,4,2))),
        DATEVALUE(C891)
      )
    )
  ),
"INVALID_DATE")</f>
        <v>45727</v>
      </c>
      <c r="AB891">
        <f t="shared" si="81"/>
        <v>1</v>
      </c>
      <c r="AC891" t="str">
        <f t="shared" si="82"/>
        <v>March</v>
      </c>
      <c r="AD891">
        <f t="shared" si="83"/>
        <v>2025</v>
      </c>
    </row>
    <row r="892" spans="1:30">
      <c r="A892" t="s">
        <v>4059</v>
      </c>
      <c r="B892" t="s">
        <v>167</v>
      </c>
      <c r="C892" t="s">
        <v>1148</v>
      </c>
      <c r="D892" t="s">
        <v>4060</v>
      </c>
      <c r="E892" t="s">
        <v>32</v>
      </c>
      <c r="F892" t="s">
        <v>33</v>
      </c>
      <c r="G892" t="s">
        <v>80</v>
      </c>
      <c r="H892" t="s">
        <v>256</v>
      </c>
      <c r="I892" t="s">
        <v>257</v>
      </c>
      <c r="J892" t="s">
        <v>37</v>
      </c>
      <c r="K892" t="s">
        <v>163</v>
      </c>
      <c r="L892" t="s">
        <v>4061</v>
      </c>
      <c r="M892" t="s">
        <v>74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41</v>
      </c>
      <c r="U892" t="s">
        <v>42</v>
      </c>
      <c r="V892">
        <f t="shared" si="78"/>
        <v>13965.888000000001</v>
      </c>
      <c r="W892">
        <f t="shared" si="79"/>
        <v>2319.7699999999986</v>
      </c>
      <c r="X892">
        <f t="shared" si="80"/>
        <v>0.16610255415157932</v>
      </c>
      <c r="Y892" t="str">
        <f>_xlfn.TEXTJOIN(", ",TRUE,IF(G892="Unknown","Missing Region",""),IF(M892="Unknown","Missing Ship Mode",""),IF(P892&lt;0,"Negative Discount",""),IF(P892&gt;0.7,"High Discount",""),IF(C892&lt;B892,"Ship Before Order",""))</f>
        <v/>
      </c>
      <c r="Z892" s="2">
        <f>IFERROR(
  IF(ISNUMBER(B892),B892,
    IF(ISNUMBER(SEARCH("-",B892)*1),
      IF(LEN(LEFT(B892,FIND("-",B892)-1))=4,
        DATE(VALUE(LEFT(B892,4)),VALUE(MID(B892,6,2)),VALUE(RIGHT(B892,2))),
        DATE(VALUE(RIGHT(B892,4)),VALUE(MID(B892,4,2)),VALUE(LEFT(B892,2)))
      ),
      IF(ISNUMBER(SEARCH("/",B892)*1),
        DATE(VALUE(RIGHT(B892,4)),VALUE(LEFT(B892,2)),VALUE(MID(B892,4,2))),
        DATEVALUE(B892)
      )
    )
  ),
"INVALID_DATE")</f>
        <v>45427</v>
      </c>
      <c r="AA892" s="2">
        <f>IFERROR(
  IF(ISNUMBER(C892),C892,
    IF(ISNUMBER(SEARCH("-",C892)*1),
      IF(LEN(LEFT(C892,FIND("-",C892)-1))=4,
        DATE(VALUE(LEFT(C892,4)),VALUE(MID(C892,6,2)),VALUE(RIGHT(C892,2))),
        DATE(VALUE(RIGHT(C892,4)),VALUE(MID(C892,4,2)),VALUE(LEFT(C892,2)))
      ),
      IF(ISNUMBER(SEARCH("/",C892)*1),
        DATE(VALUE(RIGHT(C892,4)),VALUE(LEFT(C892,2)),VALUE(MID(C892,4,2))),
        DATEVALUE(C892)
      )
    )
  ),
"INVALID_DATE")</f>
        <v>45433</v>
      </c>
      <c r="AB892">
        <f t="shared" si="81"/>
        <v>6</v>
      </c>
      <c r="AC892" t="str">
        <f t="shared" si="82"/>
        <v>May</v>
      </c>
      <c r="AD892">
        <f t="shared" si="83"/>
        <v>2024</v>
      </c>
    </row>
    <row r="893" spans="1:30">
      <c r="A893" t="s">
        <v>4062</v>
      </c>
      <c r="B893" t="s">
        <v>3785</v>
      </c>
      <c r="C893" t="s">
        <v>2566</v>
      </c>
      <c r="D893" t="s">
        <v>4063</v>
      </c>
      <c r="E893" t="s">
        <v>374</v>
      </c>
      <c r="F893" t="s">
        <v>115</v>
      </c>
      <c r="G893" t="s">
        <v>69</v>
      </c>
      <c r="H893" t="s">
        <v>347</v>
      </c>
      <c r="I893" t="s">
        <v>348</v>
      </c>
      <c r="J893" t="s">
        <v>93</v>
      </c>
      <c r="K893" t="s">
        <v>390</v>
      </c>
      <c r="L893" t="s">
        <v>4064</v>
      </c>
      <c r="M893" t="s">
        <v>55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207</v>
      </c>
      <c r="U893" t="s">
        <v>85</v>
      </c>
      <c r="V893">
        <f t="shared" si="78"/>
        <v>10835.864999999998</v>
      </c>
      <c r="W893">
        <f t="shared" si="79"/>
        <v>4415.9400000000005</v>
      </c>
      <c r="X893">
        <f t="shared" si="80"/>
        <v>0.40753018219135345</v>
      </c>
      <c r="Y893" t="str">
        <f>_xlfn.TEXTJOIN(", ",TRUE,IF(G893="Unknown","Missing Region",""),IF(M893="Unknown","Missing Ship Mode",""),IF(P893&lt;0,"Negative Discount",""),IF(P893&gt;0.7,"High Discount",""),IF(C893&lt;B893,"Ship Before Order",""))</f>
        <v/>
      </c>
      <c r="Z893" s="2">
        <f>IFERROR(
  IF(ISNUMBER(B893),B893,
    IF(ISNUMBER(SEARCH("-",B893)*1),
      IF(LEN(LEFT(B893,FIND("-",B893)-1))=4,
        DATE(VALUE(LEFT(B893,4)),VALUE(MID(B893,6,2)),VALUE(RIGHT(B893,2))),
        DATE(VALUE(RIGHT(B893,4)),VALUE(MID(B893,4,2)),VALUE(LEFT(B893,2)))
      ),
      IF(ISNUMBER(SEARCH("/",B893)*1),
        DATE(VALUE(RIGHT(B893,4)),VALUE(LEFT(B893,2)),VALUE(MID(B893,4,2))),
        DATEVALUE(B893)
      )
    )
  ),
"INVALID_DATE")</f>
        <v>45573</v>
      </c>
      <c r="AA893" s="2">
        <f>IFERROR(
  IF(ISNUMBER(C893),C893,
    IF(ISNUMBER(SEARCH("-",C893)*1),
      IF(LEN(LEFT(C893,FIND("-",C893)-1))=4,
        DATE(VALUE(LEFT(C893,4)),VALUE(MID(C893,6,2)),VALUE(RIGHT(C893,2))),
        DATE(VALUE(RIGHT(C893,4)),VALUE(MID(C893,4,2)),VALUE(LEFT(C893,2)))
      ),
      IF(ISNUMBER(SEARCH("/",C893)*1),
        DATE(VALUE(RIGHT(C893,4)),VALUE(LEFT(C893,2)),VALUE(MID(C893,4,2))),
        DATEVALUE(C893)
      )
    )
  ),
"INVALID_DATE")</f>
        <v>45574</v>
      </c>
      <c r="AB893">
        <f t="shared" si="81"/>
        <v>1</v>
      </c>
      <c r="AC893" t="str">
        <f t="shared" si="82"/>
        <v>October</v>
      </c>
      <c r="AD893">
        <f t="shared" si="83"/>
        <v>2024</v>
      </c>
    </row>
    <row r="894" spans="1:30">
      <c r="A894" t="s">
        <v>4065</v>
      </c>
      <c r="B894" t="s">
        <v>4066</v>
      </c>
      <c r="C894" t="s">
        <v>3008</v>
      </c>
      <c r="D894" t="s">
        <v>4067</v>
      </c>
      <c r="E894" t="s">
        <v>60</v>
      </c>
      <c r="F894" t="s">
        <v>48</v>
      </c>
      <c r="G894" t="s">
        <v>49</v>
      </c>
      <c r="H894" t="s">
        <v>319</v>
      </c>
      <c r="I894" t="s">
        <v>320</v>
      </c>
      <c r="J894" t="s">
        <v>93</v>
      </c>
      <c r="K894" t="s">
        <v>101</v>
      </c>
      <c r="L894" t="s">
        <v>4068</v>
      </c>
      <c r="M894" t="s">
        <v>55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41</v>
      </c>
      <c r="U894" t="s">
        <v>42</v>
      </c>
      <c r="V894">
        <f t="shared" si="78"/>
        <v>581.51200000000006</v>
      </c>
      <c r="W894">
        <f t="shared" si="79"/>
        <v>157.64999999999998</v>
      </c>
      <c r="X894">
        <f t="shared" si="80"/>
        <v>0.27110453818506991</v>
      </c>
      <c r="Y894" t="str">
        <f>_xlfn.TEXTJOIN(", ",TRUE,IF(G894="Unknown","Missing Region",""),IF(M894="Unknown","Missing Ship Mode",""),IF(P894&lt;0,"Negative Discount",""),IF(P894&gt;0.7,"High Discount",""),IF(C894&lt;B894,"Ship Before Order",""))</f>
        <v/>
      </c>
      <c r="Z894" s="2">
        <f>IFERROR(
  IF(ISNUMBER(B894),B894,
    IF(ISNUMBER(SEARCH("-",B894)*1),
      IF(LEN(LEFT(B894,FIND("-",B894)-1))=4,
        DATE(VALUE(LEFT(B894,4)),VALUE(MID(B894,6,2)),VALUE(RIGHT(B894,2))),
        DATE(VALUE(RIGHT(B894,4)),VALUE(MID(B894,4,2)),VALUE(LEFT(B894,2)))
      ),
      IF(ISNUMBER(SEARCH("/",B894)*1),
        DATE(VALUE(RIGHT(B894,4)),VALUE(LEFT(B894,2)),VALUE(MID(B894,4,2))),
        DATEVALUE(B894)
      )
    )
  ),
"INVALID_DATE")</f>
        <v>45759</v>
      </c>
      <c r="AA894" s="2">
        <f>IFERROR(
  IF(ISNUMBER(C894),C894,
    IF(ISNUMBER(SEARCH("-",C894)*1),
      IF(LEN(LEFT(C894,FIND("-",C894)-1))=4,
        DATE(VALUE(LEFT(C894,4)),VALUE(MID(C894,6,2)),VALUE(RIGHT(C894,2))),
        DATE(VALUE(RIGHT(C894,4)),VALUE(MID(C894,4,2)),VALUE(LEFT(C894,2)))
      ),
      IF(ISNUMBER(SEARCH("/",C894)*1),
        DATE(VALUE(RIGHT(C894,4)),VALUE(LEFT(C894,2)),VALUE(MID(C894,4,2))),
        DATEVALUE(C894)
      )
    )
  ),
"INVALID_DATE")</f>
        <v>45765</v>
      </c>
      <c r="AB894">
        <f t="shared" si="81"/>
        <v>6</v>
      </c>
      <c r="AC894" t="str">
        <f t="shared" si="82"/>
        <v>April</v>
      </c>
      <c r="AD894">
        <f t="shared" si="83"/>
        <v>2025</v>
      </c>
    </row>
    <row r="895" spans="1:30">
      <c r="A895" t="s">
        <v>4069</v>
      </c>
      <c r="B895" t="s">
        <v>4070</v>
      </c>
      <c r="C895" t="s">
        <v>4071</v>
      </c>
      <c r="D895" t="s">
        <v>4072</v>
      </c>
      <c r="E895" t="s">
        <v>169</v>
      </c>
      <c r="F895" t="s">
        <v>115</v>
      </c>
      <c r="G895" t="s">
        <v>69</v>
      </c>
      <c r="H895" t="s">
        <v>236</v>
      </c>
      <c r="I895" t="s">
        <v>237</v>
      </c>
      <c r="J895" t="s">
        <v>52</v>
      </c>
      <c r="K895" t="s">
        <v>53</v>
      </c>
      <c r="L895" t="s">
        <v>4073</v>
      </c>
      <c r="M895" t="s">
        <v>40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41</v>
      </c>
      <c r="U895" t="s">
        <v>132</v>
      </c>
      <c r="V895">
        <f t="shared" si="78"/>
        <v>1127.1464999999998</v>
      </c>
      <c r="W895">
        <f t="shared" si="79"/>
        <v>281.53000000000009</v>
      </c>
      <c r="X895">
        <f t="shared" si="80"/>
        <v>0.24977154770882309</v>
      </c>
      <c r="Y895" t="str">
        <f>_xlfn.TEXTJOIN(", ",TRUE,IF(G895="Unknown","Missing Region",""),IF(M895="Unknown","Missing Ship Mode",""),IF(P895&lt;0,"Negative Discount",""),IF(P895&gt;0.7,"High Discount",""),IF(C895&lt;B895,"Ship Before Order",""))</f>
        <v/>
      </c>
      <c r="Z895" s="2">
        <f>IFERROR(
  IF(ISNUMBER(B895),B895,
    IF(ISNUMBER(SEARCH("-",B895)*1),
      IF(LEN(LEFT(B895,FIND("-",B895)-1))=4,
        DATE(VALUE(LEFT(B895,4)),VALUE(MID(B895,6,2)),VALUE(RIGHT(B895,2))),
        DATE(VALUE(RIGHT(B895,4)),VALUE(MID(B895,4,2)),VALUE(LEFT(B895,2)))
      ),
      IF(ISNUMBER(SEARCH("/",B895)*1),
        DATE(VALUE(RIGHT(B895,4)),VALUE(LEFT(B895,2)),VALUE(MID(B895,4,2))),
        DATEVALUE(B895)
      )
    )
  ),
"INVALID_DATE")</f>
        <v>45449</v>
      </c>
      <c r="AA895" s="2">
        <f>IFERROR(
  IF(ISNUMBER(C895),C895,
    IF(ISNUMBER(SEARCH("-",C895)*1),
      IF(LEN(LEFT(C895,FIND("-",C895)-1))=4,
        DATE(VALUE(LEFT(C895,4)),VALUE(MID(C895,6,2)),VALUE(RIGHT(C895,2))),
        DATE(VALUE(RIGHT(C895,4)),VALUE(MID(C895,4,2)),VALUE(LEFT(C895,2)))
      ),
      IF(ISNUMBER(SEARCH("/",C895)*1),
        DATE(VALUE(RIGHT(C895,4)),VALUE(LEFT(C895,2)),VALUE(MID(C895,4,2))),
        DATEVALUE(C895)
      )
    )
  ),
"INVALID_DATE")</f>
        <v>45451</v>
      </c>
      <c r="AB895">
        <f t="shared" si="81"/>
        <v>2</v>
      </c>
      <c r="AC895" t="str">
        <f t="shared" si="82"/>
        <v>June</v>
      </c>
      <c r="AD895">
        <f t="shared" si="83"/>
        <v>2024</v>
      </c>
    </row>
    <row r="896" spans="1:30">
      <c r="A896" t="s">
        <v>4074</v>
      </c>
      <c r="B896" t="s">
        <v>1953</v>
      </c>
      <c r="C896" t="s">
        <v>4075</v>
      </c>
      <c r="D896" t="s">
        <v>4076</v>
      </c>
      <c r="E896" t="s">
        <v>60</v>
      </c>
      <c r="F896" t="s">
        <v>122</v>
      </c>
      <c r="G896" t="s">
        <v>69</v>
      </c>
      <c r="H896" t="s">
        <v>70</v>
      </c>
      <c r="I896" t="s">
        <v>71</v>
      </c>
      <c r="J896" t="s">
        <v>52</v>
      </c>
      <c r="K896" t="s">
        <v>53</v>
      </c>
      <c r="L896" t="s">
        <v>4077</v>
      </c>
      <c r="M896" t="s">
        <v>63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41</v>
      </c>
      <c r="U896" t="s">
        <v>42</v>
      </c>
      <c r="V896">
        <f t="shared" si="78"/>
        <v>25524.300000000003</v>
      </c>
      <c r="W896">
        <f t="shared" si="79"/>
        <v>8812.369999999999</v>
      </c>
      <c r="X896">
        <f t="shared" si="80"/>
        <v>0.34525413037771852</v>
      </c>
      <c r="Y896" t="str">
        <f>_xlfn.TEXTJOIN(", ",TRUE,IF(G896="Unknown","Missing Region",""),IF(M896="Unknown","Missing Ship Mode",""),IF(P896&lt;0,"Negative Discount",""),IF(P896&gt;0.7,"High Discount",""),IF(C896&lt;B896,"Ship Before Order",""))</f>
        <v>Ship Before Order</v>
      </c>
      <c r="Z896" s="2">
        <f>IFERROR(
  IF(ISNUMBER(B896),B896,
    IF(ISNUMBER(SEARCH("-",B896)*1),
      IF(LEN(LEFT(B896,FIND("-",B896)-1))=4,
        DATE(VALUE(LEFT(B896,4)),VALUE(MID(B896,6,2)),VALUE(RIGHT(B896,2))),
        DATE(VALUE(RIGHT(B896,4)),VALUE(MID(B896,4,2)),VALUE(LEFT(B896,2)))
      ),
      IF(ISNUMBER(SEARCH("/",B896)*1),
        DATE(VALUE(RIGHT(B896,4)),VALUE(LEFT(B896,2)),VALUE(MID(B896,4,2))),
        DATEVALUE(B896)
      )
    )
  ),
"INVALID_DATE")</f>
        <v>45344</v>
      </c>
      <c r="AA896" s="2">
        <f>IFERROR(
  IF(ISNUMBER(C896),C896,
    IF(ISNUMBER(SEARCH("-",C896)*1),
      IF(LEN(LEFT(C896,FIND("-",C896)-1))=4,
        DATE(VALUE(LEFT(C896,4)),VALUE(MID(C896,6,2)),VALUE(RIGHT(C896,2))),
        DATE(VALUE(RIGHT(C896,4)),VALUE(MID(C896,4,2)),VALUE(LEFT(C896,2)))
      ),
      IF(ISNUMBER(SEARCH("/",C896)*1),
        DATE(VALUE(RIGHT(C896,4)),VALUE(LEFT(C896,2)),VALUE(MID(C896,4,2))),
        DATEVALUE(C896)
      )
    )
  ),
"INVALID_DATE")</f>
        <v>45351</v>
      </c>
      <c r="AB896">
        <f t="shared" si="81"/>
        <v>7</v>
      </c>
      <c r="AC896" t="str">
        <f t="shared" si="82"/>
        <v>February</v>
      </c>
      <c r="AD896">
        <f t="shared" si="83"/>
        <v>2024</v>
      </c>
    </row>
    <row r="897" spans="1:30">
      <c r="A897" t="s">
        <v>4078</v>
      </c>
      <c r="B897" t="s">
        <v>4079</v>
      </c>
      <c r="C897" t="s">
        <v>112</v>
      </c>
      <c r="D897" t="s">
        <v>4080</v>
      </c>
      <c r="E897" t="s">
        <v>68</v>
      </c>
      <c r="F897" t="s">
        <v>33</v>
      </c>
      <c r="G897" t="s">
        <v>69</v>
      </c>
      <c r="H897" t="s">
        <v>249</v>
      </c>
      <c r="I897" t="s">
        <v>250</v>
      </c>
      <c r="J897" t="s">
        <v>52</v>
      </c>
      <c r="K897" t="s">
        <v>83</v>
      </c>
      <c r="L897" t="s">
        <v>4081</v>
      </c>
      <c r="M897" t="s">
        <v>55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144</v>
      </c>
      <c r="U897" t="s">
        <v>132</v>
      </c>
      <c r="V897">
        <f t="shared" si="78"/>
        <v>2418.0119999999997</v>
      </c>
      <c r="W897">
        <f t="shared" si="79"/>
        <v>976.12000000000012</v>
      </c>
      <c r="X897">
        <f t="shared" si="80"/>
        <v>0.40368732966364901</v>
      </c>
      <c r="Y897" t="str">
        <f>_xlfn.TEXTJOIN(", ",TRUE,IF(G897="Unknown","Missing Region",""),IF(M897="Unknown","Missing Ship Mode",""),IF(P897&lt;0,"Negative Discount",""),IF(P897&gt;0.7,"High Discount",""),IF(C897&lt;B897,"Ship Before Order",""))</f>
        <v/>
      </c>
      <c r="Z897" s="2">
        <f>IFERROR(
  IF(ISNUMBER(B897),B897,
    IF(ISNUMBER(SEARCH("-",B897)*1),
      IF(LEN(LEFT(B897,FIND("-",B897)-1))=4,
        DATE(VALUE(LEFT(B897,4)),VALUE(MID(B897,6,2)),VALUE(RIGHT(B897,2))),
        DATE(VALUE(RIGHT(B897,4)),VALUE(MID(B897,4,2)),VALUE(LEFT(B897,2)))
      ),
      IF(ISNUMBER(SEARCH("/",B897)*1),
        DATE(VALUE(RIGHT(B897,4)),VALUE(LEFT(B897,2)),VALUE(MID(B897,4,2))),
        DATEVALUE(B897)
      )
    )
  ),
"INVALID_DATE")</f>
        <v>45601</v>
      </c>
      <c r="AA897" s="2">
        <f>IFERROR(
  IF(ISNUMBER(C897),C897,
    IF(ISNUMBER(SEARCH("-",C897)*1),
      IF(LEN(LEFT(C897,FIND("-",C897)-1))=4,
        DATE(VALUE(LEFT(C897,4)),VALUE(MID(C897,6,2)),VALUE(RIGHT(C897,2))),
        DATE(VALUE(RIGHT(C897,4)),VALUE(MID(C897,4,2)),VALUE(LEFT(C897,2)))
      ),
      IF(ISNUMBER(SEARCH("/",C897)*1),
        DATE(VALUE(RIGHT(C897,4)),VALUE(LEFT(C897,2)),VALUE(MID(C897,4,2))),
        DATEVALUE(C897)
      )
    )
  ),
"INVALID_DATE")</f>
        <v>45606</v>
      </c>
      <c r="AB897">
        <f t="shared" si="81"/>
        <v>5</v>
      </c>
      <c r="AC897" t="str">
        <f t="shared" si="82"/>
        <v>November</v>
      </c>
      <c r="AD897">
        <f t="shared" si="83"/>
        <v>2024</v>
      </c>
    </row>
    <row r="898" spans="1:30">
      <c r="A898" t="s">
        <v>4082</v>
      </c>
      <c r="B898" t="s">
        <v>4083</v>
      </c>
      <c r="C898" t="s">
        <v>2366</v>
      </c>
      <c r="D898" t="s">
        <v>4084</v>
      </c>
      <c r="E898" t="s">
        <v>79</v>
      </c>
      <c r="F898" t="s">
        <v>48</v>
      </c>
      <c r="G898" t="s">
        <v>69</v>
      </c>
      <c r="H898" t="s">
        <v>347</v>
      </c>
      <c r="I898" t="s">
        <v>348</v>
      </c>
      <c r="J898" t="s">
        <v>93</v>
      </c>
      <c r="K898" t="s">
        <v>101</v>
      </c>
      <c r="L898" t="s">
        <v>4085</v>
      </c>
      <c r="M898" t="s">
        <v>40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207</v>
      </c>
      <c r="U898" t="s">
        <v>132</v>
      </c>
      <c r="V898">
        <f t="shared" ref="V898:V933" si="84">O898*(1-P898)*N898</f>
        <v>3508.3784999999998</v>
      </c>
      <c r="W898">
        <f t="shared" ref="W898:W933" si="85">Q898-R898</f>
        <v>680.32000000000016</v>
      </c>
      <c r="X898">
        <f t="shared" ref="X898:X933" si="86">IF(Q898=0,"",S898/Q898)</f>
        <v>0.19391286006646943</v>
      </c>
      <c r="Y898" t="str">
        <f>_xlfn.TEXTJOIN(", ",TRUE,IF(G898="Unknown","Missing Region",""),IF(M898="Unknown","Missing Ship Mode",""),IF(P898&lt;0,"Negative Discount",""),IF(P898&gt;0.7,"High Discount",""),IF(C898&lt;B898,"Ship Before Order",""))</f>
        <v/>
      </c>
      <c r="Z898" s="2">
        <f>IFERROR(
  IF(ISNUMBER(B898),B898,
    IF(ISNUMBER(SEARCH("-",B898)*1),
      IF(LEN(LEFT(B898,FIND("-",B898)-1))=4,
        DATE(VALUE(LEFT(B898,4)),VALUE(MID(B898,6,2)),VALUE(RIGHT(B898,2))),
        DATE(VALUE(RIGHT(B898,4)),VALUE(MID(B898,4,2)),VALUE(LEFT(B898,2)))
      ),
      IF(ISNUMBER(SEARCH("/",B898)*1),
        DATE(VALUE(RIGHT(B898,4)),VALUE(LEFT(B898,2)),VALUE(MID(B898,4,2))),
        DATEVALUE(B898)
      )
    )
  ),
"INVALID_DATE")</f>
        <v>45650</v>
      </c>
      <c r="AA898" s="2">
        <f>IFERROR(
  IF(ISNUMBER(C898),C898,
    IF(ISNUMBER(SEARCH("-",C898)*1),
      IF(LEN(LEFT(C898,FIND("-",C898)-1))=4,
        DATE(VALUE(LEFT(C898,4)),VALUE(MID(C898,6,2)),VALUE(RIGHT(C898,2))),
        DATE(VALUE(RIGHT(C898,4)),VALUE(MID(C898,4,2)),VALUE(LEFT(C898,2)))
      ),
      IF(ISNUMBER(SEARCH("/",C898)*1),
        DATE(VALUE(RIGHT(C898,4)),VALUE(LEFT(C898,2)),VALUE(MID(C898,4,2))),
        DATEVALUE(C898)
      )
    )
  ),
"INVALID_DATE")</f>
        <v>45651</v>
      </c>
      <c r="AB898">
        <f t="shared" si="81"/>
        <v>1</v>
      </c>
      <c r="AC898" t="str">
        <f t="shared" si="82"/>
        <v>December</v>
      </c>
      <c r="AD898">
        <f t="shared" si="83"/>
        <v>2024</v>
      </c>
    </row>
    <row r="899" spans="1:30">
      <c r="A899" t="s">
        <v>4086</v>
      </c>
      <c r="B899" t="s">
        <v>1189</v>
      </c>
      <c r="C899" t="s">
        <v>4087</v>
      </c>
      <c r="D899" t="s">
        <v>3208</v>
      </c>
      <c r="E899" t="s">
        <v>187</v>
      </c>
      <c r="F899" t="s">
        <v>115</v>
      </c>
      <c r="G899" t="s">
        <v>34</v>
      </c>
      <c r="H899" t="s">
        <v>331</v>
      </c>
      <c r="I899" t="s">
        <v>332</v>
      </c>
      <c r="J899" t="s">
        <v>37</v>
      </c>
      <c r="K899" t="s">
        <v>38</v>
      </c>
      <c r="L899" t="s">
        <v>4088</v>
      </c>
      <c r="M899" t="s">
        <v>63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41</v>
      </c>
      <c r="U899" t="s">
        <v>42</v>
      </c>
      <c r="V899">
        <f t="shared" si="84"/>
        <v>6789.27</v>
      </c>
      <c r="W899">
        <f t="shared" si="85"/>
        <v>1162.8400000000001</v>
      </c>
      <c r="X899">
        <f t="shared" si="86"/>
        <v>0.17127614603631905</v>
      </c>
      <c r="Y899" t="str">
        <f>_xlfn.TEXTJOIN(", ",TRUE,IF(G899="Unknown","Missing Region",""),IF(M899="Unknown","Missing Ship Mode",""),IF(P899&lt;0,"Negative Discount",""),IF(P899&gt;0.7,"High Discount",""),IF(C899&lt;B899,"Ship Before Order",""))</f>
        <v>Ship Before Order</v>
      </c>
      <c r="Z899" s="2">
        <f>IFERROR(
  IF(ISNUMBER(B899),B899,
    IF(ISNUMBER(SEARCH("-",B899)*1),
      IF(LEN(LEFT(B899,FIND("-",B899)-1))=4,
        DATE(VALUE(LEFT(B899,4)),VALUE(MID(B899,6,2)),VALUE(RIGHT(B899,2))),
        DATE(VALUE(RIGHT(B899,4)),VALUE(MID(B899,4,2)),VALUE(LEFT(B899,2)))
      ),
      IF(ISNUMBER(SEARCH("/",B899)*1),
        DATE(VALUE(RIGHT(B899,4)),VALUE(LEFT(B899,2)),VALUE(MID(B899,4,2))),
        DATEVALUE(B899)
      )
    )
  ),
"INVALID_DATE")</f>
        <v>45776</v>
      </c>
      <c r="AA899" s="2">
        <f>IFERROR(
  IF(ISNUMBER(C899),C899,
    IF(ISNUMBER(SEARCH("-",C899)*1),
      IF(LEN(LEFT(C899,FIND("-",C899)-1))=4,
        DATE(VALUE(LEFT(C899,4)),VALUE(MID(C899,6,2)),VALUE(RIGHT(C899,2))),
        DATE(VALUE(RIGHT(C899,4)),VALUE(MID(C899,4,2)),VALUE(LEFT(C899,2)))
      ),
      IF(ISNUMBER(SEARCH("/",C899)*1),
        DATE(VALUE(RIGHT(C899,4)),VALUE(LEFT(C899,2)),VALUE(MID(C899,4,2))),
        DATEVALUE(C899)
      )
    )
  ),
"INVALID_DATE")</f>
        <v>45780</v>
      </c>
      <c r="AB899">
        <f t="shared" ref="AB899:AB933" si="87">AA899-Z899</f>
        <v>4</v>
      </c>
      <c r="AC899" t="str">
        <f t="shared" ref="AC899:AC933" si="88">TEXT(Z899,"mmmm")</f>
        <v>April</v>
      </c>
      <c r="AD899">
        <f t="shared" ref="AD899:AD933" si="89">YEAR(Z899)</f>
        <v>2025</v>
      </c>
    </row>
    <row r="900" spans="1:30">
      <c r="A900" t="s">
        <v>4089</v>
      </c>
      <c r="B900" t="s">
        <v>3652</v>
      </c>
      <c r="C900" t="s">
        <v>57</v>
      </c>
      <c r="D900" t="s">
        <v>4090</v>
      </c>
      <c r="E900" t="s">
        <v>90</v>
      </c>
      <c r="F900" t="s">
        <v>33</v>
      </c>
      <c r="G900" t="s">
        <v>34</v>
      </c>
      <c r="H900" t="s">
        <v>514</v>
      </c>
      <c r="I900" t="s">
        <v>515</v>
      </c>
      <c r="J900" t="s">
        <v>52</v>
      </c>
      <c r="K900" t="s">
        <v>53</v>
      </c>
      <c r="L900" t="s">
        <v>4091</v>
      </c>
      <c r="M900" t="s">
        <v>63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41</v>
      </c>
      <c r="U900" t="s">
        <v>42</v>
      </c>
      <c r="V900">
        <f t="shared" si="84"/>
        <v>4917.4400000000005</v>
      </c>
      <c r="W900">
        <f t="shared" si="85"/>
        <v>1070.6699999999996</v>
      </c>
      <c r="X900">
        <f t="shared" si="86"/>
        <v>0.21772914361944429</v>
      </c>
      <c r="Y900" t="str">
        <f>_xlfn.TEXTJOIN(", ",TRUE,IF(G900="Unknown","Missing Region",""),IF(M900="Unknown","Missing Ship Mode",""),IF(P900&lt;0,"Negative Discount",""),IF(P900&gt;0.7,"High Discount",""),IF(C900&lt;B900,"Ship Before Order",""))</f>
        <v>Ship Before Order</v>
      </c>
      <c r="Z900" s="2">
        <f>IFERROR(
  IF(ISNUMBER(B900),B900,
    IF(ISNUMBER(SEARCH("-",B900)*1),
      IF(LEN(LEFT(B900,FIND("-",B900)-1))=4,
        DATE(VALUE(LEFT(B900,4)),VALUE(MID(B900,6,2)),VALUE(RIGHT(B900,2))),
        DATE(VALUE(RIGHT(B900,4)),VALUE(MID(B900,4,2)),VALUE(LEFT(B900,2)))
      ),
      IF(ISNUMBER(SEARCH("/",B900)*1),
        DATE(VALUE(RIGHT(B900,4)),VALUE(LEFT(B900,2)),VALUE(MID(B900,4,2))),
        DATEVALUE(B900)
      )
    )
  ),
"INVALID_DATE")</f>
        <v>45445</v>
      </c>
      <c r="AA900" s="2">
        <f>IFERROR(
  IF(ISNUMBER(C900),C900,
    IF(ISNUMBER(SEARCH("-",C900)*1),
      IF(LEN(LEFT(C900,FIND("-",C900)-1))=4,
        DATE(VALUE(LEFT(C900,4)),VALUE(MID(C900,6,2)),VALUE(RIGHT(C900,2))),
        DATE(VALUE(RIGHT(C900,4)),VALUE(MID(C900,4,2)),VALUE(LEFT(C900,2)))
      ),
      IF(ISNUMBER(SEARCH("/",C900)*1),
        DATE(VALUE(RIGHT(C900,4)),VALUE(LEFT(C900,2)),VALUE(MID(C900,4,2))),
        DATEVALUE(C900)
      )
    )
  ),
"INVALID_DATE")</f>
        <v>45451</v>
      </c>
      <c r="AB900">
        <f t="shared" si="87"/>
        <v>6</v>
      </c>
      <c r="AC900" t="str">
        <f t="shared" si="88"/>
        <v>June</v>
      </c>
      <c r="AD900">
        <f t="shared" si="89"/>
        <v>2024</v>
      </c>
    </row>
    <row r="901" spans="1:30">
      <c r="A901" t="s">
        <v>4092</v>
      </c>
      <c r="B901" t="s">
        <v>1690</v>
      </c>
      <c r="C901" t="s">
        <v>4093</v>
      </c>
      <c r="D901" t="s">
        <v>4094</v>
      </c>
      <c r="E901" t="s">
        <v>32</v>
      </c>
      <c r="F901" t="s">
        <v>33</v>
      </c>
      <c r="G901" t="s">
        <v>34</v>
      </c>
      <c r="H901" t="s">
        <v>161</v>
      </c>
      <c r="I901" t="s">
        <v>162</v>
      </c>
      <c r="J901" t="s">
        <v>52</v>
      </c>
      <c r="K901" t="s">
        <v>83</v>
      </c>
      <c r="L901" t="s">
        <v>4095</v>
      </c>
      <c r="M901" t="s">
        <v>63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207</v>
      </c>
      <c r="U901" t="s">
        <v>85</v>
      </c>
      <c r="V901">
        <f t="shared" si="84"/>
        <v>3304.05</v>
      </c>
      <c r="W901">
        <f t="shared" si="85"/>
        <v>1024.6400000000003</v>
      </c>
      <c r="X901">
        <f t="shared" si="86"/>
        <v>0.3101163723309272</v>
      </c>
      <c r="Y901" t="str">
        <f>_xlfn.TEXTJOIN(", ",TRUE,IF(G901="Unknown","Missing Region",""),IF(M901="Unknown","Missing Ship Mode",""),IF(P901&lt;0,"Negative Discount",""),IF(P901&gt;0.7,"High Discount",""),IF(C901&lt;B901,"Ship Before Order",""))</f>
        <v>Ship Before Order</v>
      </c>
      <c r="Z901" s="2">
        <f>IFERROR(
  IF(ISNUMBER(B901),B901,
    IF(ISNUMBER(SEARCH("-",B901)*1),
      IF(LEN(LEFT(B901,FIND("-",B901)-1))=4,
        DATE(VALUE(LEFT(B901,4)),VALUE(MID(B901,6,2)),VALUE(RIGHT(B901,2))),
        DATE(VALUE(RIGHT(B901,4)),VALUE(MID(B901,4,2)),VALUE(LEFT(B901,2)))
      ),
      IF(ISNUMBER(SEARCH("/",B901)*1),
        DATE(VALUE(RIGHT(B901,4)),VALUE(LEFT(B901,2)),VALUE(MID(B901,4,2))),
        DATEVALUE(B901)
      )
    )
  ),
"INVALID_DATE")</f>
        <v>45804</v>
      </c>
      <c r="AA901" s="2">
        <f>IFERROR(
  IF(ISNUMBER(C901),C901,
    IF(ISNUMBER(SEARCH("-",C901)*1),
      IF(LEN(LEFT(C901,FIND("-",C901)-1))=4,
        DATE(VALUE(LEFT(C901,4)),VALUE(MID(C901,6,2)),VALUE(RIGHT(C901,2))),
        DATE(VALUE(RIGHT(C901,4)),VALUE(MID(C901,4,2)),VALUE(LEFT(C901,2)))
      ),
      IF(ISNUMBER(SEARCH("/",C901)*1),
        DATE(VALUE(RIGHT(C901,4)),VALUE(LEFT(C901,2)),VALUE(MID(C901,4,2))),
        DATEVALUE(C901)
      )
    )
  ),
"INVALID_DATE")</f>
        <v>45811</v>
      </c>
      <c r="AB901">
        <f t="shared" si="87"/>
        <v>7</v>
      </c>
      <c r="AC901" t="str">
        <f t="shared" si="88"/>
        <v>May</v>
      </c>
      <c r="AD901">
        <f t="shared" si="89"/>
        <v>2025</v>
      </c>
    </row>
    <row r="902" spans="1:30">
      <c r="A902" t="s">
        <v>2449</v>
      </c>
      <c r="B902" t="s">
        <v>2450</v>
      </c>
      <c r="C902" t="s">
        <v>2451</v>
      </c>
      <c r="D902" t="s">
        <v>2452</v>
      </c>
      <c r="E902" t="s">
        <v>149</v>
      </c>
      <c r="F902" t="s">
        <v>48</v>
      </c>
      <c r="G902" t="s">
        <v>49</v>
      </c>
      <c r="H902" t="s">
        <v>50</v>
      </c>
      <c r="I902" t="s">
        <v>51</v>
      </c>
      <c r="J902" t="s">
        <v>93</v>
      </c>
      <c r="K902" t="s">
        <v>101</v>
      </c>
      <c r="L902" t="s">
        <v>2453</v>
      </c>
      <c r="M902" t="s">
        <v>40</v>
      </c>
      <c r="N902">
        <v>6</v>
      </c>
      <c r="O902">
        <v>826.93</v>
      </c>
      <c r="P902">
        <v>0.1</v>
      </c>
      <c r="Q902">
        <v>4465.42</v>
      </c>
      <c r="R902">
        <v>3377.1</v>
      </c>
      <c r="S902">
        <v>1088.32</v>
      </c>
      <c r="T902" t="s">
        <v>41</v>
      </c>
      <c r="U902" t="s">
        <v>42</v>
      </c>
      <c r="V902">
        <f t="shared" si="84"/>
        <v>4465.4219999999996</v>
      </c>
      <c r="W902">
        <f t="shared" si="85"/>
        <v>1088.3200000000002</v>
      </c>
      <c r="X902">
        <f t="shared" si="86"/>
        <v>0.24372175517644476</v>
      </c>
      <c r="Y902" t="str">
        <f>_xlfn.TEXTJOIN(", ",TRUE,IF(G902="Unknown","Missing Region",""),IF(M902="Unknown","Missing Ship Mode",""),IF(P902&lt;0,"Negative Discount",""),IF(P902&gt;0.7,"High Discount",""),IF(C902&lt;B902,"Ship Before Order",""))</f>
        <v/>
      </c>
      <c r="Z902" s="2">
        <f>IFERROR(
  IF(ISNUMBER(B902),B902,
    IF(ISNUMBER(SEARCH("-",B902)*1),
      IF(LEN(LEFT(B902,FIND("-",B902)-1))=4,
        DATE(VALUE(LEFT(B902,4)),VALUE(MID(B902,6,2)),VALUE(RIGHT(B902,2))),
        DATE(VALUE(RIGHT(B902,4)),VALUE(MID(B902,4,2)),VALUE(LEFT(B902,2)))
      ),
      IF(ISNUMBER(SEARCH("/",B902)*1),
        DATE(VALUE(RIGHT(B902,4)),VALUE(LEFT(B902,2)),VALUE(MID(B902,4,2))),
        DATEVALUE(B902)
      )
    )
  ),
"INVALID_DATE")</f>
        <v>45383</v>
      </c>
      <c r="AA902" s="2">
        <f>IFERROR(
  IF(ISNUMBER(C902),C902,
    IF(ISNUMBER(SEARCH("-",C902)*1),
      IF(LEN(LEFT(C902,FIND("-",C902)-1))=4,
        DATE(VALUE(LEFT(C902,4)),VALUE(MID(C902,6,2)),VALUE(RIGHT(C902,2))),
        DATE(VALUE(RIGHT(C902,4)),VALUE(MID(C902,4,2)),VALUE(LEFT(C902,2)))
      ),
      IF(ISNUMBER(SEARCH("/",C902)*1),
        DATE(VALUE(RIGHT(C902,4)),VALUE(LEFT(C902,2)),VALUE(MID(C902,4,2))),
        DATEVALUE(C902)
      )
    )
  ),
"INVALID_DATE")</f>
        <v>45391</v>
      </c>
      <c r="AB902">
        <f t="shared" si="87"/>
        <v>8</v>
      </c>
      <c r="AC902" t="str">
        <f t="shared" si="88"/>
        <v>April</v>
      </c>
      <c r="AD902">
        <f t="shared" si="89"/>
        <v>2024</v>
      </c>
    </row>
    <row r="903" spans="1:30">
      <c r="A903" t="s">
        <v>2864</v>
      </c>
      <c r="B903" t="s">
        <v>2447</v>
      </c>
      <c r="C903" t="s">
        <v>2865</v>
      </c>
      <c r="D903" t="s">
        <v>2866</v>
      </c>
      <c r="E903" t="s">
        <v>79</v>
      </c>
      <c r="F903" t="s">
        <v>115</v>
      </c>
      <c r="G903" t="s">
        <v>49</v>
      </c>
      <c r="H903" t="s">
        <v>128</v>
      </c>
      <c r="I903" t="s">
        <v>129</v>
      </c>
      <c r="J903" t="s">
        <v>93</v>
      </c>
      <c r="K903" t="s">
        <v>101</v>
      </c>
      <c r="L903" t="s">
        <v>2867</v>
      </c>
      <c r="M903" t="s">
        <v>55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41</v>
      </c>
      <c r="U903" t="s">
        <v>42</v>
      </c>
      <c r="V903">
        <f t="shared" si="84"/>
        <v>3354.0524999999998</v>
      </c>
      <c r="W903">
        <f t="shared" si="85"/>
        <v>681.38000000000011</v>
      </c>
      <c r="X903">
        <f t="shared" si="86"/>
        <v>0.20315141396222475</v>
      </c>
      <c r="Y903" t="str">
        <f>_xlfn.TEXTJOIN(", ",TRUE,IF(G903="Unknown","Missing Region",""),IF(M903="Unknown","Missing Ship Mode",""),IF(P903&lt;0,"Negative Discount",""),IF(P903&gt;0.7,"High Discount",""),IF(C903&lt;B903,"Ship Before Order",""))</f>
        <v/>
      </c>
      <c r="Z903" s="2">
        <f>IFERROR(
  IF(ISNUMBER(B903),B903,
    IF(ISNUMBER(SEARCH("-",B903)*1),
      IF(LEN(LEFT(B903,FIND("-",B903)-1))=4,
        DATE(VALUE(LEFT(B903,4)),VALUE(MID(B903,6,2)),VALUE(RIGHT(B903,2))),
        DATE(VALUE(RIGHT(B903,4)),VALUE(MID(B903,4,2)),VALUE(LEFT(B903,2)))
      ),
      IF(ISNUMBER(SEARCH("/",B903)*1),
        DATE(VALUE(RIGHT(B903,4)),VALUE(LEFT(B903,2)),VALUE(MID(B903,4,2))),
        DATEVALUE(B903)
      )
    )
  ),
"INVALID_DATE")</f>
        <v>45521</v>
      </c>
      <c r="AA903" s="2">
        <f>IFERROR(
  IF(ISNUMBER(C903),C903,
    IF(ISNUMBER(SEARCH("-",C903)*1),
      IF(LEN(LEFT(C903,FIND("-",C903)-1))=4,
        DATE(VALUE(LEFT(C903,4)),VALUE(MID(C903,6,2)),VALUE(RIGHT(C903,2))),
        DATE(VALUE(RIGHT(C903,4)),VALUE(MID(C903,4,2)),VALUE(LEFT(C903,2)))
      ),
      IF(ISNUMBER(SEARCH("/",C903)*1),
        DATE(VALUE(RIGHT(C903,4)),VALUE(LEFT(C903,2)),VALUE(MID(C903,4,2))),
        DATEVALUE(C903)
      )
    )
  ),
"INVALID_DATE")</f>
        <v>45528</v>
      </c>
      <c r="AB903">
        <f t="shared" si="87"/>
        <v>7</v>
      </c>
      <c r="AC903" t="str">
        <f t="shared" si="88"/>
        <v>August</v>
      </c>
      <c r="AD903">
        <f t="shared" si="89"/>
        <v>2024</v>
      </c>
    </row>
    <row r="904" spans="1:30">
      <c r="A904" t="s">
        <v>3266</v>
      </c>
      <c r="B904" t="s">
        <v>1738</v>
      </c>
      <c r="C904" t="s">
        <v>3087</v>
      </c>
      <c r="D904" t="s">
        <v>1746</v>
      </c>
      <c r="E904" t="s">
        <v>60</v>
      </c>
      <c r="F904" t="s">
        <v>33</v>
      </c>
      <c r="G904" t="s">
        <v>69</v>
      </c>
      <c r="H904" t="s">
        <v>107</v>
      </c>
      <c r="I904" t="s">
        <v>108</v>
      </c>
      <c r="J904" t="s">
        <v>37</v>
      </c>
      <c r="K904" t="s">
        <v>163</v>
      </c>
      <c r="L904" t="s">
        <v>3267</v>
      </c>
      <c r="M904" t="s">
        <v>63</v>
      </c>
      <c r="N904">
        <v>5</v>
      </c>
      <c r="O904">
        <v>2736.24</v>
      </c>
      <c r="P904">
        <v>0.15</v>
      </c>
      <c r="Q904">
        <v>11629.02</v>
      </c>
      <c r="R904">
        <v>9627.2099999999991</v>
      </c>
      <c r="S904">
        <v>2001.81</v>
      </c>
      <c r="T904" t="s">
        <v>41</v>
      </c>
      <c r="U904" t="s">
        <v>42</v>
      </c>
      <c r="V904">
        <f t="shared" si="84"/>
        <v>11629.019999999999</v>
      </c>
      <c r="W904">
        <f t="shared" si="85"/>
        <v>2001.8100000000013</v>
      </c>
      <c r="X904">
        <f t="shared" si="86"/>
        <v>0.1721391828374188</v>
      </c>
      <c r="Y904" t="str">
        <f>_xlfn.TEXTJOIN(", ",TRUE,IF(G904="Unknown","Missing Region",""),IF(M904="Unknown","Missing Ship Mode",""),IF(P904&lt;0,"Negative Discount",""),IF(P904&gt;0.7,"High Discount",""),IF(C904&lt;B904,"Ship Before Order",""))</f>
        <v/>
      </c>
      <c r="Z904" s="2">
        <f>IFERROR(
  IF(ISNUMBER(B904),B904,
    IF(ISNUMBER(SEARCH("-",B904)*1),
      IF(LEN(LEFT(B904,FIND("-",B904)-1))=4,
        DATE(VALUE(LEFT(B904,4)),VALUE(MID(B904,6,2)),VALUE(RIGHT(B904,2))),
        DATE(VALUE(RIGHT(B904,4)),VALUE(MID(B904,4,2)),VALUE(LEFT(B904,2)))
      ),
      IF(ISNUMBER(SEARCH("/",B904)*1),
        DATE(VALUE(RIGHT(B904,4)),VALUE(LEFT(B904,2)),VALUE(MID(B904,4,2))),
        DATEVALUE(B904)
      )
    )
  ),
"INVALID_DATE")</f>
        <v>45870</v>
      </c>
      <c r="AA904" s="2">
        <f>IFERROR(
  IF(ISNUMBER(C904),C904,
    IF(ISNUMBER(SEARCH("-",C904)*1),
      IF(LEN(LEFT(C904,FIND("-",C904)-1))=4,
        DATE(VALUE(LEFT(C904,4)),VALUE(MID(C904,6,2)),VALUE(RIGHT(C904,2))),
        DATE(VALUE(RIGHT(C904,4)),VALUE(MID(C904,4,2)),VALUE(LEFT(C904,2)))
      ),
      IF(ISNUMBER(SEARCH("/",C904)*1),
        DATE(VALUE(RIGHT(C904,4)),VALUE(LEFT(C904,2)),VALUE(MID(C904,4,2))),
        DATEVALUE(C904)
      )
    )
  ),
"INVALID_DATE")</f>
        <v>45878</v>
      </c>
      <c r="AB904">
        <f t="shared" si="87"/>
        <v>8</v>
      </c>
      <c r="AC904" t="str">
        <f t="shared" si="88"/>
        <v>August</v>
      </c>
      <c r="AD904">
        <f t="shared" si="89"/>
        <v>2025</v>
      </c>
    </row>
    <row r="905" spans="1:30">
      <c r="A905" t="s">
        <v>3304</v>
      </c>
      <c r="B905" t="s">
        <v>1566</v>
      </c>
      <c r="C905" t="s">
        <v>3305</v>
      </c>
      <c r="D905" t="s">
        <v>3306</v>
      </c>
      <c r="E905" t="s">
        <v>149</v>
      </c>
      <c r="F905" t="s">
        <v>122</v>
      </c>
      <c r="G905" t="s">
        <v>69</v>
      </c>
      <c r="H905" t="s">
        <v>347</v>
      </c>
      <c r="I905" t="s">
        <v>348</v>
      </c>
      <c r="J905" t="s">
        <v>52</v>
      </c>
      <c r="K905" t="s">
        <v>211</v>
      </c>
      <c r="L905" t="s">
        <v>3307</v>
      </c>
      <c r="M905" t="s">
        <v>279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581.45000000000005</v>
      </c>
      <c r="T905" t="s">
        <v>41</v>
      </c>
      <c r="U905" t="s">
        <v>42</v>
      </c>
      <c r="V905">
        <f t="shared" si="84"/>
        <v>2401.7855</v>
      </c>
      <c r="W905">
        <f t="shared" si="85"/>
        <v>581.45000000000005</v>
      </c>
      <c r="X905">
        <f t="shared" si="86"/>
        <v>0.24209027433705696</v>
      </c>
      <c r="Y905" t="str">
        <f>_xlfn.TEXTJOIN(", ",TRUE,IF(G905="Unknown","Missing Region",""),IF(M905="Unknown","Missing Ship Mode",""),IF(P905&lt;0,"Negative Discount",""),IF(P905&gt;0.7,"High Discount",""),IF(C905&lt;B905,"Ship Before Order",""))</f>
        <v>Missing Ship Mode, Ship Before Order</v>
      </c>
      <c r="Z905" s="2">
        <f>IFERROR(
  IF(ISNUMBER(B905),B905,
    IF(ISNUMBER(SEARCH("-",B905)*1),
      IF(LEN(LEFT(B905,FIND("-",B905)-1))=4,
        DATE(VALUE(LEFT(B905,4)),VALUE(MID(B905,6,2)),VALUE(RIGHT(B905,2))),
        DATE(VALUE(RIGHT(B905,4)),VALUE(MID(B905,4,2)),VALUE(LEFT(B905,2)))
      ),
      IF(ISNUMBER(SEARCH("/",B905)*1),
        DATE(VALUE(RIGHT(B905,4)),VALUE(LEFT(B905,2)),VALUE(MID(B905,4,2))),
        DATEVALUE(B905)
      )
    )
  ),
"INVALID_DATE")</f>
        <v>45364</v>
      </c>
      <c r="AA905" s="2">
        <f>IFERROR(
  IF(ISNUMBER(C905),C905,
    IF(ISNUMBER(SEARCH("-",C905)*1),
      IF(LEN(LEFT(C905,FIND("-",C905)-1))=4,
        DATE(VALUE(LEFT(C905,4)),VALUE(MID(C905,6,2)),VALUE(RIGHT(C905,2))),
        DATE(VALUE(RIGHT(C905,4)),VALUE(MID(C905,4,2)),VALUE(LEFT(C905,2)))
      ),
      IF(ISNUMBER(SEARCH("/",C905)*1),
        DATE(VALUE(RIGHT(C905,4)),VALUE(LEFT(C905,2)),VALUE(MID(C905,4,2))),
        DATEVALUE(C905)
      )
    )
  ),
"INVALID_DATE")</f>
        <v>45371</v>
      </c>
      <c r="AB905">
        <f t="shared" si="87"/>
        <v>7</v>
      </c>
      <c r="AC905" t="str">
        <f t="shared" si="88"/>
        <v>March</v>
      </c>
      <c r="AD905">
        <f t="shared" si="89"/>
        <v>2024</v>
      </c>
    </row>
    <row r="906" spans="1:30">
      <c r="A906" t="s">
        <v>1435</v>
      </c>
      <c r="B906" t="s">
        <v>1066</v>
      </c>
      <c r="C906" t="s">
        <v>1436</v>
      </c>
      <c r="D906" t="s">
        <v>1437</v>
      </c>
      <c r="E906" t="s">
        <v>169</v>
      </c>
      <c r="F906" t="s">
        <v>48</v>
      </c>
      <c r="G906" t="s">
        <v>279</v>
      </c>
      <c r="H906" t="s">
        <v>223</v>
      </c>
      <c r="I906" t="s">
        <v>224</v>
      </c>
      <c r="J906" t="s">
        <v>52</v>
      </c>
      <c r="K906" t="s">
        <v>83</v>
      </c>
      <c r="L906" t="s">
        <v>1438</v>
      </c>
      <c r="M906" t="s">
        <v>40</v>
      </c>
      <c r="N906">
        <v>6</v>
      </c>
      <c r="O906">
        <v>3391.53</v>
      </c>
      <c r="P906">
        <v>-0.14000000000000001</v>
      </c>
      <c r="Q906">
        <v>15261.89</v>
      </c>
      <c r="R906">
        <v>8413.5300000000007</v>
      </c>
      <c r="S906">
        <v>6848.36</v>
      </c>
      <c r="T906" t="s">
        <v>41</v>
      </c>
      <c r="U906" t="s">
        <v>42</v>
      </c>
      <c r="V906">
        <f t="shared" si="84"/>
        <v>23198.065200000005</v>
      </c>
      <c r="W906">
        <f t="shared" si="85"/>
        <v>6848.3599999999988</v>
      </c>
      <c r="X906">
        <f t="shared" si="86"/>
        <v>0.44872293012202291</v>
      </c>
      <c r="Y906" t="str">
        <f>_xlfn.TEXTJOIN(", ",TRUE,IF(G906="Unknown","Missing Region",""),IF(M906="Unknown","Missing Ship Mode",""),IF(P906&lt;0,"Negative Discount",""),IF(P906&gt;0.7,"High Discount",""),IF(C906&lt;B906,"Ship Before Order",""))</f>
        <v>Missing Region, Negative Discount</v>
      </c>
      <c r="Z906" s="2">
        <f>IFERROR(
  IF(ISNUMBER(B906),B906,
    IF(ISNUMBER(SEARCH("-",B906)*1),
      IF(LEN(LEFT(B906,FIND("-",B906)-1))=4,
        DATE(VALUE(LEFT(B906,4)),VALUE(MID(B906,6,2)),VALUE(RIGHT(B906,2))),
        DATE(VALUE(RIGHT(B906,4)),VALUE(MID(B906,4,2)),VALUE(LEFT(B906,2)))
      ),
      IF(ISNUMBER(SEARCH("/",B906)*1),
        DATE(VALUE(RIGHT(B906,4)),VALUE(LEFT(B906,2)),VALUE(MID(B906,4,2))),
        DATEVALUE(B906)
      )
    )
  ),
"INVALID_DATE")</f>
        <v>45313</v>
      </c>
      <c r="AA906" s="2">
        <f>IFERROR(
  IF(ISNUMBER(C906),C906,
    IF(ISNUMBER(SEARCH("-",C906)*1),
      IF(LEN(LEFT(C906,FIND("-",C906)-1))=4,
        DATE(VALUE(LEFT(C906,4)),VALUE(MID(C906,6,2)),VALUE(RIGHT(C906,2))),
        DATE(VALUE(RIGHT(C906,4)),VALUE(MID(C906,4,2)),VALUE(LEFT(C906,2)))
      ),
      IF(ISNUMBER(SEARCH("/",C906)*1),
        DATE(VALUE(RIGHT(C906,4)),VALUE(LEFT(C906,2)),VALUE(MID(C906,4,2))),
        DATEVALUE(C906)
      )
    )
  ),
"INVALID_DATE")</f>
        <v>45314</v>
      </c>
      <c r="AB906">
        <f t="shared" si="87"/>
        <v>1</v>
      </c>
      <c r="AC906" t="str">
        <f t="shared" si="88"/>
        <v>January</v>
      </c>
      <c r="AD906">
        <f t="shared" si="89"/>
        <v>2024</v>
      </c>
    </row>
    <row r="907" spans="1:30">
      <c r="A907" t="s">
        <v>3002</v>
      </c>
      <c r="B907" t="s">
        <v>3003</v>
      </c>
      <c r="C907" t="s">
        <v>3004</v>
      </c>
      <c r="D907" t="s">
        <v>3005</v>
      </c>
      <c r="E907" t="s">
        <v>175</v>
      </c>
      <c r="F907" t="s">
        <v>48</v>
      </c>
      <c r="G907" t="s">
        <v>69</v>
      </c>
      <c r="H907" t="s">
        <v>236</v>
      </c>
      <c r="I907" t="s">
        <v>237</v>
      </c>
      <c r="J907" t="s">
        <v>52</v>
      </c>
      <c r="K907" t="s">
        <v>72</v>
      </c>
      <c r="L907" t="s">
        <v>3006</v>
      </c>
      <c r="M907" t="s">
        <v>63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41</v>
      </c>
      <c r="U907" t="s">
        <v>42</v>
      </c>
      <c r="V907">
        <f t="shared" si="84"/>
        <v>14252.650000000001</v>
      </c>
      <c r="W907">
        <f t="shared" si="85"/>
        <v>2694.34</v>
      </c>
      <c r="X907">
        <f t="shared" si="86"/>
        <v>0.18904133617257143</v>
      </c>
      <c r="Y907" t="str">
        <f>_xlfn.TEXTJOIN(", ",TRUE,IF(G907="Unknown","Missing Region",""),IF(M907="Unknown","Missing Ship Mode",""),IF(P907&lt;0,"Negative Discount",""),IF(P907&gt;0.7,"High Discount",""),IF(C907&lt;B907,"Ship Before Order",""))</f>
        <v/>
      </c>
      <c r="Z907" s="2">
        <f>IFERROR(
  IF(ISNUMBER(B907),B907,
    IF(ISNUMBER(SEARCH("-",B907)*1),
      IF(LEN(LEFT(B907,FIND("-",B907)-1))=4,
        DATE(VALUE(LEFT(B907,4)),VALUE(MID(B907,6,2)),VALUE(RIGHT(B907,2))),
        DATE(VALUE(RIGHT(B907,4)),VALUE(MID(B907,4,2)),VALUE(LEFT(B907,2)))
      ),
      IF(ISNUMBER(SEARCH("/",B907)*1),
        DATE(VALUE(RIGHT(B907,4)),VALUE(LEFT(B907,2)),VALUE(MID(B907,4,2))),
        DATEVALUE(B907)
      )
    )
  ),
"INVALID_DATE")</f>
        <v>45762</v>
      </c>
      <c r="AA907" s="2">
        <f>IFERROR(
  IF(ISNUMBER(C907),C907,
    IF(ISNUMBER(SEARCH("-",C907)*1),
      IF(LEN(LEFT(C907,FIND("-",C907)-1))=4,
        DATE(VALUE(LEFT(C907,4)),VALUE(MID(C907,6,2)),VALUE(RIGHT(C907,2))),
        DATE(VALUE(RIGHT(C907,4)),VALUE(MID(C907,4,2)),VALUE(LEFT(C907,2)))
      ),
      IF(ISNUMBER(SEARCH("/",C907)*1),
        DATE(VALUE(RIGHT(C907,4)),VALUE(LEFT(C907,2)),VALUE(MID(C907,4,2))),
        DATEVALUE(C907)
      )
    )
  ),
"INVALID_DATE")</f>
        <v>45763</v>
      </c>
      <c r="AB907">
        <f t="shared" si="87"/>
        <v>1</v>
      </c>
      <c r="AC907" t="str">
        <f t="shared" si="88"/>
        <v>April</v>
      </c>
      <c r="AD907">
        <f t="shared" si="89"/>
        <v>2025</v>
      </c>
    </row>
    <row r="908" spans="1:30">
      <c r="A908" t="s">
        <v>3401</v>
      </c>
      <c r="B908" t="s">
        <v>3402</v>
      </c>
      <c r="C908" t="s">
        <v>3403</v>
      </c>
      <c r="D908" t="s">
        <v>3404</v>
      </c>
      <c r="E908" t="s">
        <v>79</v>
      </c>
      <c r="F908" t="s">
        <v>115</v>
      </c>
      <c r="G908" t="s">
        <v>69</v>
      </c>
      <c r="H908" t="s">
        <v>347</v>
      </c>
      <c r="I908" t="s">
        <v>348</v>
      </c>
      <c r="J908" t="s">
        <v>93</v>
      </c>
      <c r="K908" t="s">
        <v>390</v>
      </c>
      <c r="L908" t="s">
        <v>3405</v>
      </c>
      <c r="M908" t="s">
        <v>55</v>
      </c>
      <c r="N908">
        <v>6</v>
      </c>
      <c r="O908">
        <v>1810.63</v>
      </c>
      <c r="P908">
        <v>0.15</v>
      </c>
      <c r="Q908">
        <v>9234.2099999999991</v>
      </c>
      <c r="R908">
        <v>5516.52</v>
      </c>
      <c r="S908">
        <v>3717.69</v>
      </c>
      <c r="T908" t="s">
        <v>41</v>
      </c>
      <c r="U908" t="s">
        <v>42</v>
      </c>
      <c r="V908">
        <f t="shared" si="84"/>
        <v>9234.2129999999997</v>
      </c>
      <c r="W908">
        <f t="shared" si="85"/>
        <v>3717.6899999999987</v>
      </c>
      <c r="X908">
        <f t="shared" si="86"/>
        <v>0.4025996809689189</v>
      </c>
      <c r="Y908" t="str">
        <f>_xlfn.TEXTJOIN(", ",TRUE,IF(G908="Unknown","Missing Region",""),IF(M908="Unknown","Missing Ship Mode",""),IF(P908&lt;0,"Negative Discount",""),IF(P908&gt;0.7,"High Discount",""),IF(C908&lt;B908,"Ship Before Order",""))</f>
        <v/>
      </c>
      <c r="Z908" s="2">
        <f>IFERROR(
  IF(ISNUMBER(B908),B908,
    IF(ISNUMBER(SEARCH("-",B908)*1),
      IF(LEN(LEFT(B908,FIND("-",B908)-1))=4,
        DATE(VALUE(LEFT(B908,4)),VALUE(MID(B908,6,2)),VALUE(RIGHT(B908,2))),
        DATE(VALUE(RIGHT(B908,4)),VALUE(MID(B908,4,2)),VALUE(LEFT(B908,2)))
      ),
      IF(ISNUMBER(SEARCH("/",B908)*1),
        DATE(VALUE(RIGHT(B908,4)),VALUE(LEFT(B908,2)),VALUE(MID(B908,4,2))),
        DATEVALUE(B908)
      )
    )
  ),
"INVALID_DATE")</f>
        <v>45794</v>
      </c>
      <c r="AA908" s="2">
        <f>IFERROR(
  IF(ISNUMBER(C908),C908,
    IF(ISNUMBER(SEARCH("-",C908)*1),
      IF(LEN(LEFT(C908,FIND("-",C908)-1))=4,
        DATE(VALUE(LEFT(C908,4)),VALUE(MID(C908,6,2)),VALUE(RIGHT(C908,2))),
        DATE(VALUE(RIGHT(C908,4)),VALUE(MID(C908,4,2)),VALUE(LEFT(C908,2)))
      ),
      IF(ISNUMBER(SEARCH("/",C908)*1),
        DATE(VALUE(RIGHT(C908,4)),VALUE(LEFT(C908,2)),VALUE(MID(C908,4,2))),
        DATEVALUE(C908)
      )
    )
  ),
"INVALID_DATE")</f>
        <v>45802</v>
      </c>
      <c r="AB908">
        <f t="shared" si="87"/>
        <v>8</v>
      </c>
      <c r="AC908" t="str">
        <f t="shared" si="88"/>
        <v>May</v>
      </c>
      <c r="AD908">
        <f t="shared" si="89"/>
        <v>2025</v>
      </c>
    </row>
    <row r="909" spans="1:30">
      <c r="A909" t="s">
        <v>763</v>
      </c>
      <c r="B909" t="s">
        <v>764</v>
      </c>
      <c r="C909" t="s">
        <v>765</v>
      </c>
      <c r="D909" t="s">
        <v>766</v>
      </c>
      <c r="E909" t="s">
        <v>32</v>
      </c>
      <c r="F909" t="s">
        <v>33</v>
      </c>
      <c r="G909" t="s">
        <v>80</v>
      </c>
      <c r="H909" t="s">
        <v>256</v>
      </c>
      <c r="I909" t="s">
        <v>257</v>
      </c>
      <c r="J909" t="s">
        <v>93</v>
      </c>
      <c r="K909" t="s">
        <v>230</v>
      </c>
      <c r="L909" t="s">
        <v>767</v>
      </c>
      <c r="M909" t="s">
        <v>40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41</v>
      </c>
      <c r="U909" t="s">
        <v>42</v>
      </c>
      <c r="V909">
        <f t="shared" si="84"/>
        <v>22930.62</v>
      </c>
      <c r="W909">
        <f t="shared" si="85"/>
        <v>6055.07</v>
      </c>
      <c r="X909">
        <f t="shared" si="86"/>
        <v>0.26406045715292475</v>
      </c>
      <c r="Y909" t="str">
        <f>_xlfn.TEXTJOIN(", ",TRUE,IF(G909="Unknown","Missing Region",""),IF(M909="Unknown","Missing Ship Mode",""),IF(P909&lt;0,"Negative Discount",""),IF(P909&gt;0.7,"High Discount",""),IF(C909&lt;B909,"Ship Before Order",""))</f>
        <v>Ship Before Order</v>
      </c>
      <c r="Z909" s="2">
        <f>IFERROR(
  IF(ISNUMBER(B909),B909,
    IF(ISNUMBER(SEARCH("-",B909)*1),
      IF(LEN(LEFT(B909,FIND("-",B909)-1))=4,
        DATE(VALUE(LEFT(B909,4)),VALUE(MID(B909,6,2)),VALUE(RIGHT(B909,2))),
        DATE(VALUE(RIGHT(B909,4)),VALUE(MID(B909,4,2)),VALUE(LEFT(B909,2)))
      ),
      IF(ISNUMBER(SEARCH("/",B909)*1),
        DATE(VALUE(RIGHT(B909,4)),VALUE(LEFT(B909,2)),VALUE(MID(B909,4,2))),
        DATEVALUE(B909)
      )
    )
  ),
"INVALID_DATE")</f>
        <v>45639</v>
      </c>
      <c r="AA909" s="2">
        <f>IFERROR(
  IF(ISNUMBER(C909),C909,
    IF(ISNUMBER(SEARCH("-",C909)*1),
      IF(LEN(LEFT(C909,FIND("-",C909)-1))=4,
        DATE(VALUE(LEFT(C909,4)),VALUE(MID(C909,6,2)),VALUE(RIGHT(C909,2))),
        DATE(VALUE(RIGHT(C909,4)),VALUE(MID(C909,4,2)),VALUE(LEFT(C909,2)))
      ),
      IF(ISNUMBER(SEARCH("/",C909)*1),
        DATE(VALUE(RIGHT(C909,4)),VALUE(LEFT(C909,2)),VALUE(MID(C909,4,2))),
        DATEVALUE(C909)
      )
    )
  ),
"INVALID_DATE")</f>
        <v>45644</v>
      </c>
      <c r="AB909">
        <f t="shared" si="87"/>
        <v>5</v>
      </c>
      <c r="AC909" t="str">
        <f t="shared" si="88"/>
        <v>December</v>
      </c>
      <c r="AD909">
        <f t="shared" si="89"/>
        <v>2024</v>
      </c>
    </row>
    <row r="910" spans="1:30">
      <c r="A910" t="s">
        <v>3363</v>
      </c>
      <c r="B910" t="s">
        <v>1732</v>
      </c>
      <c r="C910" t="s">
        <v>1733</v>
      </c>
      <c r="D910" t="s">
        <v>192</v>
      </c>
      <c r="E910" t="s">
        <v>374</v>
      </c>
      <c r="F910" t="s">
        <v>115</v>
      </c>
      <c r="G910" t="s">
        <v>80</v>
      </c>
      <c r="H910" t="s">
        <v>242</v>
      </c>
      <c r="I910" t="s">
        <v>243</v>
      </c>
      <c r="J910" t="s">
        <v>37</v>
      </c>
      <c r="K910" t="s">
        <v>61</v>
      </c>
      <c r="L910" t="s">
        <v>3364</v>
      </c>
      <c r="M910" t="s">
        <v>55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41</v>
      </c>
      <c r="U910" t="s">
        <v>42</v>
      </c>
      <c r="V910">
        <f t="shared" si="84"/>
        <v>3795.8559999999998</v>
      </c>
      <c r="W910">
        <f t="shared" si="85"/>
        <v>1530.94</v>
      </c>
      <c r="X910">
        <f t="shared" si="86"/>
        <v>0.40331835209939249</v>
      </c>
      <c r="Y910" t="str">
        <f>_xlfn.TEXTJOIN(", ",TRUE,IF(G910="Unknown","Missing Region",""),IF(M910="Unknown","Missing Ship Mode",""),IF(P910&lt;0,"Negative Discount",""),IF(P910&gt;0.7,"High Discount",""),IF(C910&lt;B910,"Ship Before Order",""))</f>
        <v/>
      </c>
      <c r="Z910" s="2">
        <f>IFERROR(
  IF(ISNUMBER(B910),B910,
    IF(ISNUMBER(SEARCH("-",B910)*1),
      IF(LEN(LEFT(B910,FIND("-",B910)-1))=4,
        DATE(VALUE(LEFT(B910,4)),VALUE(MID(B910,6,2)),VALUE(RIGHT(B910,2))),
        DATE(VALUE(RIGHT(B910,4)),VALUE(MID(B910,4,2)),VALUE(LEFT(B910,2)))
      ),
      IF(ISNUMBER(SEARCH("/",B910)*1),
        DATE(VALUE(RIGHT(B910,4)),VALUE(LEFT(B910,2)),VALUE(MID(B910,4,2))),
        DATEVALUE(B910)
      )
    )
  ),
"INVALID_DATE")</f>
        <v>45908</v>
      </c>
      <c r="AA910" s="2">
        <f>IFERROR(
  IF(ISNUMBER(C910),C910,
    IF(ISNUMBER(SEARCH("-",C910)*1),
      IF(LEN(LEFT(C910,FIND("-",C910)-1))=4,
        DATE(VALUE(LEFT(C910,4)),VALUE(MID(C910,6,2)),VALUE(RIGHT(C910,2))),
        DATE(VALUE(RIGHT(C910,4)),VALUE(MID(C910,4,2)),VALUE(LEFT(C910,2)))
      ),
      IF(ISNUMBER(SEARCH("/",C910)*1),
        DATE(VALUE(RIGHT(C910,4)),VALUE(LEFT(C910,2)),VALUE(MID(C910,4,2))),
        DATEVALUE(C910)
      )
    )
  ),
"INVALID_DATE")</f>
        <v>45909</v>
      </c>
      <c r="AB910">
        <f t="shared" si="87"/>
        <v>1</v>
      </c>
      <c r="AC910" t="str">
        <f t="shared" si="88"/>
        <v>September</v>
      </c>
      <c r="AD910">
        <f t="shared" si="89"/>
        <v>2025</v>
      </c>
    </row>
    <row r="911" spans="1:30">
      <c r="A911" t="s">
        <v>1984</v>
      </c>
      <c r="B911" t="s">
        <v>1985</v>
      </c>
      <c r="C911" t="s">
        <v>1986</v>
      </c>
      <c r="D911" t="s">
        <v>1987</v>
      </c>
      <c r="E911" t="s">
        <v>217</v>
      </c>
      <c r="F911" t="s">
        <v>48</v>
      </c>
      <c r="G911" t="s">
        <v>69</v>
      </c>
      <c r="H911" t="s">
        <v>107</v>
      </c>
      <c r="I911" t="s">
        <v>108</v>
      </c>
      <c r="J911" t="s">
        <v>37</v>
      </c>
      <c r="K911" t="s">
        <v>38</v>
      </c>
      <c r="L911" t="s">
        <v>1988</v>
      </c>
      <c r="M911" t="s">
        <v>55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1275.1400000000001</v>
      </c>
      <c r="T911" t="s">
        <v>41</v>
      </c>
      <c r="U911" t="s">
        <v>42</v>
      </c>
      <c r="V911">
        <f t="shared" si="84"/>
        <v>3268.875</v>
      </c>
      <c r="W911">
        <f t="shared" si="85"/>
        <v>1275.1400000000001</v>
      </c>
      <c r="X911">
        <f t="shared" si="86"/>
        <v>0.39008467732067253</v>
      </c>
      <c r="Y911" t="str">
        <f>_xlfn.TEXTJOIN(", ",TRUE,IF(G911="Unknown","Missing Region",""),IF(M911="Unknown","Missing Ship Mode",""),IF(P911&lt;0,"Negative Discount",""),IF(P911&gt;0.7,"High Discount",""),IF(C911&lt;B911,"Ship Before Order",""))</f>
        <v/>
      </c>
      <c r="Z911" s="2">
        <f>IFERROR(
  IF(ISNUMBER(B911),B911,
    IF(ISNUMBER(SEARCH("-",B911)*1),
      IF(LEN(LEFT(B911,FIND("-",B911)-1))=4,
        DATE(VALUE(LEFT(B911,4)),VALUE(MID(B911,6,2)),VALUE(RIGHT(B911,2))),
        DATE(VALUE(RIGHT(B911,4)),VALUE(MID(B911,4,2)),VALUE(LEFT(B911,2)))
      ),
      IF(ISNUMBER(SEARCH("/",B911)*1),
        DATE(VALUE(RIGHT(B911,4)),VALUE(LEFT(B911,2)),VALUE(MID(B911,4,2))),
        DATEVALUE(B911)
      )
    )
  ),
"INVALID_DATE")</f>
        <v>45771</v>
      </c>
      <c r="AA911" s="2">
        <f>IFERROR(
  IF(ISNUMBER(C911),C911,
    IF(ISNUMBER(SEARCH("-",C911)*1),
      IF(LEN(LEFT(C911,FIND("-",C911)-1))=4,
        DATE(VALUE(LEFT(C911,4)),VALUE(MID(C911,6,2)),VALUE(RIGHT(C911,2))),
        DATE(VALUE(RIGHT(C911,4)),VALUE(MID(C911,4,2)),VALUE(LEFT(C911,2)))
      ),
      IF(ISNUMBER(SEARCH("/",C911)*1),
        DATE(VALUE(RIGHT(C911,4)),VALUE(LEFT(C911,2)),VALUE(MID(C911,4,2))),
        DATEVALUE(C911)
      )
    )
  ),
"INVALID_DATE")</f>
        <v>45776</v>
      </c>
      <c r="AB911">
        <f t="shared" si="87"/>
        <v>5</v>
      </c>
      <c r="AC911" t="str">
        <f t="shared" si="88"/>
        <v>April</v>
      </c>
      <c r="AD911">
        <f t="shared" si="89"/>
        <v>2025</v>
      </c>
    </row>
    <row r="912" spans="1:30">
      <c r="A912" t="s">
        <v>716</v>
      </c>
      <c r="B912" t="s">
        <v>717</v>
      </c>
      <c r="C912" t="s">
        <v>718</v>
      </c>
      <c r="D912" t="s">
        <v>719</v>
      </c>
      <c r="E912" t="s">
        <v>175</v>
      </c>
      <c r="F912" t="s">
        <v>48</v>
      </c>
      <c r="G912" t="s">
        <v>720</v>
      </c>
      <c r="H912" t="s">
        <v>161</v>
      </c>
      <c r="I912" t="s">
        <v>162</v>
      </c>
      <c r="J912" t="s">
        <v>93</v>
      </c>
      <c r="K912" t="s">
        <v>101</v>
      </c>
      <c r="L912" t="s">
        <v>721</v>
      </c>
      <c r="M912" t="s">
        <v>55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131</v>
      </c>
      <c r="U912" t="s">
        <v>85</v>
      </c>
      <c r="V912">
        <f t="shared" si="84"/>
        <v>634.13</v>
      </c>
      <c r="W912">
        <f t="shared" si="85"/>
        <v>180.77999999999997</v>
      </c>
      <c r="X912">
        <f t="shared" si="86"/>
        <v>0.28508350022865975</v>
      </c>
      <c r="Y912" t="str">
        <f>_xlfn.TEXTJOIN(", ",TRUE,IF(G912="Unknown","Missing Region",""),IF(M912="Unknown","Missing Ship Mode",""),IF(P912&lt;0,"Negative Discount",""),IF(P912&gt;0.7,"High Discount",""),IF(C912&lt;B912,"Ship Before Order",""))</f>
        <v/>
      </c>
      <c r="Z912" s="2">
        <f>IFERROR(
  IF(ISNUMBER(B912),B912,
    IF(ISNUMBER(SEARCH("-",B912)*1),
      IF(LEN(LEFT(B912,FIND("-",B912)-1))=4,
        DATE(VALUE(LEFT(B912,4)),VALUE(MID(B912,6,2)),VALUE(RIGHT(B912,2))),
        DATE(VALUE(RIGHT(B912,4)),VALUE(MID(B912,4,2)),VALUE(LEFT(B912,2)))
      ),
      IF(ISNUMBER(SEARCH("/",B912)*1),
        DATE(VALUE(RIGHT(B912,4)),VALUE(LEFT(B912,2)),VALUE(MID(B912,4,2))),
        DATEVALUE(B912)
      )
    )
  ),
"INVALID_DATE")</f>
        <v>45436</v>
      </c>
      <c r="AA912" s="2">
        <f>IFERROR(
  IF(ISNUMBER(C912),C912,
    IF(ISNUMBER(SEARCH("-",C912)*1),
      IF(LEN(LEFT(C912,FIND("-",C912)-1))=4,
        DATE(VALUE(LEFT(C912,4)),VALUE(MID(C912,6,2)),VALUE(RIGHT(C912,2))),
        DATE(VALUE(RIGHT(C912,4)),VALUE(MID(C912,4,2)),VALUE(LEFT(C912,2)))
      ),
      IF(ISNUMBER(SEARCH("/",C912)*1),
        DATE(VALUE(RIGHT(C912,4)),VALUE(LEFT(C912,2)),VALUE(MID(C912,4,2))),
        DATEVALUE(C912)
      )
    )
  ),
"INVALID_DATE")</f>
        <v>45437</v>
      </c>
      <c r="AB912">
        <f t="shared" si="87"/>
        <v>1</v>
      </c>
      <c r="AC912" t="str">
        <f t="shared" si="88"/>
        <v>May</v>
      </c>
      <c r="AD912">
        <f t="shared" si="89"/>
        <v>2024</v>
      </c>
    </row>
    <row r="913" spans="1:30">
      <c r="A913" t="s">
        <v>1318</v>
      </c>
      <c r="B913" t="s">
        <v>1319</v>
      </c>
      <c r="C913" t="s">
        <v>1320</v>
      </c>
      <c r="D913" t="s">
        <v>1321</v>
      </c>
      <c r="E913" t="s">
        <v>68</v>
      </c>
      <c r="F913" t="s">
        <v>48</v>
      </c>
      <c r="G913" t="s">
        <v>49</v>
      </c>
      <c r="H913" t="s">
        <v>128</v>
      </c>
      <c r="I913" t="s">
        <v>129</v>
      </c>
      <c r="J913" t="s">
        <v>52</v>
      </c>
      <c r="K913" t="s">
        <v>72</v>
      </c>
      <c r="L913" t="s">
        <v>1322</v>
      </c>
      <c r="M913" t="s">
        <v>74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144</v>
      </c>
      <c r="U913" t="s">
        <v>132</v>
      </c>
      <c r="V913">
        <f t="shared" si="84"/>
        <v>14338.904999999999</v>
      </c>
      <c r="W913">
        <f t="shared" si="85"/>
        <v>2441.25</v>
      </c>
      <c r="X913">
        <f t="shared" si="86"/>
        <v>0.17025364567714399</v>
      </c>
      <c r="Y913" t="str">
        <f>_xlfn.TEXTJOIN(", ",TRUE,IF(G913="Unknown","Missing Region",""),IF(M913="Unknown","Missing Ship Mode",""),IF(P913&lt;0,"Negative Discount",""),IF(P913&gt;0.7,"High Discount",""),IF(C913&lt;B913,"Ship Before Order",""))</f>
        <v/>
      </c>
      <c r="Z913" s="2">
        <f>IFERROR(
  IF(ISNUMBER(B913),B913,
    IF(ISNUMBER(SEARCH("-",B913)*1),
      IF(LEN(LEFT(B913,FIND("-",B913)-1))=4,
        DATE(VALUE(LEFT(B913,4)),VALUE(MID(B913,6,2)),VALUE(RIGHT(B913,2))),
        DATE(VALUE(RIGHT(B913,4)),VALUE(MID(B913,4,2)),VALUE(LEFT(B913,2)))
      ),
      IF(ISNUMBER(SEARCH("/",B913)*1),
        DATE(VALUE(RIGHT(B913,4)),VALUE(LEFT(B913,2)),VALUE(MID(B913,4,2))),
        DATEVALUE(B913)
      )
    )
  ),
"INVALID_DATE")</f>
        <v>45343</v>
      </c>
      <c r="AA913" s="2">
        <f>IFERROR(
  IF(ISNUMBER(C913),C913,
    IF(ISNUMBER(SEARCH("-",C913)*1),
      IF(LEN(LEFT(C913,FIND("-",C913)-1))=4,
        DATE(VALUE(LEFT(C913,4)),VALUE(MID(C913,6,2)),VALUE(RIGHT(C913,2))),
        DATE(VALUE(RIGHT(C913,4)),VALUE(MID(C913,4,2)),VALUE(LEFT(C913,2)))
      ),
      IF(ISNUMBER(SEARCH("/",C913)*1),
        DATE(VALUE(RIGHT(C913,4)),VALUE(LEFT(C913,2)),VALUE(MID(C913,4,2))),
        DATEVALUE(C913)
      )
    )
  ),
"INVALID_DATE")</f>
        <v>45349</v>
      </c>
      <c r="AB913">
        <f t="shared" si="87"/>
        <v>6</v>
      </c>
      <c r="AC913" t="str">
        <f t="shared" si="88"/>
        <v>February</v>
      </c>
      <c r="AD913">
        <f t="shared" si="89"/>
        <v>2024</v>
      </c>
    </row>
    <row r="914" spans="1:30">
      <c r="A914" t="s">
        <v>1887</v>
      </c>
      <c r="B914" t="s">
        <v>1529</v>
      </c>
      <c r="C914" t="s">
        <v>1888</v>
      </c>
      <c r="D914" t="s">
        <v>1889</v>
      </c>
      <c r="E914" t="s">
        <v>374</v>
      </c>
      <c r="F914" t="s">
        <v>48</v>
      </c>
      <c r="G914" t="s">
        <v>49</v>
      </c>
      <c r="H914" t="s">
        <v>50</v>
      </c>
      <c r="I914" t="s">
        <v>51</v>
      </c>
      <c r="J914" t="s">
        <v>37</v>
      </c>
      <c r="K914" t="s">
        <v>1890</v>
      </c>
      <c r="L914" t="s">
        <v>1891</v>
      </c>
      <c r="M914" t="s">
        <v>55</v>
      </c>
      <c r="N914">
        <v>1</v>
      </c>
      <c r="O914">
        <v>2564.7399999999998</v>
      </c>
      <c r="P914">
        <v>0</v>
      </c>
      <c r="Q914">
        <v>2564.7399999999998</v>
      </c>
      <c r="R914">
        <v>1754.58</v>
      </c>
      <c r="S914">
        <v>810.16</v>
      </c>
      <c r="T914" t="s">
        <v>41</v>
      </c>
      <c r="U914" t="s">
        <v>42</v>
      </c>
      <c r="V914">
        <f t="shared" si="84"/>
        <v>2564.7399999999998</v>
      </c>
      <c r="W914">
        <f t="shared" si="85"/>
        <v>810.15999999999985</v>
      </c>
      <c r="X914">
        <f t="shared" si="86"/>
        <v>0.31588387126960238</v>
      </c>
      <c r="Y914" t="str">
        <f>_xlfn.TEXTJOIN(", ",TRUE,IF(G914="Unknown","Missing Region",""),IF(M914="Unknown","Missing Ship Mode",""),IF(P914&lt;0,"Negative Discount",""),IF(P914&gt;0.7,"High Discount",""),IF(C914&lt;B914,"Ship Before Order",""))</f>
        <v/>
      </c>
      <c r="Z914" s="2">
        <f>IFERROR(
  IF(ISNUMBER(B914),B914,
    IF(ISNUMBER(SEARCH("-",B914)*1),
      IF(LEN(LEFT(B914,FIND("-",B914)-1))=4,
        DATE(VALUE(LEFT(B914,4)),VALUE(MID(B914,6,2)),VALUE(RIGHT(B914,2))),
        DATE(VALUE(RIGHT(B914,4)),VALUE(MID(B914,4,2)),VALUE(LEFT(B914,2)))
      ),
      IF(ISNUMBER(SEARCH("/",B914)*1),
        DATE(VALUE(RIGHT(B914,4)),VALUE(LEFT(B914,2)),VALUE(MID(B914,4,2))),
        DATEVALUE(B914)
      )
    )
  ),
"INVALID_DATE")</f>
        <v>45801</v>
      </c>
      <c r="AA914" s="2">
        <f>IFERROR(
  IF(ISNUMBER(C914),C914,
    IF(ISNUMBER(SEARCH("-",C914)*1),
      IF(LEN(LEFT(C914,FIND("-",C914)-1))=4,
        DATE(VALUE(LEFT(C914,4)),VALUE(MID(C914,6,2)),VALUE(RIGHT(C914,2))),
        DATE(VALUE(RIGHT(C914,4)),VALUE(MID(C914,4,2)),VALUE(LEFT(C914,2)))
      ),
      IF(ISNUMBER(SEARCH("/",C914)*1),
        DATE(VALUE(RIGHT(C914,4)),VALUE(LEFT(C914,2)),VALUE(MID(C914,4,2))),
        DATEVALUE(C914)
      )
    )
  ),
"INVALID_DATE")</f>
        <v>45807</v>
      </c>
      <c r="AB914">
        <f t="shared" si="87"/>
        <v>6</v>
      </c>
      <c r="AC914" t="str">
        <f t="shared" si="88"/>
        <v>May</v>
      </c>
      <c r="AD914">
        <f t="shared" si="89"/>
        <v>2025</v>
      </c>
    </row>
    <row r="915" spans="1:30">
      <c r="A915" t="s">
        <v>1451</v>
      </c>
      <c r="B915" t="s">
        <v>1452</v>
      </c>
      <c r="C915" t="s">
        <v>1453</v>
      </c>
      <c r="D915" t="s">
        <v>1454</v>
      </c>
      <c r="E915" t="s">
        <v>114</v>
      </c>
      <c r="F915" t="s">
        <v>33</v>
      </c>
      <c r="G915" t="s">
        <v>69</v>
      </c>
      <c r="H915" t="s">
        <v>236</v>
      </c>
      <c r="I915" t="s">
        <v>237</v>
      </c>
      <c r="J915" t="s">
        <v>93</v>
      </c>
      <c r="K915" t="s">
        <v>101</v>
      </c>
      <c r="L915" t="s">
        <v>1455</v>
      </c>
      <c r="M915" t="s">
        <v>74</v>
      </c>
      <c r="N915">
        <v>9</v>
      </c>
      <c r="O915">
        <v>993.67</v>
      </c>
      <c r="P915">
        <v>0</v>
      </c>
      <c r="Q915">
        <v>8943.0300000000007</v>
      </c>
      <c r="R915">
        <v>5165.38</v>
      </c>
      <c r="S915">
        <v>3777.65</v>
      </c>
      <c r="T915" t="s">
        <v>41</v>
      </c>
      <c r="U915" t="s">
        <v>42</v>
      </c>
      <c r="V915">
        <f t="shared" si="84"/>
        <v>8943.0299999999988</v>
      </c>
      <c r="W915">
        <f t="shared" si="85"/>
        <v>3777.6500000000005</v>
      </c>
      <c r="X915">
        <f t="shared" si="86"/>
        <v>0.42241276167026165</v>
      </c>
      <c r="Y915" t="str">
        <f>_xlfn.TEXTJOIN(", ",TRUE,IF(G915="Unknown","Missing Region",""),IF(M915="Unknown","Missing Ship Mode",""),IF(P915&lt;0,"Negative Discount",""),IF(P915&gt;0.7,"High Discount",""),IF(C915&lt;B915,"Ship Before Order",""))</f>
        <v/>
      </c>
      <c r="Z915" s="2">
        <f>IFERROR(
  IF(ISNUMBER(B915),B915,
    IF(ISNUMBER(SEARCH("-",B915)*1),
      IF(LEN(LEFT(B915,FIND("-",B915)-1))=4,
        DATE(VALUE(LEFT(B915,4)),VALUE(MID(B915,6,2)),VALUE(RIGHT(B915,2))),
        DATE(VALUE(RIGHT(B915,4)),VALUE(MID(B915,4,2)),VALUE(LEFT(B915,2)))
      ),
      IF(ISNUMBER(SEARCH("/",B915)*1),
        DATE(VALUE(RIGHT(B915,4)),VALUE(LEFT(B915,2)),VALUE(MID(B915,4,2))),
        DATEVALUE(B915)
      )
    )
  ),
"INVALID_DATE")</f>
        <v>45649</v>
      </c>
      <c r="AA915" s="2">
        <f>IFERROR(
  IF(ISNUMBER(C915),C915,
    IF(ISNUMBER(SEARCH("-",C915)*1),
      IF(LEN(LEFT(C915,FIND("-",C915)-1))=4,
        DATE(VALUE(LEFT(C915,4)),VALUE(MID(C915,6,2)),VALUE(RIGHT(C915,2))),
        DATE(VALUE(RIGHT(C915,4)),VALUE(MID(C915,4,2)),VALUE(LEFT(C915,2)))
      ),
      IF(ISNUMBER(SEARCH("/",C915)*1),
        DATE(VALUE(RIGHT(C915,4)),VALUE(LEFT(C915,2)),VALUE(MID(C915,4,2))),
        DATEVALUE(C915)
      )
    )
  ),
"INVALID_DATE")</f>
        <v>45652</v>
      </c>
      <c r="AB915">
        <f t="shared" si="87"/>
        <v>3</v>
      </c>
      <c r="AC915" t="str">
        <f t="shared" si="88"/>
        <v>December</v>
      </c>
      <c r="AD915">
        <f t="shared" si="89"/>
        <v>2024</v>
      </c>
    </row>
    <row r="916" spans="1:30">
      <c r="A916" t="s">
        <v>3338</v>
      </c>
      <c r="B916" t="s">
        <v>2137</v>
      </c>
      <c r="C916" t="s">
        <v>3339</v>
      </c>
      <c r="D916" t="s">
        <v>3340</v>
      </c>
      <c r="E916" t="s">
        <v>60</v>
      </c>
      <c r="F916" t="s">
        <v>122</v>
      </c>
      <c r="G916" t="s">
        <v>80</v>
      </c>
      <c r="H916" t="s">
        <v>91</v>
      </c>
      <c r="I916" t="s">
        <v>92</v>
      </c>
      <c r="J916" t="s">
        <v>52</v>
      </c>
      <c r="K916" t="s">
        <v>83</v>
      </c>
      <c r="L916" t="s">
        <v>3341</v>
      </c>
      <c r="M916" t="s">
        <v>63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41</v>
      </c>
      <c r="U916" t="s">
        <v>42</v>
      </c>
      <c r="V916">
        <f t="shared" si="84"/>
        <v>9680.0199999999986</v>
      </c>
      <c r="W916">
        <f t="shared" si="85"/>
        <v>2803.3600000000006</v>
      </c>
      <c r="X916">
        <f t="shared" si="86"/>
        <v>0.28960270743242267</v>
      </c>
      <c r="Y916" t="str">
        <f>_xlfn.TEXTJOIN(", ",TRUE,IF(G916="Unknown","Missing Region",""),IF(M916="Unknown","Missing Ship Mode",""),IF(P916&lt;0,"Negative Discount",""),IF(P916&gt;0.7,"High Discount",""),IF(C916&lt;B916,"Ship Before Order",""))</f>
        <v/>
      </c>
      <c r="Z916" s="2">
        <f>IFERROR(
  IF(ISNUMBER(B916),B916,
    IF(ISNUMBER(SEARCH("-",B916)*1),
      IF(LEN(LEFT(B916,FIND("-",B916)-1))=4,
        DATE(VALUE(LEFT(B916,4)),VALUE(MID(B916,6,2)),VALUE(RIGHT(B916,2))),
        DATE(VALUE(RIGHT(B916,4)),VALUE(MID(B916,4,2)),VALUE(LEFT(B916,2)))
      ),
      IF(ISNUMBER(SEARCH("/",B916)*1),
        DATE(VALUE(RIGHT(B916,4)),VALUE(LEFT(B916,2)),VALUE(MID(B916,4,2))),
        DATEVALUE(B916)
      )
    )
  ),
"INVALID_DATE")</f>
        <v>45332</v>
      </c>
      <c r="AA916" s="2">
        <f>IFERROR(
  IF(ISNUMBER(C916),C916,
    IF(ISNUMBER(SEARCH("-",C916)*1),
      IF(LEN(LEFT(C916,FIND("-",C916)-1))=4,
        DATE(VALUE(LEFT(C916,4)),VALUE(MID(C916,6,2)),VALUE(RIGHT(C916,2))),
        DATE(VALUE(RIGHT(C916,4)),VALUE(MID(C916,4,2)),VALUE(LEFT(C916,2)))
      ),
      IF(ISNUMBER(SEARCH("/",C916)*1),
        DATE(VALUE(RIGHT(C916,4)),VALUE(LEFT(C916,2)),VALUE(MID(C916,4,2))),
        DATEVALUE(C916)
      )
    )
  ),
"INVALID_DATE")</f>
        <v>45340</v>
      </c>
      <c r="AB916">
        <f t="shared" si="87"/>
        <v>8</v>
      </c>
      <c r="AC916" t="str">
        <f t="shared" si="88"/>
        <v>February</v>
      </c>
      <c r="AD916">
        <f t="shared" si="89"/>
        <v>2024</v>
      </c>
    </row>
    <row r="917" spans="1:30">
      <c r="A917" t="s">
        <v>2656</v>
      </c>
      <c r="B917" t="s">
        <v>2657</v>
      </c>
      <c r="C917" t="s">
        <v>2658</v>
      </c>
      <c r="D917" t="s">
        <v>2659</v>
      </c>
      <c r="E917" t="s">
        <v>47</v>
      </c>
      <c r="F917" t="s">
        <v>115</v>
      </c>
      <c r="G917" t="s">
        <v>69</v>
      </c>
      <c r="H917" t="s">
        <v>70</v>
      </c>
      <c r="I917" t="s">
        <v>71</v>
      </c>
      <c r="J917" t="s">
        <v>37</v>
      </c>
      <c r="K917" t="s">
        <v>61</v>
      </c>
      <c r="L917" t="s">
        <v>2660</v>
      </c>
      <c r="M917" t="s">
        <v>40</v>
      </c>
      <c r="N917">
        <v>3</v>
      </c>
      <c r="O917">
        <v>3804.27</v>
      </c>
      <c r="P917">
        <v>0.1</v>
      </c>
      <c r="Q917">
        <v>10271.530000000001</v>
      </c>
      <c r="R917">
        <v>8272.24</v>
      </c>
      <c r="S917">
        <v>1999.29</v>
      </c>
      <c r="T917" t="s">
        <v>41</v>
      </c>
      <c r="U917" t="s">
        <v>42</v>
      </c>
      <c r="V917">
        <f t="shared" si="84"/>
        <v>10271.528999999999</v>
      </c>
      <c r="W917">
        <f t="shared" si="85"/>
        <v>1999.2900000000009</v>
      </c>
      <c r="X917">
        <f t="shared" si="86"/>
        <v>0.19464383592317794</v>
      </c>
      <c r="Y917" t="str">
        <f>_xlfn.TEXTJOIN(", ",TRUE,IF(G917="Unknown","Missing Region",""),IF(M917="Unknown","Missing Ship Mode",""),IF(P917&lt;0,"Negative Discount",""),IF(P917&gt;0.7,"High Discount",""),IF(C917&lt;B917,"Ship Before Order",""))</f>
        <v/>
      </c>
      <c r="Z917" s="2">
        <f>IFERROR(
  IF(ISNUMBER(B917),B917,
    IF(ISNUMBER(SEARCH("-",B917)*1),
      IF(LEN(LEFT(B917,FIND("-",B917)-1))=4,
        DATE(VALUE(LEFT(B917,4)),VALUE(MID(B917,6,2)),VALUE(RIGHT(B917,2))),
        DATE(VALUE(RIGHT(B917,4)),VALUE(MID(B917,4,2)),VALUE(LEFT(B917,2)))
      ),
      IF(ISNUMBER(SEARCH("/",B917)*1),
        DATE(VALUE(RIGHT(B917,4)),VALUE(LEFT(B917,2)),VALUE(MID(B917,4,2))),
        DATEVALUE(B917)
      )
    )
  ),
"INVALID_DATE")</f>
        <v>45941</v>
      </c>
      <c r="AA917" s="2">
        <f>IFERROR(
  IF(ISNUMBER(C917),C917,
    IF(ISNUMBER(SEARCH("-",C917)*1),
      IF(LEN(LEFT(C917,FIND("-",C917)-1))=4,
        DATE(VALUE(LEFT(C917,4)),VALUE(MID(C917,6,2)),VALUE(RIGHT(C917,2))),
        DATE(VALUE(RIGHT(C917,4)),VALUE(MID(C917,4,2)),VALUE(LEFT(C917,2)))
      ),
      IF(ISNUMBER(SEARCH("/",C917)*1),
        DATE(VALUE(RIGHT(C917,4)),VALUE(LEFT(C917,2)),VALUE(MID(C917,4,2))),
        DATEVALUE(C917)
      )
    )
  ),
"INVALID_DATE")</f>
        <v>45943</v>
      </c>
      <c r="AB917">
        <f t="shared" si="87"/>
        <v>2</v>
      </c>
      <c r="AC917" t="str">
        <f t="shared" si="88"/>
        <v>October</v>
      </c>
      <c r="AD917">
        <f t="shared" si="89"/>
        <v>2025</v>
      </c>
    </row>
    <row r="918" spans="1:30">
      <c r="A918" t="s">
        <v>3898</v>
      </c>
      <c r="B918" t="s">
        <v>3899</v>
      </c>
      <c r="C918" t="s">
        <v>1079</v>
      </c>
      <c r="D918" t="s">
        <v>3900</v>
      </c>
      <c r="E918" t="s">
        <v>60</v>
      </c>
      <c r="F918" t="s">
        <v>122</v>
      </c>
      <c r="G918" t="s">
        <v>80</v>
      </c>
      <c r="H918" t="s">
        <v>242</v>
      </c>
      <c r="I918" t="s">
        <v>243</v>
      </c>
      <c r="J918" t="s">
        <v>52</v>
      </c>
      <c r="K918" t="s">
        <v>211</v>
      </c>
      <c r="L918" t="s">
        <v>3901</v>
      </c>
      <c r="M918" t="s">
        <v>74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41</v>
      </c>
      <c r="U918" t="s">
        <v>42</v>
      </c>
      <c r="V918">
        <f t="shared" si="84"/>
        <v>1631.1120000000001</v>
      </c>
      <c r="W918">
        <f t="shared" si="85"/>
        <v>732.37999999999988</v>
      </c>
      <c r="X918">
        <f t="shared" si="86"/>
        <v>0.24313504300752248</v>
      </c>
      <c r="Y918" t="str">
        <f>_xlfn.TEXTJOIN(", ",TRUE,IF(G918="Unknown","Missing Region",""),IF(M918="Unknown","Missing Ship Mode",""),IF(P918&lt;0,"Negative Discount",""),IF(P918&gt;0.7,"High Discount",""),IF(C918&lt;B918,"Ship Before Order",""))</f>
        <v>Ship Before Order</v>
      </c>
      <c r="Z918" s="2">
        <f>IFERROR(
  IF(ISNUMBER(B918),B918,
    IF(ISNUMBER(SEARCH("-",B918)*1),
      IF(LEN(LEFT(B918,FIND("-",B918)-1))=4,
        DATE(VALUE(LEFT(B918,4)),VALUE(MID(B918,6,2)),VALUE(RIGHT(B918,2))),
        DATE(VALUE(RIGHT(B918,4)),VALUE(MID(B918,4,2)),VALUE(LEFT(B918,2)))
      ),
      IF(ISNUMBER(SEARCH("/",B918)*1),
        DATE(VALUE(RIGHT(B918,4)),VALUE(LEFT(B918,2)),VALUE(MID(B918,4,2))),
        DATEVALUE(B918)
      )
    )
  ),
"INVALID_DATE")</f>
        <v>45357</v>
      </c>
      <c r="AA918" s="2">
        <f>IFERROR(
  IF(ISNUMBER(C918),C918,
    IF(ISNUMBER(SEARCH("-",C918)*1),
      IF(LEN(LEFT(C918,FIND("-",C918)-1))=4,
        DATE(VALUE(LEFT(C918,4)),VALUE(MID(C918,6,2)),VALUE(RIGHT(C918,2))),
        DATE(VALUE(RIGHT(C918,4)),VALUE(MID(C918,4,2)),VALUE(LEFT(C918,2)))
      ),
      IF(ISNUMBER(SEARCH("/",C918)*1),
        DATE(VALUE(RIGHT(C918,4)),VALUE(LEFT(C918,2)),VALUE(MID(C918,4,2))),
        DATEVALUE(C918)
      )
    )
  ),
"INVALID_DATE")</f>
        <v>45363</v>
      </c>
      <c r="AB918">
        <f t="shared" si="87"/>
        <v>6</v>
      </c>
      <c r="AC918" t="str">
        <f t="shared" si="88"/>
        <v>March</v>
      </c>
      <c r="AD918">
        <f t="shared" si="89"/>
        <v>2024</v>
      </c>
    </row>
    <row r="919" spans="1:30">
      <c r="A919" t="s">
        <v>736</v>
      </c>
      <c r="B919" t="s">
        <v>198</v>
      </c>
      <c r="C919" t="s">
        <v>737</v>
      </c>
      <c r="D919" t="s">
        <v>738</v>
      </c>
      <c r="E919" t="s">
        <v>149</v>
      </c>
      <c r="F919" t="s">
        <v>115</v>
      </c>
      <c r="G919" t="s">
        <v>80</v>
      </c>
      <c r="H919" t="s">
        <v>91</v>
      </c>
      <c r="I919" t="s">
        <v>92</v>
      </c>
      <c r="J919" t="s">
        <v>37</v>
      </c>
      <c r="K919" t="s">
        <v>163</v>
      </c>
      <c r="L919" t="s">
        <v>739</v>
      </c>
      <c r="M919" t="s">
        <v>40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41</v>
      </c>
      <c r="U919" t="s">
        <v>42</v>
      </c>
      <c r="V919">
        <f t="shared" si="84"/>
        <v>5774.67</v>
      </c>
      <c r="W919">
        <f t="shared" si="85"/>
        <v>2256.31</v>
      </c>
      <c r="X919">
        <f t="shared" si="86"/>
        <v>0.39072535746631409</v>
      </c>
      <c r="Y919" t="str">
        <f>_xlfn.TEXTJOIN(", ",TRUE,IF(G919="Unknown","Missing Region",""),IF(M919="Unknown","Missing Ship Mode",""),IF(P919&lt;0,"Negative Discount",""),IF(P919&gt;0.7,"High Discount",""),IF(C919&lt;B919,"Ship Before Order",""))</f>
        <v/>
      </c>
      <c r="Z919" s="2">
        <f>IFERROR(
  IF(ISNUMBER(B919),B919,
    IF(ISNUMBER(SEARCH("-",B919)*1),
      IF(LEN(LEFT(B919,FIND("-",B919)-1))=4,
        DATE(VALUE(LEFT(B919,4)),VALUE(MID(B919,6,2)),VALUE(RIGHT(B919,2))),
        DATE(VALUE(RIGHT(B919,4)),VALUE(MID(B919,4,2)),VALUE(LEFT(B919,2)))
      ),
      IF(ISNUMBER(SEARCH("/",B919)*1),
        DATE(VALUE(RIGHT(B919,4)),VALUE(LEFT(B919,2)),VALUE(MID(B919,4,2))),
        DATEVALUE(B919)
      )
    )
  ),
"INVALID_DATE")</f>
        <v>45687</v>
      </c>
      <c r="AA919" s="2">
        <f>IFERROR(
  IF(ISNUMBER(C919),C919,
    IF(ISNUMBER(SEARCH("-",C919)*1),
      IF(LEN(LEFT(C919,FIND("-",C919)-1))=4,
        DATE(VALUE(LEFT(C919,4)),VALUE(MID(C919,6,2)),VALUE(RIGHT(C919,2))),
        DATE(VALUE(RIGHT(C919,4)),VALUE(MID(C919,4,2)),VALUE(LEFT(C919,2)))
      ),
      IF(ISNUMBER(SEARCH("/",C919)*1),
        DATE(VALUE(RIGHT(C919,4)),VALUE(LEFT(C919,2)),VALUE(MID(C919,4,2))),
        DATEVALUE(C919)
      )
    )
  ),
"INVALID_DATE")</f>
        <v>45683</v>
      </c>
      <c r="AB919">
        <f t="shared" si="87"/>
        <v>-4</v>
      </c>
      <c r="AC919" t="str">
        <f t="shared" si="88"/>
        <v>January</v>
      </c>
      <c r="AD919">
        <f t="shared" si="89"/>
        <v>2025</v>
      </c>
    </row>
    <row r="920" spans="1:30">
      <c r="A920" t="s">
        <v>3192</v>
      </c>
      <c r="B920" t="s">
        <v>3193</v>
      </c>
      <c r="C920" t="s">
        <v>3194</v>
      </c>
      <c r="D920" t="s">
        <v>3195</v>
      </c>
      <c r="E920" t="s">
        <v>155</v>
      </c>
      <c r="F920" t="s">
        <v>48</v>
      </c>
      <c r="G920" t="s">
        <v>34</v>
      </c>
      <c r="H920" t="s">
        <v>514</v>
      </c>
      <c r="I920" t="s">
        <v>515</v>
      </c>
      <c r="J920" t="s">
        <v>93</v>
      </c>
      <c r="K920" t="s">
        <v>230</v>
      </c>
      <c r="L920" t="s">
        <v>3196</v>
      </c>
      <c r="M920" t="s">
        <v>55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41</v>
      </c>
      <c r="U920" t="s">
        <v>42</v>
      </c>
      <c r="V920">
        <f t="shared" si="84"/>
        <v>20296.699499999999</v>
      </c>
      <c r="W920">
        <f t="shared" si="85"/>
        <v>5375.83</v>
      </c>
      <c r="X920">
        <f t="shared" si="86"/>
        <v>0.26486226825050374</v>
      </c>
      <c r="Y920" t="str">
        <f>_xlfn.TEXTJOIN(", ",TRUE,IF(G920="Unknown","Missing Region",""),IF(M920="Unknown","Missing Ship Mode",""),IF(P920&lt;0,"Negative Discount",""),IF(P920&gt;0.7,"High Discount",""),IF(C920&lt;B920,"Ship Before Order",""))</f>
        <v/>
      </c>
      <c r="Z920" s="2">
        <f>IFERROR(
  IF(ISNUMBER(B920),B920,
    IF(ISNUMBER(SEARCH("-",B920)*1),
      IF(LEN(LEFT(B920,FIND("-",B920)-1))=4,
        DATE(VALUE(LEFT(B920,4)),VALUE(MID(B920,6,2)),VALUE(RIGHT(B920,2))),
        DATE(VALUE(RIGHT(B920,4)),VALUE(MID(B920,4,2)),VALUE(LEFT(B920,2)))
      ),
      IF(ISNUMBER(SEARCH("/",B920)*1),
        DATE(VALUE(RIGHT(B920,4)),VALUE(LEFT(B920,2)),VALUE(MID(B920,4,2))),
        DATEVALUE(B920)
      )
    )
  ),
"INVALID_DATE")</f>
        <v>45911</v>
      </c>
      <c r="AA920" s="2">
        <f>IFERROR(
  IF(ISNUMBER(C920),C920,
    IF(ISNUMBER(SEARCH("-",C920)*1),
      IF(LEN(LEFT(C920,FIND("-",C920)-1))=4,
        DATE(VALUE(LEFT(C920,4)),VALUE(MID(C920,6,2)),VALUE(RIGHT(C920,2))),
        DATE(VALUE(RIGHT(C920,4)),VALUE(MID(C920,4,2)),VALUE(LEFT(C920,2)))
      ),
      IF(ISNUMBER(SEARCH("/",C920)*1),
        DATE(VALUE(RIGHT(C920,4)),VALUE(LEFT(C920,2)),VALUE(MID(C920,4,2))),
        DATEVALUE(C920)
      )
    )
  ),
"INVALID_DATE")</f>
        <v>45918</v>
      </c>
      <c r="AB920">
        <f t="shared" si="87"/>
        <v>7</v>
      </c>
      <c r="AC920" t="str">
        <f t="shared" si="88"/>
        <v>September</v>
      </c>
      <c r="AD920">
        <f t="shared" si="89"/>
        <v>2025</v>
      </c>
    </row>
    <row r="921" spans="1:30">
      <c r="A921" t="s">
        <v>96</v>
      </c>
      <c r="B921" t="s">
        <v>97</v>
      </c>
      <c r="C921" t="s">
        <v>98</v>
      </c>
      <c r="D921" t="s">
        <v>99</v>
      </c>
      <c r="E921" t="s">
        <v>100</v>
      </c>
      <c r="F921" t="s">
        <v>33</v>
      </c>
      <c r="G921" t="s">
        <v>49</v>
      </c>
      <c r="H921" t="s">
        <v>50</v>
      </c>
      <c r="I921" t="s">
        <v>51</v>
      </c>
      <c r="J921" t="s">
        <v>93</v>
      </c>
      <c r="K921" t="s">
        <v>101</v>
      </c>
      <c r="L921" t="s">
        <v>102</v>
      </c>
      <c r="M921" t="s">
        <v>74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41</v>
      </c>
      <c r="U921" t="s">
        <v>42</v>
      </c>
      <c r="V921">
        <f t="shared" si="84"/>
        <v>5847.5579999999991</v>
      </c>
      <c r="W921">
        <f t="shared" si="85"/>
        <v>1120.3100000000004</v>
      </c>
      <c r="X921">
        <f t="shared" si="86"/>
        <v>0.19158589223539388</v>
      </c>
      <c r="Y921" t="str">
        <f>_xlfn.TEXTJOIN(", ",TRUE,IF(G921="Unknown","Missing Region",""),IF(M921="Unknown","Missing Ship Mode",""),IF(P921&lt;0,"Negative Discount",""),IF(P921&gt;0.7,"High Discount",""),IF(C921&lt;B921,"Ship Before Order",""))</f>
        <v/>
      </c>
      <c r="Z921" s="2">
        <f>IFERROR(
  IF(ISNUMBER(B921),B921,
    IF(ISNUMBER(SEARCH("-",B921)*1),
      IF(LEN(LEFT(B921,FIND("-",B921)-1))=4,
        DATE(VALUE(LEFT(B921,4)),VALUE(MID(B921,6,2)),VALUE(RIGHT(B921,2))),
        DATE(VALUE(RIGHT(B921,4)),VALUE(MID(B921,4,2)),VALUE(LEFT(B921,2)))
      ),
      IF(ISNUMBER(SEARCH("/",B921)*1),
        DATE(VALUE(RIGHT(B921,4)),VALUE(LEFT(B921,2)),VALUE(MID(B921,4,2))),
        DATEVALUE(B921)
      )
    )
  ),
"INVALID_DATE")</f>
        <v>45757</v>
      </c>
      <c r="AA921" s="2">
        <f>IFERROR(
  IF(ISNUMBER(C921),C921,
    IF(ISNUMBER(SEARCH("-",C921)*1),
      IF(LEN(LEFT(C921,FIND("-",C921)-1))=4,
        DATE(VALUE(LEFT(C921,4)),VALUE(MID(C921,6,2)),VALUE(RIGHT(C921,2))),
        DATE(VALUE(RIGHT(C921,4)),VALUE(MID(C921,4,2)),VALUE(LEFT(C921,2)))
      ),
      IF(ISNUMBER(SEARCH("/",C921)*1),
        DATE(VALUE(RIGHT(C921,4)),VALUE(LEFT(C921,2)),VALUE(MID(C921,4,2))),
        DATEVALUE(C921)
      )
    )
  ),
"INVALID_DATE")</f>
        <v>45763</v>
      </c>
      <c r="AB921">
        <f t="shared" si="87"/>
        <v>6</v>
      </c>
      <c r="AC921" t="str">
        <f t="shared" si="88"/>
        <v>April</v>
      </c>
      <c r="AD921">
        <f t="shared" si="89"/>
        <v>2025</v>
      </c>
    </row>
    <row r="922" spans="1:30">
      <c r="A922" t="s">
        <v>1685</v>
      </c>
      <c r="B922" t="s">
        <v>713</v>
      </c>
      <c r="C922" t="s">
        <v>1686</v>
      </c>
      <c r="D922" t="s">
        <v>1687</v>
      </c>
      <c r="E922" t="s">
        <v>175</v>
      </c>
      <c r="F922" t="s">
        <v>122</v>
      </c>
      <c r="G922" t="s">
        <v>49</v>
      </c>
      <c r="H922" t="s">
        <v>50</v>
      </c>
      <c r="I922" t="s">
        <v>51</v>
      </c>
      <c r="J922" t="s">
        <v>37</v>
      </c>
      <c r="K922" t="s">
        <v>205</v>
      </c>
      <c r="L922" t="s">
        <v>1688</v>
      </c>
      <c r="M922" t="s">
        <v>40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4265.2700000000004</v>
      </c>
      <c r="T922" t="s">
        <v>41</v>
      </c>
      <c r="U922" t="s">
        <v>42</v>
      </c>
      <c r="V922">
        <f t="shared" si="84"/>
        <v>10742.64</v>
      </c>
      <c r="W922">
        <f t="shared" si="85"/>
        <v>4512.5199999999995</v>
      </c>
      <c r="X922">
        <f t="shared" si="86"/>
        <v>0.38810852519906941</v>
      </c>
      <c r="Y922" t="str">
        <f>_xlfn.TEXTJOIN(", ",TRUE,IF(G922="Unknown","Missing Region",""),IF(M922="Unknown","Missing Ship Mode",""),IF(P922&lt;0,"Negative Discount",""),IF(P922&gt;0.7,"High Discount",""),IF(C922&lt;B922,"Ship Before Order",""))</f>
        <v/>
      </c>
      <c r="Z922" s="2">
        <f>IFERROR(
  IF(ISNUMBER(B922),B922,
    IF(ISNUMBER(SEARCH("-",B922)*1),
      IF(LEN(LEFT(B922,FIND("-",B922)-1))=4,
        DATE(VALUE(LEFT(B922,4)),VALUE(MID(B922,6,2)),VALUE(RIGHT(B922,2))),
        DATE(VALUE(RIGHT(B922,4)),VALUE(MID(B922,4,2)),VALUE(LEFT(B922,2)))
      ),
      IF(ISNUMBER(SEARCH("/",B922)*1),
        DATE(VALUE(RIGHT(B922,4)),VALUE(LEFT(B922,2)),VALUE(MID(B922,4,2))),
        DATEVALUE(B922)
      )
    )
  ),
"INVALID_DATE")</f>
        <v>45630</v>
      </c>
      <c r="AA922" s="2">
        <f>IFERROR(
  IF(ISNUMBER(C922),C922,
    IF(ISNUMBER(SEARCH("-",C922)*1),
      IF(LEN(LEFT(C922,FIND("-",C922)-1))=4,
        DATE(VALUE(LEFT(C922,4)),VALUE(MID(C922,6,2)),VALUE(RIGHT(C922,2))),
        DATE(VALUE(RIGHT(C922,4)),VALUE(MID(C922,4,2)),VALUE(LEFT(C922,2)))
      ),
      IF(ISNUMBER(SEARCH("/",C922)*1),
        DATE(VALUE(RIGHT(C922,4)),VALUE(LEFT(C922,2)),VALUE(MID(C922,4,2))),
        DATEVALUE(C922)
      )
    )
  ),
"INVALID_DATE")</f>
        <v>45632</v>
      </c>
      <c r="AB922">
        <f t="shared" si="87"/>
        <v>2</v>
      </c>
      <c r="AC922" t="str">
        <f t="shared" si="88"/>
        <v>December</v>
      </c>
      <c r="AD922">
        <f t="shared" si="89"/>
        <v>2024</v>
      </c>
    </row>
    <row r="923" spans="1:30">
      <c r="A923" t="s">
        <v>557</v>
      </c>
      <c r="B923" t="s">
        <v>558</v>
      </c>
      <c r="C923" t="s">
        <v>76</v>
      </c>
      <c r="D923" t="s">
        <v>559</v>
      </c>
      <c r="E923" t="s">
        <v>169</v>
      </c>
      <c r="F923" t="s">
        <v>48</v>
      </c>
      <c r="G923" t="s">
        <v>49</v>
      </c>
      <c r="H923" t="s">
        <v>193</v>
      </c>
      <c r="I923" t="s">
        <v>194</v>
      </c>
      <c r="J923" t="s">
        <v>93</v>
      </c>
      <c r="K923" t="s">
        <v>101</v>
      </c>
      <c r="L923" t="s">
        <v>560</v>
      </c>
      <c r="M923" t="s">
        <v>63</v>
      </c>
      <c r="N923">
        <v>3</v>
      </c>
      <c r="O923">
        <v>3703.96</v>
      </c>
      <c r="P923">
        <v>0.15</v>
      </c>
      <c r="Q923">
        <v>9549.44</v>
      </c>
      <c r="R923">
        <v>5586.28</v>
      </c>
      <c r="S923">
        <v>3858.82</v>
      </c>
      <c r="T923" t="s">
        <v>41</v>
      </c>
      <c r="U923" t="s">
        <v>132</v>
      </c>
      <c r="V923">
        <f t="shared" si="84"/>
        <v>9445.098</v>
      </c>
      <c r="W923">
        <f t="shared" si="85"/>
        <v>3963.1600000000008</v>
      </c>
      <c r="X923">
        <f t="shared" si="86"/>
        <v>0.40408861671469742</v>
      </c>
      <c r="Y923" t="str">
        <f>_xlfn.TEXTJOIN(", ",TRUE,IF(G923="Unknown","Missing Region",""),IF(M923="Unknown","Missing Ship Mode",""),IF(P923&lt;0,"Negative Discount",""),IF(P923&gt;0.7,"High Discount",""),IF(C923&lt;B923,"Ship Before Order",""))</f>
        <v/>
      </c>
      <c r="Z923" s="2">
        <f>IFERROR(
  IF(ISNUMBER(B923),B923,
    IF(ISNUMBER(SEARCH("-",B923)*1),
      IF(LEN(LEFT(B923,FIND("-",B923)-1))=4,
        DATE(VALUE(LEFT(B923,4)),VALUE(MID(B923,6,2)),VALUE(RIGHT(B923,2))),
        DATE(VALUE(RIGHT(B923,4)),VALUE(MID(B923,4,2)),VALUE(LEFT(B923,2)))
      ),
      IF(ISNUMBER(SEARCH("/",B923)*1),
        DATE(VALUE(RIGHT(B923,4)),VALUE(LEFT(B923,2)),VALUE(MID(B923,4,2))),
        DATEVALUE(B923)
      )
    )
  ),
"INVALID_DATE")</f>
        <v>45893</v>
      </c>
      <c r="AA923" s="2">
        <f>IFERROR(
  IF(ISNUMBER(C923),C923,
    IF(ISNUMBER(SEARCH("-",C923)*1),
      IF(LEN(LEFT(C923,FIND("-",C923)-1))=4,
        DATE(VALUE(LEFT(C923,4)),VALUE(MID(C923,6,2)),VALUE(RIGHT(C923,2))),
        DATE(VALUE(RIGHT(C923,4)),VALUE(MID(C923,4,2)),VALUE(LEFT(C923,2)))
      ),
      IF(ISNUMBER(SEARCH("/",C923)*1),
        DATE(VALUE(RIGHT(C923,4)),VALUE(LEFT(C923,2)),VALUE(MID(C923,4,2))),
        DATEVALUE(C923)
      )
    )
  ),
"INVALID_DATE")</f>
        <v>45898</v>
      </c>
      <c r="AB923">
        <f t="shared" si="87"/>
        <v>5</v>
      </c>
      <c r="AC923" t="str">
        <f t="shared" si="88"/>
        <v>August</v>
      </c>
      <c r="AD923">
        <f t="shared" si="89"/>
        <v>2025</v>
      </c>
    </row>
    <row r="924" spans="1:30">
      <c r="A924" t="s">
        <v>1869</v>
      </c>
      <c r="B924" t="s">
        <v>1870</v>
      </c>
      <c r="C924" t="s">
        <v>1870</v>
      </c>
      <c r="D924" t="s">
        <v>1871</v>
      </c>
      <c r="E924" t="s">
        <v>175</v>
      </c>
      <c r="F924" t="s">
        <v>48</v>
      </c>
      <c r="G924" t="s">
        <v>34</v>
      </c>
      <c r="H924" t="s">
        <v>181</v>
      </c>
      <c r="I924" t="s">
        <v>182</v>
      </c>
      <c r="J924" t="s">
        <v>37</v>
      </c>
      <c r="K924" t="s">
        <v>163</v>
      </c>
      <c r="L924" t="s">
        <v>1872</v>
      </c>
      <c r="M924" t="s">
        <v>40</v>
      </c>
      <c r="N924">
        <v>9</v>
      </c>
      <c r="O924">
        <v>1118.68</v>
      </c>
      <c r="P924">
        <v>0</v>
      </c>
      <c r="Q924">
        <v>10348.43</v>
      </c>
      <c r="R924">
        <v>8595.3700000000008</v>
      </c>
      <c r="S924">
        <v>1472.75</v>
      </c>
      <c r="T924" t="s">
        <v>41</v>
      </c>
      <c r="U924" t="s">
        <v>132</v>
      </c>
      <c r="V924">
        <f t="shared" si="84"/>
        <v>10068.120000000001</v>
      </c>
      <c r="W924">
        <f t="shared" si="85"/>
        <v>1753.0599999999995</v>
      </c>
      <c r="X924">
        <f t="shared" si="86"/>
        <v>0.14231627406282885</v>
      </c>
      <c r="Y924" t="str">
        <f>_xlfn.TEXTJOIN(", ",TRUE,IF(G924="Unknown","Missing Region",""),IF(M924="Unknown","Missing Ship Mode",""),IF(P924&lt;0,"Negative Discount",""),IF(P924&gt;0.7,"High Discount",""),IF(C924&lt;B924,"Ship Before Order",""))</f>
        <v/>
      </c>
      <c r="Z924" s="2">
        <f>IFERROR(
  IF(ISNUMBER(B924),B924,
    IF(ISNUMBER(SEARCH("-",B924)*1),
      IF(LEN(LEFT(B924,FIND("-",B924)-1))=4,
        DATE(VALUE(LEFT(B924,4)),VALUE(MID(B924,6,2)),VALUE(RIGHT(B924,2))),
        DATE(VALUE(RIGHT(B924,4)),VALUE(MID(B924,4,2)),VALUE(LEFT(B924,2)))
      ),
      IF(ISNUMBER(SEARCH("/",B924)*1),
        DATE(VALUE(RIGHT(B924,4)),VALUE(LEFT(B924,2)),VALUE(MID(B924,4,2))),
        DATEVALUE(B924)
      )
    )
  ),
"INVALID_DATE")</f>
        <v>45760</v>
      </c>
      <c r="AA924" s="2">
        <f>IFERROR(
  IF(ISNUMBER(C924),C924,
    IF(ISNUMBER(SEARCH("-",C924)*1),
      IF(LEN(LEFT(C924,FIND("-",C924)-1))=4,
        DATE(VALUE(LEFT(C924,4)),VALUE(MID(C924,6,2)),VALUE(RIGHT(C924,2))),
        DATE(VALUE(RIGHT(C924,4)),VALUE(MID(C924,4,2)),VALUE(LEFT(C924,2)))
      ),
      IF(ISNUMBER(SEARCH("/",C924)*1),
        DATE(VALUE(RIGHT(C924,4)),VALUE(LEFT(C924,2)),VALUE(MID(C924,4,2))),
        DATEVALUE(C924)
      )
    )
  ),
"INVALID_DATE")</f>
        <v>45760</v>
      </c>
      <c r="AB924">
        <f t="shared" si="87"/>
        <v>0</v>
      </c>
      <c r="AC924" t="str">
        <f t="shared" si="88"/>
        <v>April</v>
      </c>
      <c r="AD924">
        <f t="shared" si="89"/>
        <v>2025</v>
      </c>
    </row>
    <row r="925" spans="1:30">
      <c r="A925" t="s">
        <v>1197</v>
      </c>
      <c r="B925" t="s">
        <v>1198</v>
      </c>
      <c r="C925" t="s">
        <v>1199</v>
      </c>
      <c r="D925" t="s">
        <v>1200</v>
      </c>
      <c r="E925" t="s">
        <v>60</v>
      </c>
      <c r="F925" t="s">
        <v>48</v>
      </c>
      <c r="G925" t="s">
        <v>34</v>
      </c>
      <c r="H925" t="s">
        <v>161</v>
      </c>
      <c r="I925" t="s">
        <v>162</v>
      </c>
      <c r="J925" t="s">
        <v>52</v>
      </c>
      <c r="K925" t="s">
        <v>72</v>
      </c>
      <c r="L925" t="s">
        <v>1201</v>
      </c>
      <c r="M925" t="s">
        <v>74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41</v>
      </c>
      <c r="U925" t="s">
        <v>132</v>
      </c>
      <c r="V925">
        <f t="shared" si="84"/>
        <v>11833.92</v>
      </c>
      <c r="W925">
        <f t="shared" si="85"/>
        <v>5433.9699999999993</v>
      </c>
      <c r="X925">
        <f t="shared" si="86"/>
        <v>0.42510908327136748</v>
      </c>
      <c r="Y925" t="str">
        <f>_xlfn.TEXTJOIN(", ",TRUE,IF(G925="Unknown","Missing Region",""),IF(M925="Unknown","Missing Ship Mode",""),IF(P925&lt;0,"Negative Discount",""),IF(P925&gt;0.7,"High Discount",""),IF(C925&lt;B925,"Ship Before Order",""))</f>
        <v>Ship Before Order</v>
      </c>
      <c r="Z925" s="2">
        <f>IFERROR(
  IF(ISNUMBER(B925),B925,
    IF(ISNUMBER(SEARCH("-",B925)*1),
      IF(LEN(LEFT(B925,FIND("-",B925)-1))=4,
        DATE(VALUE(LEFT(B925,4)),VALUE(MID(B925,6,2)),VALUE(RIGHT(B925,2))),
        DATE(VALUE(RIGHT(B925,4)),VALUE(MID(B925,4,2)),VALUE(LEFT(B925,2)))
      ),
      IF(ISNUMBER(SEARCH("/",B925)*1),
        DATE(VALUE(RIGHT(B925,4)),VALUE(LEFT(B925,2)),VALUE(MID(B925,4,2))),
        DATEVALUE(B925)
      )
    )
  ),
"INVALID_DATE")</f>
        <v>45932</v>
      </c>
      <c r="AA925" s="2">
        <f>IFERROR(
  IF(ISNUMBER(C925),C925,
    IF(ISNUMBER(SEARCH("-",C925)*1),
      IF(LEN(LEFT(C925,FIND("-",C925)-1))=4,
        DATE(VALUE(LEFT(C925,4)),VALUE(MID(C925,6,2)),VALUE(RIGHT(C925,2))),
        DATE(VALUE(RIGHT(C925,4)),VALUE(MID(C925,4,2)),VALUE(LEFT(C925,2)))
      ),
      IF(ISNUMBER(SEARCH("/",C925)*1),
        DATE(VALUE(RIGHT(C925,4)),VALUE(LEFT(C925,2)),VALUE(MID(C925,4,2))),
        DATEVALUE(C925)
      )
    )
  ),
"INVALID_DATE")</f>
        <v>45938</v>
      </c>
      <c r="AB925">
        <f t="shared" si="87"/>
        <v>6</v>
      </c>
      <c r="AC925" t="str">
        <f t="shared" si="88"/>
        <v>October</v>
      </c>
      <c r="AD925">
        <f t="shared" si="89"/>
        <v>2025</v>
      </c>
    </row>
    <row r="926" spans="1:30">
      <c r="A926" t="s">
        <v>1610</v>
      </c>
      <c r="B926" t="s">
        <v>1112</v>
      </c>
      <c r="C926" t="s">
        <v>125</v>
      </c>
      <c r="D926" t="s">
        <v>1611</v>
      </c>
      <c r="E926" t="s">
        <v>60</v>
      </c>
      <c r="F926" t="s">
        <v>115</v>
      </c>
      <c r="G926" t="s">
        <v>80</v>
      </c>
      <c r="H926" t="s">
        <v>91</v>
      </c>
      <c r="I926" t="s">
        <v>92</v>
      </c>
      <c r="J926" t="s">
        <v>37</v>
      </c>
      <c r="K926" t="s">
        <v>116</v>
      </c>
      <c r="L926" t="s">
        <v>1612</v>
      </c>
      <c r="M926" t="s">
        <v>74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207</v>
      </c>
      <c r="U926" t="s">
        <v>42</v>
      </c>
      <c r="V926">
        <f t="shared" si="84"/>
        <v>6485.3639999999996</v>
      </c>
      <c r="W926">
        <f t="shared" si="85"/>
        <v>1213.1999999999998</v>
      </c>
      <c r="X926">
        <f t="shared" si="86"/>
        <v>0.16833020455673306</v>
      </c>
      <c r="Y926" t="str">
        <f>_xlfn.TEXTJOIN(", ",TRUE,IF(G926="Unknown","Missing Region",""),IF(M926="Unknown","Missing Ship Mode",""),IF(P926&lt;0,"Negative Discount",""),IF(P926&gt;0.7,"High Discount",""),IF(C926&lt;B926,"Ship Before Order",""))</f>
        <v/>
      </c>
      <c r="Z926" s="2">
        <f>IFERROR(
  IF(ISNUMBER(B926),B926,
    IF(ISNUMBER(SEARCH("-",B926)*1),
      IF(LEN(LEFT(B926,FIND("-",B926)-1))=4,
        DATE(VALUE(LEFT(B926,4)),VALUE(MID(B926,6,2)),VALUE(RIGHT(B926,2))),
        DATE(VALUE(RIGHT(B926,4)),VALUE(MID(B926,4,2)),VALUE(LEFT(B926,2)))
      ),
      IF(ISNUMBER(SEARCH("/",B926)*1),
        DATE(VALUE(RIGHT(B926,4)),VALUE(LEFT(B926,2)),VALUE(MID(B926,4,2))),
        DATEVALUE(B926)
      )
    )
  ),
"INVALID_DATE")</f>
        <v>45795</v>
      </c>
      <c r="AA926" s="2">
        <f>IFERROR(
  IF(ISNUMBER(C926),C926,
    IF(ISNUMBER(SEARCH("-",C926)*1),
      IF(LEN(LEFT(C926,FIND("-",C926)-1))=4,
        DATE(VALUE(LEFT(C926,4)),VALUE(MID(C926,6,2)),VALUE(RIGHT(C926,2))),
        DATE(VALUE(RIGHT(C926,4)),VALUE(MID(C926,4,2)),VALUE(LEFT(C926,2)))
      ),
      IF(ISNUMBER(SEARCH("/",C926)*1),
        DATE(VALUE(RIGHT(C926,4)),VALUE(LEFT(C926,2)),VALUE(MID(C926,4,2))),
        DATEVALUE(C926)
      )
    )
  ),
"INVALID_DATE")</f>
        <v>45797</v>
      </c>
      <c r="AB926">
        <f t="shared" si="87"/>
        <v>2</v>
      </c>
      <c r="AC926" t="str">
        <f t="shared" si="88"/>
        <v>May</v>
      </c>
      <c r="AD926">
        <f t="shared" si="89"/>
        <v>2025</v>
      </c>
    </row>
    <row r="927" spans="1:30">
      <c r="A927" t="s">
        <v>942</v>
      </c>
      <c r="B927" t="s">
        <v>119</v>
      </c>
      <c r="C927" t="s">
        <v>943</v>
      </c>
      <c r="D927" t="s">
        <v>944</v>
      </c>
      <c r="E927" t="s">
        <v>187</v>
      </c>
      <c r="F927" t="s">
        <v>115</v>
      </c>
      <c r="G927" t="s">
        <v>49</v>
      </c>
      <c r="H927" t="s">
        <v>193</v>
      </c>
      <c r="I927" t="s">
        <v>194</v>
      </c>
      <c r="J927" t="s">
        <v>93</v>
      </c>
      <c r="K927" t="s">
        <v>101</v>
      </c>
      <c r="L927" t="s">
        <v>945</v>
      </c>
      <c r="M927" t="s">
        <v>74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41</v>
      </c>
      <c r="U927" t="s">
        <v>132</v>
      </c>
      <c r="V927">
        <f t="shared" si="84"/>
        <v>5133.96</v>
      </c>
      <c r="W927">
        <f t="shared" si="85"/>
        <v>1276.5299999999997</v>
      </c>
      <c r="X927">
        <f t="shared" si="86"/>
        <v>0.23124038467078845</v>
      </c>
      <c r="Y927" t="str">
        <f>_xlfn.TEXTJOIN(", ",TRUE,IF(G927="Unknown","Missing Region",""),IF(M927="Unknown","Missing Ship Mode",""),IF(P927&lt;0,"Negative Discount",""),IF(P927&gt;0.7,"High Discount",""),IF(C927&lt;B927,"Ship Before Order",""))</f>
        <v/>
      </c>
      <c r="Z927" s="2">
        <f>IFERROR(
  IF(ISNUMBER(B927),B927,
    IF(ISNUMBER(SEARCH("-",B927)*1),
      IF(LEN(LEFT(B927,FIND("-",B927)-1))=4,
        DATE(VALUE(LEFT(B927,4)),VALUE(MID(B927,6,2)),VALUE(RIGHT(B927,2))),
        DATE(VALUE(RIGHT(B927,4)),VALUE(MID(B927,4,2)),VALUE(LEFT(B927,2)))
      ),
      IF(ISNUMBER(SEARCH("/",B927)*1),
        DATE(VALUE(RIGHT(B927,4)),VALUE(LEFT(B927,2)),VALUE(MID(B927,4,2))),
        DATEVALUE(B927)
      )
    )
  ),
"INVALID_DATE")</f>
        <v>45907</v>
      </c>
      <c r="AA927" s="2">
        <f>IFERROR(
  IF(ISNUMBER(C927),C927,
    IF(ISNUMBER(SEARCH("-",C927)*1),
      IF(LEN(LEFT(C927,FIND("-",C927)-1))=4,
        DATE(VALUE(LEFT(C927,4)),VALUE(MID(C927,6,2)),VALUE(RIGHT(C927,2))),
        DATE(VALUE(RIGHT(C927,4)),VALUE(MID(C927,4,2)),VALUE(LEFT(C927,2)))
      ),
      IF(ISNUMBER(SEARCH("/",C927)*1),
        DATE(VALUE(RIGHT(C927,4)),VALUE(LEFT(C927,2)),VALUE(MID(C927,4,2))),
        DATEVALUE(C927)
      )
    )
  ),
"INVALID_DATE")</f>
        <v>45915</v>
      </c>
      <c r="AB927">
        <f t="shared" si="87"/>
        <v>8</v>
      </c>
      <c r="AC927" t="str">
        <f t="shared" si="88"/>
        <v>September</v>
      </c>
      <c r="AD927">
        <f t="shared" si="89"/>
        <v>2025</v>
      </c>
    </row>
    <row r="928" spans="1:30">
      <c r="A928" t="s">
        <v>2095</v>
      </c>
      <c r="B928" t="s">
        <v>2096</v>
      </c>
      <c r="C928" t="s">
        <v>2097</v>
      </c>
      <c r="D928" t="s">
        <v>2098</v>
      </c>
      <c r="E928" t="s">
        <v>217</v>
      </c>
      <c r="F928" t="s">
        <v>33</v>
      </c>
      <c r="G928" t="s">
        <v>69</v>
      </c>
      <c r="H928" t="s">
        <v>249</v>
      </c>
      <c r="I928" t="s">
        <v>250</v>
      </c>
      <c r="J928" t="s">
        <v>93</v>
      </c>
      <c r="K928" t="s">
        <v>94</v>
      </c>
      <c r="L928" t="s">
        <v>2099</v>
      </c>
      <c r="M928" t="s">
        <v>2100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41</v>
      </c>
      <c r="U928" t="s">
        <v>132</v>
      </c>
      <c r="V928">
        <f t="shared" si="84"/>
        <v>27211.032000000003</v>
      </c>
      <c r="W928">
        <f t="shared" si="85"/>
        <v>9382.4700000000012</v>
      </c>
      <c r="X928">
        <f t="shared" si="86"/>
        <v>0.33929780513781482</v>
      </c>
      <c r="Y928" t="str">
        <f>_xlfn.TEXTJOIN(", ",TRUE,IF(G928="Unknown","Missing Region",""),IF(M928="Unknown","Missing Ship Mode",""),IF(P928&lt;0,"Negative Discount",""),IF(P928&gt;0.7,"High Discount",""),IF(C928&lt;B928,"Ship Before Order",""))</f>
        <v/>
      </c>
      <c r="Z928" s="2">
        <f>IFERROR(
  IF(ISNUMBER(B928),B928,
    IF(ISNUMBER(SEARCH("-",B928)*1),
      IF(LEN(LEFT(B928,FIND("-",B928)-1))=4,
        DATE(VALUE(LEFT(B928,4)),VALUE(MID(B928,6,2)),VALUE(RIGHT(B928,2))),
        DATE(VALUE(RIGHT(B928,4)),VALUE(MID(B928,4,2)),VALUE(LEFT(B928,2)))
      ),
      IF(ISNUMBER(SEARCH("/",B928)*1),
        DATE(VALUE(RIGHT(B928,4)),VALUE(LEFT(B928,2)),VALUE(MID(B928,4,2))),
        DATEVALUE(B928)
      )
    )
  ),
"INVALID_DATE")</f>
        <v>45342</v>
      </c>
      <c r="AA928" s="2">
        <f>IFERROR(
  IF(ISNUMBER(C928),C928,
    IF(ISNUMBER(SEARCH("-",C928)*1),
      IF(LEN(LEFT(C928,FIND("-",C928)-1))=4,
        DATE(VALUE(LEFT(C928,4)),VALUE(MID(C928,6,2)),VALUE(RIGHT(C928,2))),
        DATE(VALUE(RIGHT(C928,4)),VALUE(MID(C928,4,2)),VALUE(LEFT(C928,2)))
      ),
      IF(ISNUMBER(SEARCH("/",C928)*1),
        DATE(VALUE(RIGHT(C928,4)),VALUE(LEFT(C928,2)),VALUE(MID(C928,4,2))),
        DATEVALUE(C928)
      )
    )
  ),
"INVALID_DATE")</f>
        <v>45349</v>
      </c>
      <c r="AB928">
        <f t="shared" si="87"/>
        <v>7</v>
      </c>
      <c r="AC928" t="str">
        <f t="shared" si="88"/>
        <v>February</v>
      </c>
      <c r="AD928">
        <f t="shared" si="89"/>
        <v>2024</v>
      </c>
    </row>
    <row r="929" spans="1:30">
      <c r="A929" t="s">
        <v>2747</v>
      </c>
      <c r="B929" t="s">
        <v>2683</v>
      </c>
      <c r="C929" t="s">
        <v>2748</v>
      </c>
      <c r="D929" t="s">
        <v>2749</v>
      </c>
      <c r="E929" t="s">
        <v>149</v>
      </c>
      <c r="F929" t="s">
        <v>48</v>
      </c>
      <c r="G929" t="s">
        <v>34</v>
      </c>
      <c r="H929" t="s">
        <v>181</v>
      </c>
      <c r="I929" t="s">
        <v>182</v>
      </c>
      <c r="J929" t="s">
        <v>93</v>
      </c>
      <c r="K929" t="s">
        <v>230</v>
      </c>
      <c r="L929" t="s">
        <v>2750</v>
      </c>
      <c r="M929" t="s">
        <v>279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207</v>
      </c>
      <c r="U929" t="s">
        <v>42</v>
      </c>
      <c r="V929">
        <f t="shared" si="84"/>
        <v>21381.45</v>
      </c>
      <c r="W929">
        <f t="shared" si="85"/>
        <v>8203.4200000000019</v>
      </c>
      <c r="X929">
        <f t="shared" si="86"/>
        <v>0.37965773518755919</v>
      </c>
      <c r="Y929" t="str">
        <f>_xlfn.TEXTJOIN(", ",TRUE,IF(G929="Unknown","Missing Region",""),IF(M929="Unknown","Missing Ship Mode",""),IF(P929&lt;0,"Negative Discount",""),IF(P929&gt;0.7,"High Discount",""),IF(C929&lt;B929,"Ship Before Order",""))</f>
        <v>Missing Ship Mode</v>
      </c>
      <c r="Z929" s="2">
        <f>IFERROR(
  IF(ISNUMBER(B929),B929,
    IF(ISNUMBER(SEARCH("-",B929)*1),
      IF(LEN(LEFT(B929,FIND("-",B929)-1))=4,
        DATE(VALUE(LEFT(B929,4)),VALUE(MID(B929,6,2)),VALUE(RIGHT(B929,2))),
        DATE(VALUE(RIGHT(B929,4)),VALUE(MID(B929,4,2)),VALUE(LEFT(B929,2)))
      ),
      IF(ISNUMBER(SEARCH("/",B929)*1),
        DATE(VALUE(RIGHT(B929,4)),VALUE(LEFT(B929,2)),VALUE(MID(B929,4,2))),
        DATEVALUE(B929)
      )
    )
  ),
"INVALID_DATE")</f>
        <v>45698</v>
      </c>
      <c r="AA929" s="2">
        <f>IFERROR(
  IF(ISNUMBER(C929),C929,
    IF(ISNUMBER(SEARCH("-",C929)*1),
      IF(LEN(LEFT(C929,FIND("-",C929)-1))=4,
        DATE(VALUE(LEFT(C929,4)),VALUE(MID(C929,6,2)),VALUE(RIGHT(C929,2))),
        DATE(VALUE(RIGHT(C929,4)),VALUE(MID(C929,4,2)),VALUE(LEFT(C929,2)))
      ),
      IF(ISNUMBER(SEARCH("/",C929)*1),
        DATE(VALUE(RIGHT(C929,4)),VALUE(LEFT(C929,2)),VALUE(MID(C929,4,2))),
        DATEVALUE(C929)
      )
    )
  ),
"INVALID_DATE")</f>
        <v>45702</v>
      </c>
      <c r="AB929">
        <f t="shared" si="87"/>
        <v>4</v>
      </c>
      <c r="AC929" t="str">
        <f t="shared" si="88"/>
        <v>February</v>
      </c>
      <c r="AD929">
        <f t="shared" si="89"/>
        <v>2025</v>
      </c>
    </row>
    <row r="930" spans="1:30">
      <c r="A930" t="s">
        <v>808</v>
      </c>
      <c r="B930" t="s">
        <v>809</v>
      </c>
      <c r="C930" t="s">
        <v>810</v>
      </c>
      <c r="D930" t="s">
        <v>811</v>
      </c>
      <c r="E930" t="s">
        <v>114</v>
      </c>
      <c r="F930" t="s">
        <v>122</v>
      </c>
      <c r="G930" t="s">
        <v>34</v>
      </c>
      <c r="H930" t="s">
        <v>35</v>
      </c>
      <c r="I930" t="s">
        <v>36</v>
      </c>
      <c r="J930" t="s">
        <v>93</v>
      </c>
      <c r="K930" t="s">
        <v>230</v>
      </c>
      <c r="L930" t="s">
        <v>812</v>
      </c>
      <c r="M930" t="s">
        <v>40</v>
      </c>
      <c r="N930">
        <v>5</v>
      </c>
      <c r="O930">
        <v>907.54</v>
      </c>
      <c r="P930">
        <v>0.15</v>
      </c>
      <c r="Q930">
        <v>4099.6899999999996</v>
      </c>
      <c r="R930">
        <v>2769.26</v>
      </c>
      <c r="S930">
        <v>1087.78</v>
      </c>
      <c r="T930" t="s">
        <v>41</v>
      </c>
      <c r="U930" t="s">
        <v>132</v>
      </c>
      <c r="V930">
        <f t="shared" si="84"/>
        <v>3857.0450000000001</v>
      </c>
      <c r="W930">
        <f t="shared" si="85"/>
        <v>1330.4299999999994</v>
      </c>
      <c r="X930">
        <f t="shared" si="86"/>
        <v>0.26533225682917488</v>
      </c>
      <c r="Y930" t="str">
        <f>_xlfn.TEXTJOIN(", ",TRUE,IF(G930="Unknown","Missing Region",""),IF(M930="Unknown","Missing Ship Mode",""),IF(P930&lt;0,"Negative Discount",""),IF(P930&gt;0.7,"High Discount",""),IF(C930&lt;B930,"Ship Before Order",""))</f>
        <v>Ship Before Order</v>
      </c>
      <c r="Z930" s="2">
        <f>IFERROR(
  IF(ISNUMBER(B930),B930,
    IF(ISNUMBER(SEARCH("-",B930)*1),
      IF(LEN(LEFT(B930,FIND("-",B930)-1))=4,
        DATE(VALUE(LEFT(B930,4)),VALUE(MID(B930,6,2)),VALUE(RIGHT(B930,2))),
        DATE(VALUE(RIGHT(B930,4)),VALUE(MID(B930,4,2)),VALUE(LEFT(B930,2)))
      ),
      IF(ISNUMBER(SEARCH("/",B930)*1),
        DATE(VALUE(RIGHT(B930,4)),VALUE(LEFT(B930,2)),VALUE(MID(B930,4,2))),
        DATEVALUE(B930)
      )
    )
  ),
"INVALID_DATE")</f>
        <v>45381</v>
      </c>
      <c r="AA930" s="2">
        <f>IFERROR(
  IF(ISNUMBER(C930),C930,
    IF(ISNUMBER(SEARCH("-",C930)*1),
      IF(LEN(LEFT(C930,FIND("-",C930)-1))=4,
        DATE(VALUE(LEFT(C930,4)),VALUE(MID(C930,6,2)),VALUE(RIGHT(C930,2))),
        DATE(VALUE(RIGHT(C930,4)),VALUE(MID(C930,4,2)),VALUE(LEFT(C930,2)))
      ),
      IF(ISNUMBER(SEARCH("/",C930)*1),
        DATE(VALUE(RIGHT(C930,4)),VALUE(LEFT(C930,2)),VALUE(MID(C930,4,2))),
        DATEVALUE(C930)
      )
    )
  ),
"INVALID_DATE")</f>
        <v>45377</v>
      </c>
      <c r="AB930">
        <f t="shared" si="87"/>
        <v>-4</v>
      </c>
      <c r="AC930" t="str">
        <f t="shared" si="88"/>
        <v>March</v>
      </c>
      <c r="AD930">
        <f t="shared" si="89"/>
        <v>2024</v>
      </c>
    </row>
    <row r="931" spans="1:30">
      <c r="A931" t="s">
        <v>1416</v>
      </c>
      <c r="B931" t="s">
        <v>1417</v>
      </c>
      <c r="C931" t="s">
        <v>1418</v>
      </c>
      <c r="D931" t="s">
        <v>1419</v>
      </c>
      <c r="E931" t="s">
        <v>68</v>
      </c>
      <c r="F931" t="s">
        <v>33</v>
      </c>
      <c r="G931" t="s">
        <v>69</v>
      </c>
      <c r="H931" t="s">
        <v>107</v>
      </c>
      <c r="I931" t="s">
        <v>108</v>
      </c>
      <c r="J931" t="s">
        <v>52</v>
      </c>
      <c r="K931" t="s">
        <v>83</v>
      </c>
      <c r="L931" t="s">
        <v>1420</v>
      </c>
      <c r="M931" t="s">
        <v>63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41</v>
      </c>
      <c r="U931" t="s">
        <v>132</v>
      </c>
      <c r="V931">
        <f t="shared" si="84"/>
        <v>3510.4230000000002</v>
      </c>
      <c r="W931">
        <f t="shared" si="85"/>
        <v>1606.29</v>
      </c>
      <c r="X931">
        <f t="shared" si="86"/>
        <v>0.31952266976320443</v>
      </c>
      <c r="Y931" t="str">
        <f>_xlfn.TEXTJOIN(", ",TRUE,IF(G931="Unknown","Missing Region",""),IF(M931="Unknown","Missing Ship Mode",""),IF(P931&lt;0,"Negative Discount",""),IF(P931&gt;0.7,"High Discount",""),IF(C931&lt;B931,"Ship Before Order",""))</f>
        <v/>
      </c>
      <c r="Z931" s="2">
        <f>IFERROR(
  IF(ISNUMBER(B931),B931,
    IF(ISNUMBER(SEARCH("-",B931)*1),
      IF(LEN(LEFT(B931,FIND("-",B931)-1))=4,
        DATE(VALUE(LEFT(B931,4)),VALUE(MID(B931,6,2)),VALUE(RIGHT(B931,2))),
        DATE(VALUE(RIGHT(B931,4)),VALUE(MID(B931,4,2)),VALUE(LEFT(B931,2)))
      ),
      IF(ISNUMBER(SEARCH("/",B931)*1),
        DATE(VALUE(RIGHT(B931,4)),VALUE(LEFT(B931,2)),VALUE(MID(B931,4,2))),
        DATEVALUE(B931)
      )
    )
  ),
"INVALID_DATE")</f>
        <v>45522</v>
      </c>
      <c r="AA931" s="2">
        <f>IFERROR(
  IF(ISNUMBER(C931),C931,
    IF(ISNUMBER(SEARCH("-",C931)*1),
      IF(LEN(LEFT(C931,FIND("-",C931)-1))=4,
        DATE(VALUE(LEFT(C931,4)),VALUE(MID(C931,6,2)),VALUE(RIGHT(C931,2))),
        DATE(VALUE(RIGHT(C931,4)),VALUE(MID(C931,4,2)),VALUE(LEFT(C931,2)))
      ),
      IF(ISNUMBER(SEARCH("/",C931)*1),
        DATE(VALUE(RIGHT(C931,4)),VALUE(LEFT(C931,2)),VALUE(MID(C931,4,2))),
        DATEVALUE(C931)
      )
    )
  ),
"INVALID_DATE")</f>
        <v>45528</v>
      </c>
      <c r="AB931">
        <f t="shared" si="87"/>
        <v>6</v>
      </c>
      <c r="AC931" t="str">
        <f t="shared" si="88"/>
        <v>August</v>
      </c>
      <c r="AD931">
        <f t="shared" si="89"/>
        <v>2024</v>
      </c>
    </row>
    <row r="932" spans="1:30">
      <c r="A932" t="s">
        <v>716</v>
      </c>
      <c r="B932" t="s">
        <v>717</v>
      </c>
      <c r="C932" t="s">
        <v>718</v>
      </c>
      <c r="D932" t="s">
        <v>719</v>
      </c>
      <c r="E932" t="s">
        <v>175</v>
      </c>
      <c r="F932" t="s">
        <v>48</v>
      </c>
      <c r="G932" t="s">
        <v>720</v>
      </c>
      <c r="H932" t="s">
        <v>161</v>
      </c>
      <c r="I932" t="s">
        <v>162</v>
      </c>
      <c r="J932" t="s">
        <v>93</v>
      </c>
      <c r="K932" t="s">
        <v>101</v>
      </c>
      <c r="L932" t="s">
        <v>721</v>
      </c>
      <c r="M932" t="s">
        <v>55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131</v>
      </c>
      <c r="U932" t="s">
        <v>132</v>
      </c>
      <c r="V932">
        <f t="shared" si="84"/>
        <v>634.13</v>
      </c>
      <c r="W932">
        <f t="shared" si="85"/>
        <v>355.31999999999994</v>
      </c>
      <c r="X932">
        <f t="shared" si="86"/>
        <v>0.22355225246392227</v>
      </c>
      <c r="Y932" t="str">
        <f>_xlfn.TEXTJOIN(", ",TRUE,IF(G932="Unknown","Missing Region",""),IF(M932="Unknown","Missing Ship Mode",""),IF(P932&lt;0,"Negative Discount",""),IF(P932&gt;0.7,"High Discount",""),IF(C932&lt;B932,"Ship Before Order",""))</f>
        <v/>
      </c>
      <c r="Z932" s="2">
        <f>IFERROR(
  IF(ISNUMBER(B932),B932,
    IF(ISNUMBER(SEARCH("-",B932)*1),
      IF(LEN(LEFT(B932,FIND("-",B932)-1))=4,
        DATE(VALUE(LEFT(B932,4)),VALUE(MID(B932,6,2)),VALUE(RIGHT(B932,2))),
        DATE(VALUE(RIGHT(B932,4)),VALUE(MID(B932,4,2)),VALUE(LEFT(B932,2)))
      ),
      IF(ISNUMBER(SEARCH("/",B932)*1),
        DATE(VALUE(RIGHT(B932,4)),VALUE(LEFT(B932,2)),VALUE(MID(B932,4,2))),
        DATEVALUE(B932)
      )
    )
  ),
"INVALID_DATE")</f>
        <v>45436</v>
      </c>
      <c r="AA932" s="2">
        <f>IFERROR(
  IF(ISNUMBER(C932),C932,
    IF(ISNUMBER(SEARCH("-",C932)*1),
      IF(LEN(LEFT(C932,FIND("-",C932)-1))=4,
        DATE(VALUE(LEFT(C932,4)),VALUE(MID(C932,6,2)),VALUE(RIGHT(C932,2))),
        DATE(VALUE(RIGHT(C932,4)),VALUE(MID(C932,4,2)),VALUE(LEFT(C932,2)))
      ),
      IF(ISNUMBER(SEARCH("/",C932)*1),
        DATE(VALUE(RIGHT(C932,4)),VALUE(LEFT(C932,2)),VALUE(MID(C932,4,2))),
        DATEVALUE(C932)
      )
    )
  ),
"INVALID_DATE")</f>
        <v>45437</v>
      </c>
      <c r="AB932">
        <f t="shared" si="87"/>
        <v>1</v>
      </c>
      <c r="AC932" t="str">
        <f t="shared" si="88"/>
        <v>May</v>
      </c>
      <c r="AD932">
        <f t="shared" si="89"/>
        <v>2024</v>
      </c>
    </row>
    <row r="933" spans="1:30">
      <c r="A933" t="s">
        <v>1705</v>
      </c>
      <c r="B933" t="s">
        <v>1706</v>
      </c>
      <c r="C933" t="s">
        <v>1707</v>
      </c>
      <c r="D933" t="s">
        <v>1708</v>
      </c>
      <c r="E933" t="s">
        <v>155</v>
      </c>
      <c r="F933" t="s">
        <v>122</v>
      </c>
      <c r="G933" t="s">
        <v>80</v>
      </c>
      <c r="H933" t="s">
        <v>91</v>
      </c>
      <c r="I933" t="s">
        <v>92</v>
      </c>
      <c r="J933" t="s">
        <v>37</v>
      </c>
      <c r="K933" t="s">
        <v>38</v>
      </c>
      <c r="L933" t="s">
        <v>1709</v>
      </c>
      <c r="M933" t="s">
        <v>63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41</v>
      </c>
      <c r="U933" t="s">
        <v>132</v>
      </c>
      <c r="V933">
        <f t="shared" si="84"/>
        <v>11581.298999999999</v>
      </c>
      <c r="W933">
        <f t="shared" si="85"/>
        <v>4949.2799999999988</v>
      </c>
      <c r="X933">
        <f t="shared" si="86"/>
        <v>0.40342872861289564</v>
      </c>
      <c r="Y933" t="str">
        <f>_xlfn.TEXTJOIN(", ",TRUE,IF(G933="Unknown","Missing Region",""),IF(M933="Unknown","Missing Ship Mode",""),IF(P933&lt;0,"Negative Discount",""),IF(P933&gt;0.7,"High Discount",""),IF(C933&lt;B933,"Ship Before Order",""))</f>
        <v/>
      </c>
      <c r="Z933" s="2">
        <f>IFERROR(
  IF(ISNUMBER(B933),B933,
    IF(ISNUMBER(SEARCH("-",B933)*1),
      IF(LEN(LEFT(B933,FIND("-",B933)-1))=4,
        DATE(VALUE(LEFT(B933,4)),VALUE(MID(B933,6,2)),VALUE(RIGHT(B933,2))),
        DATE(VALUE(RIGHT(B933,4)),VALUE(MID(B933,4,2)),VALUE(LEFT(B933,2)))
      ),
      IF(ISNUMBER(SEARCH("/",B933)*1),
        DATE(VALUE(RIGHT(B933,4)),VALUE(LEFT(B933,2)),VALUE(MID(B933,4,2))),
        DATEVALUE(B933)
      )
    )
  ),
"INVALID_DATE")</f>
        <v>45824</v>
      </c>
      <c r="AA933" s="2">
        <f>IFERROR(
  IF(ISNUMBER(C933),C933,
    IF(ISNUMBER(SEARCH("-",C933)*1),
      IF(LEN(LEFT(C933,FIND("-",C933)-1))=4,
        DATE(VALUE(LEFT(C933,4)),VALUE(MID(C933,6,2)),VALUE(RIGHT(C933,2))),
        DATE(VALUE(RIGHT(C933,4)),VALUE(MID(C933,4,2)),VALUE(LEFT(C933,2)))
      ),
      IF(ISNUMBER(SEARCH("/",C933)*1),
        DATE(VALUE(RIGHT(C933,4)),VALUE(LEFT(C933,2)),VALUE(MID(C933,4,2))),
        DATEVALUE(C933)
      )
    )
  ),
"INVALID_DATE")</f>
        <v>45826</v>
      </c>
      <c r="AB933">
        <f t="shared" si="87"/>
        <v>2</v>
      </c>
      <c r="AC933" t="str">
        <f t="shared" si="88"/>
        <v>June</v>
      </c>
      <c r="AD933">
        <f t="shared" si="89"/>
        <v>2025</v>
      </c>
    </row>
  </sheetData>
  <conditionalFormatting sqref="C2:C933">
    <cfRule type="expression" dxfId="10" priority="3">
      <formula>C2&lt;B2</formula>
    </cfRule>
  </conditionalFormatting>
  <conditionalFormatting sqref="G2:G933">
    <cfRule type="expression" dxfId="9" priority="4">
      <formula>G2="Unknown"</formula>
    </cfRule>
  </conditionalFormatting>
  <conditionalFormatting sqref="M2:M933">
    <cfRule type="expression" dxfId="8" priority="5">
      <formula>M2="Unknown"</formula>
    </cfRule>
  </conditionalFormatting>
  <conditionalFormatting sqref="P2:P933">
    <cfRule type="expression" dxfId="7" priority="1">
      <formula>P2&lt;0</formula>
    </cfRule>
    <cfRule type="expression" dxfId="6" priority="2">
      <formula>P2&gt;0.7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49C5E-C12C-474D-A8F7-4985982654A4}">
  <dimension ref="A1:AE913"/>
  <sheetViews>
    <sheetView tabSelected="1" topLeftCell="N1" workbookViewId="0">
      <selection activeCell="Y1" sqref="Y1"/>
    </sheetView>
  </sheetViews>
  <sheetFormatPr defaultRowHeight="14.4"/>
  <cols>
    <col min="1" max="1" width="15.109375" bestFit="1" customWidth="1"/>
    <col min="2" max="3" width="11.44140625" bestFit="1" customWidth="1"/>
    <col min="4" max="4" width="10" bestFit="1" customWidth="1"/>
    <col min="5" max="5" width="13.77734375" bestFit="1" customWidth="1"/>
    <col min="6" max="6" width="15" bestFit="1" customWidth="1"/>
    <col min="7" max="7" width="8.77734375" bestFit="1" customWidth="1"/>
    <col min="8" max="8" width="14.5546875" bestFit="1" customWidth="1"/>
    <col min="9" max="9" width="12" bestFit="1" customWidth="1"/>
    <col min="10" max="10" width="14.88671875" bestFit="1" customWidth="1"/>
    <col min="11" max="11" width="10.44140625" bestFit="1" customWidth="1"/>
    <col min="12" max="12" width="20" bestFit="1" customWidth="1"/>
    <col min="13" max="13" width="15.44140625" bestFit="1" customWidth="1"/>
    <col min="15" max="15" width="8.33203125" bestFit="1" customWidth="1"/>
    <col min="16" max="16" width="8.6640625" bestFit="1" customWidth="1"/>
    <col min="17" max="19" width="9" bestFit="1" customWidth="1"/>
    <col min="21" max="21" width="11.21875" bestFit="1" customWidth="1"/>
    <col min="22" max="22" width="11" bestFit="1" customWidth="1"/>
    <col min="23" max="23" width="9" bestFit="1" customWidth="1"/>
    <col min="24" max="24" width="12" bestFit="1" customWidth="1"/>
    <col min="25" max="25" width="31.88671875" bestFit="1" customWidth="1"/>
    <col min="26" max="27" width="10.33203125" bestFit="1" customWidth="1"/>
    <col min="28" max="28" width="8.6640625" bestFit="1" customWidth="1"/>
    <col min="29" max="29" width="9.77734375" bestFit="1" customWidth="1"/>
    <col min="30" max="30" width="8.5546875" bestFit="1" customWidth="1"/>
  </cols>
  <sheetData>
    <row r="1" spans="1:31" ht="41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27</v>
      </c>
      <c r="Z1" s="1" t="s">
        <v>4096</v>
      </c>
      <c r="AA1" s="1" t="s">
        <v>4097</v>
      </c>
      <c r="AB1" s="1" t="s">
        <v>24</v>
      </c>
      <c r="AC1" s="1" t="s">
        <v>25</v>
      </c>
      <c r="AD1" s="1" t="s">
        <v>26</v>
      </c>
      <c r="AE1" s="1" t="s">
        <v>4119</v>
      </c>
    </row>
    <row r="2" spans="1:31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41</v>
      </c>
      <c r="U2" t="s">
        <v>42</v>
      </c>
      <c r="V2">
        <f>O2*(1-P2)*N2</f>
        <v>19049.28</v>
      </c>
      <c r="W2">
        <f>V2-R2</f>
        <v>3207.3899999999994</v>
      </c>
      <c r="X2">
        <f>S2/Q2</f>
        <v>0.16837329284886357</v>
      </c>
      <c r="Y2" t="str">
        <f>_xlfn.TEXTJOIN(", ",TRUE,IF(G2="Unknown","Missing Region",""),IF(M2="Unknown","Missing Ship Mode",""),IF(P2&lt;0,"Negative Discount",""),IF(P2&gt;0.7,"High Discount",""),IF(C2&lt;B2,"Ship Before Order",""))</f>
        <v>Ship Before Order</v>
      </c>
      <c r="Z2" s="2">
        <f>IFERROR(
  IF(ISNUMBER(B2),B2,
    IF(ISNUMBER(SEARCH("-",B2)*1),
      IF(LEN(LEFT(B2,FIND("-",B2)-1))=4,
        DATE(VALUE(LEFT(B2,4)),VALUE(MID(B2,6,2)),VALUE(RIGHT(B2,2))),
        DATE(VALUE(RIGHT(B2,4)),VALUE(MID(B2,4,2)),VALUE(LEFT(B2,2)))
      ),
      IF(ISNUMBER(SEARCH("/",B2)*1),
        DATE(VALUE(RIGHT(B2,4)),VALUE(LEFT(B2,2)),VALUE(MID(B2,4,2))),
        DATEVALUE(B2)
      )
    )
  ),
"INVALID_DATE")</f>
        <v>45494</v>
      </c>
      <c r="AA2" s="2">
        <f>IFERROR(
  IF(ISNUMBER(C2),C2,
    IF(ISNUMBER(SEARCH("-",C2)*1),
      IF(LEN(LEFT(C2,FIND("-",C2)-1))=4,
        DATE(VALUE(LEFT(C2,4)),VALUE(MID(C2,6,2)),VALUE(RIGHT(C2,2))),
        DATE(VALUE(RIGHT(C2,4)),VALUE(MID(C2,4,2)),VALUE(LEFT(C2,2)))
      ),
      IF(ISNUMBER(SEARCH("/",C2)*1),
        DATE(VALUE(RIGHT(C2,4)),VALUE(LEFT(C2,2)),VALUE(MID(C2,4,2))),
        DATEVALUE(C2)
      )
    )
  ),
"INVALID_DATE")</f>
        <v>45500</v>
      </c>
      <c r="AB2">
        <f>AA2-Z2</f>
        <v>6</v>
      </c>
      <c r="AC2" t="str">
        <f>TEXT(Z2,"mmmm")</f>
        <v>July</v>
      </c>
      <c r="AD2">
        <f>YEAR(Z2)</f>
        <v>2024</v>
      </c>
      <c r="AE2" t="str">
        <f>IF(OR(Z2="INVALID_DATE",AA2="INVALID_DATE"),"Invalid Date",IF(AA2&lt;Z2,"Ship Before Order","OK"))</f>
        <v>OK</v>
      </c>
    </row>
    <row r="3" spans="1:31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t="s">
        <v>54</v>
      </c>
      <c r="M3" t="s">
        <v>55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41</v>
      </c>
      <c r="U3" t="s">
        <v>42</v>
      </c>
      <c r="V3">
        <f>O3*(1-P3)*N3</f>
        <v>7312.5</v>
      </c>
      <c r="W3">
        <f t="shared" ref="W3:W66" si="0">V3-R3</f>
        <v>2407.7700000000004</v>
      </c>
      <c r="X3">
        <f t="shared" ref="X3:X66" si="1">S3/Q3</f>
        <v>0.32926769230769232</v>
      </c>
      <c r="Y3" t="str">
        <f>_xlfn.TEXTJOIN(", ",TRUE,IF(G3="Unknown","Missing Region",""),IF(M3="Unknown","Missing Ship Mode",""),IF(P3&lt;0,"Negative Discount",""),IF(P3&gt;0.7,"High Discount",""),IF(C3&lt;B3,"Ship Before Order",""))</f>
        <v>Ship Before Order</v>
      </c>
      <c r="Z3" s="2">
        <f>IFERROR(
  IF(ISNUMBER(B3),B3,
    IF(ISNUMBER(SEARCH("-",B3)*1),
      IF(LEN(LEFT(B3,FIND("-",B3)-1))=4,
        DATE(VALUE(LEFT(B3,4)),VALUE(MID(B3,6,2)),VALUE(RIGHT(B3,2))),
        DATE(VALUE(RIGHT(B3,4)),VALUE(MID(B3,4,2)),VALUE(LEFT(B3,2)))
      ),
      IF(ISNUMBER(SEARCH("/",B3)*1),
        DATE(VALUE(RIGHT(B3,4)),VALUE(LEFT(B3,2)),VALUE(MID(B3,4,2))),
        DATEVALUE(B3)
      )
    )
  ),
"INVALID_DATE")</f>
        <v>45535</v>
      </c>
      <c r="AA3" s="2">
        <f>IFERROR(
  IF(ISNUMBER(C3),C3,
    IF(ISNUMBER(SEARCH("-",C3)*1),
      IF(LEN(LEFT(C3,FIND("-",C3)-1))=4,
        DATE(VALUE(LEFT(C3,4)),VALUE(MID(C3,6,2)),VALUE(RIGHT(C3,2))),
        DATE(VALUE(RIGHT(C3,4)),VALUE(MID(C3,4,2)),VALUE(LEFT(C3,2)))
      ),
      IF(ISNUMBER(SEARCH("/",C3)*1),
        DATE(VALUE(RIGHT(C3,4)),VALUE(LEFT(C3,2)),VALUE(MID(C3,4,2))),
        DATEVALUE(C3)
      )
    )
  ),
"INVALID_DATE")</f>
        <v>45540</v>
      </c>
      <c r="AB3">
        <f>AA3-Z3</f>
        <v>5</v>
      </c>
      <c r="AC3" t="str">
        <f>TEXT(Z3,"mmmm")</f>
        <v>August</v>
      </c>
      <c r="AD3">
        <f>YEAR(Z3)</f>
        <v>2024</v>
      </c>
      <c r="AE3" t="str">
        <f t="shared" ref="AE3:AE66" si="2">IF(OR(Z3="INVALID_DATE",AA3="INVALID_DATE"),"Invalid Date",IF(AA3&lt;Z3,"Ship Before Order","OK"))</f>
        <v>OK</v>
      </c>
    </row>
    <row r="4" spans="1:31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33</v>
      </c>
      <c r="G4" t="s">
        <v>49</v>
      </c>
      <c r="H4" t="s">
        <v>50</v>
      </c>
      <c r="I4" t="s">
        <v>51</v>
      </c>
      <c r="J4" t="s">
        <v>37</v>
      </c>
      <c r="K4" t="s">
        <v>61</v>
      </c>
      <c r="L4" t="s">
        <v>62</v>
      </c>
      <c r="M4" t="s">
        <v>63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41</v>
      </c>
      <c r="U4" t="s">
        <v>42</v>
      </c>
      <c r="V4">
        <f>O4*(1-P4)*N4</f>
        <v>1917.7739999999999</v>
      </c>
      <c r="W4">
        <f t="shared" si="0"/>
        <v>-547.91600000000017</v>
      </c>
      <c r="X4">
        <f t="shared" si="1"/>
        <v>0.42143313028542462</v>
      </c>
      <c r="Y4" t="s">
        <v>4120</v>
      </c>
      <c r="Z4" s="2">
        <f>IFERROR(
  IF(ISNUMBER(B4),B4,
    IF(ISNUMBER(SEARCH("-",B4)*1),
      IF(LEN(LEFT(B4,FIND("-",B4)-1))=4,
        DATE(VALUE(LEFT(B4,4)),VALUE(MID(B4,6,2)),VALUE(RIGHT(B4,2))),
        DATE(VALUE(RIGHT(B4,4)),VALUE(MID(B4,4,2)),VALUE(LEFT(B4,2)))
      ),
      IF(ISNUMBER(SEARCH("/",B4)*1),
        DATE(VALUE(RIGHT(B4,4)),VALUE(LEFT(B4,2)),VALUE(MID(B4,4,2))),
        DATEVALUE(B4)
      )
    )
  ),
"INVALID_DATE")</f>
        <v>45451</v>
      </c>
      <c r="AA4" s="2">
        <f>IFERROR(
  IF(ISNUMBER(C4),C4,
    IF(ISNUMBER(SEARCH("-",C4)*1),
      IF(LEN(LEFT(C4,FIND("-",C4)-1))=4,
        DATE(VALUE(LEFT(C4,4)),VALUE(MID(C4,6,2)),VALUE(RIGHT(C4,2))),
        DATE(VALUE(RIGHT(C4,4)),VALUE(MID(C4,4,2)),VALUE(LEFT(C4,2)))
      ),
      IF(ISNUMBER(SEARCH("/",C4)*1),
        DATE(VALUE(RIGHT(C4,4)),VALUE(LEFT(C4,2)),VALUE(MID(C4,4,2))),
        DATEVALUE(C4)
      )
    )
  ),
"INVALID_DATE")</f>
        <v>45458</v>
      </c>
      <c r="AB4">
        <f>AA4-Z4</f>
        <v>7</v>
      </c>
      <c r="AC4" t="str">
        <f>TEXT(Z4,"mmmm")</f>
        <v>June</v>
      </c>
      <c r="AD4">
        <f>YEAR(Z4)</f>
        <v>2024</v>
      </c>
      <c r="AE4" t="str">
        <f t="shared" si="2"/>
        <v>OK</v>
      </c>
    </row>
    <row r="5" spans="1:31">
      <c r="A5" t="s">
        <v>64</v>
      </c>
      <c r="B5" t="s">
        <v>65</v>
      </c>
      <c r="C5" t="s">
        <v>66</v>
      </c>
      <c r="D5" t="s">
        <v>67</v>
      </c>
      <c r="E5" t="s">
        <v>68</v>
      </c>
      <c r="F5" t="s">
        <v>48</v>
      </c>
      <c r="G5" t="s">
        <v>69</v>
      </c>
      <c r="H5" t="s">
        <v>70</v>
      </c>
      <c r="I5" t="s">
        <v>71</v>
      </c>
      <c r="J5" t="s">
        <v>52</v>
      </c>
      <c r="K5" t="s">
        <v>72</v>
      </c>
      <c r="L5" t="s">
        <v>73</v>
      </c>
      <c r="M5" t="s">
        <v>74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41</v>
      </c>
      <c r="U5" t="s">
        <v>42</v>
      </c>
      <c r="V5">
        <f>O5*(1-P5)*N5</f>
        <v>8317.9349999999995</v>
      </c>
      <c r="W5">
        <f t="shared" si="0"/>
        <v>1521.1649999999991</v>
      </c>
      <c r="X5">
        <f t="shared" si="1"/>
        <v>0.18287723027243558</v>
      </c>
      <c r="Y5" t="str">
        <f>_xlfn.TEXTJOIN(", ",TRUE,IF(G5="Unknown","Missing Region",""),IF(M5="Unknown","Missing Ship Mode",""),IF(P5&lt;0,"Negative Discount",""),IF(P5&gt;0.7,"High Discount",""),IF(C5&lt;B5,"Ship Before Order",""))</f>
        <v>Ship Before Order</v>
      </c>
      <c r="Z5" s="2">
        <f>IFERROR(
  IF(ISNUMBER(B5),B5,
    IF(ISNUMBER(SEARCH("-",B5)*1),
      IF(LEN(LEFT(B5,FIND("-",B5)-1))=4,
        DATE(VALUE(LEFT(B5,4)),VALUE(MID(B5,6,2)),VALUE(RIGHT(B5,2))),
        DATE(VALUE(RIGHT(B5,4)),VALUE(MID(B5,4,2)),VALUE(LEFT(B5,2)))
      ),
      IF(ISNUMBER(SEARCH("/",B5)*1),
        DATE(VALUE(RIGHT(B5,4)),VALUE(LEFT(B5,2)),VALUE(MID(B5,4,2))),
        DATEVALUE(B5)
      )
    )
  ),
"INVALID_DATE")</f>
        <v>45624</v>
      </c>
      <c r="AA5" s="2">
        <f>IFERROR(
  IF(ISNUMBER(C5),C5,
    IF(ISNUMBER(SEARCH("-",C5)*1),
      IF(LEN(LEFT(C5,FIND("-",C5)-1))=4,
        DATE(VALUE(LEFT(C5,4)),VALUE(MID(C5,6,2)),VALUE(RIGHT(C5,2))),
        DATE(VALUE(RIGHT(C5,4)),VALUE(MID(C5,4,2)),VALUE(LEFT(C5,2)))
      ),
      IF(ISNUMBER(SEARCH("/",C5)*1),
        DATE(VALUE(RIGHT(C5,4)),VALUE(LEFT(C5,2)),VALUE(MID(C5,4,2))),
        DATEVALUE(C5)
      )
    )
  ),
"INVALID_DATE")</f>
        <v>45625</v>
      </c>
      <c r="AB5">
        <f>AA5-Z5</f>
        <v>1</v>
      </c>
      <c r="AC5" t="str">
        <f>TEXT(Z5,"mmmm")</f>
        <v>November</v>
      </c>
      <c r="AD5">
        <f>YEAR(Z5)</f>
        <v>2024</v>
      </c>
      <c r="AE5" t="str">
        <f t="shared" si="2"/>
        <v>OK</v>
      </c>
    </row>
    <row r="6" spans="1:31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48</v>
      </c>
      <c r="G6" t="s">
        <v>80</v>
      </c>
      <c r="H6" t="s">
        <v>81</v>
      </c>
      <c r="I6" t="s">
        <v>82</v>
      </c>
      <c r="J6" t="s">
        <v>52</v>
      </c>
      <c r="K6" t="s">
        <v>83</v>
      </c>
      <c r="L6" t="s">
        <v>84</v>
      </c>
      <c r="M6" t="s">
        <v>63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41</v>
      </c>
      <c r="U6" t="s">
        <v>85</v>
      </c>
      <c r="V6">
        <f>O6*(1-P6)*N6</f>
        <v>20816.32</v>
      </c>
      <c r="W6">
        <f t="shared" si="0"/>
        <v>3110.9500000000007</v>
      </c>
      <c r="X6">
        <f t="shared" si="1"/>
        <v>0.14944764492475135</v>
      </c>
      <c r="Y6" t="str">
        <f>_xlfn.TEXTJOIN(", ",TRUE,IF(G6="Unknown","Missing Region",""),IF(M6="Unknown","Missing Ship Mode",""),IF(P6&lt;0,"Negative Discount",""),IF(P6&gt;0.7,"High Discount",""),IF(C6&lt;B6,"Ship Before Order",""))</f>
        <v>Ship Before Order</v>
      </c>
      <c r="Z6" s="2">
        <f>IFERROR(
  IF(ISNUMBER(B6),B6,
    IF(ISNUMBER(SEARCH("-",B6)*1),
      IF(LEN(LEFT(B6,FIND("-",B6)-1))=4,
        DATE(VALUE(LEFT(B6,4)),VALUE(MID(B6,6,2)),VALUE(RIGHT(B6,2))),
        DATE(VALUE(RIGHT(B6,4)),VALUE(MID(B6,4,2)),VALUE(LEFT(B6,2)))
      ),
      IF(ISNUMBER(SEARCH("/",B6)*1),
        DATE(VALUE(RIGHT(B6,4)),VALUE(LEFT(B6,2)),VALUE(MID(B6,4,2))),
        DATEVALUE(B6)
      )
    )
  ),
"INVALID_DATE")</f>
        <v>45898</v>
      </c>
      <c r="AA6" s="2">
        <f>IFERROR(
  IF(ISNUMBER(C6),C6,
    IF(ISNUMBER(SEARCH("-",C6)*1),
      IF(LEN(LEFT(C6,FIND("-",C6)-1))=4,
        DATE(VALUE(LEFT(C6,4)),VALUE(MID(C6,6,2)),VALUE(RIGHT(C6,2))),
        DATE(VALUE(RIGHT(C6,4)),VALUE(MID(C6,4,2)),VALUE(LEFT(C6,2)))
      ),
      IF(ISNUMBER(SEARCH("/",C6)*1),
        DATE(VALUE(RIGHT(C6,4)),VALUE(LEFT(C6,2)),VALUE(MID(C6,4,2))),
        DATEVALUE(C6)
      )
    )
  ),
"INVALID_DATE")</f>
        <v>45901</v>
      </c>
      <c r="AB6">
        <f>AA6-Z6</f>
        <v>3</v>
      </c>
      <c r="AC6" t="str">
        <f>TEXT(Z6,"mmmm")</f>
        <v>August</v>
      </c>
      <c r="AD6">
        <f>YEAR(Z6)</f>
        <v>2025</v>
      </c>
      <c r="AE6" t="str">
        <f t="shared" si="2"/>
        <v>OK</v>
      </c>
    </row>
    <row r="7" spans="1:31">
      <c r="A7" t="s">
        <v>86</v>
      </c>
      <c r="B7" t="s">
        <v>87</v>
      </c>
      <c r="C7" t="s">
        <v>88</v>
      </c>
      <c r="D7" t="s">
        <v>89</v>
      </c>
      <c r="E7" t="s">
        <v>90</v>
      </c>
      <c r="F7" t="s">
        <v>48</v>
      </c>
      <c r="G7" t="s">
        <v>80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55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41</v>
      </c>
      <c r="U7" t="s">
        <v>42</v>
      </c>
      <c r="V7">
        <f>O7*(1-P7)*N7</f>
        <v>2527.4639999999999</v>
      </c>
      <c r="W7">
        <f t="shared" si="0"/>
        <v>993.88400000000001</v>
      </c>
      <c r="X7">
        <f t="shared" si="1"/>
        <v>0.39323273167527872</v>
      </c>
      <c r="Y7" t="s">
        <v>4120</v>
      </c>
      <c r="Z7" s="2">
        <f>IFERROR(
  IF(ISNUMBER(B7),B7,
    IF(ISNUMBER(SEARCH("-",B7)*1),
      IF(LEN(LEFT(B7,FIND("-",B7)-1))=4,
        DATE(VALUE(LEFT(B7,4)),VALUE(MID(B7,6,2)),VALUE(RIGHT(B7,2))),
        DATE(VALUE(RIGHT(B7,4)),VALUE(MID(B7,4,2)),VALUE(LEFT(B7,2)))
      ),
      IF(ISNUMBER(SEARCH("/",B7)*1),
        DATE(VALUE(RIGHT(B7,4)),VALUE(LEFT(B7,2)),VALUE(MID(B7,4,2))),
        DATEVALUE(B7)
      )
    )
  ),
"INVALID_DATE")</f>
        <v>45436</v>
      </c>
      <c r="AA7" s="2">
        <f>IFERROR(
  IF(ISNUMBER(C7),C7,
    IF(ISNUMBER(SEARCH("-",C7)*1),
      IF(LEN(LEFT(C7,FIND("-",C7)-1))=4,
        DATE(VALUE(LEFT(C7,4)),VALUE(MID(C7,6,2)),VALUE(RIGHT(C7,2))),
        DATE(VALUE(RIGHT(C7,4)),VALUE(MID(C7,4,2)),VALUE(LEFT(C7,2)))
      ),
      IF(ISNUMBER(SEARCH("/",C7)*1),
        DATE(VALUE(RIGHT(C7,4)),VALUE(LEFT(C7,2)),VALUE(MID(C7,4,2))),
        DATEVALUE(C7)
      )
    )
  ),
"INVALID_DATE")</f>
        <v>45440</v>
      </c>
      <c r="AB7">
        <f>AA7-Z7</f>
        <v>4</v>
      </c>
      <c r="AC7" t="str">
        <f>TEXT(Z7,"mmmm")</f>
        <v>May</v>
      </c>
      <c r="AD7">
        <f>YEAR(Z7)</f>
        <v>2024</v>
      </c>
      <c r="AE7" t="str">
        <f t="shared" si="2"/>
        <v>OK</v>
      </c>
    </row>
    <row r="8" spans="1:31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33</v>
      </c>
      <c r="G8" t="s">
        <v>49</v>
      </c>
      <c r="H8" t="s">
        <v>50</v>
      </c>
      <c r="I8" t="s">
        <v>51</v>
      </c>
      <c r="J8" t="s">
        <v>93</v>
      </c>
      <c r="K8" t="s">
        <v>101</v>
      </c>
      <c r="L8" t="s">
        <v>102</v>
      </c>
      <c r="M8" t="s">
        <v>74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41</v>
      </c>
      <c r="U8" t="s">
        <v>42</v>
      </c>
      <c r="V8">
        <f>O8*(1-P8)*N8</f>
        <v>5847.5579999999991</v>
      </c>
      <c r="W8">
        <f t="shared" si="0"/>
        <v>1120.3079999999991</v>
      </c>
      <c r="X8">
        <f t="shared" si="1"/>
        <v>0.19158589223539388</v>
      </c>
      <c r="Y8" t="s">
        <v>4120</v>
      </c>
      <c r="Z8" s="2">
        <f>IFERROR(
  IF(ISNUMBER(B8),B8,
    IF(ISNUMBER(SEARCH("-",B8)*1),
      IF(LEN(LEFT(B8,FIND("-",B8)-1))=4,
        DATE(VALUE(LEFT(B8,4)),VALUE(MID(B8,6,2)),VALUE(RIGHT(B8,2))),
        DATE(VALUE(RIGHT(B8,4)),VALUE(MID(B8,4,2)),VALUE(LEFT(B8,2)))
      ),
      IF(ISNUMBER(SEARCH("/",B8)*1),
        DATE(VALUE(RIGHT(B8,4)),VALUE(LEFT(B8,2)),VALUE(MID(B8,4,2))),
        DATEVALUE(B8)
      )
    )
  ),
"INVALID_DATE")</f>
        <v>45757</v>
      </c>
      <c r="AA8" s="2">
        <f>IFERROR(
  IF(ISNUMBER(C8),C8,
    IF(ISNUMBER(SEARCH("-",C8)*1),
      IF(LEN(LEFT(C8,FIND("-",C8)-1))=4,
        DATE(VALUE(LEFT(C8,4)),VALUE(MID(C8,6,2)),VALUE(RIGHT(C8,2))),
        DATE(VALUE(RIGHT(C8,4)),VALUE(MID(C8,4,2)),VALUE(LEFT(C8,2)))
      ),
      IF(ISNUMBER(SEARCH("/",C8)*1),
        DATE(VALUE(RIGHT(C8,4)),VALUE(LEFT(C8,2)),VALUE(MID(C8,4,2))),
        DATEVALUE(C8)
      )
    )
  ),
"INVALID_DATE")</f>
        <v>45763</v>
      </c>
      <c r="AB8">
        <f>AA8-Z8</f>
        <v>6</v>
      </c>
      <c r="AC8" t="str">
        <f>TEXT(Z8,"mmmm")</f>
        <v>April</v>
      </c>
      <c r="AD8">
        <f>YEAR(Z8)</f>
        <v>2025</v>
      </c>
      <c r="AE8" t="str">
        <f t="shared" si="2"/>
        <v>OK</v>
      </c>
    </row>
    <row r="9" spans="1:31">
      <c r="A9" t="s">
        <v>103</v>
      </c>
      <c r="B9" t="s">
        <v>104</v>
      </c>
      <c r="C9" t="s">
        <v>105</v>
      </c>
      <c r="D9" t="s">
        <v>106</v>
      </c>
      <c r="E9" t="s">
        <v>60</v>
      </c>
      <c r="F9" t="s">
        <v>48</v>
      </c>
      <c r="G9" t="s">
        <v>69</v>
      </c>
      <c r="H9" t="s">
        <v>107</v>
      </c>
      <c r="I9" t="s">
        <v>108</v>
      </c>
      <c r="J9" t="s">
        <v>37</v>
      </c>
      <c r="K9" t="s">
        <v>61</v>
      </c>
      <c r="L9" t="s">
        <v>109</v>
      </c>
      <c r="M9" t="s">
        <v>63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41</v>
      </c>
      <c r="U9" t="s">
        <v>42</v>
      </c>
      <c r="V9">
        <f>O9*(1-P9)*N9</f>
        <v>2980.71</v>
      </c>
      <c r="W9">
        <f t="shared" si="0"/>
        <v>623.49000000000024</v>
      </c>
      <c r="X9">
        <f t="shared" si="1"/>
        <v>0.20917499521925983</v>
      </c>
      <c r="Y9" t="s">
        <v>4120</v>
      </c>
      <c r="Z9" s="2">
        <f>IFERROR(
  IF(ISNUMBER(B9),B9,
    IF(ISNUMBER(SEARCH("-",B9)*1),
      IF(LEN(LEFT(B9,FIND("-",B9)-1))=4,
        DATE(VALUE(LEFT(B9,4)),VALUE(MID(B9,6,2)),VALUE(RIGHT(B9,2))),
        DATE(VALUE(RIGHT(B9,4)),VALUE(MID(B9,4,2)),VALUE(LEFT(B9,2)))
      ),
      IF(ISNUMBER(SEARCH("/",B9)*1),
        DATE(VALUE(RIGHT(B9,4)),VALUE(LEFT(B9,2)),VALUE(MID(B9,4,2))),
        DATEVALUE(B9)
      )
    )
  ),
"INVALID_DATE")</f>
        <v>45711</v>
      </c>
      <c r="AA9" s="2">
        <f>IFERROR(
  IF(ISNUMBER(C9),C9,
    IF(ISNUMBER(SEARCH("-",C9)*1),
      IF(LEN(LEFT(C9,FIND("-",C9)-1))=4,
        DATE(VALUE(LEFT(C9,4)),VALUE(MID(C9,6,2)),VALUE(RIGHT(C9,2))),
        DATE(VALUE(RIGHT(C9,4)),VALUE(MID(C9,4,2)),VALUE(LEFT(C9,2)))
      ),
      IF(ISNUMBER(SEARCH("/",C9)*1),
        DATE(VALUE(RIGHT(C9,4)),VALUE(LEFT(C9,2)),VALUE(MID(C9,4,2))),
        DATEVALUE(C9)
      )
    )
  ),
"INVALID_DATE")</f>
        <v>45714</v>
      </c>
      <c r="AB9">
        <f>AA9-Z9</f>
        <v>3</v>
      </c>
      <c r="AC9" t="str">
        <f>TEXT(Z9,"mmmm")</f>
        <v>February</v>
      </c>
      <c r="AD9">
        <f>YEAR(Z9)</f>
        <v>2025</v>
      </c>
      <c r="AE9" t="str">
        <f t="shared" si="2"/>
        <v>OK</v>
      </c>
    </row>
    <row r="10" spans="1:31">
      <c r="A10" t="s">
        <v>110</v>
      </c>
      <c r="B10" t="s">
        <v>111</v>
      </c>
      <c r="C10" t="s">
        <v>112</v>
      </c>
      <c r="D10" t="s">
        <v>113</v>
      </c>
      <c r="E10" t="s">
        <v>114</v>
      </c>
      <c r="F10" t="s">
        <v>115</v>
      </c>
      <c r="G10" t="s">
        <v>69</v>
      </c>
      <c r="H10" t="s">
        <v>70</v>
      </c>
      <c r="I10" t="s">
        <v>71</v>
      </c>
      <c r="J10" t="s">
        <v>37</v>
      </c>
      <c r="K10" t="s">
        <v>116</v>
      </c>
      <c r="L10" t="s">
        <v>117</v>
      </c>
      <c r="M10" t="s">
        <v>63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41</v>
      </c>
      <c r="U10" t="s">
        <v>42</v>
      </c>
      <c r="V10">
        <f>O10*(1-P10)*N10</f>
        <v>25073.599999999999</v>
      </c>
      <c r="W10">
        <f t="shared" si="0"/>
        <v>7726.369999999999</v>
      </c>
      <c r="X10">
        <f t="shared" si="1"/>
        <v>0.30814761342607366</v>
      </c>
      <c r="Y10" t="s">
        <v>4120</v>
      </c>
      <c r="Z10" s="2">
        <f>IFERROR(
  IF(ISNUMBER(B10),B10,
    IF(ISNUMBER(SEARCH("-",B10)*1),
      IF(LEN(LEFT(B10,FIND("-",B10)-1))=4,
        DATE(VALUE(LEFT(B10,4)),VALUE(MID(B10,6,2)),VALUE(RIGHT(B10,2))),
        DATE(VALUE(RIGHT(B10,4)),VALUE(MID(B10,4,2)),VALUE(LEFT(B10,2)))
      ),
      IF(ISNUMBER(SEARCH("/",B10)*1),
        DATE(VALUE(RIGHT(B10,4)),VALUE(LEFT(B10,2)),VALUE(MID(B10,4,2))),
        DATEVALUE(B10)
      )
    )
  ),
"INVALID_DATE")</f>
        <v>45601</v>
      </c>
      <c r="AA10" s="2">
        <f>IFERROR(
  IF(ISNUMBER(C10),C10,
    IF(ISNUMBER(SEARCH("-",C10)*1),
      IF(LEN(LEFT(C10,FIND("-",C10)-1))=4,
        DATE(VALUE(LEFT(C10,4)),VALUE(MID(C10,6,2)),VALUE(RIGHT(C10,2))),
        DATE(VALUE(RIGHT(C10,4)),VALUE(MID(C10,4,2)),VALUE(LEFT(C10,2)))
      ),
      IF(ISNUMBER(SEARCH("/",C10)*1),
        DATE(VALUE(RIGHT(C10,4)),VALUE(LEFT(C10,2)),VALUE(MID(C10,4,2))),
        DATEVALUE(C10)
      )
    )
  ),
"INVALID_DATE")</f>
        <v>45606</v>
      </c>
      <c r="AB10">
        <f>AA10-Z10</f>
        <v>5</v>
      </c>
      <c r="AC10" t="str">
        <f>TEXT(Z10,"mmmm")</f>
        <v>November</v>
      </c>
      <c r="AD10">
        <f>YEAR(Z10)</f>
        <v>2024</v>
      </c>
      <c r="AE10" t="str">
        <f t="shared" si="2"/>
        <v>OK</v>
      </c>
    </row>
    <row r="11" spans="1:31">
      <c r="A11" t="s">
        <v>118</v>
      </c>
      <c r="B11" t="s">
        <v>119</v>
      </c>
      <c r="C11" t="s">
        <v>120</v>
      </c>
      <c r="D11" t="s">
        <v>121</v>
      </c>
      <c r="E11" t="s">
        <v>47</v>
      </c>
      <c r="F11" t="s">
        <v>122</v>
      </c>
      <c r="G11" t="s">
        <v>69</v>
      </c>
      <c r="H11" t="s">
        <v>70</v>
      </c>
      <c r="I11" t="s">
        <v>71</v>
      </c>
      <c r="J11" t="s">
        <v>37</v>
      </c>
      <c r="K11" t="s">
        <v>38</v>
      </c>
      <c r="L11" t="s">
        <v>123</v>
      </c>
      <c r="M11" t="s">
        <v>40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41</v>
      </c>
      <c r="U11" t="s">
        <v>42</v>
      </c>
      <c r="V11">
        <f>O11*(1-P11)*N11</f>
        <v>6134.6880000000001</v>
      </c>
      <c r="W11">
        <f t="shared" si="0"/>
        <v>2334.498</v>
      </c>
      <c r="X11">
        <f t="shared" si="1"/>
        <v>0.3805408260238089</v>
      </c>
      <c r="Y11" t="s">
        <v>4120</v>
      </c>
      <c r="Z11" s="2">
        <f>IFERROR(
  IF(ISNUMBER(B11),B11,
    IF(ISNUMBER(SEARCH("-",B11)*1),
      IF(LEN(LEFT(B11,FIND("-",B11)-1))=4,
        DATE(VALUE(LEFT(B11,4)),VALUE(MID(B11,6,2)),VALUE(RIGHT(B11,2))),
        DATE(VALUE(RIGHT(B11,4)),VALUE(MID(B11,4,2)),VALUE(LEFT(B11,2)))
      ),
      IF(ISNUMBER(SEARCH("/",B11)*1),
        DATE(VALUE(RIGHT(B11,4)),VALUE(LEFT(B11,2)),VALUE(MID(B11,4,2))),
        DATEVALUE(B11)
      )
    )
  ),
"INVALID_DATE")</f>
        <v>45907</v>
      </c>
      <c r="AA11" s="2">
        <f>IFERROR(
  IF(ISNUMBER(C11),C11,
    IF(ISNUMBER(SEARCH("-",C11)*1),
      IF(LEN(LEFT(C11,FIND("-",C11)-1))=4,
        DATE(VALUE(LEFT(C11,4)),VALUE(MID(C11,6,2)),VALUE(RIGHT(C11,2))),
        DATE(VALUE(RIGHT(C11,4)),VALUE(MID(C11,4,2)),VALUE(LEFT(C11,2)))
      ),
      IF(ISNUMBER(SEARCH("/",C11)*1),
        DATE(VALUE(RIGHT(C11,4)),VALUE(LEFT(C11,2)),VALUE(MID(C11,4,2))),
        DATEVALUE(C11)
      )
    )
  ),
"INVALID_DATE")</f>
        <v>45912</v>
      </c>
      <c r="AB11">
        <f>AA11-Z11</f>
        <v>5</v>
      </c>
      <c r="AC11" t="str">
        <f>TEXT(Z11,"mmmm")</f>
        <v>September</v>
      </c>
      <c r="AD11">
        <f>YEAR(Z11)</f>
        <v>2025</v>
      </c>
      <c r="AE11" t="str">
        <f t="shared" si="2"/>
        <v>OK</v>
      </c>
    </row>
    <row r="12" spans="1:31">
      <c r="A12" t="s">
        <v>124</v>
      </c>
      <c r="B12" t="s">
        <v>125</v>
      </c>
      <c r="C12" t="s">
        <v>126</v>
      </c>
      <c r="D12" t="s">
        <v>127</v>
      </c>
      <c r="E12" t="s">
        <v>79</v>
      </c>
      <c r="F12" t="s">
        <v>115</v>
      </c>
      <c r="G12" t="s">
        <v>49</v>
      </c>
      <c r="H12" t="s">
        <v>128</v>
      </c>
      <c r="I12" t="s">
        <v>129</v>
      </c>
      <c r="J12" t="s">
        <v>37</v>
      </c>
      <c r="K12" t="s">
        <v>116</v>
      </c>
      <c r="L12" t="s">
        <v>130</v>
      </c>
      <c r="M12" t="s">
        <v>40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131</v>
      </c>
      <c r="U12" t="s">
        <v>132</v>
      </c>
      <c r="V12">
        <f>O12*(1-P12)*N12</f>
        <v>10074.2655</v>
      </c>
      <c r="W12">
        <f t="shared" si="0"/>
        <v>4025.9954999999991</v>
      </c>
      <c r="X12">
        <f t="shared" si="1"/>
        <v>0.39963193362893784</v>
      </c>
      <c r="Y12" t="str">
        <f>_xlfn.TEXTJOIN(", ",TRUE,IF(G12="Unknown","Missing Region",""),IF(M12="Unknown","Missing Ship Mode",""),IF(P12&lt;0,"Negative Discount",""),IF(P12&gt;0.7,"High Discount",""),IF(C12&lt;B12,"Ship Before Order",""))</f>
        <v>Ship Before Order</v>
      </c>
      <c r="Z12" s="2">
        <f>IFERROR(
  IF(ISNUMBER(B12),B12,
    IF(ISNUMBER(SEARCH("-",B12)*1),
      IF(LEN(LEFT(B12,FIND("-",B12)-1))=4,
        DATE(VALUE(LEFT(B12,4)),VALUE(MID(B12,6,2)),VALUE(RIGHT(B12,2))),
        DATE(VALUE(RIGHT(B12,4)),VALUE(MID(B12,4,2)),VALUE(LEFT(B12,2)))
      ),
      IF(ISNUMBER(SEARCH("/",B12)*1),
        DATE(VALUE(RIGHT(B12,4)),VALUE(LEFT(B12,2)),VALUE(MID(B12,4,2))),
        DATEVALUE(B12)
      )
    )
  ),
"INVALID_DATE")</f>
        <v>45797</v>
      </c>
      <c r="AA12" s="2">
        <f>IFERROR(
  IF(ISNUMBER(C12),C12,
    IF(ISNUMBER(SEARCH("-",C12)*1),
      IF(LEN(LEFT(C12,FIND("-",C12)-1))=4,
        DATE(VALUE(LEFT(C12,4)),VALUE(MID(C12,6,2)),VALUE(RIGHT(C12,2))),
        DATE(VALUE(RIGHT(C12,4)),VALUE(MID(C12,4,2)),VALUE(LEFT(C12,2)))
      ),
      IF(ISNUMBER(SEARCH("/",C12)*1),
        DATE(VALUE(RIGHT(C12,4)),VALUE(LEFT(C12,2)),VALUE(MID(C12,4,2))),
        DATEVALUE(C12)
      )
    )
  ),
"INVALID_DATE")</f>
        <v>45797</v>
      </c>
      <c r="AB12">
        <f>AA12-Z12</f>
        <v>0</v>
      </c>
      <c r="AC12" t="str">
        <f>TEXT(Z12,"mmmm")</f>
        <v>May</v>
      </c>
      <c r="AD12">
        <f>YEAR(Z12)</f>
        <v>2025</v>
      </c>
      <c r="AE12" t="str">
        <f t="shared" si="2"/>
        <v>OK</v>
      </c>
    </row>
    <row r="13" spans="1:31">
      <c r="A13" t="s">
        <v>133</v>
      </c>
      <c r="B13" t="s">
        <v>134</v>
      </c>
      <c r="C13" t="s">
        <v>135</v>
      </c>
      <c r="D13" t="s">
        <v>136</v>
      </c>
      <c r="E13" t="s">
        <v>90</v>
      </c>
      <c r="F13" t="s">
        <v>48</v>
      </c>
      <c r="G13" t="s">
        <v>49</v>
      </c>
      <c r="H13" t="s">
        <v>50</v>
      </c>
      <c r="I13" t="s">
        <v>51</v>
      </c>
      <c r="J13" t="s">
        <v>93</v>
      </c>
      <c r="K13" t="s">
        <v>94</v>
      </c>
      <c r="L13" t="s">
        <v>137</v>
      </c>
      <c r="M13" t="s">
        <v>55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41</v>
      </c>
      <c r="U13" t="s">
        <v>42</v>
      </c>
      <c r="V13">
        <f>O13*(1-P13)*N13</f>
        <v>9628.5600000000013</v>
      </c>
      <c r="W13">
        <f t="shared" si="0"/>
        <v>1589.9700000000012</v>
      </c>
      <c r="X13">
        <f t="shared" si="1"/>
        <v>0.16513061143099281</v>
      </c>
      <c r="Y13" t="s">
        <v>4120</v>
      </c>
      <c r="Z13" s="2">
        <f>IFERROR(
  IF(ISNUMBER(B13),B13,
    IF(ISNUMBER(SEARCH("-",B13)*1),
      IF(LEN(LEFT(B13,FIND("-",B13)-1))=4,
        DATE(VALUE(LEFT(B13,4)),VALUE(MID(B13,6,2)),VALUE(RIGHT(B13,2))),
        DATE(VALUE(RIGHT(B13,4)),VALUE(MID(B13,4,2)),VALUE(LEFT(B13,2)))
      ),
      IF(ISNUMBER(SEARCH("/",B13)*1),
        DATE(VALUE(RIGHT(B13,4)),VALUE(LEFT(B13,2)),VALUE(MID(B13,4,2))),
        DATEVALUE(B13)
      )
    )
  ),
"INVALID_DATE")</f>
        <v>45495</v>
      </c>
      <c r="AA13" s="2">
        <f>IFERROR(
  IF(ISNUMBER(C13),C13,
    IF(ISNUMBER(SEARCH("-",C13)*1),
      IF(LEN(LEFT(C13,FIND("-",C13)-1))=4,
        DATE(VALUE(LEFT(C13,4)),VALUE(MID(C13,6,2)),VALUE(RIGHT(C13,2))),
        DATE(VALUE(RIGHT(C13,4)),VALUE(MID(C13,4,2)),VALUE(LEFT(C13,2)))
      ),
      IF(ISNUMBER(SEARCH("/",C13)*1),
        DATE(VALUE(RIGHT(C13,4)),VALUE(LEFT(C13,2)),VALUE(MID(C13,4,2))),
        DATEVALUE(C13)
      )
    )
  ),
"INVALID_DATE")</f>
        <v>45496</v>
      </c>
      <c r="AB13">
        <f>AA13-Z13</f>
        <v>1</v>
      </c>
      <c r="AC13" t="str">
        <f>TEXT(Z13,"mmmm")</f>
        <v>July</v>
      </c>
      <c r="AD13">
        <f>YEAR(Z13)</f>
        <v>2024</v>
      </c>
      <c r="AE13" t="str">
        <f t="shared" si="2"/>
        <v>OK</v>
      </c>
    </row>
    <row r="14" spans="1:31">
      <c r="A14" t="s">
        <v>138</v>
      </c>
      <c r="B14" t="s">
        <v>139</v>
      </c>
      <c r="C14" t="s">
        <v>140</v>
      </c>
      <c r="D14" t="s">
        <v>141</v>
      </c>
      <c r="E14" t="s">
        <v>79</v>
      </c>
      <c r="F14" t="s">
        <v>115</v>
      </c>
      <c r="G14" t="s">
        <v>80</v>
      </c>
      <c r="H14" t="s">
        <v>35</v>
      </c>
      <c r="I14" t="s">
        <v>142</v>
      </c>
      <c r="J14" t="s">
        <v>37</v>
      </c>
      <c r="K14" t="s">
        <v>38</v>
      </c>
      <c r="L14" t="s">
        <v>143</v>
      </c>
      <c r="M14" t="s">
        <v>63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144</v>
      </c>
      <c r="U14" t="s">
        <v>132</v>
      </c>
      <c r="V14">
        <f>O14*(1-P14)*N14</f>
        <v>596.81899999999996</v>
      </c>
      <c r="W14">
        <f t="shared" si="0"/>
        <v>216.56899999999996</v>
      </c>
      <c r="X14">
        <f t="shared" si="1"/>
        <v>0.36287322810897754</v>
      </c>
      <c r="Y14" t="str">
        <f>_xlfn.TEXTJOIN(", ",TRUE,IF(G14="Unknown","Missing Region",""),IF(M14="Unknown","Missing Ship Mode",""),IF(P14&lt;0,"Negative Discount",""),IF(P14&gt;0.7,"High Discount",""),IF(C14&lt;B14,"Ship Before Order",""))</f>
        <v>Ship Before Order</v>
      </c>
      <c r="Z14" s="2">
        <f>IFERROR(
  IF(ISNUMBER(B14),B14,
    IF(ISNUMBER(SEARCH("-",B14)*1),
      IF(LEN(LEFT(B14,FIND("-",B14)-1))=4,
        DATE(VALUE(LEFT(B14,4)),VALUE(MID(B14,6,2)),VALUE(RIGHT(B14,2))),
        DATE(VALUE(RIGHT(B14,4)),VALUE(MID(B14,4,2)),VALUE(LEFT(B14,2)))
      ),
      IF(ISNUMBER(SEARCH("/",B14)*1),
        DATE(VALUE(RIGHT(B14,4)),VALUE(LEFT(B14,2)),VALUE(MID(B14,4,2))),
        DATEVALUE(B14)
      )
    )
  ),
"INVALID_DATE")</f>
        <v>45646</v>
      </c>
      <c r="AA14" s="2">
        <f>IFERROR(
  IF(ISNUMBER(C14),C14,
    IF(ISNUMBER(SEARCH("-",C14)*1),
      IF(LEN(LEFT(C14,FIND("-",C14)-1))=4,
        DATE(VALUE(LEFT(C14,4)),VALUE(MID(C14,6,2)),VALUE(RIGHT(C14,2))),
        DATE(VALUE(RIGHT(C14,4)),VALUE(MID(C14,4,2)),VALUE(LEFT(C14,2)))
      ),
      IF(ISNUMBER(SEARCH("/",C14)*1),
        DATE(VALUE(RIGHT(C14,4)),VALUE(LEFT(C14,2)),VALUE(MID(C14,4,2))),
        DATEVALUE(C14)
      )
    )
  ),
"INVALID_DATE")</f>
        <v>45647</v>
      </c>
      <c r="AB14">
        <f>AA14-Z14</f>
        <v>1</v>
      </c>
      <c r="AC14" t="str">
        <f>TEXT(Z14,"mmmm")</f>
        <v>December</v>
      </c>
      <c r="AD14">
        <f>YEAR(Z14)</f>
        <v>2024</v>
      </c>
      <c r="AE14" t="str">
        <f t="shared" si="2"/>
        <v>OK</v>
      </c>
    </row>
    <row r="15" spans="1:31">
      <c r="A15" t="s">
        <v>145</v>
      </c>
      <c r="B15" t="s">
        <v>146</v>
      </c>
      <c r="C15" t="s">
        <v>147</v>
      </c>
      <c r="D15" t="s">
        <v>148</v>
      </c>
      <c r="E15" t="s">
        <v>149</v>
      </c>
      <c r="F15" t="s">
        <v>48</v>
      </c>
      <c r="G15" t="s">
        <v>80</v>
      </c>
      <c r="H15" t="s">
        <v>81</v>
      </c>
      <c r="I15" t="s">
        <v>82</v>
      </c>
      <c r="J15" t="s">
        <v>37</v>
      </c>
      <c r="K15" t="s">
        <v>61</v>
      </c>
      <c r="L15" t="s">
        <v>150</v>
      </c>
      <c r="M15" t="s">
        <v>40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41</v>
      </c>
      <c r="U15" t="s">
        <v>42</v>
      </c>
      <c r="V15">
        <f>O15*(1-P15)*N15</f>
        <v>26365.387999999995</v>
      </c>
      <c r="W15">
        <f t="shared" si="0"/>
        <v>4059.1479999999938</v>
      </c>
      <c r="X15">
        <f t="shared" si="1"/>
        <v>0.15395751779131658</v>
      </c>
      <c r="Y15" t="str">
        <f>_xlfn.TEXTJOIN(", ",TRUE,IF(G15="Unknown","Missing Region",""),IF(M15="Unknown","Missing Ship Mode",""),IF(P15&lt;0,"Negative Discount",""),IF(P15&gt;0.7,"High Discount",""),IF(C15&lt;B15,"Ship Before Order",""))</f>
        <v>Ship Before Order</v>
      </c>
      <c r="Z15" s="2">
        <f>IFERROR(
  IF(ISNUMBER(B15),B15,
    IF(ISNUMBER(SEARCH("-",B15)*1),
      IF(LEN(LEFT(B15,FIND("-",B15)-1))=4,
        DATE(VALUE(LEFT(B15,4)),VALUE(MID(B15,6,2)),VALUE(RIGHT(B15,2))),
        DATE(VALUE(RIGHT(B15,4)),VALUE(MID(B15,4,2)),VALUE(LEFT(B15,2)))
      ),
      IF(ISNUMBER(SEARCH("/",B15)*1),
        DATE(VALUE(RIGHT(B15,4)),VALUE(LEFT(B15,2)),VALUE(MID(B15,4,2))),
        DATEVALUE(B15)
      )
    )
  ),
"INVALID_DATE")</f>
        <v>45942</v>
      </c>
      <c r="AA15" s="2">
        <f>IFERROR(
  IF(ISNUMBER(C15),C15,
    IF(ISNUMBER(SEARCH("-",C15)*1),
      IF(LEN(LEFT(C15,FIND("-",C15)-1))=4,
        DATE(VALUE(LEFT(C15,4)),VALUE(MID(C15,6,2)),VALUE(RIGHT(C15,2))),
        DATE(VALUE(RIGHT(C15,4)),VALUE(MID(C15,4,2)),VALUE(LEFT(C15,2)))
      ),
      IF(ISNUMBER(SEARCH("/",C15)*1),
        DATE(VALUE(RIGHT(C15,4)),VALUE(LEFT(C15,2)),VALUE(MID(C15,4,2))),
        DATEVALUE(C15)
      )
    )
  ),
"INVALID_DATE")</f>
        <v>45946</v>
      </c>
      <c r="AB15">
        <f>AA15-Z15</f>
        <v>4</v>
      </c>
      <c r="AC15" t="str">
        <f>TEXT(Z15,"mmmm")</f>
        <v>October</v>
      </c>
      <c r="AD15">
        <f>YEAR(Z15)</f>
        <v>2025</v>
      </c>
      <c r="AE15" t="str">
        <f t="shared" si="2"/>
        <v>OK</v>
      </c>
    </row>
    <row r="16" spans="1:31">
      <c r="A16" t="s">
        <v>151</v>
      </c>
      <c r="B16" t="s">
        <v>152</v>
      </c>
      <c r="C16" t="s">
        <v>153</v>
      </c>
      <c r="D16" t="s">
        <v>154</v>
      </c>
      <c r="E16" t="s">
        <v>155</v>
      </c>
      <c r="F16" t="s">
        <v>33</v>
      </c>
      <c r="G16" t="s">
        <v>80</v>
      </c>
      <c r="H16" t="s">
        <v>35</v>
      </c>
      <c r="I16" t="s">
        <v>142</v>
      </c>
      <c r="J16" t="s">
        <v>93</v>
      </c>
      <c r="K16" t="s">
        <v>101</v>
      </c>
      <c r="L16" t="s">
        <v>156</v>
      </c>
      <c r="M16" t="s">
        <v>74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41</v>
      </c>
      <c r="U16" t="s">
        <v>42</v>
      </c>
      <c r="V16">
        <f>O16*(1-P16)*N16</f>
        <v>4106.7449999999999</v>
      </c>
      <c r="W16">
        <f t="shared" si="0"/>
        <v>1440.4449999999997</v>
      </c>
      <c r="X16">
        <f t="shared" si="1"/>
        <v>0.35075023010952727</v>
      </c>
      <c r="Y16" t="str">
        <f>_xlfn.TEXTJOIN(", ",TRUE,IF(G16="Unknown","Missing Region",""),IF(M16="Unknown","Missing Ship Mode",""),IF(P16&lt;0,"Negative Discount",""),IF(P16&gt;0.7,"High Discount",""),IF(C16&lt;B16,"Ship Before Order",""))</f>
        <v>Ship Before Order</v>
      </c>
      <c r="Z16" s="2">
        <f>IFERROR(
  IF(ISNUMBER(B16),B16,
    IF(ISNUMBER(SEARCH("-",B16)*1),
      IF(LEN(LEFT(B16,FIND("-",B16)-1))=4,
        DATE(VALUE(LEFT(B16,4)),VALUE(MID(B16,6,2)),VALUE(RIGHT(B16,2))),
        DATE(VALUE(RIGHT(B16,4)),VALUE(MID(B16,4,2)),VALUE(LEFT(B16,2)))
      ),
      IF(ISNUMBER(SEARCH("/",B16)*1),
        DATE(VALUE(RIGHT(B16,4)),VALUE(LEFT(B16,2)),VALUE(MID(B16,4,2))),
        DATEVALUE(B16)
      )
    )
  ),
"INVALID_DATE")</f>
        <v>45653</v>
      </c>
      <c r="AA16" s="2">
        <f>IFERROR(
  IF(ISNUMBER(C16),C16,
    IF(ISNUMBER(SEARCH("-",C16)*1),
      IF(LEN(LEFT(C16,FIND("-",C16)-1))=4,
        DATE(VALUE(LEFT(C16,4)),VALUE(MID(C16,6,2)),VALUE(RIGHT(C16,2))),
        DATE(VALUE(RIGHT(C16,4)),VALUE(MID(C16,4,2)),VALUE(LEFT(C16,2)))
      ),
      IF(ISNUMBER(SEARCH("/",C16)*1),
        DATE(VALUE(RIGHT(C16,4)),VALUE(LEFT(C16,2)),VALUE(MID(C16,4,2))),
        DATEVALUE(C16)
      )
    )
  ),
"INVALID_DATE")</f>
        <v>45654</v>
      </c>
      <c r="AB16">
        <f>AA16-Z16</f>
        <v>1</v>
      </c>
      <c r="AC16" t="str">
        <f>TEXT(Z16,"mmmm")</f>
        <v>December</v>
      </c>
      <c r="AD16">
        <f>YEAR(Z16)</f>
        <v>2024</v>
      </c>
      <c r="AE16" t="str">
        <f t="shared" si="2"/>
        <v>OK</v>
      </c>
    </row>
    <row r="17" spans="1:31">
      <c r="A17" t="s">
        <v>157</v>
      </c>
      <c r="B17" t="s">
        <v>158</v>
      </c>
      <c r="C17" t="s">
        <v>159</v>
      </c>
      <c r="D17" t="s">
        <v>160</v>
      </c>
      <c r="E17" t="s">
        <v>32</v>
      </c>
      <c r="F17" t="s">
        <v>48</v>
      </c>
      <c r="G17" t="s">
        <v>34</v>
      </c>
      <c r="H17" t="s">
        <v>161</v>
      </c>
      <c r="I17" t="s">
        <v>162</v>
      </c>
      <c r="J17" t="s">
        <v>37</v>
      </c>
      <c r="K17" t="s">
        <v>163</v>
      </c>
      <c r="L17" t="s">
        <v>164</v>
      </c>
      <c r="M17" t="s">
        <v>40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41</v>
      </c>
      <c r="U17" t="s">
        <v>42</v>
      </c>
      <c r="V17">
        <f>O17*(1-P17)*N17</f>
        <v>23794.560000000001</v>
      </c>
      <c r="W17">
        <f t="shared" si="0"/>
        <v>8096.090000000002</v>
      </c>
      <c r="X17">
        <f t="shared" si="1"/>
        <v>0.34024962008122867</v>
      </c>
      <c r="Y17" t="s">
        <v>4120</v>
      </c>
      <c r="Z17" s="2">
        <f>IFERROR(
  IF(ISNUMBER(B17),B17,
    IF(ISNUMBER(SEARCH("-",B17)*1),
      IF(LEN(LEFT(B17,FIND("-",B17)-1))=4,
        DATE(VALUE(LEFT(B17,4)),VALUE(MID(B17,6,2)),VALUE(RIGHT(B17,2))),
        DATE(VALUE(RIGHT(B17,4)),VALUE(MID(B17,4,2)),VALUE(LEFT(B17,2)))
      ),
      IF(ISNUMBER(SEARCH("/",B17)*1),
        DATE(VALUE(RIGHT(B17,4)),VALUE(LEFT(B17,2)),VALUE(MID(B17,4,2))),
        DATEVALUE(B17)
      )
    )
  ),
"INVALID_DATE")</f>
        <v>45482</v>
      </c>
      <c r="AA17" s="2">
        <f>IFERROR(
  IF(ISNUMBER(C17),C17,
    IF(ISNUMBER(SEARCH("-",C17)*1),
      IF(LEN(LEFT(C17,FIND("-",C17)-1))=4,
        DATE(VALUE(LEFT(C17,4)),VALUE(MID(C17,6,2)),VALUE(RIGHT(C17,2))),
        DATE(VALUE(RIGHT(C17,4)),VALUE(MID(C17,4,2)),VALUE(LEFT(C17,2)))
      ),
      IF(ISNUMBER(SEARCH("/",C17)*1),
        DATE(VALUE(RIGHT(C17,4)),VALUE(LEFT(C17,2)),VALUE(MID(C17,4,2))),
        DATEVALUE(C17)
      )
    )
  ),
"INVALID_DATE")</f>
        <v>45482</v>
      </c>
      <c r="AB17">
        <f>AA17-Z17</f>
        <v>0</v>
      </c>
      <c r="AC17" t="str">
        <f>TEXT(Z17,"mmmm")</f>
        <v>July</v>
      </c>
      <c r="AD17">
        <f>YEAR(Z17)</f>
        <v>2024</v>
      </c>
      <c r="AE17" t="str">
        <f t="shared" si="2"/>
        <v>OK</v>
      </c>
    </row>
    <row r="18" spans="1:31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33</v>
      </c>
      <c r="G18" t="s">
        <v>69</v>
      </c>
      <c r="H18" t="s">
        <v>70</v>
      </c>
      <c r="I18" t="s">
        <v>71</v>
      </c>
      <c r="J18" t="s">
        <v>37</v>
      </c>
      <c r="K18" t="s">
        <v>61</v>
      </c>
      <c r="L18" t="s">
        <v>170</v>
      </c>
      <c r="M18" t="s">
        <v>63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41</v>
      </c>
      <c r="U18" t="s">
        <v>42</v>
      </c>
      <c r="V18">
        <f>O18*(1-P18)*N18</f>
        <v>9970.5300000000007</v>
      </c>
      <c r="W18">
        <f t="shared" si="0"/>
        <v>4302.3600000000006</v>
      </c>
      <c r="X18">
        <f t="shared" si="1"/>
        <v>0.43150765305354877</v>
      </c>
      <c r="Y18" t="s">
        <v>4120</v>
      </c>
      <c r="Z18" s="2">
        <f>IFERROR(
  IF(ISNUMBER(B18),B18,
    IF(ISNUMBER(SEARCH("-",B18)*1),
      IF(LEN(LEFT(B18,FIND("-",B18)-1))=4,
        DATE(VALUE(LEFT(B18,4)),VALUE(MID(B18,6,2)),VALUE(RIGHT(B18,2))),
        DATE(VALUE(RIGHT(B18,4)),VALUE(MID(B18,4,2)),VALUE(LEFT(B18,2)))
      ),
      IF(ISNUMBER(SEARCH("/",B18)*1),
        DATE(VALUE(RIGHT(B18,4)),VALUE(LEFT(B18,2)),VALUE(MID(B18,4,2))),
        DATEVALUE(B18)
      )
    )
  ),
"INVALID_DATE")</f>
        <v>45420</v>
      </c>
      <c r="AA18" s="2">
        <f>IFERROR(
  IF(ISNUMBER(C18),C18,
    IF(ISNUMBER(SEARCH("-",C18)*1),
      IF(LEN(LEFT(C18,FIND("-",C18)-1))=4,
        DATE(VALUE(LEFT(C18,4)),VALUE(MID(C18,6,2)),VALUE(RIGHT(C18,2))),
        DATE(VALUE(RIGHT(C18,4)),VALUE(MID(C18,4,2)),VALUE(LEFT(C18,2)))
      ),
      IF(ISNUMBER(SEARCH("/",C18)*1),
        DATE(VALUE(RIGHT(C18,4)),VALUE(LEFT(C18,2)),VALUE(MID(C18,4,2))),
        DATEVALUE(C18)
      )
    )
  ),
"INVALID_DATE")</f>
        <v>45427</v>
      </c>
      <c r="AB18">
        <f>AA18-Z18</f>
        <v>7</v>
      </c>
      <c r="AC18" t="str">
        <f>TEXT(Z18,"mmmm")</f>
        <v>May</v>
      </c>
      <c r="AD18">
        <f>YEAR(Z18)</f>
        <v>2024</v>
      </c>
      <c r="AE18" t="str">
        <f t="shared" si="2"/>
        <v>OK</v>
      </c>
    </row>
    <row r="19" spans="1:31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48</v>
      </c>
      <c r="G19" t="s">
        <v>34</v>
      </c>
      <c r="H19" t="s">
        <v>35</v>
      </c>
      <c r="I19" t="s">
        <v>36</v>
      </c>
      <c r="J19" t="s">
        <v>52</v>
      </c>
      <c r="K19" t="s">
        <v>72</v>
      </c>
      <c r="L19" t="s">
        <v>176</v>
      </c>
      <c r="M19" t="s">
        <v>55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41</v>
      </c>
      <c r="U19" t="s">
        <v>42</v>
      </c>
      <c r="V19">
        <f>O19*(1-P19)*N19</f>
        <v>7633.9</v>
      </c>
      <c r="W19">
        <f t="shared" si="0"/>
        <v>2926.99</v>
      </c>
      <c r="X19">
        <f t="shared" si="1"/>
        <v>0.38342000812166782</v>
      </c>
      <c r="Y19" t="s">
        <v>4120</v>
      </c>
      <c r="Z19" s="2">
        <f>IFERROR(
  IF(ISNUMBER(B19),B19,
    IF(ISNUMBER(SEARCH("-",B19)*1),
      IF(LEN(LEFT(B19,FIND("-",B19)-1))=4,
        DATE(VALUE(LEFT(B19,4)),VALUE(MID(B19,6,2)),VALUE(RIGHT(B19,2))),
        DATE(VALUE(RIGHT(B19,4)),VALUE(MID(B19,4,2)),VALUE(LEFT(B19,2)))
      ),
      IF(ISNUMBER(SEARCH("/",B19)*1),
        DATE(VALUE(RIGHT(B19,4)),VALUE(LEFT(B19,2)),VALUE(MID(B19,4,2))),
        DATEVALUE(B19)
      )
    )
  ),
"INVALID_DATE")</f>
        <v>45298</v>
      </c>
      <c r="AA19" s="2">
        <f>IFERROR(
  IF(ISNUMBER(C19),C19,
    IF(ISNUMBER(SEARCH("-",C19)*1),
      IF(LEN(LEFT(C19,FIND("-",C19)-1))=4,
        DATE(VALUE(LEFT(C19,4)),VALUE(MID(C19,6,2)),VALUE(RIGHT(C19,2))),
        DATE(VALUE(RIGHT(C19,4)),VALUE(MID(C19,4,2)),VALUE(LEFT(C19,2)))
      ),
      IF(ISNUMBER(SEARCH("/",C19)*1),
        DATE(VALUE(RIGHT(C19,4)),VALUE(LEFT(C19,2)),VALUE(MID(C19,4,2))),
        DATEVALUE(C19)
      )
    )
  ),
"INVALID_DATE")</f>
        <v>45299</v>
      </c>
      <c r="AB19">
        <f>AA19-Z19</f>
        <v>1</v>
      </c>
      <c r="AC19" t="str">
        <f>TEXT(Z19,"mmmm")</f>
        <v>January</v>
      </c>
      <c r="AD19">
        <f>YEAR(Z19)</f>
        <v>2024</v>
      </c>
      <c r="AE19" t="str">
        <f t="shared" si="2"/>
        <v>OK</v>
      </c>
    </row>
    <row r="20" spans="1:31">
      <c r="A20" t="s">
        <v>177</v>
      </c>
      <c r="B20" t="s">
        <v>178</v>
      </c>
      <c r="C20" t="s">
        <v>179</v>
      </c>
      <c r="D20" t="s">
        <v>180</v>
      </c>
      <c r="E20" t="s">
        <v>169</v>
      </c>
      <c r="F20" t="s">
        <v>122</v>
      </c>
      <c r="G20" t="s">
        <v>34</v>
      </c>
      <c r="H20" t="s">
        <v>181</v>
      </c>
      <c r="I20" t="s">
        <v>182</v>
      </c>
      <c r="J20" t="s">
        <v>93</v>
      </c>
      <c r="K20" t="s">
        <v>101</v>
      </c>
      <c r="L20" t="s">
        <v>183</v>
      </c>
      <c r="M20" t="s">
        <v>63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131</v>
      </c>
      <c r="U20" t="s">
        <v>85</v>
      </c>
      <c r="V20">
        <f>O20*(1-P20)*N20</f>
        <v>3995.98</v>
      </c>
      <c r="W20">
        <f t="shared" si="0"/>
        <v>1362.7800000000002</v>
      </c>
      <c r="X20">
        <f t="shared" si="1"/>
        <v>0.34103774293164629</v>
      </c>
      <c r="Y20" t="s">
        <v>4120</v>
      </c>
      <c r="Z20" s="2">
        <f>IFERROR(
  IF(ISNUMBER(B20),B20,
    IF(ISNUMBER(SEARCH("-",B20)*1),
      IF(LEN(LEFT(B20,FIND("-",B20)-1))=4,
        DATE(VALUE(LEFT(B20,4)),VALUE(MID(B20,6,2)),VALUE(RIGHT(B20,2))),
        DATE(VALUE(RIGHT(B20,4)),VALUE(MID(B20,4,2)),VALUE(LEFT(B20,2)))
      ),
      IF(ISNUMBER(SEARCH("/",B20)*1),
        DATE(VALUE(RIGHT(B20,4)),VALUE(LEFT(B20,2)),VALUE(MID(B20,4,2))),
        DATEVALUE(B20)
      )
    )
  ),
"INVALID_DATE")</f>
        <v>45853</v>
      </c>
      <c r="AA20" s="2">
        <f>IFERROR(
  IF(ISNUMBER(C20),C20,
    IF(ISNUMBER(SEARCH("-",C20)*1),
      IF(LEN(LEFT(C20,FIND("-",C20)-1))=4,
        DATE(VALUE(LEFT(C20,4)),VALUE(MID(C20,6,2)),VALUE(RIGHT(C20,2))),
        DATE(VALUE(RIGHT(C20,4)),VALUE(MID(C20,4,2)),VALUE(LEFT(C20,2)))
      ),
      IF(ISNUMBER(SEARCH("/",C20)*1),
        DATE(VALUE(RIGHT(C20,4)),VALUE(LEFT(C20,2)),VALUE(MID(C20,4,2))),
        DATEVALUE(C20)
      )
    )
  ),
"INVALID_DATE")</f>
        <v>45855</v>
      </c>
      <c r="AB20">
        <f>AA20-Z20</f>
        <v>2</v>
      </c>
      <c r="AC20" t="str">
        <f>TEXT(Z20,"mmmm")</f>
        <v>July</v>
      </c>
      <c r="AD20">
        <f>YEAR(Z20)</f>
        <v>2025</v>
      </c>
      <c r="AE20" t="str">
        <f t="shared" si="2"/>
        <v>OK</v>
      </c>
    </row>
    <row r="21" spans="1:31">
      <c r="A21" t="s">
        <v>184</v>
      </c>
      <c r="B21" t="s">
        <v>30</v>
      </c>
      <c r="C21" t="s">
        <v>185</v>
      </c>
      <c r="D21" t="s">
        <v>186</v>
      </c>
      <c r="E21" t="s">
        <v>187</v>
      </c>
      <c r="F21" t="s">
        <v>122</v>
      </c>
      <c r="G21" t="s">
        <v>80</v>
      </c>
      <c r="H21" t="s">
        <v>91</v>
      </c>
      <c r="I21" t="s">
        <v>92</v>
      </c>
      <c r="J21" t="s">
        <v>37</v>
      </c>
      <c r="K21" t="s">
        <v>163</v>
      </c>
      <c r="L21" t="s">
        <v>188</v>
      </c>
      <c r="M21" t="s">
        <v>40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41</v>
      </c>
      <c r="U21" t="s">
        <v>42</v>
      </c>
      <c r="V21">
        <f>O21*(1-P21)*N21</f>
        <v>13879.945799999998</v>
      </c>
      <c r="W21">
        <f t="shared" si="0"/>
        <v>6350.6357999999973</v>
      </c>
      <c r="X21">
        <f t="shared" si="1"/>
        <v>0.19309167447213929</v>
      </c>
      <c r="Y21" t="str">
        <f>_xlfn.TEXTJOIN(", ",TRUE,IF(G21="Unknown","Missing Region",""),IF(M21="Unknown","Missing Ship Mode",""),IF(P21&lt;0,"Negative Discount",""),IF(P21&gt;0.7,"High Discount",""),IF(C21&lt;B21,"Ship Before Order",""))</f>
        <v>Negative Discount</v>
      </c>
      <c r="Z21" s="2">
        <f>IFERROR(
  IF(ISNUMBER(B21),B21,
    IF(ISNUMBER(SEARCH("-",B21)*1),
      IF(LEN(LEFT(B21,FIND("-",B21)-1))=4,
        DATE(VALUE(LEFT(B21,4)),VALUE(MID(B21,6,2)),VALUE(RIGHT(B21,2))),
        DATE(VALUE(RIGHT(B21,4)),VALUE(MID(B21,4,2)),VALUE(LEFT(B21,2)))
      ),
      IF(ISNUMBER(SEARCH("/",B21)*1),
        DATE(VALUE(RIGHT(B21,4)),VALUE(LEFT(B21,2)),VALUE(MID(B21,4,2))),
        DATEVALUE(B21)
      )
    )
  ),
"INVALID_DATE")</f>
        <v>45500</v>
      </c>
      <c r="AA21" s="2">
        <f>IFERROR(
  IF(ISNUMBER(C21),C21,
    IF(ISNUMBER(SEARCH("-",C21)*1),
      IF(LEN(LEFT(C21,FIND("-",C21)-1))=4,
        DATE(VALUE(LEFT(C21,4)),VALUE(MID(C21,6,2)),VALUE(RIGHT(C21,2))),
        DATE(VALUE(RIGHT(C21,4)),VALUE(MID(C21,4,2)),VALUE(LEFT(C21,2)))
      ),
      IF(ISNUMBER(SEARCH("/",C21)*1),
        DATE(VALUE(RIGHT(C21,4)),VALUE(LEFT(C21,2)),VALUE(MID(C21,4,2))),
        DATEVALUE(C21)
      )
    )
  ),
"INVALID_DATE")</f>
        <v>45504</v>
      </c>
      <c r="AB21">
        <f>AA21-Z21</f>
        <v>4</v>
      </c>
      <c r="AC21" t="str">
        <f>TEXT(Z21,"mmmm")</f>
        <v>July</v>
      </c>
      <c r="AD21">
        <f>YEAR(Z21)</f>
        <v>2024</v>
      </c>
      <c r="AE21" t="str">
        <f t="shared" si="2"/>
        <v>OK</v>
      </c>
    </row>
    <row r="22" spans="1:31">
      <c r="A22" t="s">
        <v>189</v>
      </c>
      <c r="B22" t="s">
        <v>190</v>
      </c>
      <c r="C22" t="s">
        <v>191</v>
      </c>
      <c r="D22" t="s">
        <v>192</v>
      </c>
      <c r="E22" t="s">
        <v>114</v>
      </c>
      <c r="F22" t="s">
        <v>122</v>
      </c>
      <c r="G22" t="s">
        <v>49</v>
      </c>
      <c r="H22" t="s">
        <v>193</v>
      </c>
      <c r="I22" t="s">
        <v>194</v>
      </c>
      <c r="J22" t="s">
        <v>93</v>
      </c>
      <c r="K22" t="s">
        <v>101</v>
      </c>
      <c r="L22" t="s">
        <v>195</v>
      </c>
      <c r="M22" t="s">
        <v>63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41</v>
      </c>
      <c r="U22" t="s">
        <v>42</v>
      </c>
      <c r="V22">
        <f>O22*(1-P22)*N22</f>
        <v>16398.974999999999</v>
      </c>
      <c r="W22">
        <f t="shared" si="0"/>
        <v>6842.4549999999981</v>
      </c>
      <c r="X22">
        <f t="shared" si="1"/>
        <v>0.41724912159170879</v>
      </c>
      <c r="Y22" t="s">
        <v>4120</v>
      </c>
      <c r="Z22" s="2">
        <f>IFERROR(
  IF(ISNUMBER(B22),B22,
    IF(ISNUMBER(SEARCH("-",B22)*1),
      IF(LEN(LEFT(B22,FIND("-",B22)-1))=4,
        DATE(VALUE(LEFT(B22,4)),VALUE(MID(B22,6,2)),VALUE(RIGHT(B22,2))),
        DATE(VALUE(RIGHT(B22,4)),VALUE(MID(B22,4,2)),VALUE(LEFT(B22,2)))
      ),
      IF(ISNUMBER(SEARCH("/",B22)*1),
        DATE(VALUE(RIGHT(B22,4)),VALUE(LEFT(B22,2)),VALUE(MID(B22,4,2))),
        DATEVALUE(B22)
      )
    )
  ),
"INVALID_DATE")</f>
        <v>45678</v>
      </c>
      <c r="AA22" s="2">
        <f>IFERROR(
  IF(ISNUMBER(C22),C22,
    IF(ISNUMBER(SEARCH("-",C22)*1),
      IF(LEN(LEFT(C22,FIND("-",C22)-1))=4,
        DATE(VALUE(LEFT(C22,4)),VALUE(MID(C22,6,2)),VALUE(RIGHT(C22,2))),
        DATE(VALUE(RIGHT(C22,4)),VALUE(MID(C22,4,2)),VALUE(LEFT(C22,2)))
      ),
      IF(ISNUMBER(SEARCH("/",C22)*1),
        DATE(VALUE(RIGHT(C22,4)),VALUE(LEFT(C22,2)),VALUE(MID(C22,4,2))),
        DATEVALUE(C22)
      )
    )
  ),
"INVALID_DATE")</f>
        <v>45680</v>
      </c>
      <c r="AB22">
        <f>AA22-Z22</f>
        <v>2</v>
      </c>
      <c r="AC22" t="str">
        <f>TEXT(Z22,"mmmm")</f>
        <v>January</v>
      </c>
      <c r="AD22">
        <f>YEAR(Z22)</f>
        <v>2025</v>
      </c>
      <c r="AE22" t="str">
        <f t="shared" si="2"/>
        <v>OK</v>
      </c>
    </row>
    <row r="23" spans="1:31">
      <c r="A23" t="s">
        <v>196</v>
      </c>
      <c r="B23" t="s">
        <v>197</v>
      </c>
      <c r="C23" t="s">
        <v>198</v>
      </c>
      <c r="D23" t="s">
        <v>199</v>
      </c>
      <c r="E23" t="s">
        <v>175</v>
      </c>
      <c r="F23" t="s">
        <v>33</v>
      </c>
      <c r="G23" t="s">
        <v>80</v>
      </c>
      <c r="H23" t="s">
        <v>91</v>
      </c>
      <c r="I23" t="s">
        <v>92</v>
      </c>
      <c r="J23" t="s">
        <v>52</v>
      </c>
      <c r="K23" t="s">
        <v>72</v>
      </c>
      <c r="L23" t="s">
        <v>200</v>
      </c>
      <c r="M23" t="s">
        <v>40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41</v>
      </c>
      <c r="U23" t="s">
        <v>42</v>
      </c>
      <c r="V23">
        <f>O23*(1-P23)*N23</f>
        <v>3432.6348000000003</v>
      </c>
      <c r="W23">
        <f t="shared" si="0"/>
        <v>1394.9248000000002</v>
      </c>
      <c r="X23">
        <f t="shared" si="1"/>
        <v>0.26983689030944974</v>
      </c>
      <c r="Y23" t="str">
        <f>_xlfn.TEXTJOIN(", ",TRUE,IF(G23="Unknown","Missing Region",""),IF(M23="Unknown","Missing Ship Mode",""),IF(P23&lt;0,"Negative Discount",""),IF(P23&gt;0.7,"High Discount",""),IF(C23&lt;B23,"Ship Before Order",""))</f>
        <v>Negative Discount, Ship Before Order</v>
      </c>
      <c r="Z23" s="2">
        <f>IFERROR(
  IF(ISNUMBER(B23),B23,
    IF(ISNUMBER(SEARCH("-",B23)*1),
      IF(LEN(LEFT(B23,FIND("-",B23)-1))=4,
        DATE(VALUE(LEFT(B23,4)),VALUE(MID(B23,6,2)),VALUE(RIGHT(B23,2))),
        DATE(VALUE(RIGHT(B23,4)),VALUE(MID(B23,4,2)),VALUE(LEFT(B23,2)))
      ),
      IF(ISNUMBER(SEARCH("/",B23)*1),
        DATE(VALUE(RIGHT(B23,4)),VALUE(LEFT(B23,2)),VALUE(MID(B23,4,2))),
        DATEVALUE(B23)
      )
    )
  ),
"INVALID_DATE")</f>
        <v>45681</v>
      </c>
      <c r="AA23" s="2">
        <f>IFERROR(
  IF(ISNUMBER(C23),C23,
    IF(ISNUMBER(SEARCH("-",C23)*1),
      IF(LEN(LEFT(C23,FIND("-",C23)-1))=4,
        DATE(VALUE(LEFT(C23,4)),VALUE(MID(C23,6,2)),VALUE(RIGHT(C23,2))),
        DATE(VALUE(RIGHT(C23,4)),VALUE(MID(C23,4,2)),VALUE(LEFT(C23,2)))
      ),
      IF(ISNUMBER(SEARCH("/",C23)*1),
        DATE(VALUE(RIGHT(C23,4)),VALUE(LEFT(C23,2)),VALUE(MID(C23,4,2))),
        DATEVALUE(C23)
      )
    )
  ),
"INVALID_DATE")</f>
        <v>45687</v>
      </c>
      <c r="AB23">
        <f>AA23-Z23</f>
        <v>6</v>
      </c>
      <c r="AC23" t="str">
        <f>TEXT(Z23,"mmmm")</f>
        <v>January</v>
      </c>
      <c r="AD23">
        <f>YEAR(Z23)</f>
        <v>2025</v>
      </c>
      <c r="AE23" t="str">
        <f t="shared" si="2"/>
        <v>OK</v>
      </c>
    </row>
    <row r="24" spans="1:31">
      <c r="A24" t="s">
        <v>201</v>
      </c>
      <c r="B24" t="s">
        <v>202</v>
      </c>
      <c r="C24" t="s">
        <v>203</v>
      </c>
      <c r="D24" t="s">
        <v>204</v>
      </c>
      <c r="E24" t="s">
        <v>47</v>
      </c>
      <c r="F24" t="s">
        <v>33</v>
      </c>
      <c r="G24" t="s">
        <v>69</v>
      </c>
      <c r="H24" t="s">
        <v>70</v>
      </c>
      <c r="I24" t="s">
        <v>71</v>
      </c>
      <c r="J24" t="s">
        <v>37</v>
      </c>
      <c r="K24" t="s">
        <v>205</v>
      </c>
      <c r="L24" t="s">
        <v>206</v>
      </c>
      <c r="M24" t="s">
        <v>74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207</v>
      </c>
      <c r="U24" t="s">
        <v>132</v>
      </c>
      <c r="V24">
        <f>O24*(1-P24)*N24</f>
        <v>8291.5119999999988</v>
      </c>
      <c r="W24">
        <f t="shared" si="0"/>
        <v>1606.4819999999991</v>
      </c>
      <c r="X24">
        <f t="shared" si="1"/>
        <v>0.19374999246216912</v>
      </c>
      <c r="Y24" t="s">
        <v>4120</v>
      </c>
      <c r="Z24" s="2">
        <f>IFERROR(
  IF(ISNUMBER(B24),B24,
    IF(ISNUMBER(SEARCH("-",B24)*1),
      IF(LEN(LEFT(B24,FIND("-",B24)-1))=4,
        DATE(VALUE(LEFT(B24,4)),VALUE(MID(B24,6,2)),VALUE(RIGHT(B24,2))),
        DATE(VALUE(RIGHT(B24,4)),VALUE(MID(B24,4,2)),VALUE(LEFT(B24,2)))
      ),
      IF(ISNUMBER(SEARCH("/",B24)*1),
        DATE(VALUE(RIGHT(B24,4)),VALUE(LEFT(B24,2)),VALUE(MID(B24,4,2))),
        DATEVALUE(B24)
      )
    )
  ),
"INVALID_DATE")</f>
        <v>45676</v>
      </c>
      <c r="AA24" s="2">
        <f>IFERROR(
  IF(ISNUMBER(C24),C24,
    IF(ISNUMBER(SEARCH("-",C24)*1),
      IF(LEN(LEFT(C24,FIND("-",C24)-1))=4,
        DATE(VALUE(LEFT(C24,4)),VALUE(MID(C24,6,2)),VALUE(RIGHT(C24,2))),
        DATE(VALUE(RIGHT(C24,4)),VALUE(MID(C24,4,2)),VALUE(LEFT(C24,2)))
      ),
      IF(ISNUMBER(SEARCH("/",C24)*1),
        DATE(VALUE(RIGHT(C24,4)),VALUE(LEFT(C24,2)),VALUE(MID(C24,4,2))),
        DATEVALUE(C24)
      )
    )
  ),
"INVALID_DATE")</f>
        <v>45678</v>
      </c>
      <c r="AB24">
        <f>AA24-Z24</f>
        <v>2</v>
      </c>
      <c r="AC24" t="str">
        <f>TEXT(Z24,"mmmm")</f>
        <v>January</v>
      </c>
      <c r="AD24">
        <f>YEAR(Z24)</f>
        <v>2025</v>
      </c>
      <c r="AE24" t="str">
        <f t="shared" si="2"/>
        <v>OK</v>
      </c>
    </row>
    <row r="25" spans="1:31">
      <c r="A25" t="s">
        <v>208</v>
      </c>
      <c r="B25" t="s">
        <v>76</v>
      </c>
      <c r="C25" t="s">
        <v>209</v>
      </c>
      <c r="D25" t="s">
        <v>210</v>
      </c>
      <c r="E25" t="s">
        <v>155</v>
      </c>
      <c r="F25" t="s">
        <v>122</v>
      </c>
      <c r="G25" t="s">
        <v>49</v>
      </c>
      <c r="H25" t="s">
        <v>193</v>
      </c>
      <c r="I25" t="s">
        <v>194</v>
      </c>
      <c r="J25" t="s">
        <v>52</v>
      </c>
      <c r="K25" t="s">
        <v>211</v>
      </c>
      <c r="L25" t="s">
        <v>212</v>
      </c>
      <c r="M25" t="s">
        <v>63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41</v>
      </c>
      <c r="U25" t="s">
        <v>42</v>
      </c>
      <c r="V25">
        <f>O25*(1-P25)*N25</f>
        <v>6265.6320000000005</v>
      </c>
      <c r="W25">
        <f t="shared" si="0"/>
        <v>1943.7720000000008</v>
      </c>
      <c r="X25">
        <f t="shared" si="1"/>
        <v>0.31022738335969408</v>
      </c>
      <c r="Y25" t="s">
        <v>4120</v>
      </c>
      <c r="Z25" s="2">
        <f>IFERROR(
  IF(ISNUMBER(B25),B25,
    IF(ISNUMBER(SEARCH("-",B25)*1),
      IF(LEN(LEFT(B25,FIND("-",B25)-1))=4,
        DATE(VALUE(LEFT(B25,4)),VALUE(MID(B25,6,2)),VALUE(RIGHT(B25,2))),
        DATE(VALUE(RIGHT(B25,4)),VALUE(MID(B25,4,2)),VALUE(LEFT(B25,2)))
      ),
      IF(ISNUMBER(SEARCH("/",B25)*1),
        DATE(VALUE(RIGHT(B25,4)),VALUE(LEFT(B25,2)),VALUE(MID(B25,4,2))),
        DATEVALUE(B25)
      )
    )
  ),
"INVALID_DATE")</f>
        <v>45898</v>
      </c>
      <c r="AA25" s="2">
        <f>IFERROR(
  IF(ISNUMBER(C25),C25,
    IF(ISNUMBER(SEARCH("-",C25)*1),
      IF(LEN(LEFT(C25,FIND("-",C25)-1))=4,
        DATE(VALUE(LEFT(C25,4)),VALUE(MID(C25,6,2)),VALUE(RIGHT(C25,2))),
        DATE(VALUE(RIGHT(C25,4)),VALUE(MID(C25,4,2)),VALUE(LEFT(C25,2)))
      ),
      IF(ISNUMBER(SEARCH("/",C25)*1),
        DATE(VALUE(RIGHT(C25,4)),VALUE(LEFT(C25,2)),VALUE(MID(C25,4,2))),
        DATEVALUE(C25)
      )
    )
  ),
"INVALID_DATE")</f>
        <v>45900</v>
      </c>
      <c r="AB25">
        <f>AA25-Z25</f>
        <v>2</v>
      </c>
      <c r="AC25" t="str">
        <f>TEXT(Z25,"mmmm")</f>
        <v>August</v>
      </c>
      <c r="AD25">
        <f>YEAR(Z25)</f>
        <v>2025</v>
      </c>
      <c r="AE25" t="str">
        <f t="shared" si="2"/>
        <v>OK</v>
      </c>
    </row>
    <row r="26" spans="1:31">
      <c r="A26" t="s">
        <v>213</v>
      </c>
      <c r="B26" t="s">
        <v>214</v>
      </c>
      <c r="C26" t="s">
        <v>215</v>
      </c>
      <c r="D26" t="s">
        <v>216</v>
      </c>
      <c r="E26" t="s">
        <v>217</v>
      </c>
      <c r="F26" t="s">
        <v>33</v>
      </c>
      <c r="G26" t="s">
        <v>34</v>
      </c>
      <c r="H26" t="s">
        <v>161</v>
      </c>
      <c r="I26" t="s">
        <v>162</v>
      </c>
      <c r="J26" t="s">
        <v>37</v>
      </c>
      <c r="K26" t="s">
        <v>61</v>
      </c>
      <c r="L26" t="s">
        <v>218</v>
      </c>
      <c r="M26" t="s">
        <v>74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144</v>
      </c>
      <c r="U26" t="s">
        <v>85</v>
      </c>
      <c r="V26">
        <f>O26*(1-P26)*N26</f>
        <v>13478.82</v>
      </c>
      <c r="W26">
        <f t="shared" si="0"/>
        <v>2541.4699999999993</v>
      </c>
      <c r="X26">
        <f t="shared" si="1"/>
        <v>0.18855285551702597</v>
      </c>
      <c r="Y26" t="str">
        <f>_xlfn.TEXTJOIN(", ",TRUE,IF(G26="Unknown","Missing Region",""),IF(M26="Unknown","Missing Ship Mode",""),IF(P26&lt;0,"Negative Discount",""),IF(P26&gt;0.7,"High Discount",""),IF(C26&lt;B26,"Ship Before Order",""))</f>
        <v>Ship Before Order</v>
      </c>
      <c r="Z26" s="2">
        <f>IFERROR(
  IF(ISNUMBER(B26),B26,
    IF(ISNUMBER(SEARCH("-",B26)*1),
      IF(LEN(LEFT(B26,FIND("-",B26)-1))=4,
        DATE(VALUE(LEFT(B26,4)),VALUE(MID(B26,6,2)),VALUE(RIGHT(B26,2))),
        DATE(VALUE(RIGHT(B26,4)),VALUE(MID(B26,4,2)),VALUE(LEFT(B26,2)))
      ),
      IF(ISNUMBER(SEARCH("/",B26)*1),
        DATE(VALUE(RIGHT(B26,4)),VALUE(LEFT(B26,2)),VALUE(MID(B26,4,2))),
        DATEVALUE(B26)
      )
    )
  ),
"INVALID_DATE")</f>
        <v>45355</v>
      </c>
      <c r="AA26" s="2">
        <f>IFERROR(
  IF(ISNUMBER(C26),C26,
    IF(ISNUMBER(SEARCH("-",C26)*1),
      IF(LEN(LEFT(C26,FIND("-",C26)-1))=4,
        DATE(VALUE(LEFT(C26,4)),VALUE(MID(C26,6,2)),VALUE(RIGHT(C26,2))),
        DATE(VALUE(RIGHT(C26,4)),VALUE(MID(C26,4,2)),VALUE(LEFT(C26,2)))
      ),
      IF(ISNUMBER(SEARCH("/",C26)*1),
        DATE(VALUE(RIGHT(C26,4)),VALUE(LEFT(C26,2)),VALUE(MID(C26,4,2))),
        DATEVALUE(C26)
      )
    )
  ),
"INVALID_DATE")</f>
        <v>45352</v>
      </c>
      <c r="AB26">
        <f>AA26-Z26</f>
        <v>-3</v>
      </c>
      <c r="AC26" t="str">
        <f>TEXT(Z26,"mmmm")</f>
        <v>March</v>
      </c>
      <c r="AD26">
        <f>YEAR(Z26)</f>
        <v>2024</v>
      </c>
      <c r="AE26" t="str">
        <f t="shared" si="2"/>
        <v>Ship Before Order</v>
      </c>
    </row>
    <row r="27" spans="1:31">
      <c r="A27" t="s">
        <v>219</v>
      </c>
      <c r="B27" t="s">
        <v>220</v>
      </c>
      <c r="C27" t="s">
        <v>221</v>
      </c>
      <c r="D27" t="s">
        <v>222</v>
      </c>
      <c r="E27" t="s">
        <v>68</v>
      </c>
      <c r="F27" t="s">
        <v>115</v>
      </c>
      <c r="G27" t="s">
        <v>49</v>
      </c>
      <c r="H27" t="s">
        <v>223</v>
      </c>
      <c r="I27" t="s">
        <v>224</v>
      </c>
      <c r="J27" t="s">
        <v>93</v>
      </c>
      <c r="K27" t="s">
        <v>94</v>
      </c>
      <c r="L27" t="s">
        <v>225</v>
      </c>
      <c r="M27" t="s">
        <v>63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41</v>
      </c>
      <c r="U27" t="s">
        <v>42</v>
      </c>
      <c r="V27">
        <f>O27*(1-P27)*N27</f>
        <v>7335.8399999999992</v>
      </c>
      <c r="W27">
        <f t="shared" si="0"/>
        <v>2367.4299999999994</v>
      </c>
      <c r="X27">
        <f t="shared" si="1"/>
        <v>0.32272105171323257</v>
      </c>
      <c r="Y27" t="s">
        <v>4120</v>
      </c>
      <c r="Z27" s="2">
        <f>IFERROR(
  IF(ISNUMBER(B27),B27,
    IF(ISNUMBER(SEARCH("-",B27)*1),
      IF(LEN(LEFT(B27,FIND("-",B27)-1))=4,
        DATE(VALUE(LEFT(B27,4)),VALUE(MID(B27,6,2)),VALUE(RIGHT(B27,2))),
        DATE(VALUE(RIGHT(B27,4)),VALUE(MID(B27,4,2)),VALUE(LEFT(B27,2)))
      ),
      IF(ISNUMBER(SEARCH("/",B27)*1),
        DATE(VALUE(RIGHT(B27,4)),VALUE(LEFT(B27,2)),VALUE(MID(B27,4,2))),
        DATEVALUE(B27)
      )
    )
  ),
"INVALID_DATE")</f>
        <v>45576</v>
      </c>
      <c r="AA27" s="2">
        <f>IFERROR(
  IF(ISNUMBER(C27),C27,
    IF(ISNUMBER(SEARCH("-",C27)*1),
      IF(LEN(LEFT(C27,FIND("-",C27)-1))=4,
        DATE(VALUE(LEFT(C27,4)),VALUE(MID(C27,6,2)),VALUE(RIGHT(C27,2))),
        DATE(VALUE(RIGHT(C27,4)),VALUE(MID(C27,4,2)),VALUE(LEFT(C27,2)))
      ),
      IF(ISNUMBER(SEARCH("/",C27)*1),
        DATE(VALUE(RIGHT(C27,4)),VALUE(LEFT(C27,2)),VALUE(MID(C27,4,2))),
        DATEVALUE(C27)
      )
    )
  ),
"INVALID_DATE")</f>
        <v>45584</v>
      </c>
      <c r="AB27">
        <f>AA27-Z27</f>
        <v>8</v>
      </c>
      <c r="AC27" t="str">
        <f>TEXT(Z27,"mmmm")</f>
        <v>October</v>
      </c>
      <c r="AD27">
        <f>YEAR(Z27)</f>
        <v>2024</v>
      </c>
      <c r="AE27" t="str">
        <f t="shared" si="2"/>
        <v>OK</v>
      </c>
    </row>
    <row r="28" spans="1:31">
      <c r="A28" t="s">
        <v>226</v>
      </c>
      <c r="B28" t="s">
        <v>227</v>
      </c>
      <c r="C28" t="s">
        <v>228</v>
      </c>
      <c r="D28" t="s">
        <v>229</v>
      </c>
      <c r="E28" t="s">
        <v>217</v>
      </c>
      <c r="F28" t="s">
        <v>115</v>
      </c>
      <c r="G28" t="s">
        <v>34</v>
      </c>
      <c r="H28" t="s">
        <v>181</v>
      </c>
      <c r="I28" t="s">
        <v>182</v>
      </c>
      <c r="J28" t="s">
        <v>93</v>
      </c>
      <c r="K28" t="s">
        <v>230</v>
      </c>
      <c r="L28" t="s">
        <v>231</v>
      </c>
      <c r="M28" t="s">
        <v>74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41</v>
      </c>
      <c r="U28" t="s">
        <v>132</v>
      </c>
      <c r="V28">
        <f>O28*(1-P28)*N28</f>
        <v>2578.0680000000002</v>
      </c>
      <c r="W28">
        <f t="shared" si="0"/>
        <v>1050.5180000000003</v>
      </c>
      <c r="X28">
        <f t="shared" si="1"/>
        <v>0.40748311721559149</v>
      </c>
      <c r="Y28" t="str">
        <f>_xlfn.TEXTJOIN(", ",TRUE,IF(G28="Unknown","Missing Region",""),IF(M28="Unknown","Missing Ship Mode",""),IF(P28&lt;0,"Negative Discount",""),IF(P28&gt;0.7,"High Discount",""),IF(C28&lt;B28,"Ship Before Order",""))</f>
        <v>Ship Before Order</v>
      </c>
      <c r="Z28" s="2">
        <f>IFERROR(
  IF(ISNUMBER(B28),B28,
    IF(ISNUMBER(SEARCH("-",B28)*1),
      IF(LEN(LEFT(B28,FIND("-",B28)-1))=4,
        DATE(VALUE(LEFT(B28,4)),VALUE(MID(B28,6,2)),VALUE(RIGHT(B28,2))),
        DATE(VALUE(RIGHT(B28,4)),VALUE(MID(B28,4,2)),VALUE(LEFT(B28,2)))
      ),
      IF(ISNUMBER(SEARCH("/",B28)*1),
        DATE(VALUE(RIGHT(B28,4)),VALUE(LEFT(B28,2)),VALUE(MID(B28,4,2))),
        DATEVALUE(B28)
      )
    )
  ),
"INVALID_DATE")</f>
        <v>45619</v>
      </c>
      <c r="AA28" s="2">
        <f>IFERROR(
  IF(ISNUMBER(C28),C28,
    IF(ISNUMBER(SEARCH("-",C28)*1),
      IF(LEN(LEFT(C28,FIND("-",C28)-1))=4,
        DATE(VALUE(LEFT(C28,4)),VALUE(MID(C28,6,2)),VALUE(RIGHT(C28,2))),
        DATE(VALUE(RIGHT(C28,4)),VALUE(MID(C28,4,2)),VALUE(LEFT(C28,2)))
      ),
      IF(ISNUMBER(SEARCH("/",C28)*1),
        DATE(VALUE(RIGHT(C28,4)),VALUE(LEFT(C28,2)),VALUE(MID(C28,4,2))),
        DATEVALUE(C28)
      )
    )
  ),
"INVALID_DATE")</f>
        <v>45619</v>
      </c>
      <c r="AB28">
        <f>AA28-Z28</f>
        <v>0</v>
      </c>
      <c r="AC28" t="str">
        <f>TEXT(Z28,"mmmm")</f>
        <v>November</v>
      </c>
      <c r="AD28">
        <f>YEAR(Z28)</f>
        <v>2024</v>
      </c>
      <c r="AE28" t="str">
        <f t="shared" si="2"/>
        <v>OK</v>
      </c>
    </row>
    <row r="29" spans="1:31">
      <c r="A29" t="s">
        <v>232</v>
      </c>
      <c r="B29" t="s">
        <v>233</v>
      </c>
      <c r="C29" t="s">
        <v>234</v>
      </c>
      <c r="D29" t="s">
        <v>235</v>
      </c>
      <c r="E29" t="s">
        <v>68</v>
      </c>
      <c r="F29" t="s">
        <v>48</v>
      </c>
      <c r="G29" t="s">
        <v>69</v>
      </c>
      <c r="H29" t="s">
        <v>236</v>
      </c>
      <c r="I29" t="s">
        <v>237</v>
      </c>
      <c r="J29" t="s">
        <v>37</v>
      </c>
      <c r="K29" t="s">
        <v>38</v>
      </c>
      <c r="L29" t="s">
        <v>238</v>
      </c>
      <c r="M29" t="s">
        <v>40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207</v>
      </c>
      <c r="U29" t="s">
        <v>132</v>
      </c>
      <c r="V29">
        <f>O29*(1-P29)*N29</f>
        <v>6774.4124999999995</v>
      </c>
      <c r="W29">
        <f t="shared" si="0"/>
        <v>2064.0524999999998</v>
      </c>
      <c r="X29">
        <f t="shared" si="1"/>
        <v>0.30468335987931056</v>
      </c>
      <c r="Y29" t="str">
        <f>_xlfn.TEXTJOIN(", ",TRUE,IF(G29="Unknown","Missing Region",""),IF(M29="Unknown","Missing Ship Mode",""),IF(P29&lt;0,"Negative Discount",""),IF(P29&gt;0.7,"High Discount",""),IF(C29&lt;B29,"Ship Before Order",""))</f>
        <v>Ship Before Order</v>
      </c>
      <c r="Z29" s="2">
        <f>IFERROR(
  IF(ISNUMBER(B29),B29,
    IF(ISNUMBER(SEARCH("-",B29)*1),
      IF(LEN(LEFT(B29,FIND("-",B29)-1))=4,
        DATE(VALUE(LEFT(B29,4)),VALUE(MID(B29,6,2)),VALUE(RIGHT(B29,2))),
        DATE(VALUE(RIGHT(B29,4)),VALUE(MID(B29,4,2)),VALUE(LEFT(B29,2)))
      ),
      IF(ISNUMBER(SEARCH("/",B29)*1),
        DATE(VALUE(RIGHT(B29,4)),VALUE(LEFT(B29,2)),VALUE(MID(B29,4,2))),
        DATEVALUE(B29)
      )
    )
  ),
"INVALID_DATE")</f>
        <v>45929</v>
      </c>
      <c r="AA29" s="2">
        <f>IFERROR(
  IF(ISNUMBER(C29),C29,
    IF(ISNUMBER(SEARCH("-",C29)*1),
      IF(LEN(LEFT(C29,FIND("-",C29)-1))=4,
        DATE(VALUE(LEFT(C29,4)),VALUE(MID(C29,6,2)),VALUE(RIGHT(C29,2))),
        DATE(VALUE(RIGHT(C29,4)),VALUE(MID(C29,4,2)),VALUE(LEFT(C29,2)))
      ),
      IF(ISNUMBER(SEARCH("/",C29)*1),
        DATE(VALUE(RIGHT(C29,4)),VALUE(LEFT(C29,2)),VALUE(MID(C29,4,2))),
        DATEVALUE(C29)
      )
    )
  ),
"INVALID_DATE")</f>
        <v>45935</v>
      </c>
      <c r="AB29">
        <f>AA29-Z29</f>
        <v>6</v>
      </c>
      <c r="AC29" t="str">
        <f>TEXT(Z29,"mmmm")</f>
        <v>September</v>
      </c>
      <c r="AD29">
        <f>YEAR(Z29)</f>
        <v>2025</v>
      </c>
      <c r="AE29" t="str">
        <f t="shared" si="2"/>
        <v>OK</v>
      </c>
    </row>
    <row r="30" spans="1:31">
      <c r="A30" t="s">
        <v>239</v>
      </c>
      <c r="B30" t="s">
        <v>220</v>
      </c>
      <c r="C30" t="s">
        <v>240</v>
      </c>
      <c r="D30" t="s">
        <v>241</v>
      </c>
      <c r="E30" t="s">
        <v>79</v>
      </c>
      <c r="F30" t="s">
        <v>122</v>
      </c>
      <c r="G30" t="s">
        <v>80</v>
      </c>
      <c r="H30" t="s">
        <v>242</v>
      </c>
      <c r="I30" t="s">
        <v>243</v>
      </c>
      <c r="J30" t="s">
        <v>93</v>
      </c>
      <c r="K30" t="s">
        <v>230</v>
      </c>
      <c r="L30" t="s">
        <v>244</v>
      </c>
      <c r="M30" t="s">
        <v>40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131</v>
      </c>
      <c r="U30" t="s">
        <v>85</v>
      </c>
      <c r="V30">
        <f>O30*(1-P30)*N30</f>
        <v>2913.33</v>
      </c>
      <c r="W30">
        <f t="shared" si="0"/>
        <v>791</v>
      </c>
      <c r="X30">
        <f t="shared" si="1"/>
        <v>0.27151060813570727</v>
      </c>
      <c r="Y30" t="s">
        <v>4120</v>
      </c>
      <c r="Z30" s="2">
        <f>IFERROR(
  IF(ISNUMBER(B30),B30,
    IF(ISNUMBER(SEARCH("-",B30)*1),
      IF(LEN(LEFT(B30,FIND("-",B30)-1))=4,
        DATE(VALUE(LEFT(B30,4)),VALUE(MID(B30,6,2)),VALUE(RIGHT(B30,2))),
        DATE(VALUE(RIGHT(B30,4)),VALUE(MID(B30,4,2)),VALUE(LEFT(B30,2)))
      ),
      IF(ISNUMBER(SEARCH("/",B30)*1),
        DATE(VALUE(RIGHT(B30,4)),VALUE(LEFT(B30,2)),VALUE(MID(B30,4,2))),
        DATEVALUE(B30)
      )
    )
  ),
"INVALID_DATE")</f>
        <v>45576</v>
      </c>
      <c r="AA30" s="2">
        <f>IFERROR(
  IF(ISNUMBER(C30),C30,
    IF(ISNUMBER(SEARCH("-",C30)*1),
      IF(LEN(LEFT(C30,FIND("-",C30)-1))=4,
        DATE(VALUE(LEFT(C30,4)),VALUE(MID(C30,6,2)),VALUE(RIGHT(C30,2))),
        DATE(VALUE(RIGHT(C30,4)),VALUE(MID(C30,4,2)),VALUE(LEFT(C30,2)))
      ),
      IF(ISNUMBER(SEARCH("/",C30)*1),
        DATE(VALUE(RIGHT(C30,4)),VALUE(LEFT(C30,2)),VALUE(MID(C30,4,2))),
        DATEVALUE(C30)
      )
    )
  ),
"INVALID_DATE")</f>
        <v>45583</v>
      </c>
      <c r="AB30">
        <f>AA30-Z30</f>
        <v>7</v>
      </c>
      <c r="AC30" t="str">
        <f>TEXT(Z30,"mmmm")</f>
        <v>October</v>
      </c>
      <c r="AD30">
        <f>YEAR(Z30)</f>
        <v>2024</v>
      </c>
      <c r="AE30" t="str">
        <f t="shared" si="2"/>
        <v>OK</v>
      </c>
    </row>
    <row r="31" spans="1:31">
      <c r="A31" t="s">
        <v>245</v>
      </c>
      <c r="B31" t="s">
        <v>246</v>
      </c>
      <c r="C31" t="s">
        <v>247</v>
      </c>
      <c r="D31" t="s">
        <v>248</v>
      </c>
      <c r="E31" t="s">
        <v>187</v>
      </c>
      <c r="F31" t="s">
        <v>122</v>
      </c>
      <c r="G31" t="s">
        <v>69</v>
      </c>
      <c r="H31" t="s">
        <v>249</v>
      </c>
      <c r="I31" t="s">
        <v>250</v>
      </c>
      <c r="J31" t="s">
        <v>93</v>
      </c>
      <c r="K31" t="s">
        <v>230</v>
      </c>
      <c r="L31" t="s">
        <v>251</v>
      </c>
      <c r="M31" t="s">
        <v>74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41</v>
      </c>
      <c r="U31" t="s">
        <v>42</v>
      </c>
      <c r="V31">
        <f>O31*(1-P31)*N31</f>
        <v>217.60849999999999</v>
      </c>
      <c r="W31">
        <f t="shared" si="0"/>
        <v>97.838499999999996</v>
      </c>
      <c r="X31">
        <f t="shared" si="1"/>
        <v>0.44961169063921691</v>
      </c>
      <c r="Y31" t="s">
        <v>4120</v>
      </c>
      <c r="Z31" s="2">
        <f>IFERROR(
  IF(ISNUMBER(B31),B31,
    IF(ISNUMBER(SEARCH("-",B31)*1),
      IF(LEN(LEFT(B31,FIND("-",B31)-1))=4,
        DATE(VALUE(LEFT(B31,4)),VALUE(MID(B31,6,2)),VALUE(RIGHT(B31,2))),
        DATE(VALUE(RIGHT(B31,4)),VALUE(MID(B31,4,2)),VALUE(LEFT(B31,2)))
      ),
      IF(ISNUMBER(SEARCH("/",B31)*1),
        DATE(VALUE(RIGHT(B31,4)),VALUE(LEFT(B31,2)),VALUE(MID(B31,4,2))),
        DATEVALUE(B31)
      )
    )
  ),
"INVALID_DATE")</f>
        <v>45882</v>
      </c>
      <c r="AA31" s="2">
        <f>IFERROR(
  IF(ISNUMBER(C31),C31,
    IF(ISNUMBER(SEARCH("-",C31)*1),
      IF(LEN(LEFT(C31,FIND("-",C31)-1))=4,
        DATE(VALUE(LEFT(C31,4)),VALUE(MID(C31,6,2)),VALUE(RIGHT(C31,2))),
        DATE(VALUE(RIGHT(C31,4)),VALUE(MID(C31,4,2)),VALUE(LEFT(C31,2)))
      ),
      IF(ISNUMBER(SEARCH("/",C31)*1),
        DATE(VALUE(RIGHT(C31,4)),VALUE(LEFT(C31,2)),VALUE(MID(C31,4,2))),
        DATEVALUE(C31)
      )
    )
  ),
"INVALID_DATE")</f>
        <v>45882</v>
      </c>
      <c r="AB31">
        <f>AA31-Z31</f>
        <v>0</v>
      </c>
      <c r="AC31" t="str">
        <f>TEXT(Z31,"mmmm")</f>
        <v>August</v>
      </c>
      <c r="AD31">
        <f>YEAR(Z31)</f>
        <v>2025</v>
      </c>
      <c r="AE31" t="str">
        <f t="shared" si="2"/>
        <v>OK</v>
      </c>
    </row>
    <row r="32" spans="1:31">
      <c r="A32" t="s">
        <v>252</v>
      </c>
      <c r="B32" t="s">
        <v>253</v>
      </c>
      <c r="C32" t="s">
        <v>254</v>
      </c>
      <c r="D32" t="s">
        <v>255</v>
      </c>
      <c r="E32" t="s">
        <v>79</v>
      </c>
      <c r="F32" t="s">
        <v>115</v>
      </c>
      <c r="G32" t="s">
        <v>80</v>
      </c>
      <c r="H32" t="s">
        <v>256</v>
      </c>
      <c r="I32" t="s">
        <v>257</v>
      </c>
      <c r="J32" t="s">
        <v>37</v>
      </c>
      <c r="K32" t="s">
        <v>116</v>
      </c>
      <c r="L32" t="s">
        <v>258</v>
      </c>
      <c r="M32" t="s">
        <v>63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41</v>
      </c>
      <c r="U32" t="s">
        <v>42</v>
      </c>
      <c r="V32">
        <f>O32*(1-P32)*N32</f>
        <v>3079.5929999999998</v>
      </c>
      <c r="W32">
        <f t="shared" si="0"/>
        <v>1077.7029999999997</v>
      </c>
      <c r="X32">
        <f t="shared" si="1"/>
        <v>0.34994918154689425</v>
      </c>
      <c r="Y32" t="str">
        <f>_xlfn.TEXTJOIN(", ",TRUE,IF(G32="Unknown","Missing Region",""),IF(M32="Unknown","Missing Ship Mode",""),IF(P32&lt;0,"Negative Discount",""),IF(P32&gt;0.7,"High Discount",""),IF(C32&lt;B32,"Ship Before Order",""))</f>
        <v>Ship Before Order</v>
      </c>
      <c r="Z32" s="2">
        <f>IFERROR(
  IF(ISNUMBER(B32),B32,
    IF(ISNUMBER(SEARCH("-",B32)*1),
      IF(LEN(LEFT(B32,FIND("-",B32)-1))=4,
        DATE(VALUE(LEFT(B32,4)),VALUE(MID(B32,6,2)),VALUE(RIGHT(B32,2))),
        DATE(VALUE(RIGHT(B32,4)),VALUE(MID(B32,4,2)),VALUE(LEFT(B32,2)))
      ),
      IF(ISNUMBER(SEARCH("/",B32)*1),
        DATE(VALUE(RIGHT(B32,4)),VALUE(LEFT(B32,2)),VALUE(MID(B32,4,2))),
        DATEVALUE(B32)
      )
    )
  ),
"INVALID_DATE")</f>
        <v>45331</v>
      </c>
      <c r="AA32" s="2">
        <f>IFERROR(
  IF(ISNUMBER(C32),C32,
    IF(ISNUMBER(SEARCH("-",C32)*1),
      IF(LEN(LEFT(C32,FIND("-",C32)-1))=4,
        DATE(VALUE(LEFT(C32,4)),VALUE(MID(C32,6,2)),VALUE(RIGHT(C32,2))),
        DATE(VALUE(RIGHT(C32,4)),VALUE(MID(C32,4,2)),VALUE(LEFT(C32,2)))
      ),
      IF(ISNUMBER(SEARCH("/",C32)*1),
        DATE(VALUE(RIGHT(C32,4)),VALUE(LEFT(C32,2)),VALUE(MID(C32,4,2))),
        DATEVALUE(C32)
      )
    )
  ),
"INVALID_DATE")</f>
        <v>45334</v>
      </c>
      <c r="AB32">
        <f>AA32-Z32</f>
        <v>3</v>
      </c>
      <c r="AC32" t="str">
        <f>TEXT(Z32,"mmmm")</f>
        <v>February</v>
      </c>
      <c r="AD32">
        <f>YEAR(Z32)</f>
        <v>2024</v>
      </c>
      <c r="AE32" t="str">
        <f t="shared" si="2"/>
        <v>OK</v>
      </c>
    </row>
    <row r="33" spans="1:31">
      <c r="A33" t="s">
        <v>259</v>
      </c>
      <c r="B33" t="s">
        <v>260</v>
      </c>
      <c r="C33" t="s">
        <v>261</v>
      </c>
      <c r="D33" t="s">
        <v>262</v>
      </c>
      <c r="E33" t="s">
        <v>32</v>
      </c>
      <c r="F33" t="s">
        <v>48</v>
      </c>
      <c r="G33" t="s">
        <v>80</v>
      </c>
      <c r="H33" t="s">
        <v>91</v>
      </c>
      <c r="I33" t="s">
        <v>92</v>
      </c>
      <c r="J33" t="s">
        <v>37</v>
      </c>
      <c r="K33" t="s">
        <v>38</v>
      </c>
      <c r="L33" t="s">
        <v>263</v>
      </c>
      <c r="M33" t="s">
        <v>40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207</v>
      </c>
      <c r="U33" t="s">
        <v>132</v>
      </c>
      <c r="V33">
        <f>O33*(1-P33)*N33</f>
        <v>27832.95</v>
      </c>
      <c r="W33">
        <f t="shared" si="0"/>
        <v>10063.200000000001</v>
      </c>
      <c r="X33">
        <f t="shared" si="1"/>
        <v>0.36155707533696574</v>
      </c>
      <c r="Y33" t="s">
        <v>4120</v>
      </c>
      <c r="Z33" s="2">
        <f>IFERROR(
  IF(ISNUMBER(B33),B33,
    IF(ISNUMBER(SEARCH("-",B33)*1),
      IF(LEN(LEFT(B33,FIND("-",B33)-1))=4,
        DATE(VALUE(LEFT(B33,4)),VALUE(MID(B33,6,2)),VALUE(RIGHT(B33,2))),
        DATE(VALUE(RIGHT(B33,4)),VALUE(MID(B33,4,2)),VALUE(LEFT(B33,2)))
      ),
      IF(ISNUMBER(SEARCH("/",B33)*1),
        DATE(VALUE(RIGHT(B33,4)),VALUE(LEFT(B33,2)),VALUE(MID(B33,4,2))),
        DATEVALUE(B33)
      )
    )
  ),
"INVALID_DATE")</f>
        <v>45823</v>
      </c>
      <c r="AA33" s="2">
        <f>IFERROR(
  IF(ISNUMBER(C33),C33,
    IF(ISNUMBER(SEARCH("-",C33)*1),
      IF(LEN(LEFT(C33,FIND("-",C33)-1))=4,
        DATE(VALUE(LEFT(C33,4)),VALUE(MID(C33,6,2)),VALUE(RIGHT(C33,2))),
        DATE(VALUE(RIGHT(C33,4)),VALUE(MID(C33,4,2)),VALUE(LEFT(C33,2)))
      ),
      IF(ISNUMBER(SEARCH("/",C33)*1),
        DATE(VALUE(RIGHT(C33,4)),VALUE(LEFT(C33,2)),VALUE(MID(C33,4,2))),
        DATEVALUE(C33)
      )
    )
  ),
"INVALID_DATE")</f>
        <v>45827</v>
      </c>
      <c r="AB33">
        <f>AA33-Z33</f>
        <v>4</v>
      </c>
      <c r="AC33" t="str">
        <f>TEXT(Z33,"mmmm")</f>
        <v>June</v>
      </c>
      <c r="AD33">
        <f>YEAR(Z33)</f>
        <v>2025</v>
      </c>
      <c r="AE33" t="str">
        <f t="shared" si="2"/>
        <v>OK</v>
      </c>
    </row>
    <row r="34" spans="1:31">
      <c r="A34" t="s">
        <v>264</v>
      </c>
      <c r="B34" t="s">
        <v>265</v>
      </c>
      <c r="C34" t="s">
        <v>266</v>
      </c>
      <c r="D34" t="s">
        <v>267</v>
      </c>
      <c r="E34" t="s">
        <v>169</v>
      </c>
      <c r="F34" t="s">
        <v>115</v>
      </c>
      <c r="G34" t="s">
        <v>69</v>
      </c>
      <c r="H34" t="s">
        <v>107</v>
      </c>
      <c r="I34" t="s">
        <v>108</v>
      </c>
      <c r="J34" t="s">
        <v>93</v>
      </c>
      <c r="K34" t="s">
        <v>230</v>
      </c>
      <c r="L34" t="s">
        <v>268</v>
      </c>
      <c r="M34" t="s">
        <v>40</v>
      </c>
      <c r="N34">
        <v>3</v>
      </c>
      <c r="O34">
        <v>4001.25</v>
      </c>
      <c r="P34">
        <v>0</v>
      </c>
      <c r="Q34">
        <v>9002.81</v>
      </c>
      <c r="R34">
        <v>7529.92</v>
      </c>
      <c r="S34">
        <v>1472.89</v>
      </c>
      <c r="T34" t="s">
        <v>41</v>
      </c>
      <c r="U34" t="s">
        <v>42</v>
      </c>
      <c r="V34">
        <f>O34*(1-P34)*N34</f>
        <v>12003.75</v>
      </c>
      <c r="W34">
        <f t="shared" si="0"/>
        <v>4473.83</v>
      </c>
      <c r="X34">
        <f t="shared" si="1"/>
        <v>0.16360336383862373</v>
      </c>
      <c r="Y34" t="str">
        <f>_xlfn.TEXTJOIN(", ",TRUE,IF(G34="Unknown","Missing Region",""),IF(M34="Unknown","Missing Ship Mode",""),IF(P34&lt;0,"Negative Discount",""),IF(P34&gt;0.7,"High Discount",""),IF(C34&lt;B34,"Ship Before Order",""))</f>
        <v>Ship Before Order</v>
      </c>
      <c r="Z34" s="2">
        <f>IFERROR(
  IF(ISNUMBER(B34),B34,
    IF(ISNUMBER(SEARCH("-",B34)*1),
      IF(LEN(LEFT(B34,FIND("-",B34)-1))=4,
        DATE(VALUE(LEFT(B34,4)),VALUE(MID(B34,6,2)),VALUE(RIGHT(B34,2))),
        DATE(VALUE(RIGHT(B34,4)),VALUE(MID(B34,4,2)),VALUE(LEFT(B34,2)))
      ),
      IF(ISNUMBER(SEARCH("/",B34)*1),
        DATE(VALUE(RIGHT(B34,4)),VALUE(LEFT(B34,2)),VALUE(MID(B34,4,2))),
        DATEVALUE(B34)
      )
    )
  ),
"INVALID_DATE")</f>
        <v>45618</v>
      </c>
      <c r="AA34" s="2">
        <f>IFERROR(
  IF(ISNUMBER(C34),C34,
    IF(ISNUMBER(SEARCH("-",C34)*1),
      IF(LEN(LEFT(C34,FIND("-",C34)-1))=4,
        DATE(VALUE(LEFT(C34,4)),VALUE(MID(C34,6,2)),VALUE(RIGHT(C34,2))),
        DATE(VALUE(RIGHT(C34,4)),VALUE(MID(C34,4,2)),VALUE(LEFT(C34,2)))
      ),
      IF(ISNUMBER(SEARCH("/",C34)*1),
        DATE(VALUE(RIGHT(C34,4)),VALUE(LEFT(C34,2)),VALUE(MID(C34,4,2))),
        DATEVALUE(C34)
      )
    )
  ),
"INVALID_DATE")</f>
        <v>45622</v>
      </c>
      <c r="AB34">
        <f>AA34-Z34</f>
        <v>4</v>
      </c>
      <c r="AC34" t="str">
        <f>TEXT(Z34,"mmmm")</f>
        <v>November</v>
      </c>
      <c r="AD34">
        <f>YEAR(Z34)</f>
        <v>2024</v>
      </c>
      <c r="AE34" t="str">
        <f t="shared" si="2"/>
        <v>OK</v>
      </c>
    </row>
    <row r="35" spans="1:31">
      <c r="A35" t="s">
        <v>269</v>
      </c>
      <c r="B35" t="s">
        <v>270</v>
      </c>
      <c r="C35" t="s">
        <v>271</v>
      </c>
      <c r="D35" t="s">
        <v>272</v>
      </c>
      <c r="E35" t="s">
        <v>149</v>
      </c>
      <c r="F35" t="s">
        <v>122</v>
      </c>
      <c r="G35" t="s">
        <v>80</v>
      </c>
      <c r="H35" t="s">
        <v>256</v>
      </c>
      <c r="I35" t="s">
        <v>257</v>
      </c>
      <c r="J35" t="s">
        <v>52</v>
      </c>
      <c r="K35" t="s">
        <v>53</v>
      </c>
      <c r="L35" t="s">
        <v>273</v>
      </c>
      <c r="M35" t="s">
        <v>55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41</v>
      </c>
      <c r="U35" t="s">
        <v>42</v>
      </c>
      <c r="V35">
        <f>O35*(1-P35)*N35</f>
        <v>2585.1525000000001</v>
      </c>
      <c r="W35">
        <f t="shared" si="0"/>
        <v>514.42250000000013</v>
      </c>
      <c r="X35">
        <f t="shared" si="1"/>
        <v>0.19899038740498615</v>
      </c>
      <c r="Y35" t="s">
        <v>4120</v>
      </c>
      <c r="Z35" s="2">
        <f>IFERROR(
  IF(ISNUMBER(B35),B35,
    IF(ISNUMBER(SEARCH("-",B35)*1),
      IF(LEN(LEFT(B35,FIND("-",B35)-1))=4,
        DATE(VALUE(LEFT(B35,4)),VALUE(MID(B35,6,2)),VALUE(RIGHT(B35,2))),
        DATE(VALUE(RIGHT(B35,4)),VALUE(MID(B35,4,2)),VALUE(LEFT(B35,2)))
      ),
      IF(ISNUMBER(SEARCH("/",B35)*1),
        DATE(VALUE(RIGHT(B35,4)),VALUE(LEFT(B35,2)),VALUE(MID(B35,4,2))),
        DATEVALUE(B35)
      )
    )
  ),
"INVALID_DATE")</f>
        <v>45495</v>
      </c>
      <c r="AA35" s="2">
        <f>IFERROR(
  IF(ISNUMBER(C35),C35,
    IF(ISNUMBER(SEARCH("-",C35)*1),
      IF(LEN(LEFT(C35,FIND("-",C35)-1))=4,
        DATE(VALUE(LEFT(C35,4)),VALUE(MID(C35,6,2)),VALUE(RIGHT(C35,2))),
        DATE(VALUE(RIGHT(C35,4)),VALUE(MID(C35,4,2)),VALUE(LEFT(C35,2)))
      ),
      IF(ISNUMBER(SEARCH("/",C35)*1),
        DATE(VALUE(RIGHT(C35,4)),VALUE(LEFT(C35,2)),VALUE(MID(C35,4,2))),
        DATEVALUE(C35)
      )
    )
  ),
"INVALID_DATE")</f>
        <v>45500</v>
      </c>
      <c r="AB35">
        <f>AA35-Z35</f>
        <v>5</v>
      </c>
      <c r="AC35" t="str">
        <f>TEXT(Z35,"mmmm")</f>
        <v>July</v>
      </c>
      <c r="AD35">
        <f>YEAR(Z35)</f>
        <v>2024</v>
      </c>
      <c r="AE35" t="str">
        <f t="shared" si="2"/>
        <v>OK</v>
      </c>
    </row>
    <row r="36" spans="1:31">
      <c r="A36" t="s">
        <v>274</v>
      </c>
      <c r="B36" t="s">
        <v>275</v>
      </c>
      <c r="C36" t="s">
        <v>276</v>
      </c>
      <c r="D36" t="s">
        <v>277</v>
      </c>
      <c r="E36" t="s">
        <v>149</v>
      </c>
      <c r="F36" t="s">
        <v>122</v>
      </c>
      <c r="G36" t="s">
        <v>49</v>
      </c>
      <c r="H36" t="s">
        <v>128</v>
      </c>
      <c r="I36" t="s">
        <v>129</v>
      </c>
      <c r="J36" t="s">
        <v>52</v>
      </c>
      <c r="K36" t="s">
        <v>83</v>
      </c>
      <c r="L36" t="s">
        <v>278</v>
      </c>
      <c r="M36" t="s">
        <v>279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41</v>
      </c>
      <c r="U36" t="s">
        <v>42</v>
      </c>
      <c r="V36">
        <f>O36*(1-P36)*N36</f>
        <v>6655.5039999999999</v>
      </c>
      <c r="W36">
        <f t="shared" si="0"/>
        <v>2315.2939999999999</v>
      </c>
      <c r="X36">
        <f t="shared" si="1"/>
        <v>0.39175418826534447</v>
      </c>
      <c r="Y36" t="str">
        <f>_xlfn.TEXTJOIN(", ",TRUE,IF(G36="Unknown","Missing Region",""),IF(M36="Unknown","Missing Ship Mode",""),IF(P36&lt;0,"Negative Discount",""),IF(P36&gt;0.7,"High Discount",""),IF(C36&lt;B36,"Ship Before Order",""))</f>
        <v>Missing Ship Mode</v>
      </c>
      <c r="Z36" s="2">
        <f>IFERROR(
  IF(ISNUMBER(B36),B36,
    IF(ISNUMBER(SEARCH("-",B36)*1),
      IF(LEN(LEFT(B36,FIND("-",B36)-1))=4,
        DATE(VALUE(LEFT(B36,4)),VALUE(MID(B36,6,2)),VALUE(RIGHT(B36,2))),
        DATE(VALUE(RIGHT(B36,4)),VALUE(MID(B36,4,2)),VALUE(LEFT(B36,2)))
      ),
      IF(ISNUMBER(SEARCH("/",B36)*1),
        DATE(VALUE(RIGHT(B36,4)),VALUE(LEFT(B36,2)),VALUE(MID(B36,4,2))),
        DATEVALUE(B36)
      )
    )
  ),
"INVALID_DATE")</f>
        <v>45688</v>
      </c>
      <c r="AA36" s="2">
        <f>IFERROR(
  IF(ISNUMBER(C36),C36,
    IF(ISNUMBER(SEARCH("-",C36)*1),
      IF(LEN(LEFT(C36,FIND("-",C36)-1))=4,
        DATE(VALUE(LEFT(C36,4)),VALUE(MID(C36,6,2)),VALUE(RIGHT(C36,2))),
        DATE(VALUE(RIGHT(C36,4)),VALUE(MID(C36,4,2)),VALUE(LEFT(C36,2)))
      ),
      IF(ISNUMBER(SEARCH("/",C36)*1),
        DATE(VALUE(RIGHT(C36,4)),VALUE(LEFT(C36,2)),VALUE(MID(C36,4,2))),
        DATEVALUE(C36)
      )
    )
  ),
"INVALID_DATE")</f>
        <v>45693</v>
      </c>
      <c r="AB36">
        <f>AA36-Z36</f>
        <v>5</v>
      </c>
      <c r="AC36" t="str">
        <f>TEXT(Z36,"mmmm")</f>
        <v>January</v>
      </c>
      <c r="AD36">
        <f>YEAR(Z36)</f>
        <v>2025</v>
      </c>
      <c r="AE36" t="str">
        <f t="shared" si="2"/>
        <v>OK</v>
      </c>
    </row>
    <row r="37" spans="1:31">
      <c r="A37" t="s">
        <v>280</v>
      </c>
      <c r="B37" t="s">
        <v>281</v>
      </c>
      <c r="C37" t="s">
        <v>282</v>
      </c>
      <c r="D37" t="s">
        <v>283</v>
      </c>
      <c r="E37" t="s">
        <v>175</v>
      </c>
      <c r="F37" t="s">
        <v>48</v>
      </c>
      <c r="G37" t="s">
        <v>80</v>
      </c>
      <c r="H37" t="s">
        <v>242</v>
      </c>
      <c r="I37" t="s">
        <v>243</v>
      </c>
      <c r="J37" t="s">
        <v>52</v>
      </c>
      <c r="K37" t="s">
        <v>211</v>
      </c>
      <c r="L37" t="s">
        <v>284</v>
      </c>
      <c r="M37" t="s">
        <v>40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144</v>
      </c>
      <c r="U37" t="s">
        <v>132</v>
      </c>
      <c r="V37">
        <f>O37*(1-P37)*N37</f>
        <v>19054.111999999997</v>
      </c>
      <c r="W37">
        <f t="shared" si="0"/>
        <v>3740.2819999999974</v>
      </c>
      <c r="X37">
        <f t="shared" si="1"/>
        <v>0.1962978066149508</v>
      </c>
      <c r="Y37" t="str">
        <f>_xlfn.TEXTJOIN(", ",TRUE,IF(G37="Unknown","Missing Region",""),IF(M37="Unknown","Missing Ship Mode",""),IF(P37&lt;0,"Negative Discount",""),IF(P37&gt;0.7,"High Discount",""),IF(C37&lt;B37,"Ship Before Order",""))</f>
        <v>Ship Before Order</v>
      </c>
      <c r="Z37" s="2">
        <f>IFERROR(
  IF(ISNUMBER(B37),B37,
    IF(ISNUMBER(SEARCH("-",B37)*1),
      IF(LEN(LEFT(B37,FIND("-",B37)-1))=4,
        DATE(VALUE(LEFT(B37,4)),VALUE(MID(B37,6,2)),VALUE(RIGHT(B37,2))),
        DATE(VALUE(RIGHT(B37,4)),VALUE(MID(B37,4,2)),VALUE(LEFT(B37,2)))
      ),
      IF(ISNUMBER(SEARCH("/",B37)*1),
        DATE(VALUE(RIGHT(B37,4)),VALUE(LEFT(B37,2)),VALUE(MID(B37,4,2))),
        DATEVALUE(B37)
      )
    )
  ),
"INVALID_DATE")</f>
        <v>45441</v>
      </c>
      <c r="AA37" s="2">
        <f>IFERROR(
  IF(ISNUMBER(C37),C37,
    IF(ISNUMBER(SEARCH("-",C37)*1),
      IF(LEN(LEFT(C37,FIND("-",C37)-1))=4,
        DATE(VALUE(LEFT(C37,4)),VALUE(MID(C37,6,2)),VALUE(RIGHT(C37,2))),
        DATE(VALUE(RIGHT(C37,4)),VALUE(MID(C37,4,2)),VALUE(LEFT(C37,2)))
      ),
      IF(ISNUMBER(SEARCH("/",C37)*1),
        DATE(VALUE(RIGHT(C37,4)),VALUE(LEFT(C37,2)),VALUE(MID(C37,4,2))),
        DATEVALUE(C37)
      )
    )
  ),
"INVALID_DATE")</f>
        <v>45441</v>
      </c>
      <c r="AB37">
        <f>AA37-Z37</f>
        <v>0</v>
      </c>
      <c r="AC37" t="str">
        <f>TEXT(Z37,"mmmm")</f>
        <v>May</v>
      </c>
      <c r="AD37">
        <f>YEAR(Z37)</f>
        <v>2024</v>
      </c>
      <c r="AE37" t="str">
        <f t="shared" si="2"/>
        <v>OK</v>
      </c>
    </row>
    <row r="38" spans="1:31">
      <c r="A38" t="s">
        <v>285</v>
      </c>
      <c r="B38" t="s">
        <v>286</v>
      </c>
      <c r="C38" t="s">
        <v>287</v>
      </c>
      <c r="D38" t="s">
        <v>288</v>
      </c>
      <c r="E38" t="s">
        <v>187</v>
      </c>
      <c r="F38" t="s">
        <v>115</v>
      </c>
      <c r="G38" t="s">
        <v>80</v>
      </c>
      <c r="H38" t="s">
        <v>81</v>
      </c>
      <c r="I38" t="s">
        <v>82</v>
      </c>
      <c r="J38" t="s">
        <v>52</v>
      </c>
      <c r="K38" t="s">
        <v>211</v>
      </c>
      <c r="L38" t="s">
        <v>289</v>
      </c>
      <c r="M38" t="s">
        <v>40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41</v>
      </c>
      <c r="U38" t="s">
        <v>132</v>
      </c>
      <c r="V38">
        <f>O38*(1-P38)*N38</f>
        <v>9379.41</v>
      </c>
      <c r="W38">
        <f t="shared" si="0"/>
        <v>2708.5599999999995</v>
      </c>
      <c r="X38">
        <f t="shared" si="1"/>
        <v>0.28877722585962229</v>
      </c>
      <c r="Y38" t="s">
        <v>4120</v>
      </c>
      <c r="Z38" s="2">
        <f>IFERROR(
  IF(ISNUMBER(B38),B38,
    IF(ISNUMBER(SEARCH("-",B38)*1),
      IF(LEN(LEFT(B38,FIND("-",B38)-1))=4,
        DATE(VALUE(LEFT(B38,4)),VALUE(MID(B38,6,2)),VALUE(RIGHT(B38,2))),
        DATE(VALUE(RIGHT(B38,4)),VALUE(MID(B38,4,2)),VALUE(LEFT(B38,2)))
      ),
      IF(ISNUMBER(SEARCH("/",B38)*1),
        DATE(VALUE(RIGHT(B38,4)),VALUE(LEFT(B38,2)),VALUE(MID(B38,4,2))),
        DATEVALUE(B38)
      )
    )
  ),
"INVALID_DATE")</f>
        <v>45590</v>
      </c>
      <c r="AA38" s="2">
        <f>IFERROR(
  IF(ISNUMBER(C38),C38,
    IF(ISNUMBER(SEARCH("-",C38)*1),
      IF(LEN(LEFT(C38,FIND("-",C38)-1))=4,
        DATE(VALUE(LEFT(C38,4)),VALUE(MID(C38,6,2)),VALUE(RIGHT(C38,2))),
        DATE(VALUE(RIGHT(C38,4)),VALUE(MID(C38,4,2)),VALUE(LEFT(C38,2)))
      ),
      IF(ISNUMBER(SEARCH("/",C38)*1),
        DATE(VALUE(RIGHT(C38,4)),VALUE(LEFT(C38,2)),VALUE(MID(C38,4,2))),
        DATEVALUE(C38)
      )
    )
  ),
"INVALID_DATE")</f>
        <v>45593</v>
      </c>
      <c r="AB38">
        <f>AA38-Z38</f>
        <v>3</v>
      </c>
      <c r="AC38" t="str">
        <f>TEXT(Z38,"mmmm")</f>
        <v>October</v>
      </c>
      <c r="AD38">
        <f>YEAR(Z38)</f>
        <v>2024</v>
      </c>
      <c r="AE38" t="str">
        <f t="shared" si="2"/>
        <v>OK</v>
      </c>
    </row>
    <row r="39" spans="1:31">
      <c r="A39" t="s">
        <v>290</v>
      </c>
      <c r="B39" t="s">
        <v>291</v>
      </c>
      <c r="C39" t="s">
        <v>291</v>
      </c>
      <c r="D39" t="s">
        <v>292</v>
      </c>
      <c r="E39" t="s">
        <v>217</v>
      </c>
      <c r="F39" t="s">
        <v>33</v>
      </c>
      <c r="G39" t="s">
        <v>80</v>
      </c>
      <c r="H39" t="s">
        <v>81</v>
      </c>
      <c r="I39" t="s">
        <v>82</v>
      </c>
      <c r="J39" t="s">
        <v>93</v>
      </c>
      <c r="K39" t="s">
        <v>101</v>
      </c>
      <c r="L39" t="s">
        <v>293</v>
      </c>
      <c r="M39" t="s">
        <v>294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41</v>
      </c>
      <c r="U39" t="s">
        <v>42</v>
      </c>
      <c r="V39">
        <f>O39*(1-P39)*N39</f>
        <v>4248.1279999999997</v>
      </c>
      <c r="W39">
        <f t="shared" si="0"/>
        <v>927.03799999999956</v>
      </c>
      <c r="X39">
        <f t="shared" si="1"/>
        <v>0.21822307697739945</v>
      </c>
      <c r="Y39" t="s">
        <v>4120</v>
      </c>
      <c r="Z39" s="2">
        <f>IFERROR(
  IF(ISNUMBER(B39),B39,
    IF(ISNUMBER(SEARCH("-",B39)*1),
      IF(LEN(LEFT(B39,FIND("-",B39)-1))=4,
        DATE(VALUE(LEFT(B39,4)),VALUE(MID(B39,6,2)),VALUE(RIGHT(B39,2))),
        DATE(VALUE(RIGHT(B39,4)),VALUE(MID(B39,4,2)),VALUE(LEFT(B39,2)))
      ),
      IF(ISNUMBER(SEARCH("/",B39)*1),
        DATE(VALUE(RIGHT(B39,4)),VALUE(LEFT(B39,2)),VALUE(MID(B39,4,2))),
        DATEVALUE(B39)
      )
    )
  ),
"INVALID_DATE")</f>
        <v>45867</v>
      </c>
      <c r="AA39" s="2">
        <f>IFERROR(
  IF(ISNUMBER(C39),C39,
    IF(ISNUMBER(SEARCH("-",C39)*1),
      IF(LEN(LEFT(C39,FIND("-",C39)-1))=4,
        DATE(VALUE(LEFT(C39,4)),VALUE(MID(C39,6,2)),VALUE(RIGHT(C39,2))),
        DATE(VALUE(RIGHT(C39,4)),VALUE(MID(C39,4,2)),VALUE(LEFT(C39,2)))
      ),
      IF(ISNUMBER(SEARCH("/",C39)*1),
        DATE(VALUE(RIGHT(C39,4)),VALUE(LEFT(C39,2)),VALUE(MID(C39,4,2))),
        DATEVALUE(C39)
      )
    )
  ),
"INVALID_DATE")</f>
        <v>45867</v>
      </c>
      <c r="AB39">
        <f>AA39-Z39</f>
        <v>0</v>
      </c>
      <c r="AC39" t="str">
        <f>TEXT(Z39,"mmmm")</f>
        <v>July</v>
      </c>
      <c r="AD39">
        <f>YEAR(Z39)</f>
        <v>2025</v>
      </c>
      <c r="AE39" t="str">
        <f t="shared" si="2"/>
        <v>OK</v>
      </c>
    </row>
    <row r="40" spans="1:31">
      <c r="A40" t="s">
        <v>295</v>
      </c>
      <c r="B40" t="s">
        <v>296</v>
      </c>
      <c r="C40" t="s">
        <v>297</v>
      </c>
      <c r="D40" t="s">
        <v>298</v>
      </c>
      <c r="E40" t="s">
        <v>169</v>
      </c>
      <c r="F40" t="s">
        <v>115</v>
      </c>
      <c r="G40" t="s">
        <v>80</v>
      </c>
      <c r="H40" t="s">
        <v>242</v>
      </c>
      <c r="I40" t="s">
        <v>243</v>
      </c>
      <c r="J40" t="s">
        <v>93</v>
      </c>
      <c r="K40" t="s">
        <v>230</v>
      </c>
      <c r="L40" t="s">
        <v>299</v>
      </c>
      <c r="M40" t="s">
        <v>63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41</v>
      </c>
      <c r="U40" t="s">
        <v>42</v>
      </c>
      <c r="V40">
        <f>O40*(1-P40)*N40</f>
        <v>13927.284</v>
      </c>
      <c r="W40">
        <f t="shared" si="0"/>
        <v>3422.4139999999989</v>
      </c>
      <c r="X40">
        <f t="shared" si="1"/>
        <v>0.24573427115703853</v>
      </c>
      <c r="Y40" t="s">
        <v>4120</v>
      </c>
      <c r="Z40" s="2">
        <f>IFERROR(
  IF(ISNUMBER(B40),B40,
    IF(ISNUMBER(SEARCH("-",B40)*1),
      IF(LEN(LEFT(B40,FIND("-",B40)-1))=4,
        DATE(VALUE(LEFT(B40,4)),VALUE(MID(B40,6,2)),VALUE(RIGHT(B40,2))),
        DATE(VALUE(RIGHT(B40,4)),VALUE(MID(B40,4,2)),VALUE(LEFT(B40,2)))
      ),
      IF(ISNUMBER(SEARCH("/",B40)*1),
        DATE(VALUE(RIGHT(B40,4)),VALUE(LEFT(B40,2)),VALUE(MID(B40,4,2))),
        DATEVALUE(B40)
      )
    )
  ),
"INVALID_DATE")</f>
        <v>45460</v>
      </c>
      <c r="AA40" s="2">
        <f>IFERROR(
  IF(ISNUMBER(C40),C40,
    IF(ISNUMBER(SEARCH("-",C40)*1),
      IF(LEN(LEFT(C40,FIND("-",C40)-1))=4,
        DATE(VALUE(LEFT(C40,4)),VALUE(MID(C40,6,2)),VALUE(RIGHT(C40,2))),
        DATE(VALUE(RIGHT(C40,4)),VALUE(MID(C40,4,2)),VALUE(LEFT(C40,2)))
      ),
      IF(ISNUMBER(SEARCH("/",C40)*1),
        DATE(VALUE(RIGHT(C40,4)),VALUE(LEFT(C40,2)),VALUE(MID(C40,4,2))),
        DATEVALUE(C40)
      )
    )
  ),
"INVALID_DATE")</f>
        <v>45465</v>
      </c>
      <c r="AB40">
        <f>AA40-Z40</f>
        <v>5</v>
      </c>
      <c r="AC40" t="str">
        <f>TEXT(Z40,"mmmm")</f>
        <v>June</v>
      </c>
      <c r="AD40">
        <f>YEAR(Z40)</f>
        <v>2024</v>
      </c>
      <c r="AE40" t="str">
        <f t="shared" si="2"/>
        <v>OK</v>
      </c>
    </row>
    <row r="41" spans="1:31">
      <c r="A41" t="s">
        <v>300</v>
      </c>
      <c r="B41" t="s">
        <v>301</v>
      </c>
      <c r="C41" t="s">
        <v>302</v>
      </c>
      <c r="D41" t="s">
        <v>303</v>
      </c>
      <c r="E41" t="s">
        <v>47</v>
      </c>
      <c r="F41" t="s">
        <v>48</v>
      </c>
      <c r="G41" t="s">
        <v>80</v>
      </c>
      <c r="H41" t="s">
        <v>91</v>
      </c>
      <c r="I41" t="s">
        <v>92</v>
      </c>
      <c r="J41" t="s">
        <v>93</v>
      </c>
      <c r="K41" t="s">
        <v>101</v>
      </c>
      <c r="L41" t="s">
        <v>304</v>
      </c>
      <c r="M41" t="s">
        <v>63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144</v>
      </c>
      <c r="U41" t="s">
        <v>132</v>
      </c>
      <c r="V41">
        <f>O41*(1-P41)*N41</f>
        <v>4935.3120000000008</v>
      </c>
      <c r="W41">
        <f t="shared" si="0"/>
        <v>1560.5420000000008</v>
      </c>
      <c r="X41">
        <f t="shared" si="1"/>
        <v>0.31619898243474065</v>
      </c>
      <c r="Y41" t="s">
        <v>4120</v>
      </c>
      <c r="Z41" s="2">
        <f>IFERROR(
  IF(ISNUMBER(B41),B41,
    IF(ISNUMBER(SEARCH("-",B41)*1),
      IF(LEN(LEFT(B41,FIND("-",B41)-1))=4,
        DATE(VALUE(LEFT(B41,4)),VALUE(MID(B41,6,2)),VALUE(RIGHT(B41,2))),
        DATE(VALUE(RIGHT(B41,4)),VALUE(MID(B41,4,2)),VALUE(LEFT(B41,2)))
      ),
      IF(ISNUMBER(SEARCH("/",B41)*1),
        DATE(VALUE(RIGHT(B41,4)),VALUE(LEFT(B41,2)),VALUE(MID(B41,4,2))),
        DATEVALUE(B41)
      )
    )
  ),
"INVALID_DATE")</f>
        <v>45637</v>
      </c>
      <c r="AA41" s="2">
        <f>IFERROR(
  IF(ISNUMBER(C41),C41,
    IF(ISNUMBER(SEARCH("-",C41)*1),
      IF(LEN(LEFT(C41,FIND("-",C41)-1))=4,
        DATE(VALUE(LEFT(C41,4)),VALUE(MID(C41,6,2)),VALUE(RIGHT(C41,2))),
        DATE(VALUE(RIGHT(C41,4)),VALUE(MID(C41,4,2)),VALUE(LEFT(C41,2)))
      ),
      IF(ISNUMBER(SEARCH("/",C41)*1),
        DATE(VALUE(RIGHT(C41,4)),VALUE(LEFT(C41,2)),VALUE(MID(C41,4,2))),
        DATEVALUE(C41)
      )
    )
  ),
"INVALID_DATE")</f>
        <v>45637</v>
      </c>
      <c r="AB41">
        <f>AA41-Z41</f>
        <v>0</v>
      </c>
      <c r="AC41" t="str">
        <f>TEXT(Z41,"mmmm")</f>
        <v>December</v>
      </c>
      <c r="AD41">
        <f>YEAR(Z41)</f>
        <v>2024</v>
      </c>
      <c r="AE41" t="str">
        <f t="shared" si="2"/>
        <v>OK</v>
      </c>
    </row>
    <row r="42" spans="1:31">
      <c r="A42" t="s">
        <v>305</v>
      </c>
      <c r="B42" t="s">
        <v>306</v>
      </c>
      <c r="C42" t="s">
        <v>307</v>
      </c>
      <c r="D42" t="s">
        <v>308</v>
      </c>
      <c r="E42" t="s">
        <v>60</v>
      </c>
      <c r="F42" t="s">
        <v>122</v>
      </c>
      <c r="G42" t="s">
        <v>80</v>
      </c>
      <c r="H42" t="s">
        <v>35</v>
      </c>
      <c r="I42" t="s">
        <v>142</v>
      </c>
      <c r="J42" t="s">
        <v>93</v>
      </c>
      <c r="K42" t="s">
        <v>101</v>
      </c>
      <c r="L42" t="s">
        <v>309</v>
      </c>
      <c r="M42" t="s">
        <v>74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41</v>
      </c>
      <c r="U42" t="s">
        <v>42</v>
      </c>
      <c r="V42">
        <f>O42*(1-P42)*N42</f>
        <v>14051.912</v>
      </c>
      <c r="W42">
        <f t="shared" si="0"/>
        <v>2061.5419999999995</v>
      </c>
      <c r="X42">
        <f t="shared" si="1"/>
        <v>0.14670888156841311</v>
      </c>
      <c r="Y42" t="s">
        <v>4120</v>
      </c>
      <c r="Z42" s="2">
        <f>IFERROR(
  IF(ISNUMBER(B42),B42,
    IF(ISNUMBER(SEARCH("-",B42)*1),
      IF(LEN(LEFT(B42,FIND("-",B42)-1))=4,
        DATE(VALUE(LEFT(B42,4)),VALUE(MID(B42,6,2)),VALUE(RIGHT(B42,2))),
        DATE(VALUE(RIGHT(B42,4)),VALUE(MID(B42,4,2)),VALUE(LEFT(B42,2)))
      ),
      IF(ISNUMBER(SEARCH("/",B42)*1),
        DATE(VALUE(RIGHT(B42,4)),VALUE(LEFT(B42,2)),VALUE(MID(B42,4,2))),
        DATEVALUE(B42)
      )
    )
  ),
"INVALID_DATE")</f>
        <v>45575</v>
      </c>
      <c r="AA42" s="2">
        <f>IFERROR(
  IF(ISNUMBER(C42),C42,
    IF(ISNUMBER(SEARCH("-",C42)*1),
      IF(LEN(LEFT(C42,FIND("-",C42)-1))=4,
        DATE(VALUE(LEFT(C42,4)),VALUE(MID(C42,6,2)),VALUE(RIGHT(C42,2))),
        DATE(VALUE(RIGHT(C42,4)),VALUE(MID(C42,4,2)),VALUE(LEFT(C42,2)))
      ),
      IF(ISNUMBER(SEARCH("/",C42)*1),
        DATE(VALUE(RIGHT(C42,4)),VALUE(LEFT(C42,2)),VALUE(MID(C42,4,2))),
        DATEVALUE(C42)
      )
    )
  ),
"INVALID_DATE")</f>
        <v>45581</v>
      </c>
      <c r="AB42">
        <f>AA42-Z42</f>
        <v>6</v>
      </c>
      <c r="AC42" t="str">
        <f>TEXT(Z42,"mmmm")</f>
        <v>October</v>
      </c>
      <c r="AD42">
        <f>YEAR(Z42)</f>
        <v>2024</v>
      </c>
      <c r="AE42" t="str">
        <f t="shared" si="2"/>
        <v>OK</v>
      </c>
    </row>
    <row r="43" spans="1:31">
      <c r="A43" t="s">
        <v>310</v>
      </c>
      <c r="B43" t="s">
        <v>311</v>
      </c>
      <c r="C43" t="s">
        <v>312</v>
      </c>
      <c r="D43" t="s">
        <v>313</v>
      </c>
      <c r="E43" t="s">
        <v>169</v>
      </c>
      <c r="F43" t="s">
        <v>48</v>
      </c>
      <c r="G43" t="s">
        <v>49</v>
      </c>
      <c r="H43" t="s">
        <v>50</v>
      </c>
      <c r="I43" t="s">
        <v>51</v>
      </c>
      <c r="J43" t="s">
        <v>52</v>
      </c>
      <c r="K43" t="s">
        <v>211</v>
      </c>
      <c r="L43" t="s">
        <v>314</v>
      </c>
      <c r="M43" t="s">
        <v>55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144</v>
      </c>
      <c r="U43" t="s">
        <v>85</v>
      </c>
      <c r="V43">
        <f>O43*(1-P43)*N43</f>
        <v>6846.48</v>
      </c>
      <c r="W43">
        <f t="shared" si="0"/>
        <v>2606.5899999999992</v>
      </c>
      <c r="X43">
        <f t="shared" si="1"/>
        <v>0.38071972750961081</v>
      </c>
      <c r="Y43" t="s">
        <v>4120</v>
      </c>
      <c r="Z43" s="2">
        <f>IFERROR(
  IF(ISNUMBER(B43),B43,
    IF(ISNUMBER(SEARCH("-",B43)*1),
      IF(LEN(LEFT(B43,FIND("-",B43)-1))=4,
        DATE(VALUE(LEFT(B43,4)),VALUE(MID(B43,6,2)),VALUE(RIGHT(B43,2))),
        DATE(VALUE(RIGHT(B43,4)),VALUE(MID(B43,4,2)),VALUE(LEFT(B43,2)))
      ),
      IF(ISNUMBER(SEARCH("/",B43)*1),
        DATE(VALUE(RIGHT(B43,4)),VALUE(LEFT(B43,2)),VALUE(MID(B43,4,2))),
        DATEVALUE(B43)
      )
    )
  ),
"INVALID_DATE")</f>
        <v>45363</v>
      </c>
      <c r="AA43" s="2">
        <f>IFERROR(
  IF(ISNUMBER(C43),C43,
    IF(ISNUMBER(SEARCH("-",C43)*1),
      IF(LEN(LEFT(C43,FIND("-",C43)-1))=4,
        DATE(VALUE(LEFT(C43,4)),VALUE(MID(C43,6,2)),VALUE(RIGHT(C43,2))),
        DATE(VALUE(RIGHT(C43,4)),VALUE(MID(C43,4,2)),VALUE(LEFT(C43,2)))
      ),
      IF(ISNUMBER(SEARCH("/",C43)*1),
        DATE(VALUE(RIGHT(C43,4)),VALUE(LEFT(C43,2)),VALUE(MID(C43,4,2))),
        DATEVALUE(C43)
      )
    )
  ),
"INVALID_DATE")</f>
        <v>45368</v>
      </c>
      <c r="AB43">
        <f>AA43-Z43</f>
        <v>5</v>
      </c>
      <c r="AC43" t="str">
        <f>TEXT(Z43,"mmmm")</f>
        <v>March</v>
      </c>
      <c r="AD43">
        <f>YEAR(Z43)</f>
        <v>2024</v>
      </c>
      <c r="AE43" t="str">
        <f t="shared" si="2"/>
        <v>OK</v>
      </c>
    </row>
    <row r="44" spans="1:31">
      <c r="A44" t="s">
        <v>315</v>
      </c>
      <c r="B44" t="s">
        <v>316</v>
      </c>
      <c r="C44" t="s">
        <v>317</v>
      </c>
      <c r="D44" t="s">
        <v>318</v>
      </c>
      <c r="E44" t="s">
        <v>68</v>
      </c>
      <c r="F44" t="s">
        <v>115</v>
      </c>
      <c r="G44" t="s">
        <v>49</v>
      </c>
      <c r="H44" t="s">
        <v>319</v>
      </c>
      <c r="I44" t="s">
        <v>320</v>
      </c>
      <c r="J44" t="s">
        <v>93</v>
      </c>
      <c r="K44" t="s">
        <v>230</v>
      </c>
      <c r="L44" t="s">
        <v>321</v>
      </c>
      <c r="M44" t="s">
        <v>74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41</v>
      </c>
      <c r="U44" t="s">
        <v>42</v>
      </c>
      <c r="V44">
        <f>O44*(1-P44)*N44</f>
        <v>7447.0119999999997</v>
      </c>
      <c r="W44">
        <f t="shared" si="0"/>
        <v>2950.7919999999995</v>
      </c>
      <c r="X44">
        <f t="shared" si="1"/>
        <v>0.39623822178297058</v>
      </c>
      <c r="Y44" t="str">
        <f>_xlfn.TEXTJOIN(", ",TRUE,IF(G44="Unknown","Missing Region",""),IF(M44="Unknown","Missing Ship Mode",""),IF(P44&lt;0,"Negative Discount",""),IF(P44&gt;0.7,"High Discount",""),IF(C44&lt;B44,"Ship Before Order",""))</f>
        <v>Ship Before Order</v>
      </c>
      <c r="Z44" s="2">
        <f>IFERROR(
  IF(ISNUMBER(B44),B44,
    IF(ISNUMBER(SEARCH("-",B44)*1),
      IF(LEN(LEFT(B44,FIND("-",B44)-1))=4,
        DATE(VALUE(LEFT(B44,4)),VALUE(MID(B44,6,2)),VALUE(RIGHT(B44,2))),
        DATE(VALUE(RIGHT(B44,4)),VALUE(MID(B44,4,2)),VALUE(LEFT(B44,2)))
      ),
      IF(ISNUMBER(SEARCH("/",B44)*1),
        DATE(VALUE(RIGHT(B44,4)),VALUE(LEFT(B44,2)),VALUE(MID(B44,4,2))),
        DATEVALUE(B44)
      )
    )
  ),
"INVALID_DATE")</f>
        <v>45940</v>
      </c>
      <c r="AA44" s="2">
        <f>IFERROR(
  IF(ISNUMBER(C44),C44,
    IF(ISNUMBER(SEARCH("-",C44)*1),
      IF(LEN(LEFT(C44,FIND("-",C44)-1))=4,
        DATE(VALUE(LEFT(C44,4)),VALUE(MID(C44,6,2)),VALUE(RIGHT(C44,2))),
        DATE(VALUE(RIGHT(C44,4)),VALUE(MID(C44,4,2)),VALUE(LEFT(C44,2)))
      ),
      IF(ISNUMBER(SEARCH("/",C44)*1),
        DATE(VALUE(RIGHT(C44,4)),VALUE(LEFT(C44,2)),VALUE(MID(C44,4,2))),
        DATEVALUE(C44)
      )
    )
  ),
"INVALID_DATE")</f>
        <v>45945</v>
      </c>
      <c r="AB44">
        <f>AA44-Z44</f>
        <v>5</v>
      </c>
      <c r="AC44" t="str">
        <f>TEXT(Z44,"mmmm")</f>
        <v>October</v>
      </c>
      <c r="AD44">
        <f>YEAR(Z44)</f>
        <v>2025</v>
      </c>
      <c r="AE44" t="str">
        <f t="shared" si="2"/>
        <v>OK</v>
      </c>
    </row>
    <row r="45" spans="1:31">
      <c r="A45" t="s">
        <v>322</v>
      </c>
      <c r="B45" t="s">
        <v>323</v>
      </c>
      <c r="C45" t="s">
        <v>324</v>
      </c>
      <c r="D45" t="s">
        <v>325</v>
      </c>
      <c r="E45" t="s">
        <v>149</v>
      </c>
      <c r="F45" t="s">
        <v>48</v>
      </c>
      <c r="G45" t="s">
        <v>49</v>
      </c>
      <c r="H45" t="s">
        <v>50</v>
      </c>
      <c r="I45" t="s">
        <v>51</v>
      </c>
      <c r="J45" t="s">
        <v>52</v>
      </c>
      <c r="K45" t="s">
        <v>72</v>
      </c>
      <c r="L45" t="s">
        <v>326</v>
      </c>
      <c r="M45" t="s">
        <v>55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41</v>
      </c>
      <c r="U45" t="s">
        <v>42</v>
      </c>
      <c r="V45">
        <f>O45*(1-P45)*N45</f>
        <v>3030.69</v>
      </c>
      <c r="W45">
        <f t="shared" si="0"/>
        <v>1309.6100000000001</v>
      </c>
      <c r="X45">
        <f t="shared" si="1"/>
        <v>0.43211611877163281</v>
      </c>
      <c r="Y45" t="s">
        <v>4120</v>
      </c>
      <c r="Z45" s="2">
        <f>IFERROR(
  IF(ISNUMBER(B45),B45,
    IF(ISNUMBER(SEARCH("-",B45)*1),
      IF(LEN(LEFT(B45,FIND("-",B45)-1))=4,
        DATE(VALUE(LEFT(B45,4)),VALUE(MID(B45,6,2)),VALUE(RIGHT(B45,2))),
        DATE(VALUE(RIGHT(B45,4)),VALUE(MID(B45,4,2)),VALUE(LEFT(B45,2)))
      ),
      IF(ISNUMBER(SEARCH("/",B45)*1),
        DATE(VALUE(RIGHT(B45,4)),VALUE(LEFT(B45,2)),VALUE(MID(B45,4,2))),
        DATEVALUE(B45)
      )
    )
  ),
"INVALID_DATE")</f>
        <v>45481</v>
      </c>
      <c r="AA45" s="2">
        <f>IFERROR(
  IF(ISNUMBER(C45),C45,
    IF(ISNUMBER(SEARCH("-",C45)*1),
      IF(LEN(LEFT(C45,FIND("-",C45)-1))=4,
        DATE(VALUE(LEFT(C45,4)),VALUE(MID(C45,6,2)),VALUE(RIGHT(C45,2))),
        DATE(VALUE(RIGHT(C45,4)),VALUE(MID(C45,4,2)),VALUE(LEFT(C45,2)))
      ),
      IF(ISNUMBER(SEARCH("/",C45)*1),
        DATE(VALUE(RIGHT(C45,4)),VALUE(LEFT(C45,2)),VALUE(MID(C45,4,2))),
        DATEVALUE(C45)
      )
    )
  ),
"INVALID_DATE")</f>
        <v>45487</v>
      </c>
      <c r="AB45">
        <f>AA45-Z45</f>
        <v>6</v>
      </c>
      <c r="AC45" t="str">
        <f>TEXT(Z45,"mmmm")</f>
        <v>July</v>
      </c>
      <c r="AD45">
        <f>YEAR(Z45)</f>
        <v>2024</v>
      </c>
      <c r="AE45" t="str">
        <f t="shared" si="2"/>
        <v>OK</v>
      </c>
    </row>
    <row r="46" spans="1:31">
      <c r="A46" t="s">
        <v>327</v>
      </c>
      <c r="B46" t="s">
        <v>328</v>
      </c>
      <c r="C46" t="s">
        <v>329</v>
      </c>
      <c r="D46" t="s">
        <v>330</v>
      </c>
      <c r="E46" t="s">
        <v>187</v>
      </c>
      <c r="F46" t="s">
        <v>48</v>
      </c>
      <c r="G46" t="s">
        <v>34</v>
      </c>
      <c r="H46" t="s">
        <v>331</v>
      </c>
      <c r="I46" t="s">
        <v>332</v>
      </c>
      <c r="J46" t="s">
        <v>52</v>
      </c>
      <c r="K46" t="s">
        <v>83</v>
      </c>
      <c r="L46" t="s">
        <v>333</v>
      </c>
      <c r="M46" t="s">
        <v>74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41</v>
      </c>
      <c r="U46" t="s">
        <v>42</v>
      </c>
      <c r="V46">
        <f>O46*(1-P46)*N46</f>
        <v>26971.137000000002</v>
      </c>
      <c r="W46">
        <f t="shared" si="0"/>
        <v>9594.9370000000017</v>
      </c>
      <c r="X46">
        <f t="shared" si="1"/>
        <v>0.35574840366406463</v>
      </c>
      <c r="Y46" t="s">
        <v>4120</v>
      </c>
      <c r="Z46" s="2">
        <f>IFERROR(
  IF(ISNUMBER(B46),B46,
    IF(ISNUMBER(SEARCH("-",B46)*1),
      IF(LEN(LEFT(B46,FIND("-",B46)-1))=4,
        DATE(VALUE(LEFT(B46,4)),VALUE(MID(B46,6,2)),VALUE(RIGHT(B46,2))),
        DATE(VALUE(RIGHT(B46,4)),VALUE(MID(B46,4,2)),VALUE(LEFT(B46,2)))
      ),
      IF(ISNUMBER(SEARCH("/",B46)*1),
        DATE(VALUE(RIGHT(B46,4)),VALUE(LEFT(B46,2)),VALUE(MID(B46,4,2))),
        DATEVALUE(B46)
      )
    )
  ),
"INVALID_DATE")</f>
        <v>45465</v>
      </c>
      <c r="AA46" s="2">
        <f>IFERROR(
  IF(ISNUMBER(C46),C46,
    IF(ISNUMBER(SEARCH("-",C46)*1),
      IF(LEN(LEFT(C46,FIND("-",C46)-1))=4,
        DATE(VALUE(LEFT(C46,4)),VALUE(MID(C46,6,2)),VALUE(RIGHT(C46,2))),
        DATE(VALUE(RIGHT(C46,4)),VALUE(MID(C46,4,2)),VALUE(LEFT(C46,2)))
      ),
      IF(ISNUMBER(SEARCH("/",C46)*1),
        DATE(VALUE(RIGHT(C46,4)),VALUE(LEFT(C46,2)),VALUE(MID(C46,4,2))),
        DATEVALUE(C46)
      )
    )
  ),
"INVALID_DATE")</f>
        <v>45468</v>
      </c>
      <c r="AB46">
        <f>AA46-Z46</f>
        <v>3</v>
      </c>
      <c r="AC46" t="str">
        <f>TEXT(Z46,"mmmm")</f>
        <v>June</v>
      </c>
      <c r="AD46">
        <f>YEAR(Z46)</f>
        <v>2024</v>
      </c>
      <c r="AE46" t="str">
        <f t="shared" si="2"/>
        <v>OK</v>
      </c>
    </row>
    <row r="47" spans="1:31">
      <c r="A47" t="s">
        <v>334</v>
      </c>
      <c r="B47" t="s">
        <v>335</v>
      </c>
      <c r="C47" t="s">
        <v>336</v>
      </c>
      <c r="D47" t="s">
        <v>337</v>
      </c>
      <c r="E47" t="s">
        <v>60</v>
      </c>
      <c r="F47" t="s">
        <v>122</v>
      </c>
      <c r="G47" t="s">
        <v>49</v>
      </c>
      <c r="H47" t="s">
        <v>193</v>
      </c>
      <c r="I47" t="s">
        <v>194</v>
      </c>
      <c r="J47" t="s">
        <v>37</v>
      </c>
      <c r="K47" t="s">
        <v>61</v>
      </c>
      <c r="L47" t="s">
        <v>338</v>
      </c>
      <c r="M47" t="s">
        <v>40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144</v>
      </c>
      <c r="U47" t="s">
        <v>132</v>
      </c>
      <c r="V47">
        <f>O47*(1-P47)*N47</f>
        <v>29851.432000000001</v>
      </c>
      <c r="W47">
        <f t="shared" si="0"/>
        <v>12363.952000000001</v>
      </c>
      <c r="X47">
        <f t="shared" si="1"/>
        <v>0.41418283814209239</v>
      </c>
      <c r="Y47" t="s">
        <v>4120</v>
      </c>
      <c r="Z47" s="2">
        <f>IFERROR(
  IF(ISNUMBER(B47),B47,
    IF(ISNUMBER(SEARCH("-",B47)*1),
      IF(LEN(LEFT(B47,FIND("-",B47)-1))=4,
        DATE(VALUE(LEFT(B47,4)),VALUE(MID(B47,6,2)),VALUE(RIGHT(B47,2))),
        DATE(VALUE(RIGHT(B47,4)),VALUE(MID(B47,4,2)),VALUE(LEFT(B47,2)))
      ),
      IF(ISNUMBER(SEARCH("/",B47)*1),
        DATE(VALUE(RIGHT(B47,4)),VALUE(LEFT(B47,2)),VALUE(MID(B47,4,2))),
        DATEVALUE(B47)
      )
    )
  ),
"INVALID_DATE")</f>
        <v>45309</v>
      </c>
      <c r="AA47" s="2">
        <f>IFERROR(
  IF(ISNUMBER(C47),C47,
    IF(ISNUMBER(SEARCH("-",C47)*1),
      IF(LEN(LEFT(C47,FIND("-",C47)-1))=4,
        DATE(VALUE(LEFT(C47,4)),VALUE(MID(C47,6,2)),VALUE(RIGHT(C47,2))),
        DATE(VALUE(RIGHT(C47,4)),VALUE(MID(C47,4,2)),VALUE(LEFT(C47,2)))
      ),
      IF(ISNUMBER(SEARCH("/",C47)*1),
        DATE(VALUE(RIGHT(C47,4)),VALUE(LEFT(C47,2)),VALUE(MID(C47,4,2))),
        DATEVALUE(C47)
      )
    )
  ),
"INVALID_DATE")</f>
        <v>45315</v>
      </c>
      <c r="AB47">
        <f>AA47-Z47</f>
        <v>6</v>
      </c>
      <c r="AC47" t="str">
        <f>TEXT(Z47,"mmmm")</f>
        <v>January</v>
      </c>
      <c r="AD47">
        <f>YEAR(Z47)</f>
        <v>2024</v>
      </c>
      <c r="AE47" t="str">
        <f t="shared" si="2"/>
        <v>OK</v>
      </c>
    </row>
    <row r="48" spans="1:31">
      <c r="A48" t="s">
        <v>339</v>
      </c>
      <c r="B48" t="s">
        <v>340</v>
      </c>
      <c r="C48" t="s">
        <v>340</v>
      </c>
      <c r="D48" t="s">
        <v>341</v>
      </c>
      <c r="E48" t="s">
        <v>79</v>
      </c>
      <c r="F48" t="s">
        <v>48</v>
      </c>
      <c r="G48" t="s">
        <v>69</v>
      </c>
      <c r="H48" t="s">
        <v>249</v>
      </c>
      <c r="I48" t="s">
        <v>250</v>
      </c>
      <c r="J48" t="s">
        <v>52</v>
      </c>
      <c r="K48" t="s">
        <v>211</v>
      </c>
      <c r="L48" t="s">
        <v>342</v>
      </c>
      <c r="M48" t="s">
        <v>74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131</v>
      </c>
      <c r="U48" t="s">
        <v>132</v>
      </c>
      <c r="V48">
        <f>O48*(1-P48)*N48</f>
        <v>16110.8325</v>
      </c>
      <c r="W48">
        <f t="shared" si="0"/>
        <v>5430.8024999999998</v>
      </c>
      <c r="X48">
        <f t="shared" si="1"/>
        <v>0.33709001957068629</v>
      </c>
      <c r="Y48" t="s">
        <v>4120</v>
      </c>
      <c r="Z48" s="2">
        <f>IFERROR(
  IF(ISNUMBER(B48),B48,
    IF(ISNUMBER(SEARCH("-",B48)*1),
      IF(LEN(LEFT(B48,FIND("-",B48)-1))=4,
        DATE(VALUE(LEFT(B48,4)),VALUE(MID(B48,6,2)),VALUE(RIGHT(B48,2))),
        DATE(VALUE(RIGHT(B48,4)),VALUE(MID(B48,4,2)),VALUE(LEFT(B48,2)))
      ),
      IF(ISNUMBER(SEARCH("/",B48)*1),
        DATE(VALUE(RIGHT(B48,4)),VALUE(LEFT(B48,2)),VALUE(MID(B48,4,2))),
        DATEVALUE(B48)
      )
    )
  ),
"INVALID_DATE")</f>
        <v>45492</v>
      </c>
      <c r="AA48" s="2">
        <f>IFERROR(
  IF(ISNUMBER(C48),C48,
    IF(ISNUMBER(SEARCH("-",C48)*1),
      IF(LEN(LEFT(C48,FIND("-",C48)-1))=4,
        DATE(VALUE(LEFT(C48,4)),VALUE(MID(C48,6,2)),VALUE(RIGHT(C48,2))),
        DATE(VALUE(RIGHT(C48,4)),VALUE(MID(C48,4,2)),VALUE(LEFT(C48,2)))
      ),
      IF(ISNUMBER(SEARCH("/",C48)*1),
        DATE(VALUE(RIGHT(C48,4)),VALUE(LEFT(C48,2)),VALUE(MID(C48,4,2))),
        DATEVALUE(C48)
      )
    )
  ),
"INVALID_DATE")</f>
        <v>45492</v>
      </c>
      <c r="AB48">
        <f>AA48-Z48</f>
        <v>0</v>
      </c>
      <c r="AC48" t="str">
        <f>TEXT(Z48,"mmmm")</f>
        <v>July</v>
      </c>
      <c r="AD48">
        <f>YEAR(Z48)</f>
        <v>2024</v>
      </c>
      <c r="AE48" t="str">
        <f t="shared" si="2"/>
        <v>OK</v>
      </c>
    </row>
    <row r="49" spans="1:31">
      <c r="A49" t="s">
        <v>343</v>
      </c>
      <c r="B49" t="s">
        <v>344</v>
      </c>
      <c r="C49" t="s">
        <v>345</v>
      </c>
      <c r="D49" t="s">
        <v>346</v>
      </c>
      <c r="E49" t="s">
        <v>155</v>
      </c>
      <c r="F49" t="s">
        <v>115</v>
      </c>
      <c r="G49" t="s">
        <v>69</v>
      </c>
      <c r="H49" t="s">
        <v>347</v>
      </c>
      <c r="I49" t="s">
        <v>348</v>
      </c>
      <c r="J49" t="s">
        <v>37</v>
      </c>
      <c r="K49" t="s">
        <v>163</v>
      </c>
      <c r="L49" t="s">
        <v>349</v>
      </c>
      <c r="M49" t="s">
        <v>74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41</v>
      </c>
      <c r="U49" t="s">
        <v>42</v>
      </c>
      <c r="V49">
        <f>O49*(1-P49)*N49</f>
        <v>17606.232</v>
      </c>
      <c r="W49">
        <f t="shared" si="0"/>
        <v>5167.2720000000008</v>
      </c>
      <c r="X49">
        <f t="shared" si="1"/>
        <v>0.29349099722087013</v>
      </c>
      <c r="Y49" t="s">
        <v>4120</v>
      </c>
      <c r="Z49" s="2">
        <f>IFERROR(
  IF(ISNUMBER(B49),B49,
    IF(ISNUMBER(SEARCH("-",B49)*1),
      IF(LEN(LEFT(B49,FIND("-",B49)-1))=4,
        DATE(VALUE(LEFT(B49,4)),VALUE(MID(B49,6,2)),VALUE(RIGHT(B49,2))),
        DATE(VALUE(RIGHT(B49,4)),VALUE(MID(B49,4,2)),VALUE(LEFT(B49,2)))
      ),
      IF(ISNUMBER(SEARCH("/",B49)*1),
        DATE(VALUE(RIGHT(B49,4)),VALUE(LEFT(B49,2)),VALUE(MID(B49,4,2))),
        DATEVALUE(B49)
      )
    )
  ),
"INVALID_DATE")</f>
        <v>45516</v>
      </c>
      <c r="AA49" s="2">
        <f>IFERROR(
  IF(ISNUMBER(C49),C49,
    IF(ISNUMBER(SEARCH("-",C49)*1),
      IF(LEN(LEFT(C49,FIND("-",C49)-1))=4,
        DATE(VALUE(LEFT(C49,4)),VALUE(MID(C49,6,2)),VALUE(RIGHT(C49,2))),
        DATE(VALUE(RIGHT(C49,4)),VALUE(MID(C49,4,2)),VALUE(LEFT(C49,2)))
      ),
      IF(ISNUMBER(SEARCH("/",C49)*1),
        DATE(VALUE(RIGHT(C49,4)),VALUE(LEFT(C49,2)),VALUE(MID(C49,4,2))),
        DATEVALUE(C49)
      )
    )
  ),
"INVALID_DATE")</f>
        <v>45516</v>
      </c>
      <c r="AB49">
        <f>AA49-Z49</f>
        <v>0</v>
      </c>
      <c r="AC49" t="str">
        <f>TEXT(Z49,"mmmm")</f>
        <v>August</v>
      </c>
      <c r="AD49">
        <f>YEAR(Z49)</f>
        <v>2024</v>
      </c>
      <c r="AE49" t="str">
        <f t="shared" si="2"/>
        <v>OK</v>
      </c>
    </row>
    <row r="50" spans="1:31">
      <c r="A50" t="s">
        <v>350</v>
      </c>
      <c r="B50" t="s">
        <v>351</v>
      </c>
      <c r="C50" t="s">
        <v>352</v>
      </c>
      <c r="D50" t="s">
        <v>353</v>
      </c>
      <c r="E50" t="s">
        <v>100</v>
      </c>
      <c r="F50" t="s">
        <v>115</v>
      </c>
      <c r="G50" t="s">
        <v>80</v>
      </c>
      <c r="H50" t="s">
        <v>81</v>
      </c>
      <c r="I50" t="s">
        <v>82</v>
      </c>
      <c r="J50" t="s">
        <v>52</v>
      </c>
      <c r="K50" t="s">
        <v>83</v>
      </c>
      <c r="L50" t="s">
        <v>354</v>
      </c>
      <c r="M50" t="s">
        <v>40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41</v>
      </c>
      <c r="U50" t="s">
        <v>42</v>
      </c>
      <c r="V50">
        <f>O50*(1-P50)*N50</f>
        <v>28445.62</v>
      </c>
      <c r="W50">
        <f t="shared" si="0"/>
        <v>7507.0299999999988</v>
      </c>
      <c r="X50">
        <f t="shared" si="1"/>
        <v>0.26390811660986824</v>
      </c>
      <c r="Y50" t="str">
        <f>_xlfn.TEXTJOIN(", ",TRUE,IF(G50="Unknown","Missing Region",""),IF(M50="Unknown","Missing Ship Mode",""),IF(P50&lt;0,"Negative Discount",""),IF(P50&gt;0.7,"High Discount",""),IF(C50&lt;B50,"Ship Before Order",""))</f>
        <v>Ship Before Order</v>
      </c>
      <c r="Z50" s="2">
        <f>IFERROR(
  IF(ISNUMBER(B50),B50,
    IF(ISNUMBER(SEARCH("-",B50)*1),
      IF(LEN(LEFT(B50,FIND("-",B50)-1))=4,
        DATE(VALUE(LEFT(B50,4)),VALUE(MID(B50,6,2)),VALUE(RIGHT(B50,2))),
        DATE(VALUE(RIGHT(B50,4)),VALUE(MID(B50,4,2)),VALUE(LEFT(B50,2)))
      ),
      IF(ISNUMBER(SEARCH("/",B50)*1),
        DATE(VALUE(RIGHT(B50,4)),VALUE(LEFT(B50,2)),VALUE(MID(B50,4,2))),
        DATEVALUE(B50)
      )
    )
  ),
"INVALID_DATE")</f>
        <v>45687</v>
      </c>
      <c r="AA50" s="2">
        <f>IFERROR(
  IF(ISNUMBER(C50),C50,
    IF(ISNUMBER(SEARCH("-",C50)*1),
      IF(LEN(LEFT(C50,FIND("-",C50)-1))=4,
        DATE(VALUE(LEFT(C50,4)),VALUE(MID(C50,6,2)),VALUE(RIGHT(C50,2))),
        DATE(VALUE(RIGHT(C50,4)),VALUE(MID(C50,4,2)),VALUE(LEFT(C50,2)))
      ),
      IF(ISNUMBER(SEARCH("/",C50)*1),
        DATE(VALUE(RIGHT(C50,4)),VALUE(LEFT(C50,2)),VALUE(MID(C50,4,2))),
        DATEVALUE(C50)
      )
    )
  ),
"INVALID_DATE")</f>
        <v>45693</v>
      </c>
      <c r="AB50">
        <f>AA50-Z50</f>
        <v>6</v>
      </c>
      <c r="AC50" t="str">
        <f>TEXT(Z50,"mmmm")</f>
        <v>January</v>
      </c>
      <c r="AD50">
        <f>YEAR(Z50)</f>
        <v>2025</v>
      </c>
      <c r="AE50" t="str">
        <f t="shared" si="2"/>
        <v>OK</v>
      </c>
    </row>
    <row r="51" spans="1:31">
      <c r="A51" t="s">
        <v>355</v>
      </c>
      <c r="B51" t="s">
        <v>356</v>
      </c>
      <c r="C51" t="s">
        <v>357</v>
      </c>
      <c r="D51" t="s">
        <v>358</v>
      </c>
      <c r="E51" t="s">
        <v>169</v>
      </c>
      <c r="F51" t="s">
        <v>122</v>
      </c>
      <c r="G51" t="s">
        <v>34</v>
      </c>
      <c r="H51" t="s">
        <v>181</v>
      </c>
      <c r="I51" t="s">
        <v>182</v>
      </c>
      <c r="J51" t="s">
        <v>93</v>
      </c>
      <c r="K51" t="s">
        <v>101</v>
      </c>
      <c r="L51" t="s">
        <v>359</v>
      </c>
      <c r="M51" t="s">
        <v>40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41</v>
      </c>
      <c r="U51" t="s">
        <v>42</v>
      </c>
      <c r="V51">
        <f>O51*(1-P51)*N51</f>
        <v>6772.5405000000001</v>
      </c>
      <c r="W51">
        <f t="shared" si="0"/>
        <v>1017.0805</v>
      </c>
      <c r="X51">
        <f t="shared" si="1"/>
        <v>0.15017703845233843</v>
      </c>
      <c r="Y51" t="str">
        <f>_xlfn.TEXTJOIN(", ",TRUE,IF(G51="Unknown","Missing Region",""),IF(M51="Unknown","Missing Ship Mode",""),IF(P51&lt;0,"Negative Discount",""),IF(P51&gt;0.7,"High Discount",""),IF(C51&lt;B51,"Ship Before Order",""))</f>
        <v>Ship Before Order</v>
      </c>
      <c r="Z51" s="2">
        <f>IFERROR(
  IF(ISNUMBER(B51),B51,
    IF(ISNUMBER(SEARCH("-",B51)*1),
      IF(LEN(LEFT(B51,FIND("-",B51)-1))=4,
        DATE(VALUE(LEFT(B51,4)),VALUE(MID(B51,6,2)),VALUE(RIGHT(B51,2))),
        DATE(VALUE(RIGHT(B51,4)),VALUE(MID(B51,4,2)),VALUE(LEFT(B51,2)))
      ),
      IF(ISNUMBER(SEARCH("/",B51)*1),
        DATE(VALUE(RIGHT(B51,4)),VALUE(LEFT(B51,2)),VALUE(MID(B51,4,2))),
        DATEVALUE(B51)
      )
    )
  ),
"INVALID_DATE")</f>
        <v>45388</v>
      </c>
      <c r="AA51" s="2">
        <f>IFERROR(
  IF(ISNUMBER(C51),C51,
    IF(ISNUMBER(SEARCH("-",C51)*1),
      IF(LEN(LEFT(C51,FIND("-",C51)-1))=4,
        DATE(VALUE(LEFT(C51,4)),VALUE(MID(C51,6,2)),VALUE(RIGHT(C51,2))),
        DATE(VALUE(RIGHT(C51,4)),VALUE(MID(C51,4,2)),VALUE(LEFT(C51,2)))
      ),
      IF(ISNUMBER(SEARCH("/",C51)*1),
        DATE(VALUE(RIGHT(C51,4)),VALUE(LEFT(C51,2)),VALUE(MID(C51,4,2))),
        DATEVALUE(C51)
      )
    )
  ),
"INVALID_DATE")</f>
        <v>45395</v>
      </c>
      <c r="AB51">
        <f>AA51-Z51</f>
        <v>7</v>
      </c>
      <c r="AC51" t="str">
        <f>TEXT(Z51,"mmmm")</f>
        <v>April</v>
      </c>
      <c r="AD51">
        <f>YEAR(Z51)</f>
        <v>2024</v>
      </c>
      <c r="AE51" t="str">
        <f t="shared" si="2"/>
        <v>OK</v>
      </c>
    </row>
    <row r="52" spans="1:31">
      <c r="A52" t="s">
        <v>360</v>
      </c>
      <c r="B52" t="s">
        <v>361</v>
      </c>
      <c r="C52" t="s">
        <v>362</v>
      </c>
      <c r="D52" t="s">
        <v>363</v>
      </c>
      <c r="E52" t="s">
        <v>175</v>
      </c>
      <c r="F52" t="s">
        <v>33</v>
      </c>
      <c r="G52" t="s">
        <v>49</v>
      </c>
      <c r="H52" t="s">
        <v>128</v>
      </c>
      <c r="I52" t="s">
        <v>129</v>
      </c>
      <c r="J52" t="s">
        <v>93</v>
      </c>
      <c r="K52" t="s">
        <v>101</v>
      </c>
      <c r="L52" t="s">
        <v>364</v>
      </c>
      <c r="M52" t="s">
        <v>74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41</v>
      </c>
      <c r="U52" t="s">
        <v>42</v>
      </c>
      <c r="V52">
        <f>O52*(1-P52)*N52</f>
        <v>2025.38</v>
      </c>
      <c r="W52">
        <f t="shared" si="0"/>
        <v>884.73</v>
      </c>
      <c r="X52">
        <f t="shared" si="1"/>
        <v>0.43682173221815163</v>
      </c>
      <c r="Y52" t="s">
        <v>4120</v>
      </c>
      <c r="Z52" s="2">
        <f>IFERROR(
  IF(ISNUMBER(B52),B52,
    IF(ISNUMBER(SEARCH("-",B52)*1),
      IF(LEN(LEFT(B52,FIND("-",B52)-1))=4,
        DATE(VALUE(LEFT(B52,4)),VALUE(MID(B52,6,2)),VALUE(RIGHT(B52,2))),
        DATE(VALUE(RIGHT(B52,4)),VALUE(MID(B52,4,2)),VALUE(LEFT(B52,2)))
      ),
      IF(ISNUMBER(SEARCH("/",B52)*1),
        DATE(VALUE(RIGHT(B52,4)),VALUE(LEFT(B52,2)),VALUE(MID(B52,4,2))),
        DATEVALUE(B52)
      )
    )
  ),
"INVALID_DATE")</f>
        <v>45788</v>
      </c>
      <c r="AA52" s="2">
        <f>IFERROR(
  IF(ISNUMBER(C52),C52,
    IF(ISNUMBER(SEARCH("-",C52)*1),
      IF(LEN(LEFT(C52,FIND("-",C52)-1))=4,
        DATE(VALUE(LEFT(C52,4)),VALUE(MID(C52,6,2)),VALUE(RIGHT(C52,2))),
        DATE(VALUE(RIGHT(C52,4)),VALUE(MID(C52,4,2)),VALUE(LEFT(C52,2)))
      ),
      IF(ISNUMBER(SEARCH("/",C52)*1),
        DATE(VALUE(RIGHT(C52,4)),VALUE(LEFT(C52,2)),VALUE(MID(C52,4,2))),
        DATEVALUE(C52)
      )
    )
  ),
"INVALID_DATE")</f>
        <v>45796</v>
      </c>
      <c r="AB52">
        <f>AA52-Z52</f>
        <v>8</v>
      </c>
      <c r="AC52" t="str">
        <f>TEXT(Z52,"mmmm")</f>
        <v>May</v>
      </c>
      <c r="AD52">
        <f>YEAR(Z52)</f>
        <v>2025</v>
      </c>
      <c r="AE52" t="str">
        <f t="shared" si="2"/>
        <v>OK</v>
      </c>
    </row>
    <row r="53" spans="1:31">
      <c r="A53" t="s">
        <v>365</v>
      </c>
      <c r="B53" t="s">
        <v>366</v>
      </c>
      <c r="C53" t="s">
        <v>367</v>
      </c>
      <c r="D53" t="s">
        <v>368</v>
      </c>
      <c r="E53" t="s">
        <v>79</v>
      </c>
      <c r="F53" t="s">
        <v>115</v>
      </c>
      <c r="G53" t="s">
        <v>69</v>
      </c>
      <c r="H53" t="s">
        <v>70</v>
      </c>
      <c r="I53" t="s">
        <v>71</v>
      </c>
      <c r="J53" t="s">
        <v>37</v>
      </c>
      <c r="K53" t="s">
        <v>61</v>
      </c>
      <c r="L53" t="s">
        <v>369</v>
      </c>
      <c r="M53" t="s">
        <v>74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41</v>
      </c>
      <c r="U53" t="s">
        <v>42</v>
      </c>
      <c r="V53">
        <f>O53*(1-P53)*N53</f>
        <v>9168.48</v>
      </c>
      <c r="W53">
        <f t="shared" si="0"/>
        <v>1728.7099999999991</v>
      </c>
      <c r="X53">
        <f t="shared" si="1"/>
        <v>0.18854924698532363</v>
      </c>
      <c r="Y53" t="s">
        <v>4120</v>
      </c>
      <c r="Z53" s="2">
        <f>IFERROR(
  IF(ISNUMBER(B53),B53,
    IF(ISNUMBER(SEARCH("-",B53)*1),
      IF(LEN(LEFT(B53,FIND("-",B53)-1))=4,
        DATE(VALUE(LEFT(B53,4)),VALUE(MID(B53,6,2)),VALUE(RIGHT(B53,2))),
        DATE(VALUE(RIGHT(B53,4)),VALUE(MID(B53,4,2)),VALUE(LEFT(B53,2)))
      ),
      IF(ISNUMBER(SEARCH("/",B53)*1),
        DATE(VALUE(RIGHT(B53,4)),VALUE(LEFT(B53,2)),VALUE(MID(B53,4,2))),
        DATEVALUE(B53)
      )
    )
  ),
"INVALID_DATE")</f>
        <v>45406</v>
      </c>
      <c r="AA53" s="2">
        <f>IFERROR(
  IF(ISNUMBER(C53),C53,
    IF(ISNUMBER(SEARCH("-",C53)*1),
      IF(LEN(LEFT(C53,FIND("-",C53)-1))=4,
        DATE(VALUE(LEFT(C53,4)),VALUE(MID(C53,6,2)),VALUE(RIGHT(C53,2))),
        DATE(VALUE(RIGHT(C53,4)),VALUE(MID(C53,4,2)),VALUE(LEFT(C53,2)))
      ),
      IF(ISNUMBER(SEARCH("/",C53)*1),
        DATE(VALUE(RIGHT(C53,4)),VALUE(LEFT(C53,2)),VALUE(MID(C53,4,2))),
        DATEVALUE(C53)
      )
    )
  ),
"INVALID_DATE")</f>
        <v>45411</v>
      </c>
      <c r="AB53">
        <f>AA53-Z53</f>
        <v>5</v>
      </c>
      <c r="AC53" t="str">
        <f>TEXT(Z53,"mmmm")</f>
        <v>April</v>
      </c>
      <c r="AD53">
        <f>YEAR(Z53)</f>
        <v>2024</v>
      </c>
      <c r="AE53" t="str">
        <f t="shared" si="2"/>
        <v>OK</v>
      </c>
    </row>
    <row r="54" spans="1:31">
      <c r="A54" t="s">
        <v>370</v>
      </c>
      <c r="B54" t="s">
        <v>371</v>
      </c>
      <c r="C54" t="s">
        <v>372</v>
      </c>
      <c r="D54" t="s">
        <v>373</v>
      </c>
      <c r="E54" t="s">
        <v>374</v>
      </c>
      <c r="F54" t="s">
        <v>48</v>
      </c>
      <c r="G54" t="s">
        <v>34</v>
      </c>
      <c r="H54" t="s">
        <v>35</v>
      </c>
      <c r="I54" t="s">
        <v>36</v>
      </c>
      <c r="J54" t="s">
        <v>52</v>
      </c>
      <c r="K54" t="s">
        <v>83</v>
      </c>
      <c r="L54" t="s">
        <v>375</v>
      </c>
      <c r="M54" t="s">
        <v>63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207</v>
      </c>
      <c r="U54" t="s">
        <v>85</v>
      </c>
      <c r="V54">
        <f>O54*(1-P54)*N54</f>
        <v>12596.670000000002</v>
      </c>
      <c r="W54">
        <f t="shared" si="0"/>
        <v>1993.380000000001</v>
      </c>
      <c r="X54">
        <f t="shared" si="1"/>
        <v>0.1582465842163048</v>
      </c>
      <c r="Y54" t="str">
        <f>_xlfn.TEXTJOIN(", ",TRUE,IF(G54="Unknown","Missing Region",""),IF(M54="Unknown","Missing Ship Mode",""),IF(P54&lt;0,"Negative Discount",""),IF(P54&gt;0.7,"High Discount",""),IF(C54&lt;B54,"Ship Before Order",""))</f>
        <v>Ship Before Order</v>
      </c>
      <c r="Z54" s="2">
        <f>IFERROR(
  IF(ISNUMBER(B54),B54,
    IF(ISNUMBER(SEARCH("-",B54)*1),
      IF(LEN(LEFT(B54,FIND("-",B54)-1))=4,
        DATE(VALUE(LEFT(B54,4)),VALUE(MID(B54,6,2)),VALUE(RIGHT(B54,2))),
        DATE(VALUE(RIGHT(B54,4)),VALUE(MID(B54,4,2)),VALUE(LEFT(B54,2)))
      ),
      IF(ISNUMBER(SEARCH("/",B54)*1),
        DATE(VALUE(RIGHT(B54,4)),VALUE(LEFT(B54,2)),VALUE(MID(B54,4,2))),
        DATEVALUE(B54)
      )
    )
  ),
"INVALID_DATE")</f>
        <v>45591</v>
      </c>
      <c r="AA54" s="2">
        <f>IFERROR(
  IF(ISNUMBER(C54),C54,
    IF(ISNUMBER(SEARCH("-",C54)*1),
      IF(LEN(LEFT(C54,FIND("-",C54)-1))=4,
        DATE(VALUE(LEFT(C54,4)),VALUE(MID(C54,6,2)),VALUE(RIGHT(C54,2))),
        DATE(VALUE(RIGHT(C54,4)),VALUE(MID(C54,4,2)),VALUE(LEFT(C54,2)))
      ),
      IF(ISNUMBER(SEARCH("/",C54)*1),
        DATE(VALUE(RIGHT(C54,4)),VALUE(LEFT(C54,2)),VALUE(MID(C54,4,2))),
        DATEVALUE(C54)
      )
    )
  ),
"INVALID_DATE")</f>
        <v>45593</v>
      </c>
      <c r="AB54">
        <f>AA54-Z54</f>
        <v>2</v>
      </c>
      <c r="AC54" t="str">
        <f>TEXT(Z54,"mmmm")</f>
        <v>October</v>
      </c>
      <c r="AD54">
        <f>YEAR(Z54)</f>
        <v>2024</v>
      </c>
      <c r="AE54" t="str">
        <f t="shared" si="2"/>
        <v>OK</v>
      </c>
    </row>
    <row r="55" spans="1:31">
      <c r="A55" t="s">
        <v>376</v>
      </c>
      <c r="B55" t="s">
        <v>377</v>
      </c>
      <c r="C55" t="s">
        <v>378</v>
      </c>
      <c r="D55" t="s">
        <v>379</v>
      </c>
      <c r="E55" t="s">
        <v>374</v>
      </c>
      <c r="F55" t="s">
        <v>122</v>
      </c>
      <c r="G55" t="s">
        <v>80</v>
      </c>
      <c r="H55" t="s">
        <v>242</v>
      </c>
      <c r="I55" t="s">
        <v>243</v>
      </c>
      <c r="J55" t="s">
        <v>37</v>
      </c>
      <c r="K55" t="s">
        <v>163</v>
      </c>
      <c r="L55" t="s">
        <v>380</v>
      </c>
      <c r="M55" t="s">
        <v>63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41</v>
      </c>
      <c r="U55" t="s">
        <v>42</v>
      </c>
      <c r="V55">
        <f>O55*(1-P55)*N55</f>
        <v>5131.7475000000004</v>
      </c>
      <c r="W55">
        <f t="shared" si="0"/>
        <v>2293.0675000000006</v>
      </c>
      <c r="X55">
        <f t="shared" si="1"/>
        <v>0.44683977200759978</v>
      </c>
      <c r="Y55" t="str">
        <f>_xlfn.TEXTJOIN(", ",TRUE,IF(G55="Unknown","Missing Region",""),IF(M55="Unknown","Missing Ship Mode",""),IF(P55&lt;0,"Negative Discount",""),IF(P55&gt;0.7,"High Discount",""),IF(C55&lt;B55,"Ship Before Order",""))</f>
        <v>Ship Before Order</v>
      </c>
      <c r="Z55" s="2">
        <f>IFERROR(
  IF(ISNUMBER(B55),B55,
    IF(ISNUMBER(SEARCH("-",B55)*1),
      IF(LEN(LEFT(B55,FIND("-",B55)-1))=4,
        DATE(VALUE(LEFT(B55,4)),VALUE(MID(B55,6,2)),VALUE(RIGHT(B55,2))),
        DATE(VALUE(RIGHT(B55,4)),VALUE(MID(B55,4,2)),VALUE(LEFT(B55,2)))
      ),
      IF(ISNUMBER(SEARCH("/",B55)*1),
        DATE(VALUE(RIGHT(B55,4)),VALUE(LEFT(B55,2)),VALUE(MID(B55,4,2))),
        DATEVALUE(B55)
      )
    )
  ),
"INVALID_DATE")</f>
        <v>45747</v>
      </c>
      <c r="AA55" s="2">
        <f>IFERROR(
  IF(ISNUMBER(C55),C55,
    IF(ISNUMBER(SEARCH("-",C55)*1),
      IF(LEN(LEFT(C55,FIND("-",C55)-1))=4,
        DATE(VALUE(LEFT(C55,4)),VALUE(MID(C55,6,2)),VALUE(RIGHT(C55,2))),
        DATE(VALUE(RIGHT(C55,4)),VALUE(MID(C55,4,2)),VALUE(LEFT(C55,2)))
      ),
      IF(ISNUMBER(SEARCH("/",C55)*1),
        DATE(VALUE(RIGHT(C55,4)),VALUE(LEFT(C55,2)),VALUE(MID(C55,4,2))),
        DATEVALUE(C55)
      )
    )
  ),
"INVALID_DATE")</f>
        <v>45747</v>
      </c>
      <c r="AB55">
        <f>AA55-Z55</f>
        <v>0</v>
      </c>
      <c r="AC55" t="str">
        <f>TEXT(Z55,"mmmm")</f>
        <v>March</v>
      </c>
      <c r="AD55">
        <f>YEAR(Z55)</f>
        <v>2025</v>
      </c>
      <c r="AE55" t="str">
        <f t="shared" si="2"/>
        <v>OK</v>
      </c>
    </row>
    <row r="56" spans="1:31">
      <c r="A56" t="s">
        <v>381</v>
      </c>
      <c r="B56" t="s">
        <v>382</v>
      </c>
      <c r="C56" t="s">
        <v>383</v>
      </c>
      <c r="D56" t="s">
        <v>384</v>
      </c>
      <c r="E56" t="s">
        <v>68</v>
      </c>
      <c r="F56" t="s">
        <v>115</v>
      </c>
      <c r="G56" t="s">
        <v>69</v>
      </c>
      <c r="H56" t="s">
        <v>347</v>
      </c>
      <c r="I56" t="s">
        <v>348</v>
      </c>
      <c r="J56" t="s">
        <v>37</v>
      </c>
      <c r="K56" t="s">
        <v>116</v>
      </c>
      <c r="L56" t="s">
        <v>385</v>
      </c>
      <c r="M56" t="s">
        <v>55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207</v>
      </c>
      <c r="U56" t="s">
        <v>85</v>
      </c>
      <c r="V56">
        <f>O56*(1-P56)*N56</f>
        <v>3415.4639999999999</v>
      </c>
      <c r="W56">
        <f t="shared" si="0"/>
        <v>1422.2339999999999</v>
      </c>
      <c r="X56">
        <f t="shared" si="1"/>
        <v>0.4164095026731392</v>
      </c>
      <c r="Y56" t="str">
        <f>_xlfn.TEXTJOIN(", ",TRUE,IF(G56="Unknown","Missing Region",""),IF(M56="Unknown","Missing Ship Mode",""),IF(P56&lt;0,"Negative Discount",""),IF(P56&gt;0.7,"High Discount",""),IF(C56&lt;B56,"Ship Before Order",""))</f>
        <v>Ship Before Order</v>
      </c>
      <c r="Z56" s="2">
        <f>IFERROR(
  IF(ISNUMBER(B56),B56,
    IF(ISNUMBER(SEARCH("-",B56)*1),
      IF(LEN(LEFT(B56,FIND("-",B56)-1))=4,
        DATE(VALUE(LEFT(B56,4)),VALUE(MID(B56,6,2)),VALUE(RIGHT(B56,2))),
        DATE(VALUE(RIGHT(B56,4)),VALUE(MID(B56,4,2)),VALUE(LEFT(B56,2)))
      ),
      IF(ISNUMBER(SEARCH("/",B56)*1),
        DATE(VALUE(RIGHT(B56,4)),VALUE(LEFT(B56,2)),VALUE(MID(B56,4,2))),
        DATEVALUE(B56)
      )
    )
  ),
"INVALID_DATE")</f>
        <v>45807</v>
      </c>
      <c r="AA56" s="2">
        <f>IFERROR(
  IF(ISNUMBER(C56),C56,
    IF(ISNUMBER(SEARCH("-",C56)*1),
      IF(LEN(LEFT(C56,FIND("-",C56)-1))=4,
        DATE(VALUE(LEFT(C56,4)),VALUE(MID(C56,6,2)),VALUE(RIGHT(C56,2))),
        DATE(VALUE(RIGHT(C56,4)),VALUE(MID(C56,4,2)),VALUE(LEFT(C56,2)))
      ),
      IF(ISNUMBER(SEARCH("/",C56)*1),
        DATE(VALUE(RIGHT(C56,4)),VALUE(LEFT(C56,2)),VALUE(MID(C56,4,2))),
        DATEVALUE(C56)
      )
    )
  ),
"INVALID_DATE")</f>
        <v>45810</v>
      </c>
      <c r="AB56">
        <f>AA56-Z56</f>
        <v>3</v>
      </c>
      <c r="AC56" t="str">
        <f>TEXT(Z56,"mmmm")</f>
        <v>May</v>
      </c>
      <c r="AD56">
        <f>YEAR(Z56)</f>
        <v>2025</v>
      </c>
      <c r="AE56" t="str">
        <f t="shared" si="2"/>
        <v>OK</v>
      </c>
    </row>
    <row r="57" spans="1:31">
      <c r="A57" t="s">
        <v>386</v>
      </c>
      <c r="B57" t="s">
        <v>387</v>
      </c>
      <c r="C57" t="s">
        <v>388</v>
      </c>
      <c r="D57" t="s">
        <v>389</v>
      </c>
      <c r="E57" t="s">
        <v>47</v>
      </c>
      <c r="F57" t="s">
        <v>48</v>
      </c>
      <c r="G57" t="s">
        <v>69</v>
      </c>
      <c r="H57" t="s">
        <v>107</v>
      </c>
      <c r="I57" t="s">
        <v>108</v>
      </c>
      <c r="J57" t="s">
        <v>93</v>
      </c>
      <c r="K57" t="s">
        <v>390</v>
      </c>
      <c r="L57" t="s">
        <v>391</v>
      </c>
      <c r="M57" t="s">
        <v>55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41</v>
      </c>
      <c r="U57" t="s">
        <v>42</v>
      </c>
      <c r="V57">
        <f>O57*(1-P57)*N57</f>
        <v>3411.54</v>
      </c>
      <c r="W57">
        <f t="shared" si="0"/>
        <v>608.40999999999985</v>
      </c>
      <c r="X57">
        <f t="shared" si="1"/>
        <v>0.17833881472883215</v>
      </c>
      <c r="Y57" t="s">
        <v>4120</v>
      </c>
      <c r="Z57" s="2">
        <f>IFERROR(
  IF(ISNUMBER(B57),B57,
    IF(ISNUMBER(SEARCH("-",B57)*1),
      IF(LEN(LEFT(B57,FIND("-",B57)-1))=4,
        DATE(VALUE(LEFT(B57,4)),VALUE(MID(B57,6,2)),VALUE(RIGHT(B57,2))),
        DATE(VALUE(RIGHT(B57,4)),VALUE(MID(B57,4,2)),VALUE(LEFT(B57,2)))
      ),
      IF(ISNUMBER(SEARCH("/",B57)*1),
        DATE(VALUE(RIGHT(B57,4)),VALUE(LEFT(B57,2)),VALUE(MID(B57,4,2))),
        DATEVALUE(B57)
      )
    )
  ),
"INVALID_DATE")</f>
        <v>45839</v>
      </c>
      <c r="AA57" s="2">
        <f>IFERROR(
  IF(ISNUMBER(C57),C57,
    IF(ISNUMBER(SEARCH("-",C57)*1),
      IF(LEN(LEFT(C57,FIND("-",C57)-1))=4,
        DATE(VALUE(LEFT(C57,4)),VALUE(MID(C57,6,2)),VALUE(RIGHT(C57,2))),
        DATE(VALUE(RIGHT(C57,4)),VALUE(MID(C57,4,2)),VALUE(LEFT(C57,2)))
      ),
      IF(ISNUMBER(SEARCH("/",C57)*1),
        DATE(VALUE(RIGHT(C57,4)),VALUE(LEFT(C57,2)),VALUE(MID(C57,4,2))),
        DATEVALUE(C57)
      )
    )
  ),
"INVALID_DATE")</f>
        <v>45841</v>
      </c>
      <c r="AB57">
        <f>AA57-Z57</f>
        <v>2</v>
      </c>
      <c r="AC57" t="str">
        <f>TEXT(Z57,"mmmm")</f>
        <v>July</v>
      </c>
      <c r="AD57">
        <f>YEAR(Z57)</f>
        <v>2025</v>
      </c>
      <c r="AE57" t="str">
        <f t="shared" si="2"/>
        <v>OK</v>
      </c>
    </row>
    <row r="58" spans="1:31">
      <c r="A58" t="s">
        <v>392</v>
      </c>
      <c r="B58" t="s">
        <v>393</v>
      </c>
      <c r="C58" t="s">
        <v>394</v>
      </c>
      <c r="D58" t="s">
        <v>395</v>
      </c>
      <c r="E58" t="s">
        <v>32</v>
      </c>
      <c r="F58" t="s">
        <v>33</v>
      </c>
      <c r="G58" t="s">
        <v>69</v>
      </c>
      <c r="H58" t="s">
        <v>236</v>
      </c>
      <c r="I58" t="s">
        <v>237</v>
      </c>
      <c r="J58" t="s">
        <v>37</v>
      </c>
      <c r="K58" t="s">
        <v>205</v>
      </c>
      <c r="L58" t="s">
        <v>396</v>
      </c>
      <c r="M58" t="s">
        <v>40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131</v>
      </c>
      <c r="U58" t="s">
        <v>85</v>
      </c>
      <c r="V58">
        <f>O58*(1-P58)*N58</f>
        <v>9466.83</v>
      </c>
      <c r="W58">
        <f t="shared" si="0"/>
        <v>2909</v>
      </c>
      <c r="X58">
        <f t="shared" si="1"/>
        <v>0.30728343067320318</v>
      </c>
      <c r="Y58" t="str">
        <f>_xlfn.TEXTJOIN(", ",TRUE,IF(G58="Unknown","Missing Region",""),IF(M58="Unknown","Missing Ship Mode",""),IF(P58&lt;0,"Negative Discount",""),IF(P58&gt;0.7,"High Discount",""),IF(C58&lt;B58,"Ship Before Order",""))</f>
        <v>Ship Before Order</v>
      </c>
      <c r="Z58" s="2">
        <f>IFERROR(
  IF(ISNUMBER(B58),B58,
    IF(ISNUMBER(SEARCH("-",B58)*1),
      IF(LEN(LEFT(B58,FIND("-",B58)-1))=4,
        DATE(VALUE(LEFT(B58,4)),VALUE(MID(B58,6,2)),VALUE(RIGHT(B58,2))),
        DATE(VALUE(RIGHT(B58,4)),VALUE(MID(B58,4,2)),VALUE(LEFT(B58,2)))
      ),
      IF(ISNUMBER(SEARCH("/",B58)*1),
        DATE(VALUE(RIGHT(B58,4)),VALUE(LEFT(B58,2)),VALUE(MID(B58,4,2))),
        DATEVALUE(B58)
      )
    )
  ),
"INVALID_DATE")</f>
        <v>45662</v>
      </c>
      <c r="AA58" s="2">
        <f>IFERROR(
  IF(ISNUMBER(C58),C58,
    IF(ISNUMBER(SEARCH("-",C58)*1),
      IF(LEN(LEFT(C58,FIND("-",C58)-1))=4,
        DATE(VALUE(LEFT(C58,4)),VALUE(MID(C58,6,2)),VALUE(RIGHT(C58,2))),
        DATE(VALUE(RIGHT(C58,4)),VALUE(MID(C58,4,2)),VALUE(LEFT(C58,2)))
      ),
      IF(ISNUMBER(SEARCH("/",C58)*1),
        DATE(VALUE(RIGHT(C58,4)),VALUE(LEFT(C58,2)),VALUE(MID(C58,4,2))),
        DATEVALUE(C58)
      )
    )
  ),
"INVALID_DATE")</f>
        <v>45663</v>
      </c>
      <c r="AB58">
        <f>AA58-Z58</f>
        <v>1</v>
      </c>
      <c r="AC58" t="str">
        <f>TEXT(Z58,"mmmm")</f>
        <v>January</v>
      </c>
      <c r="AD58">
        <f>YEAR(Z58)</f>
        <v>2025</v>
      </c>
      <c r="AE58" t="str">
        <f t="shared" si="2"/>
        <v>OK</v>
      </c>
    </row>
    <row r="59" spans="1:31">
      <c r="A59" t="s">
        <v>397</v>
      </c>
      <c r="B59" t="s">
        <v>398</v>
      </c>
      <c r="C59" t="s">
        <v>399</v>
      </c>
      <c r="D59" t="s">
        <v>400</v>
      </c>
      <c r="E59" t="s">
        <v>149</v>
      </c>
      <c r="F59" t="s">
        <v>33</v>
      </c>
      <c r="G59" t="s">
        <v>80</v>
      </c>
      <c r="H59" t="s">
        <v>256</v>
      </c>
      <c r="I59" t="s">
        <v>257</v>
      </c>
      <c r="J59" t="s">
        <v>52</v>
      </c>
      <c r="K59" t="s">
        <v>83</v>
      </c>
      <c r="L59" t="s">
        <v>401</v>
      </c>
      <c r="M59" t="s">
        <v>55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41</v>
      </c>
      <c r="U59" t="s">
        <v>42</v>
      </c>
      <c r="V59">
        <f>O59*(1-P59)*N59</f>
        <v>1279.3499999999999</v>
      </c>
      <c r="W59">
        <f t="shared" si="0"/>
        <v>187.80999999999995</v>
      </c>
      <c r="X59">
        <f t="shared" si="1"/>
        <v>0.14680110993864073</v>
      </c>
      <c r="Y59" t="str">
        <f>_xlfn.TEXTJOIN(", ",TRUE,IF(G59="Unknown","Missing Region",""),IF(M59="Unknown","Missing Ship Mode",""),IF(P59&lt;0,"Negative Discount",""),IF(P59&gt;0.7,"High Discount",""),IF(C59&lt;B59,"Ship Before Order",""))</f>
        <v>Ship Before Order</v>
      </c>
      <c r="Z59" s="2">
        <f>IFERROR(
  IF(ISNUMBER(B59),B59,
    IF(ISNUMBER(SEARCH("-",B59)*1),
      IF(LEN(LEFT(B59,FIND("-",B59)-1))=4,
        DATE(VALUE(LEFT(B59,4)),VALUE(MID(B59,6,2)),VALUE(RIGHT(B59,2))),
        DATE(VALUE(RIGHT(B59,4)),VALUE(MID(B59,4,2)),VALUE(LEFT(B59,2)))
      ),
      IF(ISNUMBER(SEARCH("/",B59)*1),
        DATE(VALUE(RIGHT(B59,4)),VALUE(LEFT(B59,2)),VALUE(MID(B59,4,2))),
        DATEVALUE(B59)
      )
    )
  ),
"INVALID_DATE")</f>
        <v>45329</v>
      </c>
      <c r="AA59" s="2">
        <f>IFERROR(
  IF(ISNUMBER(C59),C59,
    IF(ISNUMBER(SEARCH("-",C59)*1),
      IF(LEN(LEFT(C59,FIND("-",C59)-1))=4,
        DATE(VALUE(LEFT(C59,4)),VALUE(MID(C59,6,2)),VALUE(RIGHT(C59,2))),
        DATE(VALUE(RIGHT(C59,4)),VALUE(MID(C59,4,2)),VALUE(LEFT(C59,2)))
      ),
      IF(ISNUMBER(SEARCH("/",C59)*1),
        DATE(VALUE(RIGHT(C59,4)),VALUE(LEFT(C59,2)),VALUE(MID(C59,4,2))),
        DATEVALUE(C59)
      )
    )
  ),
"INVALID_DATE")</f>
        <v>45337</v>
      </c>
      <c r="AB59">
        <f>AA59-Z59</f>
        <v>8</v>
      </c>
      <c r="AC59" t="str">
        <f>TEXT(Z59,"mmmm")</f>
        <v>February</v>
      </c>
      <c r="AD59">
        <f>YEAR(Z59)</f>
        <v>2024</v>
      </c>
      <c r="AE59" t="str">
        <f t="shared" si="2"/>
        <v>OK</v>
      </c>
    </row>
    <row r="60" spans="1:31">
      <c r="A60" t="s">
        <v>402</v>
      </c>
      <c r="B60" t="s">
        <v>403</v>
      </c>
      <c r="C60" t="s">
        <v>404</v>
      </c>
      <c r="D60" t="s">
        <v>405</v>
      </c>
      <c r="E60" t="s">
        <v>60</v>
      </c>
      <c r="F60" t="s">
        <v>122</v>
      </c>
      <c r="G60" t="s">
        <v>34</v>
      </c>
      <c r="H60" t="s">
        <v>35</v>
      </c>
      <c r="I60" t="s">
        <v>36</v>
      </c>
      <c r="J60" t="s">
        <v>37</v>
      </c>
      <c r="K60" t="s">
        <v>163</v>
      </c>
      <c r="L60" t="s">
        <v>406</v>
      </c>
      <c r="M60" t="s">
        <v>279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144</v>
      </c>
      <c r="U60" t="s">
        <v>132</v>
      </c>
      <c r="V60">
        <f>O60*(1-P60)*N60</f>
        <v>11254.788</v>
      </c>
      <c r="W60">
        <f t="shared" si="0"/>
        <v>4676.7280000000001</v>
      </c>
      <c r="X60">
        <f t="shared" si="1"/>
        <v>0.41553240886769094</v>
      </c>
      <c r="Y60" t="str">
        <f>_xlfn.TEXTJOIN(", ",TRUE,IF(G60="Unknown","Missing Region",""),IF(M60="Unknown","Missing Ship Mode",""),IF(P60&lt;0,"Negative Discount",""),IF(P60&gt;0.7,"High Discount",""),IF(C60&lt;B60,"Ship Before Order",""))</f>
        <v>Missing Ship Mode</v>
      </c>
      <c r="Z60" s="2">
        <f>IFERROR(
  IF(ISNUMBER(B60),B60,
    IF(ISNUMBER(SEARCH("-",B60)*1),
      IF(LEN(LEFT(B60,FIND("-",B60)-1))=4,
        DATE(VALUE(LEFT(B60,4)),VALUE(MID(B60,6,2)),VALUE(RIGHT(B60,2))),
        DATE(VALUE(RIGHT(B60,4)),VALUE(MID(B60,4,2)),VALUE(LEFT(B60,2)))
      ),
      IF(ISNUMBER(SEARCH("/",B60)*1),
        DATE(VALUE(RIGHT(B60,4)),VALUE(LEFT(B60,2)),VALUE(MID(B60,4,2))),
        DATEVALUE(B60)
      )
    )
  ),
"INVALID_DATE")</f>
        <v>45536</v>
      </c>
      <c r="AA60" s="2">
        <f>IFERROR(
  IF(ISNUMBER(C60),C60,
    IF(ISNUMBER(SEARCH("-",C60)*1),
      IF(LEN(LEFT(C60,FIND("-",C60)-1))=4,
        DATE(VALUE(LEFT(C60,4)),VALUE(MID(C60,6,2)),VALUE(RIGHT(C60,2))),
        DATE(VALUE(RIGHT(C60,4)),VALUE(MID(C60,4,2)),VALUE(LEFT(C60,2)))
      ),
      IF(ISNUMBER(SEARCH("/",C60)*1),
        DATE(VALUE(RIGHT(C60,4)),VALUE(LEFT(C60,2)),VALUE(MID(C60,4,2))),
        DATEVALUE(C60)
      )
    )
  ),
"INVALID_DATE")</f>
        <v>45542</v>
      </c>
      <c r="AB60">
        <f>AA60-Z60</f>
        <v>6</v>
      </c>
      <c r="AC60" t="str">
        <f>TEXT(Z60,"mmmm")</f>
        <v>September</v>
      </c>
      <c r="AD60">
        <f>YEAR(Z60)</f>
        <v>2024</v>
      </c>
      <c r="AE60" t="str">
        <f t="shared" si="2"/>
        <v>OK</v>
      </c>
    </row>
    <row r="61" spans="1:31">
      <c r="A61" t="s">
        <v>407</v>
      </c>
      <c r="B61" t="s">
        <v>408</v>
      </c>
      <c r="C61" t="s">
        <v>409</v>
      </c>
      <c r="D61" t="s">
        <v>410</v>
      </c>
      <c r="E61" t="s">
        <v>149</v>
      </c>
      <c r="F61" t="s">
        <v>115</v>
      </c>
      <c r="G61" t="s">
        <v>49</v>
      </c>
      <c r="H61" t="s">
        <v>223</v>
      </c>
      <c r="I61" t="s">
        <v>224</v>
      </c>
      <c r="J61" t="s">
        <v>37</v>
      </c>
      <c r="K61" t="s">
        <v>116</v>
      </c>
      <c r="L61" t="s">
        <v>411</v>
      </c>
      <c r="M61" t="s">
        <v>55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41</v>
      </c>
      <c r="U61" t="s">
        <v>85</v>
      </c>
      <c r="V61">
        <f>O61*(1-P61)*N61</f>
        <v>16535.400000000001</v>
      </c>
      <c r="W61">
        <f t="shared" si="0"/>
        <v>3545.1900000000023</v>
      </c>
      <c r="X61">
        <f t="shared" si="1"/>
        <v>0.21440001451431473</v>
      </c>
      <c r="Y61" t="s">
        <v>4120</v>
      </c>
      <c r="Z61" s="2">
        <f>IFERROR(
  IF(ISNUMBER(B61),B61,
    IF(ISNUMBER(SEARCH("-",B61)*1),
      IF(LEN(LEFT(B61,FIND("-",B61)-1))=4,
        DATE(VALUE(LEFT(B61,4)),VALUE(MID(B61,6,2)),VALUE(RIGHT(B61,2))),
        DATE(VALUE(RIGHT(B61,4)),VALUE(MID(B61,4,2)),VALUE(LEFT(B61,2)))
      ),
      IF(ISNUMBER(SEARCH("/",B61)*1),
        DATE(VALUE(RIGHT(B61,4)),VALUE(LEFT(B61,2)),VALUE(MID(B61,4,2))),
        DATEVALUE(B61)
      )
    )
  ),
"INVALID_DATE")</f>
        <v>45493</v>
      </c>
      <c r="AA61" s="2">
        <f>IFERROR(
  IF(ISNUMBER(C61),C61,
    IF(ISNUMBER(SEARCH("-",C61)*1),
      IF(LEN(LEFT(C61,FIND("-",C61)-1))=4,
        DATE(VALUE(LEFT(C61,4)),VALUE(MID(C61,6,2)),VALUE(RIGHT(C61,2))),
        DATE(VALUE(RIGHT(C61,4)),VALUE(MID(C61,4,2)),VALUE(LEFT(C61,2)))
      ),
      IF(ISNUMBER(SEARCH("/",C61)*1),
        DATE(VALUE(RIGHT(C61,4)),VALUE(LEFT(C61,2)),VALUE(MID(C61,4,2))),
        DATEVALUE(C61)
      )
    )
  ),
"INVALID_DATE")</f>
        <v>45498</v>
      </c>
      <c r="AB61">
        <f>AA61-Z61</f>
        <v>5</v>
      </c>
      <c r="AC61" t="str">
        <f>TEXT(Z61,"mmmm")</f>
        <v>July</v>
      </c>
      <c r="AD61">
        <f>YEAR(Z61)</f>
        <v>2024</v>
      </c>
      <c r="AE61" t="str">
        <f t="shared" si="2"/>
        <v>OK</v>
      </c>
    </row>
    <row r="62" spans="1:31">
      <c r="A62" t="s">
        <v>412</v>
      </c>
      <c r="B62" t="s">
        <v>413</v>
      </c>
      <c r="C62" t="s">
        <v>414</v>
      </c>
      <c r="D62" t="s">
        <v>415</v>
      </c>
      <c r="E62" t="s">
        <v>79</v>
      </c>
      <c r="F62" t="s">
        <v>115</v>
      </c>
      <c r="G62" t="s">
        <v>49</v>
      </c>
      <c r="H62" t="s">
        <v>223</v>
      </c>
      <c r="I62" t="s">
        <v>224</v>
      </c>
      <c r="J62" t="s">
        <v>37</v>
      </c>
      <c r="K62" t="s">
        <v>116</v>
      </c>
      <c r="L62" t="s">
        <v>416</v>
      </c>
      <c r="M62" t="s">
        <v>55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131</v>
      </c>
      <c r="U62" t="s">
        <v>85</v>
      </c>
      <c r="V62">
        <f>O62*(1-P62)*N62</f>
        <v>661.82400000000007</v>
      </c>
      <c r="W62">
        <f t="shared" si="0"/>
        <v>180.35400000000004</v>
      </c>
      <c r="X62">
        <f t="shared" si="1"/>
        <v>0.2725061194886827</v>
      </c>
      <c r="Y62" t="s">
        <v>4120</v>
      </c>
      <c r="Z62" s="2">
        <f>IFERROR(
  IF(ISNUMBER(B62),B62,
    IF(ISNUMBER(SEARCH("-",B62)*1),
      IF(LEN(LEFT(B62,FIND("-",B62)-1))=4,
        DATE(VALUE(LEFT(B62,4)),VALUE(MID(B62,6,2)),VALUE(RIGHT(B62,2))),
        DATE(VALUE(RIGHT(B62,4)),VALUE(MID(B62,4,2)),VALUE(LEFT(B62,2)))
      ),
      IF(ISNUMBER(SEARCH("/",B62)*1),
        DATE(VALUE(RIGHT(B62,4)),VALUE(LEFT(B62,2)),VALUE(MID(B62,4,2))),
        DATEVALUE(B62)
      )
    )
  ),
"INVALID_DATE")</f>
        <v>45486</v>
      </c>
      <c r="AA62" s="2">
        <f>IFERROR(
  IF(ISNUMBER(C62),C62,
    IF(ISNUMBER(SEARCH("-",C62)*1),
      IF(LEN(LEFT(C62,FIND("-",C62)-1))=4,
        DATE(VALUE(LEFT(C62,4)),VALUE(MID(C62,6,2)),VALUE(RIGHT(C62,2))),
        DATE(VALUE(RIGHT(C62,4)),VALUE(MID(C62,4,2)),VALUE(LEFT(C62,2)))
      ),
      IF(ISNUMBER(SEARCH("/",C62)*1),
        DATE(VALUE(RIGHT(C62,4)),VALUE(LEFT(C62,2)),VALUE(MID(C62,4,2))),
        DATEVALUE(C62)
      )
    )
  ),
"INVALID_DATE")</f>
        <v>45492</v>
      </c>
      <c r="AB62">
        <f>AA62-Z62</f>
        <v>6</v>
      </c>
      <c r="AC62" t="str">
        <f>TEXT(Z62,"mmmm")</f>
        <v>July</v>
      </c>
      <c r="AD62">
        <f>YEAR(Z62)</f>
        <v>2024</v>
      </c>
      <c r="AE62" t="str">
        <f t="shared" si="2"/>
        <v>OK</v>
      </c>
    </row>
    <row r="63" spans="1:31">
      <c r="A63" t="s">
        <v>417</v>
      </c>
      <c r="B63" t="s">
        <v>418</v>
      </c>
      <c r="C63" t="s">
        <v>419</v>
      </c>
      <c r="D63" t="s">
        <v>420</v>
      </c>
      <c r="E63" t="s">
        <v>90</v>
      </c>
      <c r="F63" t="s">
        <v>122</v>
      </c>
      <c r="G63" t="s">
        <v>49</v>
      </c>
      <c r="H63" t="s">
        <v>193</v>
      </c>
      <c r="I63" t="s">
        <v>194</v>
      </c>
      <c r="J63" t="s">
        <v>52</v>
      </c>
      <c r="K63" t="s">
        <v>211</v>
      </c>
      <c r="L63" t="s">
        <v>421</v>
      </c>
      <c r="M63" t="s">
        <v>74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41</v>
      </c>
      <c r="U63" t="s">
        <v>42</v>
      </c>
      <c r="V63">
        <f>O63*(1-P63)*N63</f>
        <v>949.59</v>
      </c>
      <c r="W63">
        <f t="shared" si="0"/>
        <v>198.34000000000003</v>
      </c>
      <c r="X63">
        <f t="shared" si="1"/>
        <v>0.20886909087079686</v>
      </c>
      <c r="Y63" t="str">
        <f>_xlfn.TEXTJOIN(", ",TRUE,IF(G63="Unknown","Missing Region",""),IF(M63="Unknown","Missing Ship Mode",""),IF(P63&lt;0,"Negative Discount",""),IF(P63&gt;0.7,"High Discount",""),IF(C63&lt;B63,"Ship Before Order",""))</f>
        <v>Ship Before Order</v>
      </c>
      <c r="Z63" s="2">
        <f>IFERROR(
  IF(ISNUMBER(B63),B63,
    IF(ISNUMBER(SEARCH("-",B63)*1),
      IF(LEN(LEFT(B63,FIND("-",B63)-1))=4,
        DATE(VALUE(LEFT(B63,4)),VALUE(MID(B63,6,2)),VALUE(RIGHT(B63,2))),
        DATE(VALUE(RIGHT(B63,4)),VALUE(MID(B63,4,2)),VALUE(LEFT(B63,2)))
      ),
      IF(ISNUMBER(SEARCH("/",B63)*1),
        DATE(VALUE(RIGHT(B63,4)),VALUE(LEFT(B63,2)),VALUE(MID(B63,4,2))),
        DATEVALUE(B63)
      )
    )
  ),
"INVALID_DATE")</f>
        <v>45398</v>
      </c>
      <c r="AA63" s="2">
        <f>IFERROR(
  IF(ISNUMBER(C63),C63,
    IF(ISNUMBER(SEARCH("-",C63)*1),
      IF(LEN(LEFT(C63,FIND("-",C63)-1))=4,
        DATE(VALUE(LEFT(C63,4)),VALUE(MID(C63,6,2)),VALUE(RIGHT(C63,2))),
        DATE(VALUE(RIGHT(C63,4)),VALUE(MID(C63,4,2)),VALUE(LEFT(C63,2)))
      ),
      IF(ISNUMBER(SEARCH("/",C63)*1),
        DATE(VALUE(RIGHT(C63,4)),VALUE(LEFT(C63,2)),VALUE(MID(C63,4,2))),
        DATEVALUE(C63)
      )
    )
  ),
"INVALID_DATE")</f>
        <v>45398</v>
      </c>
      <c r="AB63">
        <f>AA63-Z63</f>
        <v>0</v>
      </c>
      <c r="AC63" t="str">
        <f>TEXT(Z63,"mmmm")</f>
        <v>April</v>
      </c>
      <c r="AD63">
        <f>YEAR(Z63)</f>
        <v>2024</v>
      </c>
      <c r="AE63" t="str">
        <f t="shared" si="2"/>
        <v>OK</v>
      </c>
    </row>
    <row r="64" spans="1:31">
      <c r="A64" t="s">
        <v>422</v>
      </c>
      <c r="B64" t="s">
        <v>423</v>
      </c>
      <c r="C64" t="s">
        <v>424</v>
      </c>
      <c r="D64" t="s">
        <v>425</v>
      </c>
      <c r="E64" t="s">
        <v>175</v>
      </c>
      <c r="F64" t="s">
        <v>122</v>
      </c>
      <c r="G64" t="s">
        <v>34</v>
      </c>
      <c r="H64" t="s">
        <v>35</v>
      </c>
      <c r="I64" t="s">
        <v>36</v>
      </c>
      <c r="J64" t="s">
        <v>93</v>
      </c>
      <c r="K64" t="s">
        <v>230</v>
      </c>
      <c r="L64" t="s">
        <v>426</v>
      </c>
      <c r="M64" t="s">
        <v>74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41</v>
      </c>
      <c r="U64" t="s">
        <v>42</v>
      </c>
      <c r="V64">
        <f>O64*(1-P64)*N64</f>
        <v>21904.487999999998</v>
      </c>
      <c r="W64">
        <f t="shared" si="0"/>
        <v>8333.9379999999983</v>
      </c>
      <c r="X64">
        <f t="shared" si="1"/>
        <v>0.38046720101677783</v>
      </c>
      <c r="Y64" t="str">
        <f>_xlfn.TEXTJOIN(", ",TRUE,IF(G64="Unknown","Missing Region",""),IF(M64="Unknown","Missing Ship Mode",""),IF(P64&lt;0,"Negative Discount",""),IF(P64&gt;0.7,"High Discount",""),IF(C64&lt;B64,"Ship Before Order",""))</f>
        <v>Ship Before Order</v>
      </c>
      <c r="Z64" s="2">
        <f>IFERROR(
  IF(ISNUMBER(B64),B64,
    IF(ISNUMBER(SEARCH("-",B64)*1),
      IF(LEN(LEFT(B64,FIND("-",B64)-1))=4,
        DATE(VALUE(LEFT(B64,4)),VALUE(MID(B64,6,2)),VALUE(RIGHT(B64,2))),
        DATE(VALUE(RIGHT(B64,4)),VALUE(MID(B64,4,2)),VALUE(LEFT(B64,2)))
      ),
      IF(ISNUMBER(SEARCH("/",B64)*1),
        DATE(VALUE(RIGHT(B64,4)),VALUE(LEFT(B64,2)),VALUE(MID(B64,4,2))),
        DATEVALUE(B64)
      )
    )
  ),
"INVALID_DATE")</f>
        <v>45595</v>
      </c>
      <c r="AA64" s="2">
        <f>IFERROR(
  IF(ISNUMBER(C64),C64,
    IF(ISNUMBER(SEARCH("-",C64)*1),
      IF(LEN(LEFT(C64,FIND("-",C64)-1))=4,
        DATE(VALUE(LEFT(C64,4)),VALUE(MID(C64,6,2)),VALUE(RIGHT(C64,2))),
        DATE(VALUE(RIGHT(C64,4)),VALUE(MID(C64,4,2)),VALUE(LEFT(C64,2)))
      ),
      IF(ISNUMBER(SEARCH("/",C64)*1),
        DATE(VALUE(RIGHT(C64,4)),VALUE(LEFT(C64,2)),VALUE(MID(C64,4,2))),
        DATEVALUE(C64)
      )
    )
  ),
"INVALID_DATE")</f>
        <v>45598</v>
      </c>
      <c r="AB64">
        <f>AA64-Z64</f>
        <v>3</v>
      </c>
      <c r="AC64" t="str">
        <f>TEXT(Z64,"mmmm")</f>
        <v>October</v>
      </c>
      <c r="AD64">
        <f>YEAR(Z64)</f>
        <v>2024</v>
      </c>
      <c r="AE64" t="str">
        <f t="shared" si="2"/>
        <v>OK</v>
      </c>
    </row>
    <row r="65" spans="1:31">
      <c r="A65" t="s">
        <v>427</v>
      </c>
      <c r="B65" t="s">
        <v>428</v>
      </c>
      <c r="C65" t="s">
        <v>429</v>
      </c>
      <c r="D65" t="s">
        <v>430</v>
      </c>
      <c r="E65" t="s">
        <v>175</v>
      </c>
      <c r="F65" t="s">
        <v>122</v>
      </c>
      <c r="G65" t="s">
        <v>34</v>
      </c>
      <c r="H65" t="s">
        <v>331</v>
      </c>
      <c r="I65" t="s">
        <v>332</v>
      </c>
      <c r="J65" t="s">
        <v>37</v>
      </c>
      <c r="K65" t="s">
        <v>205</v>
      </c>
      <c r="L65" t="s">
        <v>431</v>
      </c>
      <c r="M65" t="s">
        <v>55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41</v>
      </c>
      <c r="U65" t="s">
        <v>42</v>
      </c>
      <c r="V65">
        <f>O65*(1-P65)*N65</f>
        <v>4815.7089999999998</v>
      </c>
      <c r="W65">
        <f t="shared" si="0"/>
        <v>1787.9589999999998</v>
      </c>
      <c r="X65">
        <f t="shared" si="1"/>
        <v>0.39816974028751734</v>
      </c>
      <c r="Y65" t="str">
        <f>_xlfn.TEXTJOIN(", ",TRUE,IF(G65="Unknown","Missing Region",""),IF(M65="Unknown","Missing Ship Mode",""),IF(P65&lt;0,"Negative Discount",""),IF(P65&gt;0.7,"High Discount",""),IF(C65&lt;B65,"Ship Before Order",""))</f>
        <v>Ship Before Order</v>
      </c>
      <c r="Z65" s="2">
        <f>IFERROR(
  IF(ISNUMBER(B65),B65,
    IF(ISNUMBER(SEARCH("-",B65)*1),
      IF(LEN(LEFT(B65,FIND("-",B65)-1))=4,
        DATE(VALUE(LEFT(B65,4)),VALUE(MID(B65,6,2)),VALUE(RIGHT(B65,2))),
        DATE(VALUE(RIGHT(B65,4)),VALUE(MID(B65,4,2)),VALUE(LEFT(B65,2)))
      ),
      IF(ISNUMBER(SEARCH("/",B65)*1),
        DATE(VALUE(RIGHT(B65,4)),VALUE(LEFT(B65,2)),VALUE(MID(B65,4,2))),
        DATEVALUE(B65)
      )
    )
  ),
"INVALID_DATE")</f>
        <v>45316</v>
      </c>
      <c r="AA65" s="2">
        <f>IFERROR(
  IF(ISNUMBER(C65),C65,
    IF(ISNUMBER(SEARCH("-",C65)*1),
      IF(LEN(LEFT(C65,FIND("-",C65)-1))=4,
        DATE(VALUE(LEFT(C65,4)),VALUE(MID(C65,6,2)),VALUE(RIGHT(C65,2))),
        DATE(VALUE(RIGHT(C65,4)),VALUE(MID(C65,4,2)),VALUE(LEFT(C65,2)))
      ),
      IF(ISNUMBER(SEARCH("/",C65)*1),
        DATE(VALUE(RIGHT(C65,4)),VALUE(LEFT(C65,2)),VALUE(MID(C65,4,2))),
        DATEVALUE(C65)
      )
    )
  ),
"INVALID_DATE")</f>
        <v>45323</v>
      </c>
      <c r="AB65">
        <f>AA65-Z65</f>
        <v>7</v>
      </c>
      <c r="AC65" t="str">
        <f>TEXT(Z65,"mmmm")</f>
        <v>January</v>
      </c>
      <c r="AD65">
        <f>YEAR(Z65)</f>
        <v>2024</v>
      </c>
      <c r="AE65" t="str">
        <f t="shared" si="2"/>
        <v>OK</v>
      </c>
    </row>
    <row r="66" spans="1:31">
      <c r="A66" t="s">
        <v>432</v>
      </c>
      <c r="B66" t="s">
        <v>433</v>
      </c>
      <c r="C66" t="s">
        <v>434</v>
      </c>
      <c r="D66" t="s">
        <v>435</v>
      </c>
      <c r="E66" t="s">
        <v>169</v>
      </c>
      <c r="F66" t="s">
        <v>115</v>
      </c>
      <c r="G66" t="s">
        <v>49</v>
      </c>
      <c r="H66" t="s">
        <v>319</v>
      </c>
      <c r="I66" t="s">
        <v>320</v>
      </c>
      <c r="J66" t="s">
        <v>37</v>
      </c>
      <c r="K66" t="s">
        <v>38</v>
      </c>
      <c r="L66" t="s">
        <v>436</v>
      </c>
      <c r="M66" t="s">
        <v>63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131</v>
      </c>
      <c r="U66" t="s">
        <v>132</v>
      </c>
      <c r="V66">
        <f>O66*(1-P66)*N66</f>
        <v>3134.8799999999997</v>
      </c>
      <c r="W66">
        <f t="shared" si="0"/>
        <v>767.24999999999955</v>
      </c>
      <c r="X66">
        <f t="shared" si="1"/>
        <v>0.2447462103812586</v>
      </c>
      <c r="Y66" t="str">
        <f>_xlfn.TEXTJOIN(", ",TRUE,IF(G66="Unknown","Missing Region",""),IF(M66="Unknown","Missing Ship Mode",""),IF(P66&lt;0,"Negative Discount",""),IF(P66&gt;0.7,"High Discount",""),IF(C66&lt;B66,"Ship Before Order",""))</f>
        <v>Ship Before Order</v>
      </c>
      <c r="Z66" s="2">
        <f>IFERROR(
  IF(ISNUMBER(B66),B66,
    IF(ISNUMBER(SEARCH("-",B66)*1),
      IF(LEN(LEFT(B66,FIND("-",B66)-1))=4,
        DATE(VALUE(LEFT(B66,4)),VALUE(MID(B66,6,2)),VALUE(RIGHT(B66,2))),
        DATE(VALUE(RIGHT(B66,4)),VALUE(MID(B66,4,2)),VALUE(LEFT(B66,2)))
      ),
      IF(ISNUMBER(SEARCH("/",B66)*1),
        DATE(VALUE(RIGHT(B66,4)),VALUE(LEFT(B66,2)),VALUE(MID(B66,4,2))),
        DATEVALUE(B66)
      )
    )
  ),
"INVALID_DATE")</f>
        <v>45649</v>
      </c>
      <c r="AA66" s="2">
        <f>IFERROR(
  IF(ISNUMBER(C66),C66,
    IF(ISNUMBER(SEARCH("-",C66)*1),
      IF(LEN(LEFT(C66,FIND("-",C66)-1))=4,
        DATE(VALUE(LEFT(C66,4)),VALUE(MID(C66,6,2)),VALUE(RIGHT(C66,2))),
        DATE(VALUE(RIGHT(C66,4)),VALUE(MID(C66,4,2)),VALUE(LEFT(C66,2)))
      ),
      IF(ISNUMBER(SEARCH("/",C66)*1),
        DATE(VALUE(RIGHT(C66,4)),VALUE(LEFT(C66,2)),VALUE(MID(C66,4,2))),
        DATEVALUE(C66)
      )
    )
  ),
"INVALID_DATE")</f>
        <v>45655</v>
      </c>
      <c r="AB66">
        <f>AA66-Z66</f>
        <v>6</v>
      </c>
      <c r="AC66" t="str">
        <f>TEXT(Z66,"mmmm")</f>
        <v>December</v>
      </c>
      <c r="AD66">
        <f>YEAR(Z66)</f>
        <v>2024</v>
      </c>
      <c r="AE66" t="str">
        <f t="shared" si="2"/>
        <v>OK</v>
      </c>
    </row>
    <row r="67" spans="1:31">
      <c r="A67" t="s">
        <v>437</v>
      </c>
      <c r="B67" t="s">
        <v>438</v>
      </c>
      <c r="C67" t="s">
        <v>439</v>
      </c>
      <c r="D67" t="s">
        <v>440</v>
      </c>
      <c r="E67" t="s">
        <v>47</v>
      </c>
      <c r="F67" t="s">
        <v>122</v>
      </c>
      <c r="G67" t="s">
        <v>80</v>
      </c>
      <c r="H67" t="s">
        <v>81</v>
      </c>
      <c r="I67" t="s">
        <v>82</v>
      </c>
      <c r="J67" t="s">
        <v>37</v>
      </c>
      <c r="K67" t="s">
        <v>38</v>
      </c>
      <c r="L67" t="s">
        <v>441</v>
      </c>
      <c r="M67" t="s">
        <v>40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41</v>
      </c>
      <c r="U67" t="s">
        <v>42</v>
      </c>
      <c r="V67">
        <f>O67*(1-P67)*N67</f>
        <v>4066.1804999999995</v>
      </c>
      <c r="W67">
        <f t="shared" ref="W67:W130" si="3">V67-R67</f>
        <v>1437.2604999999994</v>
      </c>
      <c r="X67">
        <f t="shared" ref="X67:X130" si="4">S67/Q67</f>
        <v>0.35346689029998674</v>
      </c>
      <c r="Y67" t="str">
        <f>_xlfn.TEXTJOIN(", ",TRUE,IF(G67="Unknown","Missing Region",""),IF(M67="Unknown","Missing Ship Mode",""),IF(P67&lt;0,"Negative Discount",""),IF(P67&gt;0.7,"High Discount",""),IF(C67&lt;B67,"Ship Before Order",""))</f>
        <v>Ship Before Order</v>
      </c>
      <c r="Z67" s="2">
        <f>IFERROR(
  IF(ISNUMBER(B67),B67,
    IF(ISNUMBER(SEARCH("-",B67)*1),
      IF(LEN(LEFT(B67,FIND("-",B67)-1))=4,
        DATE(VALUE(LEFT(B67,4)),VALUE(MID(B67,6,2)),VALUE(RIGHT(B67,2))),
        DATE(VALUE(RIGHT(B67,4)),VALUE(MID(B67,4,2)),VALUE(LEFT(B67,2)))
      ),
      IF(ISNUMBER(SEARCH("/",B67)*1),
        DATE(VALUE(RIGHT(B67,4)),VALUE(LEFT(B67,2)),VALUE(MID(B67,4,2))),
        DATEVALUE(B67)
      )
    )
  ),
"INVALID_DATE")</f>
        <v>45404</v>
      </c>
      <c r="AA67" s="2">
        <f>IFERROR(
  IF(ISNUMBER(C67),C67,
    IF(ISNUMBER(SEARCH("-",C67)*1),
      IF(LEN(LEFT(C67,FIND("-",C67)-1))=4,
        DATE(VALUE(LEFT(C67,4)),VALUE(MID(C67,6,2)),VALUE(RIGHT(C67,2))),
        DATE(VALUE(RIGHT(C67,4)),VALUE(MID(C67,4,2)),VALUE(LEFT(C67,2)))
      ),
      IF(ISNUMBER(SEARCH("/",C67)*1),
        DATE(VALUE(RIGHT(C67,4)),VALUE(LEFT(C67,2)),VALUE(MID(C67,4,2))),
        DATEVALUE(C67)
      )
    )
  ),
"INVALID_DATE")</f>
        <v>45409</v>
      </c>
      <c r="AB67">
        <f>AA67-Z67</f>
        <v>5</v>
      </c>
      <c r="AC67" t="str">
        <f>TEXT(Z67,"mmmm")</f>
        <v>April</v>
      </c>
      <c r="AD67">
        <f>YEAR(Z67)</f>
        <v>2024</v>
      </c>
      <c r="AE67" t="str">
        <f t="shared" ref="AE67:AE130" si="5">IF(OR(Z67="INVALID_DATE",AA67="INVALID_DATE"),"Invalid Date",IF(AA67&lt;Z67,"Ship Before Order","OK"))</f>
        <v>OK</v>
      </c>
    </row>
    <row r="68" spans="1:31">
      <c r="A68" t="s">
        <v>442</v>
      </c>
      <c r="B68" t="s">
        <v>443</v>
      </c>
      <c r="C68" t="s">
        <v>444</v>
      </c>
      <c r="D68" t="s">
        <v>445</v>
      </c>
      <c r="E68" t="s">
        <v>32</v>
      </c>
      <c r="F68" t="s">
        <v>48</v>
      </c>
      <c r="G68" t="s">
        <v>69</v>
      </c>
      <c r="H68" t="s">
        <v>347</v>
      </c>
      <c r="I68" t="s">
        <v>348</v>
      </c>
      <c r="J68" t="s">
        <v>93</v>
      </c>
      <c r="K68" t="s">
        <v>94</v>
      </c>
      <c r="L68" t="s">
        <v>446</v>
      </c>
      <c r="M68" t="s">
        <v>55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41</v>
      </c>
      <c r="U68" t="s">
        <v>42</v>
      </c>
      <c r="V68">
        <f>O68*(1-P68)*N68</f>
        <v>7032.1090000000004</v>
      </c>
      <c r="W68">
        <f t="shared" si="3"/>
        <v>2421.7690000000002</v>
      </c>
      <c r="X68">
        <f t="shared" si="4"/>
        <v>0.34438738870694574</v>
      </c>
      <c r="Y68" t="str">
        <f>_xlfn.TEXTJOIN(", ",TRUE,IF(G68="Unknown","Missing Region",""),IF(M68="Unknown","Missing Ship Mode",""),IF(P68&lt;0,"Negative Discount",""),IF(P68&gt;0.7,"High Discount",""),IF(C68&lt;B68,"Ship Before Order",""))</f>
        <v>Ship Before Order</v>
      </c>
      <c r="Z68" s="2">
        <f>IFERROR(
  IF(ISNUMBER(B68),B68,
    IF(ISNUMBER(SEARCH("-",B68)*1),
      IF(LEN(LEFT(B68,FIND("-",B68)-1))=4,
        DATE(VALUE(LEFT(B68,4)),VALUE(MID(B68,6,2)),VALUE(RIGHT(B68,2))),
        DATE(VALUE(RIGHT(B68,4)),VALUE(MID(B68,4,2)),VALUE(LEFT(B68,2)))
      ),
      IF(ISNUMBER(SEARCH("/",B68)*1),
        DATE(VALUE(RIGHT(B68,4)),VALUE(LEFT(B68,2)),VALUE(MID(B68,4,2))),
        DATEVALUE(B68)
      )
    )
  ),
"INVALID_DATE")</f>
        <v>45897</v>
      </c>
      <c r="AA68" s="2">
        <f>IFERROR(
  IF(ISNUMBER(C68),C68,
    IF(ISNUMBER(SEARCH("-",C68)*1),
      IF(LEN(LEFT(C68,FIND("-",C68)-1))=4,
        DATE(VALUE(LEFT(C68,4)),VALUE(MID(C68,6,2)),VALUE(RIGHT(C68,2))),
        DATE(VALUE(RIGHT(C68,4)),VALUE(MID(C68,4,2)),VALUE(LEFT(C68,2)))
      ),
      IF(ISNUMBER(SEARCH("/",C68)*1),
        DATE(VALUE(RIGHT(C68,4)),VALUE(LEFT(C68,2)),VALUE(MID(C68,4,2))),
        DATEVALUE(C68)
      )
    )
  ),
"INVALID_DATE")</f>
        <v>45901</v>
      </c>
      <c r="AB68">
        <f>AA68-Z68</f>
        <v>4</v>
      </c>
      <c r="AC68" t="str">
        <f>TEXT(Z68,"mmmm")</f>
        <v>August</v>
      </c>
      <c r="AD68">
        <f>YEAR(Z68)</f>
        <v>2025</v>
      </c>
      <c r="AE68" t="str">
        <f t="shared" si="5"/>
        <v>OK</v>
      </c>
    </row>
    <row r="69" spans="1:31">
      <c r="A69" t="s">
        <v>447</v>
      </c>
      <c r="B69" t="s">
        <v>448</v>
      </c>
      <c r="C69" t="s">
        <v>449</v>
      </c>
      <c r="D69" t="s">
        <v>450</v>
      </c>
      <c r="E69" t="s">
        <v>374</v>
      </c>
      <c r="F69" t="s">
        <v>33</v>
      </c>
      <c r="G69" t="s">
        <v>34</v>
      </c>
      <c r="H69" t="s">
        <v>331</v>
      </c>
      <c r="I69" t="s">
        <v>332</v>
      </c>
      <c r="J69" t="s">
        <v>37</v>
      </c>
      <c r="K69" t="s">
        <v>38</v>
      </c>
      <c r="L69" t="s">
        <v>451</v>
      </c>
      <c r="M69" t="s">
        <v>63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41</v>
      </c>
      <c r="U69" t="s">
        <v>42</v>
      </c>
      <c r="V69">
        <f>O69*(1-P69)*N69</f>
        <v>24002.111000000001</v>
      </c>
      <c r="W69">
        <f t="shared" si="3"/>
        <v>5294.5410000000011</v>
      </c>
      <c r="X69">
        <f t="shared" si="4"/>
        <v>0.2205864401088071</v>
      </c>
      <c r="Y69" t="s">
        <v>4120</v>
      </c>
      <c r="Z69" s="2">
        <f>IFERROR(
  IF(ISNUMBER(B69),B69,
    IF(ISNUMBER(SEARCH("-",B69)*1),
      IF(LEN(LEFT(B69,FIND("-",B69)-1))=4,
        DATE(VALUE(LEFT(B69,4)),VALUE(MID(B69,6,2)),VALUE(RIGHT(B69,2))),
        DATE(VALUE(RIGHT(B69,4)),VALUE(MID(B69,4,2)),VALUE(LEFT(B69,2)))
      ),
      IF(ISNUMBER(SEARCH("/",B69)*1),
        DATE(VALUE(RIGHT(B69,4)),VALUE(LEFT(B69,2)),VALUE(MID(B69,4,2))),
        DATEVALUE(B69)
      )
    )
  ),
"INVALID_DATE")</f>
        <v>45691</v>
      </c>
      <c r="AA69" s="2">
        <f>IFERROR(
  IF(ISNUMBER(C69),C69,
    IF(ISNUMBER(SEARCH("-",C69)*1),
      IF(LEN(LEFT(C69,FIND("-",C69)-1))=4,
        DATE(VALUE(LEFT(C69,4)),VALUE(MID(C69,6,2)),VALUE(RIGHT(C69,2))),
        DATE(VALUE(RIGHT(C69,4)),VALUE(MID(C69,4,2)),VALUE(LEFT(C69,2)))
      ),
      IF(ISNUMBER(SEARCH("/",C69)*1),
        DATE(VALUE(RIGHT(C69,4)),VALUE(LEFT(C69,2)),VALUE(MID(C69,4,2))),
        DATEVALUE(C69)
      )
    )
  ),
"INVALID_DATE")</f>
        <v>45695</v>
      </c>
      <c r="AB69">
        <f>AA69-Z69</f>
        <v>4</v>
      </c>
      <c r="AC69" t="str">
        <f>TEXT(Z69,"mmmm")</f>
        <v>February</v>
      </c>
      <c r="AD69">
        <f>YEAR(Z69)</f>
        <v>2025</v>
      </c>
      <c r="AE69" t="str">
        <f t="shared" si="5"/>
        <v>OK</v>
      </c>
    </row>
    <row r="70" spans="1:31">
      <c r="A70" t="s">
        <v>452</v>
      </c>
      <c r="B70" t="s">
        <v>112</v>
      </c>
      <c r="C70" t="s">
        <v>453</v>
      </c>
      <c r="D70" t="s">
        <v>454</v>
      </c>
      <c r="E70" t="s">
        <v>60</v>
      </c>
      <c r="F70" t="s">
        <v>115</v>
      </c>
      <c r="G70" t="s">
        <v>49</v>
      </c>
      <c r="H70" t="s">
        <v>319</v>
      </c>
      <c r="I70" t="s">
        <v>320</v>
      </c>
      <c r="J70" t="s">
        <v>37</v>
      </c>
      <c r="K70" t="s">
        <v>163</v>
      </c>
      <c r="L70" t="s">
        <v>455</v>
      </c>
      <c r="M70" t="s">
        <v>40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207</v>
      </c>
      <c r="U70" t="s">
        <v>132</v>
      </c>
      <c r="V70">
        <f>O70*(1-P70)*N70</f>
        <v>19900.079999999998</v>
      </c>
      <c r="W70">
        <f t="shared" si="3"/>
        <v>8937.4199999999983</v>
      </c>
      <c r="X70">
        <f t="shared" si="4"/>
        <v>0.44911477742803041</v>
      </c>
      <c r="Y70" t="s">
        <v>4120</v>
      </c>
      <c r="Z70" s="2">
        <f>IFERROR(
  IF(ISNUMBER(B70),B70,
    IF(ISNUMBER(SEARCH("-",B70)*1),
      IF(LEN(LEFT(B70,FIND("-",B70)-1))=4,
        DATE(VALUE(LEFT(B70,4)),VALUE(MID(B70,6,2)),VALUE(RIGHT(B70,2))),
        DATE(VALUE(RIGHT(B70,4)),VALUE(MID(B70,4,2)),VALUE(LEFT(B70,2)))
      ),
      IF(ISNUMBER(SEARCH("/",B70)*1),
        DATE(VALUE(RIGHT(B70,4)),VALUE(LEFT(B70,2)),VALUE(MID(B70,4,2))),
        DATEVALUE(B70)
      )
    )
  ),
"INVALID_DATE")</f>
        <v>45606</v>
      </c>
      <c r="AA70" s="2">
        <f>IFERROR(
  IF(ISNUMBER(C70),C70,
    IF(ISNUMBER(SEARCH("-",C70)*1),
      IF(LEN(LEFT(C70,FIND("-",C70)-1))=4,
        DATE(VALUE(LEFT(C70,4)),VALUE(MID(C70,6,2)),VALUE(RIGHT(C70,2))),
        DATE(VALUE(RIGHT(C70,4)),VALUE(MID(C70,4,2)),VALUE(LEFT(C70,2)))
      ),
      IF(ISNUMBER(SEARCH("/",C70)*1),
        DATE(VALUE(RIGHT(C70,4)),VALUE(LEFT(C70,2)),VALUE(MID(C70,4,2))),
        DATEVALUE(C70)
      )
    )
  ),
"INVALID_DATE")</f>
        <v>45609</v>
      </c>
      <c r="AB70">
        <f>AA70-Z70</f>
        <v>3</v>
      </c>
      <c r="AC70" t="str">
        <f>TEXT(Z70,"mmmm")</f>
        <v>November</v>
      </c>
      <c r="AD70">
        <f>YEAR(Z70)</f>
        <v>2024</v>
      </c>
      <c r="AE70" t="str">
        <f t="shared" si="5"/>
        <v>OK</v>
      </c>
    </row>
    <row r="71" spans="1:31">
      <c r="A71" t="s">
        <v>456</v>
      </c>
      <c r="B71" t="s">
        <v>457</v>
      </c>
      <c r="C71" t="s">
        <v>458</v>
      </c>
      <c r="D71" t="s">
        <v>459</v>
      </c>
      <c r="E71" t="s">
        <v>100</v>
      </c>
      <c r="F71" t="s">
        <v>48</v>
      </c>
      <c r="G71" t="s">
        <v>80</v>
      </c>
      <c r="H71" t="s">
        <v>242</v>
      </c>
      <c r="I71" t="s">
        <v>243</v>
      </c>
      <c r="J71" t="s">
        <v>93</v>
      </c>
      <c r="K71" t="s">
        <v>390</v>
      </c>
      <c r="L71" t="s">
        <v>460</v>
      </c>
      <c r="M71" t="s">
        <v>55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131</v>
      </c>
      <c r="U71" t="s">
        <v>132</v>
      </c>
      <c r="V71">
        <f>O71*(1-P71)*N71</f>
        <v>21527.667000000001</v>
      </c>
      <c r="W71">
        <f t="shared" si="3"/>
        <v>3240.0869999999995</v>
      </c>
      <c r="X71">
        <f t="shared" si="4"/>
        <v>0.15050815996343311</v>
      </c>
      <c r="Y71" t="str">
        <f>_xlfn.TEXTJOIN(", ",TRUE,IF(G71="Unknown","Missing Region",""),IF(M71="Unknown","Missing Ship Mode",""),IF(P71&lt;0,"Negative Discount",""),IF(P71&gt;0.7,"High Discount",""),IF(C71&lt;B71,"Ship Before Order",""))</f>
        <v>Ship Before Order</v>
      </c>
      <c r="Z71" s="2">
        <f>IFERROR(
  IF(ISNUMBER(B71),B71,
    IF(ISNUMBER(SEARCH("-",B71)*1),
      IF(LEN(LEFT(B71,FIND("-",B71)-1))=4,
        DATE(VALUE(LEFT(B71,4)),VALUE(MID(B71,6,2)),VALUE(RIGHT(B71,2))),
        DATE(VALUE(RIGHT(B71,4)),VALUE(MID(B71,4,2)),VALUE(LEFT(B71,2)))
      ),
      IF(ISNUMBER(SEARCH("/",B71)*1),
        DATE(VALUE(RIGHT(B71,4)),VALUE(LEFT(B71,2)),VALUE(MID(B71,4,2))),
        DATEVALUE(B71)
      )
    )
  ),
"INVALID_DATE")</f>
        <v>45391</v>
      </c>
      <c r="AA71" s="2">
        <f>IFERROR(
  IF(ISNUMBER(C71),C71,
    IF(ISNUMBER(SEARCH("-",C71)*1),
      IF(LEN(LEFT(C71,FIND("-",C71)-1))=4,
        DATE(VALUE(LEFT(C71,4)),VALUE(MID(C71,6,2)),VALUE(RIGHT(C71,2))),
        DATE(VALUE(RIGHT(C71,4)),VALUE(MID(C71,4,2)),VALUE(LEFT(C71,2)))
      ),
      IF(ISNUMBER(SEARCH("/",C71)*1),
        DATE(VALUE(RIGHT(C71,4)),VALUE(LEFT(C71,2)),VALUE(MID(C71,4,2))),
        DATEVALUE(C71)
      )
    )
  ),
"INVALID_DATE")</f>
        <v>45396</v>
      </c>
      <c r="AB71">
        <f>AA71-Z71</f>
        <v>5</v>
      </c>
      <c r="AC71" t="str">
        <f>TEXT(Z71,"mmmm")</f>
        <v>April</v>
      </c>
      <c r="AD71">
        <f>YEAR(Z71)</f>
        <v>2024</v>
      </c>
      <c r="AE71" t="str">
        <f t="shared" si="5"/>
        <v>OK</v>
      </c>
    </row>
    <row r="72" spans="1:31">
      <c r="A72" t="s">
        <v>461</v>
      </c>
      <c r="B72" t="s">
        <v>462</v>
      </c>
      <c r="C72" t="s">
        <v>463</v>
      </c>
      <c r="D72" t="s">
        <v>464</v>
      </c>
      <c r="E72" t="s">
        <v>32</v>
      </c>
      <c r="F72" t="s">
        <v>115</v>
      </c>
      <c r="G72" t="s">
        <v>69</v>
      </c>
      <c r="H72" t="s">
        <v>107</v>
      </c>
      <c r="I72" t="s">
        <v>108</v>
      </c>
      <c r="J72" t="s">
        <v>93</v>
      </c>
      <c r="K72" t="s">
        <v>230</v>
      </c>
      <c r="L72" t="s">
        <v>465</v>
      </c>
      <c r="M72" t="s">
        <v>63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41</v>
      </c>
      <c r="U72" t="s">
        <v>42</v>
      </c>
      <c r="V72">
        <f>O72*(1-P72)*N72</f>
        <v>1539.979</v>
      </c>
      <c r="W72">
        <f t="shared" si="3"/>
        <v>469.779</v>
      </c>
      <c r="X72">
        <f t="shared" si="4"/>
        <v>0.30505590981701058</v>
      </c>
      <c r="Y72" t="s">
        <v>4120</v>
      </c>
      <c r="Z72" s="2">
        <f>IFERROR(
  IF(ISNUMBER(B72),B72,
    IF(ISNUMBER(SEARCH("-",B72)*1),
      IF(LEN(LEFT(B72,FIND("-",B72)-1))=4,
        DATE(VALUE(LEFT(B72,4)),VALUE(MID(B72,6,2)),VALUE(RIGHT(B72,2))),
        DATE(VALUE(RIGHT(B72,4)),VALUE(MID(B72,4,2)),VALUE(LEFT(B72,2)))
      ),
      IF(ISNUMBER(SEARCH("/",B72)*1),
        DATE(VALUE(RIGHT(B72,4)),VALUE(LEFT(B72,2)),VALUE(MID(B72,4,2))),
        DATEVALUE(B72)
      )
    )
  ),
"INVALID_DATE")</f>
        <v>45891</v>
      </c>
      <c r="AA72" s="2">
        <f>IFERROR(
  IF(ISNUMBER(C72),C72,
    IF(ISNUMBER(SEARCH("-",C72)*1),
      IF(LEN(LEFT(C72,FIND("-",C72)-1))=4,
        DATE(VALUE(LEFT(C72,4)),VALUE(MID(C72,6,2)),VALUE(RIGHT(C72,2))),
        DATE(VALUE(RIGHT(C72,4)),VALUE(MID(C72,4,2)),VALUE(LEFT(C72,2)))
      ),
      IF(ISNUMBER(SEARCH("/",C72)*1),
        DATE(VALUE(RIGHT(C72,4)),VALUE(LEFT(C72,2)),VALUE(MID(C72,4,2))),
        DATEVALUE(C72)
      )
    )
  ),
"INVALID_DATE")</f>
        <v>45896</v>
      </c>
      <c r="AB72">
        <f>AA72-Z72</f>
        <v>5</v>
      </c>
      <c r="AC72" t="str">
        <f>TEXT(Z72,"mmmm")</f>
        <v>August</v>
      </c>
      <c r="AD72">
        <f>YEAR(Z72)</f>
        <v>2025</v>
      </c>
      <c r="AE72" t="str">
        <f t="shared" si="5"/>
        <v>OK</v>
      </c>
    </row>
    <row r="73" spans="1:31">
      <c r="A73" t="s">
        <v>466</v>
      </c>
      <c r="B73" t="s">
        <v>98</v>
      </c>
      <c r="C73" t="s">
        <v>467</v>
      </c>
      <c r="D73" t="s">
        <v>468</v>
      </c>
      <c r="E73" t="s">
        <v>47</v>
      </c>
      <c r="F73" t="s">
        <v>48</v>
      </c>
      <c r="G73" t="s">
        <v>80</v>
      </c>
      <c r="H73" t="s">
        <v>256</v>
      </c>
      <c r="I73" t="s">
        <v>257</v>
      </c>
      <c r="J73" t="s">
        <v>93</v>
      </c>
      <c r="K73" t="s">
        <v>390</v>
      </c>
      <c r="L73" t="s">
        <v>469</v>
      </c>
      <c r="M73" t="s">
        <v>74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41</v>
      </c>
      <c r="U73" t="s">
        <v>42</v>
      </c>
      <c r="V73">
        <f>O73*(1-P73)*N73</f>
        <v>10947.528</v>
      </c>
      <c r="W73">
        <f t="shared" si="3"/>
        <v>4500.1680000000006</v>
      </c>
      <c r="X73">
        <f t="shared" si="4"/>
        <v>0.41106715396075644</v>
      </c>
      <c r="Y73" t="s">
        <v>4120</v>
      </c>
      <c r="Z73" s="2">
        <f>IFERROR(
  IF(ISNUMBER(B73),B73,
    IF(ISNUMBER(SEARCH("-",B73)*1),
      IF(LEN(LEFT(B73,FIND("-",B73)-1))=4,
        DATE(VALUE(LEFT(B73,4)),VALUE(MID(B73,6,2)),VALUE(RIGHT(B73,2))),
        DATE(VALUE(RIGHT(B73,4)),VALUE(MID(B73,4,2)),VALUE(LEFT(B73,2)))
      ),
      IF(ISNUMBER(SEARCH("/",B73)*1),
        DATE(VALUE(RIGHT(B73,4)),VALUE(LEFT(B73,2)),VALUE(MID(B73,4,2))),
        DATEVALUE(B73)
      )
    )
  ),
"INVALID_DATE")</f>
        <v>45763</v>
      </c>
      <c r="AA73" s="2">
        <f>IFERROR(
  IF(ISNUMBER(C73),C73,
    IF(ISNUMBER(SEARCH("-",C73)*1),
      IF(LEN(LEFT(C73,FIND("-",C73)-1))=4,
        DATE(VALUE(LEFT(C73,4)),VALUE(MID(C73,6,2)),VALUE(RIGHT(C73,2))),
        DATE(VALUE(RIGHT(C73,4)),VALUE(MID(C73,4,2)),VALUE(LEFT(C73,2)))
      ),
      IF(ISNUMBER(SEARCH("/",C73)*1),
        DATE(VALUE(RIGHT(C73,4)),VALUE(LEFT(C73,2)),VALUE(MID(C73,4,2))),
        DATEVALUE(C73)
      )
    )
  ),
"INVALID_DATE")</f>
        <v>45770</v>
      </c>
      <c r="AB73">
        <f>AA73-Z73</f>
        <v>7</v>
      </c>
      <c r="AC73" t="str">
        <f>TEXT(Z73,"mmmm")</f>
        <v>April</v>
      </c>
      <c r="AD73">
        <f>YEAR(Z73)</f>
        <v>2025</v>
      </c>
      <c r="AE73" t="str">
        <f t="shared" si="5"/>
        <v>OK</v>
      </c>
    </row>
    <row r="74" spans="1:31">
      <c r="A74" t="s">
        <v>470</v>
      </c>
      <c r="B74" t="s">
        <v>471</v>
      </c>
      <c r="C74" t="s">
        <v>472</v>
      </c>
      <c r="D74" t="s">
        <v>473</v>
      </c>
      <c r="E74" t="s">
        <v>32</v>
      </c>
      <c r="F74" t="s">
        <v>122</v>
      </c>
      <c r="G74" t="s">
        <v>69</v>
      </c>
      <c r="H74" t="s">
        <v>347</v>
      </c>
      <c r="I74" t="s">
        <v>348</v>
      </c>
      <c r="J74" t="s">
        <v>52</v>
      </c>
      <c r="K74" t="s">
        <v>53</v>
      </c>
      <c r="L74" t="s">
        <v>474</v>
      </c>
      <c r="M74" t="s">
        <v>63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41</v>
      </c>
      <c r="U74" t="s">
        <v>42</v>
      </c>
      <c r="V74">
        <f>O74*(1-P74)*N74</f>
        <v>13610.446499999998</v>
      </c>
      <c r="W74">
        <f t="shared" si="3"/>
        <v>3571.3964999999989</v>
      </c>
      <c r="X74">
        <f t="shared" si="4"/>
        <v>0.26240131663537941</v>
      </c>
      <c r="Y74" t="str">
        <f>_xlfn.TEXTJOIN(", ",TRUE,IF(G74="Unknown","Missing Region",""),IF(M74="Unknown","Missing Ship Mode",""),IF(P74&lt;0,"Negative Discount",""),IF(P74&gt;0.7,"High Discount",""),IF(C74&lt;B74,"Ship Before Order",""))</f>
        <v>Ship Before Order</v>
      </c>
      <c r="Z74" s="2">
        <f>IFERROR(
  IF(ISNUMBER(B74),B74,
    IF(ISNUMBER(SEARCH("-",B74)*1),
      IF(LEN(LEFT(B74,FIND("-",B74)-1))=4,
        DATE(VALUE(LEFT(B74,4)),VALUE(MID(B74,6,2)),VALUE(RIGHT(B74,2))),
        DATE(VALUE(RIGHT(B74,4)),VALUE(MID(B74,4,2)),VALUE(LEFT(B74,2)))
      ),
      IF(ISNUMBER(SEARCH("/",B74)*1),
        DATE(VALUE(RIGHT(B74,4)),VALUE(LEFT(B74,2)),VALUE(MID(B74,4,2))),
        DATEVALUE(B74)
      )
    )
  ),
"INVALID_DATE")</f>
        <v>45333</v>
      </c>
      <c r="AA74" s="2">
        <f>IFERROR(
  IF(ISNUMBER(C74),C74,
    IF(ISNUMBER(SEARCH("-",C74)*1),
      IF(LEN(LEFT(C74,FIND("-",C74)-1))=4,
        DATE(VALUE(LEFT(C74,4)),VALUE(MID(C74,6,2)),VALUE(RIGHT(C74,2))),
        DATE(VALUE(RIGHT(C74,4)),VALUE(MID(C74,4,2)),VALUE(LEFT(C74,2)))
      ),
      IF(ISNUMBER(SEARCH("/",C74)*1),
        DATE(VALUE(RIGHT(C74,4)),VALUE(LEFT(C74,2)),VALUE(MID(C74,4,2))),
        DATEVALUE(C74)
      )
    )
  ),
"INVALID_DATE")</f>
        <v>45329</v>
      </c>
      <c r="AB74">
        <f>AA74-Z74</f>
        <v>-4</v>
      </c>
      <c r="AC74" t="str">
        <f>TEXT(Z74,"mmmm")</f>
        <v>February</v>
      </c>
      <c r="AD74">
        <f>YEAR(Z74)</f>
        <v>2024</v>
      </c>
      <c r="AE74" t="str">
        <f t="shared" si="5"/>
        <v>Ship Before Order</v>
      </c>
    </row>
    <row r="75" spans="1:31">
      <c r="A75" t="s">
        <v>475</v>
      </c>
      <c r="B75" t="s">
        <v>476</v>
      </c>
      <c r="C75" t="s">
        <v>477</v>
      </c>
      <c r="D75" t="s">
        <v>478</v>
      </c>
      <c r="E75" t="s">
        <v>175</v>
      </c>
      <c r="F75" t="s">
        <v>115</v>
      </c>
      <c r="G75" t="s">
        <v>49</v>
      </c>
      <c r="H75" t="s">
        <v>128</v>
      </c>
      <c r="I75" t="s">
        <v>129</v>
      </c>
      <c r="J75" t="s">
        <v>52</v>
      </c>
      <c r="K75" t="s">
        <v>211</v>
      </c>
      <c r="L75" t="s">
        <v>479</v>
      </c>
      <c r="M75" t="s">
        <v>63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41</v>
      </c>
      <c r="U75" t="s">
        <v>42</v>
      </c>
      <c r="V75">
        <f>O75*(1-P75)*N75</f>
        <v>7128.7</v>
      </c>
      <c r="W75">
        <f t="shared" si="3"/>
        <v>2746.55</v>
      </c>
      <c r="X75">
        <f t="shared" si="4"/>
        <v>0.38528062620113068</v>
      </c>
      <c r="Y75" t="str">
        <f>_xlfn.TEXTJOIN(", ",TRUE,IF(G75="Unknown","Missing Region",""),IF(M75="Unknown","Missing Ship Mode",""),IF(P75&lt;0,"Negative Discount",""),IF(P75&gt;0.7,"High Discount",""),IF(C75&lt;B75,"Ship Before Order",""))</f>
        <v>Ship Before Order</v>
      </c>
      <c r="Z75" s="2">
        <f>IFERROR(
  IF(ISNUMBER(B75),B75,
    IF(ISNUMBER(SEARCH("-",B75)*1),
      IF(LEN(LEFT(B75,FIND("-",B75)-1))=4,
        DATE(VALUE(LEFT(B75,4)),VALUE(MID(B75,6,2)),VALUE(RIGHT(B75,2))),
        DATE(VALUE(RIGHT(B75,4)),VALUE(MID(B75,4,2)),VALUE(LEFT(B75,2)))
      ),
      IF(ISNUMBER(SEARCH("/",B75)*1),
        DATE(VALUE(RIGHT(B75,4)),VALUE(LEFT(B75,2)),VALUE(MID(B75,4,2))),
        DATEVALUE(B75)
      )
    )
  ),
"INVALID_DATE")</f>
        <v>45745</v>
      </c>
      <c r="AA75" s="2">
        <f>IFERROR(
  IF(ISNUMBER(C75),C75,
    IF(ISNUMBER(SEARCH("-",C75)*1),
      IF(LEN(LEFT(C75,FIND("-",C75)-1))=4,
        DATE(VALUE(LEFT(C75,4)),VALUE(MID(C75,6,2)),VALUE(RIGHT(C75,2))),
        DATE(VALUE(RIGHT(C75,4)),VALUE(MID(C75,4,2)),VALUE(LEFT(C75,2)))
      ),
      IF(ISNUMBER(SEARCH("/",C75)*1),
        DATE(VALUE(RIGHT(C75,4)),VALUE(LEFT(C75,2)),VALUE(MID(C75,4,2))),
        DATEVALUE(C75)
      )
    )
  ),
"INVALID_DATE")</f>
        <v>45750</v>
      </c>
      <c r="AB75">
        <f>AA75-Z75</f>
        <v>5</v>
      </c>
      <c r="AC75" t="str">
        <f>TEXT(Z75,"mmmm")</f>
        <v>March</v>
      </c>
      <c r="AD75">
        <f>YEAR(Z75)</f>
        <v>2025</v>
      </c>
      <c r="AE75" t="str">
        <f t="shared" si="5"/>
        <v>OK</v>
      </c>
    </row>
    <row r="76" spans="1:31">
      <c r="A76" t="s">
        <v>480</v>
      </c>
      <c r="B76" t="s">
        <v>481</v>
      </c>
      <c r="C76" t="s">
        <v>482</v>
      </c>
      <c r="D76" t="s">
        <v>483</v>
      </c>
      <c r="E76" t="s">
        <v>90</v>
      </c>
      <c r="F76" t="s">
        <v>48</v>
      </c>
      <c r="G76" t="s">
        <v>49</v>
      </c>
      <c r="H76" t="s">
        <v>128</v>
      </c>
      <c r="I76" t="s">
        <v>129</v>
      </c>
      <c r="J76" t="s">
        <v>52</v>
      </c>
      <c r="K76" t="s">
        <v>83</v>
      </c>
      <c r="L76" t="s">
        <v>484</v>
      </c>
      <c r="M76" t="s">
        <v>74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41</v>
      </c>
      <c r="U76" t="s">
        <v>42</v>
      </c>
      <c r="V76">
        <f>O76*(1-P76)*N76</f>
        <v>3309.84</v>
      </c>
      <c r="W76">
        <f t="shared" si="3"/>
        <v>638.76000000000022</v>
      </c>
      <c r="X76">
        <f t="shared" si="4"/>
        <v>0.19298818069755636</v>
      </c>
      <c r="Y76" t="s">
        <v>4120</v>
      </c>
      <c r="Z76" s="2">
        <f>IFERROR(
  IF(ISNUMBER(B76),B76,
    IF(ISNUMBER(SEARCH("-",B76)*1),
      IF(LEN(LEFT(B76,FIND("-",B76)-1))=4,
        DATE(VALUE(LEFT(B76,4)),VALUE(MID(B76,6,2)),VALUE(RIGHT(B76,2))),
        DATE(VALUE(RIGHT(B76,4)),VALUE(MID(B76,4,2)),VALUE(LEFT(B76,2)))
      ),
      IF(ISNUMBER(SEARCH("/",B76)*1),
        DATE(VALUE(RIGHT(B76,4)),VALUE(LEFT(B76,2)),VALUE(MID(B76,4,2))),
        DATEVALUE(B76)
      )
    )
  ),
"INVALID_DATE")</f>
        <v>45715</v>
      </c>
      <c r="AA76" s="2">
        <f>IFERROR(
  IF(ISNUMBER(C76),C76,
    IF(ISNUMBER(SEARCH("-",C76)*1),
      IF(LEN(LEFT(C76,FIND("-",C76)-1))=4,
        DATE(VALUE(LEFT(C76,4)),VALUE(MID(C76,6,2)),VALUE(RIGHT(C76,2))),
        DATE(VALUE(RIGHT(C76,4)),VALUE(MID(C76,4,2)),VALUE(LEFT(C76,2)))
      ),
      IF(ISNUMBER(SEARCH("/",C76)*1),
        DATE(VALUE(RIGHT(C76,4)),VALUE(LEFT(C76,2)),VALUE(MID(C76,4,2))),
        DATEVALUE(C76)
      )
    )
  ),
"INVALID_DATE")</f>
        <v>45717</v>
      </c>
      <c r="AB76">
        <f>AA76-Z76</f>
        <v>2</v>
      </c>
      <c r="AC76" t="str">
        <f>TEXT(Z76,"mmmm")</f>
        <v>February</v>
      </c>
      <c r="AD76">
        <f>YEAR(Z76)</f>
        <v>2025</v>
      </c>
      <c r="AE76" t="str">
        <f t="shared" si="5"/>
        <v>OK</v>
      </c>
    </row>
    <row r="77" spans="1:31">
      <c r="A77" t="s">
        <v>485</v>
      </c>
      <c r="B77" t="s">
        <v>486</v>
      </c>
      <c r="C77" t="s">
        <v>487</v>
      </c>
      <c r="D77" t="s">
        <v>488</v>
      </c>
      <c r="E77" t="s">
        <v>149</v>
      </c>
      <c r="F77" t="s">
        <v>48</v>
      </c>
      <c r="G77" t="s">
        <v>49</v>
      </c>
      <c r="H77" t="s">
        <v>50</v>
      </c>
      <c r="I77" t="s">
        <v>51</v>
      </c>
      <c r="J77" t="s">
        <v>37</v>
      </c>
      <c r="K77" t="s">
        <v>116</v>
      </c>
      <c r="L77" t="s">
        <v>489</v>
      </c>
      <c r="M77" t="s">
        <v>63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41</v>
      </c>
      <c r="U77" t="s">
        <v>42</v>
      </c>
      <c r="V77">
        <f>O77*(1-P77)*N77</f>
        <v>7907.5680000000011</v>
      </c>
      <c r="W77">
        <f t="shared" si="3"/>
        <v>2516.3880000000008</v>
      </c>
      <c r="X77">
        <f t="shared" si="4"/>
        <v>0.3182254472612952</v>
      </c>
      <c r="Y77" t="str">
        <f>_xlfn.TEXTJOIN(", ",TRUE,IF(G77="Unknown","Missing Region",""),IF(M77="Unknown","Missing Ship Mode",""),IF(P77&lt;0,"Negative Discount",""),IF(P77&gt;0.7,"High Discount",""),IF(C77&lt;B77,"Ship Before Order",""))</f>
        <v>Ship Before Order</v>
      </c>
      <c r="Z77" s="2">
        <f>IFERROR(
  IF(ISNUMBER(B77),B77,
    IF(ISNUMBER(SEARCH("-",B77)*1),
      IF(LEN(LEFT(B77,FIND("-",B77)-1))=4,
        DATE(VALUE(LEFT(B77,4)),VALUE(MID(B77,6,2)),VALUE(RIGHT(B77,2))),
        DATE(VALUE(RIGHT(B77,4)),VALUE(MID(B77,4,2)),VALUE(LEFT(B77,2)))
      ),
      IF(ISNUMBER(SEARCH("/",B77)*1),
        DATE(VALUE(RIGHT(B77,4)),VALUE(LEFT(B77,2)),VALUE(MID(B77,4,2))),
        DATEVALUE(B77)
      )
    )
  ),
"INVALID_DATE")</f>
        <v>45891</v>
      </c>
      <c r="AA77" s="2">
        <f>IFERROR(
  IF(ISNUMBER(C77),C77,
    IF(ISNUMBER(SEARCH("-",C77)*1),
      IF(LEN(LEFT(C77,FIND("-",C77)-1))=4,
        DATE(VALUE(LEFT(C77,4)),VALUE(MID(C77,6,2)),VALUE(RIGHT(C77,2))),
        DATE(VALUE(RIGHT(C77,4)),VALUE(MID(C77,4,2)),VALUE(LEFT(C77,2)))
      ),
      IF(ISNUMBER(SEARCH("/",C77)*1),
        DATE(VALUE(RIGHT(C77,4)),VALUE(LEFT(C77,2)),VALUE(MID(C77,4,2))),
        DATEVALUE(C77)
      )
    )
  ),
"INVALID_DATE")</f>
        <v>45896</v>
      </c>
      <c r="AB77">
        <f>AA77-Z77</f>
        <v>5</v>
      </c>
      <c r="AC77" t="str">
        <f>TEXT(Z77,"mmmm")</f>
        <v>August</v>
      </c>
      <c r="AD77">
        <f>YEAR(Z77)</f>
        <v>2025</v>
      </c>
      <c r="AE77" t="str">
        <f t="shared" si="5"/>
        <v>OK</v>
      </c>
    </row>
    <row r="78" spans="1:31">
      <c r="A78" t="s">
        <v>490</v>
      </c>
      <c r="B78" t="s">
        <v>491</v>
      </c>
      <c r="C78" t="s">
        <v>492</v>
      </c>
      <c r="D78" t="s">
        <v>493</v>
      </c>
      <c r="E78" t="s">
        <v>79</v>
      </c>
      <c r="F78" t="s">
        <v>115</v>
      </c>
      <c r="G78" t="s">
        <v>49</v>
      </c>
      <c r="H78" t="s">
        <v>319</v>
      </c>
      <c r="I78" t="s">
        <v>320</v>
      </c>
      <c r="J78" t="s">
        <v>37</v>
      </c>
      <c r="K78" t="s">
        <v>116</v>
      </c>
      <c r="L78" t="s">
        <v>494</v>
      </c>
      <c r="M78" t="s">
        <v>40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41</v>
      </c>
      <c r="U78" t="s">
        <v>42</v>
      </c>
      <c r="V78">
        <f>O78*(1-P78)*N78</f>
        <v>10218.81</v>
      </c>
      <c r="W78">
        <f t="shared" si="3"/>
        <v>2601.8399999999992</v>
      </c>
      <c r="X78">
        <f t="shared" si="4"/>
        <v>0.25461281695226745</v>
      </c>
      <c r="Y78" t="s">
        <v>4120</v>
      </c>
      <c r="Z78" s="2">
        <f>IFERROR(
  IF(ISNUMBER(B78),B78,
    IF(ISNUMBER(SEARCH("-",B78)*1),
      IF(LEN(LEFT(B78,FIND("-",B78)-1))=4,
        DATE(VALUE(LEFT(B78,4)),VALUE(MID(B78,6,2)),VALUE(RIGHT(B78,2))),
        DATE(VALUE(RIGHT(B78,4)),VALUE(MID(B78,4,2)),VALUE(LEFT(B78,2)))
      ),
      IF(ISNUMBER(SEARCH("/",B78)*1),
        DATE(VALUE(RIGHT(B78,4)),VALUE(LEFT(B78,2)),VALUE(MID(B78,4,2))),
        DATEVALUE(B78)
      )
    )
  ),
"INVALID_DATE")</f>
        <v>45599</v>
      </c>
      <c r="AA78" s="2">
        <f>IFERROR(
  IF(ISNUMBER(C78),C78,
    IF(ISNUMBER(SEARCH("-",C78)*1),
      IF(LEN(LEFT(C78,FIND("-",C78)-1))=4,
        DATE(VALUE(LEFT(C78,4)),VALUE(MID(C78,6,2)),VALUE(RIGHT(C78,2))),
        DATE(VALUE(RIGHT(C78,4)),VALUE(MID(C78,4,2)),VALUE(LEFT(C78,2)))
      ),
      IF(ISNUMBER(SEARCH("/",C78)*1),
        DATE(VALUE(RIGHT(C78,4)),VALUE(LEFT(C78,2)),VALUE(MID(C78,4,2))),
        DATEVALUE(C78)
      )
    )
  ),
"INVALID_DATE")</f>
        <v>45607</v>
      </c>
      <c r="AB78">
        <f>AA78-Z78</f>
        <v>8</v>
      </c>
      <c r="AC78" t="str">
        <f>TEXT(Z78,"mmmm")</f>
        <v>November</v>
      </c>
      <c r="AD78">
        <f>YEAR(Z78)</f>
        <v>2024</v>
      </c>
      <c r="AE78" t="str">
        <f t="shared" si="5"/>
        <v>OK</v>
      </c>
    </row>
    <row r="79" spans="1:31">
      <c r="A79" t="s">
        <v>495</v>
      </c>
      <c r="B79" t="s">
        <v>496</v>
      </c>
      <c r="C79" t="s">
        <v>497</v>
      </c>
      <c r="D79" t="s">
        <v>498</v>
      </c>
      <c r="E79" t="s">
        <v>187</v>
      </c>
      <c r="F79" t="s">
        <v>122</v>
      </c>
      <c r="G79" t="s">
        <v>34</v>
      </c>
      <c r="H79" t="s">
        <v>181</v>
      </c>
      <c r="I79" t="s">
        <v>182</v>
      </c>
      <c r="J79" t="s">
        <v>52</v>
      </c>
      <c r="K79" t="s">
        <v>72</v>
      </c>
      <c r="L79" t="s">
        <v>499</v>
      </c>
      <c r="M79" t="s">
        <v>74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131</v>
      </c>
      <c r="U79" t="s">
        <v>85</v>
      </c>
      <c r="V79">
        <f>O79*(1-P79)*N79</f>
        <v>2194.87</v>
      </c>
      <c r="W79">
        <f t="shared" si="3"/>
        <v>971.69999999999982</v>
      </c>
      <c r="X79">
        <f t="shared" si="4"/>
        <v>0.44271414707932594</v>
      </c>
      <c r="Y79" t="s">
        <v>4120</v>
      </c>
      <c r="Z79" s="2">
        <f>IFERROR(
  IF(ISNUMBER(B79),B79,
    IF(ISNUMBER(SEARCH("-",B79)*1),
      IF(LEN(LEFT(B79,FIND("-",B79)-1))=4,
        DATE(VALUE(LEFT(B79,4)),VALUE(MID(B79,6,2)),VALUE(RIGHT(B79,2))),
        DATE(VALUE(RIGHT(B79,4)),VALUE(MID(B79,4,2)),VALUE(LEFT(B79,2)))
      ),
      IF(ISNUMBER(SEARCH("/",B79)*1),
        DATE(VALUE(RIGHT(B79,4)),VALUE(LEFT(B79,2)),VALUE(MID(B79,4,2))),
        DATEVALUE(B79)
      )
    )
  ),
"INVALID_DATE")</f>
        <v>45846</v>
      </c>
      <c r="AA79" s="2">
        <f>IFERROR(
  IF(ISNUMBER(C79),C79,
    IF(ISNUMBER(SEARCH("-",C79)*1),
      IF(LEN(LEFT(C79,FIND("-",C79)-1))=4,
        DATE(VALUE(LEFT(C79,4)),VALUE(MID(C79,6,2)),VALUE(RIGHT(C79,2))),
        DATE(VALUE(RIGHT(C79,4)),VALUE(MID(C79,4,2)),VALUE(LEFT(C79,2)))
      ),
      IF(ISNUMBER(SEARCH("/",C79)*1),
        DATE(VALUE(RIGHT(C79,4)),VALUE(LEFT(C79,2)),VALUE(MID(C79,4,2))),
        DATEVALUE(C79)
      )
    )
  ),
"INVALID_DATE")</f>
        <v>45850</v>
      </c>
      <c r="AB79">
        <f>AA79-Z79</f>
        <v>4</v>
      </c>
      <c r="AC79" t="str">
        <f>TEXT(Z79,"mmmm")</f>
        <v>July</v>
      </c>
      <c r="AD79">
        <f>YEAR(Z79)</f>
        <v>2025</v>
      </c>
      <c r="AE79" t="str">
        <f t="shared" si="5"/>
        <v>OK</v>
      </c>
    </row>
    <row r="80" spans="1:31">
      <c r="A80" t="s">
        <v>500</v>
      </c>
      <c r="B80" t="s">
        <v>501</v>
      </c>
      <c r="C80" t="s">
        <v>502</v>
      </c>
      <c r="D80" t="s">
        <v>503</v>
      </c>
      <c r="E80" t="s">
        <v>175</v>
      </c>
      <c r="F80" t="s">
        <v>115</v>
      </c>
      <c r="G80" t="s">
        <v>49</v>
      </c>
      <c r="H80" t="s">
        <v>128</v>
      </c>
      <c r="I80" t="s">
        <v>129</v>
      </c>
      <c r="J80" t="s">
        <v>52</v>
      </c>
      <c r="K80" t="s">
        <v>53</v>
      </c>
      <c r="L80" t="s">
        <v>504</v>
      </c>
      <c r="M80" t="s">
        <v>63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41</v>
      </c>
      <c r="U80" t="s">
        <v>42</v>
      </c>
      <c r="V80">
        <f>O80*(1-P80)*N80</f>
        <v>9050.4175000000014</v>
      </c>
      <c r="W80">
        <f t="shared" si="3"/>
        <v>2271.567500000001</v>
      </c>
      <c r="X80">
        <f t="shared" si="4"/>
        <v>0.25099056176398443</v>
      </c>
      <c r="Y80" t="s">
        <v>4120</v>
      </c>
      <c r="Z80" s="2">
        <f>IFERROR(
  IF(ISNUMBER(B80),B80,
    IF(ISNUMBER(SEARCH("-",B80)*1),
      IF(LEN(LEFT(B80,FIND("-",B80)-1))=4,
        DATE(VALUE(LEFT(B80,4)),VALUE(MID(B80,6,2)),VALUE(RIGHT(B80,2))),
        DATE(VALUE(RIGHT(B80,4)),VALUE(MID(B80,4,2)),VALUE(LEFT(B80,2)))
      ),
      IF(ISNUMBER(SEARCH("/",B80)*1),
        DATE(VALUE(RIGHT(B80,4)),VALUE(LEFT(B80,2)),VALUE(MID(B80,4,2))),
        DATEVALUE(B80)
      )
    )
  ),
"INVALID_DATE")</f>
        <v>45854</v>
      </c>
      <c r="AA80" s="2">
        <f>IFERROR(
  IF(ISNUMBER(C80),C80,
    IF(ISNUMBER(SEARCH("-",C80)*1),
      IF(LEN(LEFT(C80,FIND("-",C80)-1))=4,
        DATE(VALUE(LEFT(C80,4)),VALUE(MID(C80,6,2)),VALUE(RIGHT(C80,2))),
        DATE(VALUE(RIGHT(C80,4)),VALUE(MID(C80,4,2)),VALUE(LEFT(C80,2)))
      ),
      IF(ISNUMBER(SEARCH("/",C80)*1),
        DATE(VALUE(RIGHT(C80,4)),VALUE(LEFT(C80,2)),VALUE(MID(C80,4,2))),
        DATEVALUE(C80)
      )
    )
  ),
"INVALID_DATE")</f>
        <v>45859</v>
      </c>
      <c r="AB80">
        <f>AA80-Z80</f>
        <v>5</v>
      </c>
      <c r="AC80" t="str">
        <f>TEXT(Z80,"mmmm")</f>
        <v>July</v>
      </c>
      <c r="AD80">
        <f>YEAR(Z80)</f>
        <v>2025</v>
      </c>
      <c r="AE80" t="str">
        <f t="shared" si="5"/>
        <v>OK</v>
      </c>
    </row>
    <row r="81" spans="1:31">
      <c r="A81" t="s">
        <v>505</v>
      </c>
      <c r="B81" t="s">
        <v>506</v>
      </c>
      <c r="C81" t="s">
        <v>507</v>
      </c>
      <c r="D81" t="s">
        <v>508</v>
      </c>
      <c r="E81" t="s">
        <v>217</v>
      </c>
      <c r="F81" t="s">
        <v>122</v>
      </c>
      <c r="G81" t="s">
        <v>69</v>
      </c>
      <c r="H81" t="s">
        <v>347</v>
      </c>
      <c r="I81" t="s">
        <v>348</v>
      </c>
      <c r="J81" t="s">
        <v>52</v>
      </c>
      <c r="K81" t="s">
        <v>83</v>
      </c>
      <c r="L81" t="s">
        <v>509</v>
      </c>
      <c r="M81" t="s">
        <v>55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41</v>
      </c>
      <c r="U81" t="s">
        <v>42</v>
      </c>
      <c r="V81">
        <f>O81*(1-P81)*N81</f>
        <v>33465.312000000005</v>
      </c>
      <c r="W81">
        <f t="shared" si="3"/>
        <v>8684.052000000007</v>
      </c>
      <c r="X81">
        <f t="shared" si="4"/>
        <v>0.25949408506898636</v>
      </c>
      <c r="Y81" t="s">
        <v>4120</v>
      </c>
      <c r="Z81" s="2">
        <f>IFERROR(
  IF(ISNUMBER(B81),B81,
    IF(ISNUMBER(SEARCH("-",B81)*1),
      IF(LEN(LEFT(B81,FIND("-",B81)-1))=4,
        DATE(VALUE(LEFT(B81,4)),VALUE(MID(B81,6,2)),VALUE(RIGHT(B81,2))),
        DATE(VALUE(RIGHT(B81,4)),VALUE(MID(B81,4,2)),VALUE(LEFT(B81,2)))
      ),
      IF(ISNUMBER(SEARCH("/",B81)*1),
        DATE(VALUE(RIGHT(B81,4)),VALUE(LEFT(B81,2)),VALUE(MID(B81,4,2))),
        DATEVALUE(B81)
      )
    )
  ),
"INVALID_DATE")</f>
        <v>45927</v>
      </c>
      <c r="AA81" s="2">
        <f>IFERROR(
  IF(ISNUMBER(C81),C81,
    IF(ISNUMBER(SEARCH("-",C81)*1),
      IF(LEN(LEFT(C81,FIND("-",C81)-1))=4,
        DATE(VALUE(LEFT(C81,4)),VALUE(MID(C81,6,2)),VALUE(RIGHT(C81,2))),
        DATE(VALUE(RIGHT(C81,4)),VALUE(MID(C81,4,2)),VALUE(LEFT(C81,2)))
      ),
      IF(ISNUMBER(SEARCH("/",C81)*1),
        DATE(VALUE(RIGHT(C81,4)),VALUE(LEFT(C81,2)),VALUE(MID(C81,4,2))),
        DATEVALUE(C81)
      )
    )
  ),
"INVALID_DATE")</f>
        <v>45933</v>
      </c>
      <c r="AB81">
        <f>AA81-Z81</f>
        <v>6</v>
      </c>
      <c r="AC81" t="str">
        <f>TEXT(Z81,"mmmm")</f>
        <v>September</v>
      </c>
      <c r="AD81">
        <f>YEAR(Z81)</f>
        <v>2025</v>
      </c>
      <c r="AE81" t="str">
        <f t="shared" si="5"/>
        <v>OK</v>
      </c>
    </row>
    <row r="82" spans="1:31">
      <c r="A82" t="s">
        <v>510</v>
      </c>
      <c r="B82" t="s">
        <v>511</v>
      </c>
      <c r="C82" t="s">
        <v>512</v>
      </c>
      <c r="D82" t="s">
        <v>513</v>
      </c>
      <c r="E82" t="s">
        <v>169</v>
      </c>
      <c r="F82" t="s">
        <v>48</v>
      </c>
      <c r="G82" t="s">
        <v>34</v>
      </c>
      <c r="H82" t="s">
        <v>514</v>
      </c>
      <c r="I82" t="s">
        <v>515</v>
      </c>
      <c r="J82" t="s">
        <v>37</v>
      </c>
      <c r="K82" t="s">
        <v>163</v>
      </c>
      <c r="L82" t="s">
        <v>516</v>
      </c>
      <c r="M82" t="s">
        <v>40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144</v>
      </c>
      <c r="U82" t="s">
        <v>132</v>
      </c>
      <c r="V82">
        <f>O82*(1-P82)*N82</f>
        <v>4256.3519999999999</v>
      </c>
      <c r="W82">
        <f t="shared" si="3"/>
        <v>1761.0219999999999</v>
      </c>
      <c r="X82">
        <f t="shared" si="4"/>
        <v>0.41373947161300173</v>
      </c>
      <c r="Y82" t="s">
        <v>4120</v>
      </c>
      <c r="Z82" s="2">
        <f>IFERROR(
  IF(ISNUMBER(B82),B82,
    IF(ISNUMBER(SEARCH("-",B82)*1),
      IF(LEN(LEFT(B82,FIND("-",B82)-1))=4,
        DATE(VALUE(LEFT(B82,4)),VALUE(MID(B82,6,2)),VALUE(RIGHT(B82,2))),
        DATE(VALUE(RIGHT(B82,4)),VALUE(MID(B82,4,2)),VALUE(LEFT(B82,2)))
      ),
      IF(ISNUMBER(SEARCH("/",B82)*1),
        DATE(VALUE(RIGHT(B82,4)),VALUE(LEFT(B82,2)),VALUE(MID(B82,4,2))),
        DATEVALUE(B82)
      )
    )
  ),
"INVALID_DATE")</f>
        <v>45514</v>
      </c>
      <c r="AA82" s="2">
        <f>IFERROR(
  IF(ISNUMBER(C82),C82,
    IF(ISNUMBER(SEARCH("-",C82)*1),
      IF(LEN(LEFT(C82,FIND("-",C82)-1))=4,
        DATE(VALUE(LEFT(C82,4)),VALUE(MID(C82,6,2)),VALUE(RIGHT(C82,2))),
        DATE(VALUE(RIGHT(C82,4)),VALUE(MID(C82,4,2)),VALUE(LEFT(C82,2)))
      ),
      IF(ISNUMBER(SEARCH("/",C82)*1),
        DATE(VALUE(RIGHT(C82,4)),VALUE(LEFT(C82,2)),VALUE(MID(C82,4,2))),
        DATEVALUE(C82)
      )
    )
  ),
"INVALID_DATE")</f>
        <v>45518</v>
      </c>
      <c r="AB82">
        <f>AA82-Z82</f>
        <v>4</v>
      </c>
      <c r="AC82" t="str">
        <f>TEXT(Z82,"mmmm")</f>
        <v>August</v>
      </c>
      <c r="AD82">
        <f>YEAR(Z82)</f>
        <v>2024</v>
      </c>
      <c r="AE82" t="str">
        <f t="shared" si="5"/>
        <v>OK</v>
      </c>
    </row>
    <row r="83" spans="1:31">
      <c r="A83" t="s">
        <v>517</v>
      </c>
      <c r="B83" t="s">
        <v>518</v>
      </c>
      <c r="C83" t="s">
        <v>519</v>
      </c>
      <c r="D83" t="s">
        <v>520</v>
      </c>
      <c r="E83" t="s">
        <v>32</v>
      </c>
      <c r="F83" t="s">
        <v>122</v>
      </c>
      <c r="G83" t="s">
        <v>80</v>
      </c>
      <c r="H83" t="s">
        <v>256</v>
      </c>
      <c r="I83" t="s">
        <v>257</v>
      </c>
      <c r="J83" t="s">
        <v>37</v>
      </c>
      <c r="K83" t="s">
        <v>116</v>
      </c>
      <c r="L83" t="s">
        <v>521</v>
      </c>
      <c r="M83" t="s">
        <v>55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41</v>
      </c>
      <c r="U83" t="s">
        <v>42</v>
      </c>
      <c r="V83">
        <f>O83*(1-P83)*N83</f>
        <v>5525.7300000000005</v>
      </c>
      <c r="W83">
        <f t="shared" si="3"/>
        <v>2432.3100000000004</v>
      </c>
      <c r="X83">
        <f t="shared" si="4"/>
        <v>0.44017894468242208</v>
      </c>
      <c r="Y83" t="str">
        <f>_xlfn.TEXTJOIN(", ",TRUE,IF(G83="Unknown","Missing Region",""),IF(M83="Unknown","Missing Ship Mode",""),IF(P83&lt;0,"Negative Discount",""),IF(P83&gt;0.7,"High Discount",""),IF(C83&lt;B83,"Ship Before Order",""))</f>
        <v>Ship Before Order</v>
      </c>
      <c r="Z83" s="2">
        <f>IFERROR(
  IF(ISNUMBER(B83),B83,
    IF(ISNUMBER(SEARCH("-",B83)*1),
      IF(LEN(LEFT(B83,FIND("-",B83)-1))=4,
        DATE(VALUE(LEFT(B83,4)),VALUE(MID(B83,6,2)),VALUE(RIGHT(B83,2))),
        DATE(VALUE(RIGHT(B83,4)),VALUE(MID(B83,4,2)),VALUE(LEFT(B83,2)))
      ),
      IF(ISNUMBER(SEARCH("/",B83)*1),
        DATE(VALUE(RIGHT(B83,4)),VALUE(LEFT(B83,2)),VALUE(MID(B83,4,2))),
        DATEVALUE(B83)
      )
    )
  ),
"INVALID_DATE")</f>
        <v>45732</v>
      </c>
      <c r="AA83" s="2">
        <f>IFERROR(
  IF(ISNUMBER(C83),C83,
    IF(ISNUMBER(SEARCH("-",C83)*1),
      IF(LEN(LEFT(C83,FIND("-",C83)-1))=4,
        DATE(VALUE(LEFT(C83,4)),VALUE(MID(C83,6,2)),VALUE(RIGHT(C83,2))),
        DATE(VALUE(RIGHT(C83,4)),VALUE(MID(C83,4,2)),VALUE(LEFT(C83,2)))
      ),
      IF(ISNUMBER(SEARCH("/",C83)*1),
        DATE(VALUE(RIGHT(C83,4)),VALUE(LEFT(C83,2)),VALUE(MID(C83,4,2))),
        DATEVALUE(C83)
      )
    )
  ),
"INVALID_DATE")</f>
        <v>45733</v>
      </c>
      <c r="AB83">
        <f>AA83-Z83</f>
        <v>1</v>
      </c>
      <c r="AC83" t="str">
        <f>TEXT(Z83,"mmmm")</f>
        <v>March</v>
      </c>
      <c r="AD83">
        <f>YEAR(Z83)</f>
        <v>2025</v>
      </c>
      <c r="AE83" t="str">
        <f t="shared" si="5"/>
        <v>OK</v>
      </c>
    </row>
    <row r="84" spans="1:31">
      <c r="A84" t="s">
        <v>522</v>
      </c>
      <c r="B84" t="s">
        <v>523</v>
      </c>
      <c r="C84" t="s">
        <v>524</v>
      </c>
      <c r="D84" t="s">
        <v>525</v>
      </c>
      <c r="E84" t="s">
        <v>68</v>
      </c>
      <c r="F84" t="s">
        <v>33</v>
      </c>
      <c r="G84" t="s">
        <v>34</v>
      </c>
      <c r="H84" t="s">
        <v>181</v>
      </c>
      <c r="I84" t="s">
        <v>182</v>
      </c>
      <c r="J84" t="s">
        <v>93</v>
      </c>
      <c r="K84" t="s">
        <v>101</v>
      </c>
      <c r="L84" t="s">
        <v>526</v>
      </c>
      <c r="M84" t="s">
        <v>40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207</v>
      </c>
      <c r="U84" t="s">
        <v>132</v>
      </c>
      <c r="V84">
        <f>O84*(1-P84)*N84</f>
        <v>6010.38</v>
      </c>
      <c r="W84">
        <f t="shared" si="3"/>
        <v>2247.5300000000002</v>
      </c>
      <c r="X84">
        <f t="shared" si="4"/>
        <v>0.37394141468592673</v>
      </c>
      <c r="Y84" t="str">
        <f>_xlfn.TEXTJOIN(", ",TRUE,IF(G84="Unknown","Missing Region",""),IF(M84="Unknown","Missing Ship Mode",""),IF(P84&lt;0,"Negative Discount",""),IF(P84&gt;0.7,"High Discount",""),IF(C84&lt;B84,"Ship Before Order",""))</f>
        <v>Ship Before Order</v>
      </c>
      <c r="Z84" s="2">
        <f>IFERROR(
  IF(ISNUMBER(B84),B84,
    IF(ISNUMBER(SEARCH("-",B84)*1),
      IF(LEN(LEFT(B84,FIND("-",B84)-1))=4,
        DATE(VALUE(LEFT(B84,4)),VALUE(MID(B84,6,2)),VALUE(RIGHT(B84,2))),
        DATE(VALUE(RIGHT(B84,4)),VALUE(MID(B84,4,2)),VALUE(LEFT(B84,2)))
      ),
      IF(ISNUMBER(SEARCH("/",B84)*1),
        DATE(VALUE(RIGHT(B84,4)),VALUE(LEFT(B84,2)),VALUE(MID(B84,4,2))),
        DATEVALUE(B84)
      )
    )
  ),
"INVALID_DATE")</f>
        <v>45507</v>
      </c>
      <c r="AA84" s="2">
        <f>IFERROR(
  IF(ISNUMBER(C84),C84,
    IF(ISNUMBER(SEARCH("-",C84)*1),
      IF(LEN(LEFT(C84,FIND("-",C84)-1))=4,
        DATE(VALUE(LEFT(C84,4)),VALUE(MID(C84,6,2)),VALUE(RIGHT(C84,2))),
        DATE(VALUE(RIGHT(C84,4)),VALUE(MID(C84,4,2)),VALUE(LEFT(C84,2)))
      ),
      IF(ISNUMBER(SEARCH("/",C84)*1),
        DATE(VALUE(RIGHT(C84,4)),VALUE(LEFT(C84,2)),VALUE(MID(C84,4,2))),
        DATEVALUE(C84)
      )
    )
  ),
"INVALID_DATE")</f>
        <v>45508</v>
      </c>
      <c r="AB84">
        <f>AA84-Z84</f>
        <v>1</v>
      </c>
      <c r="AC84" t="str">
        <f>TEXT(Z84,"mmmm")</f>
        <v>August</v>
      </c>
      <c r="AD84">
        <f>YEAR(Z84)</f>
        <v>2024</v>
      </c>
      <c r="AE84" t="str">
        <f t="shared" si="5"/>
        <v>OK</v>
      </c>
    </row>
    <row r="85" spans="1:31">
      <c r="A85" t="s">
        <v>527</v>
      </c>
      <c r="B85" t="s">
        <v>371</v>
      </c>
      <c r="C85" t="s">
        <v>528</v>
      </c>
      <c r="D85" t="s">
        <v>529</v>
      </c>
      <c r="E85" t="s">
        <v>114</v>
      </c>
      <c r="F85" t="s">
        <v>122</v>
      </c>
      <c r="G85" t="s">
        <v>80</v>
      </c>
      <c r="H85" t="s">
        <v>81</v>
      </c>
      <c r="I85" t="s">
        <v>82</v>
      </c>
      <c r="J85" t="s">
        <v>52</v>
      </c>
      <c r="K85" t="s">
        <v>53</v>
      </c>
      <c r="L85" t="s">
        <v>530</v>
      </c>
      <c r="M85" t="s">
        <v>40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41</v>
      </c>
      <c r="U85" t="s">
        <v>42</v>
      </c>
      <c r="V85">
        <f>O85*(1-P85)*N85</f>
        <v>948.52800000000013</v>
      </c>
      <c r="W85">
        <f t="shared" si="3"/>
        <v>273.90800000000013</v>
      </c>
      <c r="X85">
        <f t="shared" si="4"/>
        <v>0.28877315424920669</v>
      </c>
      <c r="Y85" t="s">
        <v>4120</v>
      </c>
      <c r="Z85" s="2">
        <f>IFERROR(
  IF(ISNUMBER(B85),B85,
    IF(ISNUMBER(SEARCH("-",B85)*1),
      IF(LEN(LEFT(B85,FIND("-",B85)-1))=4,
        DATE(VALUE(LEFT(B85,4)),VALUE(MID(B85,6,2)),VALUE(RIGHT(B85,2))),
        DATE(VALUE(RIGHT(B85,4)),VALUE(MID(B85,4,2)),VALUE(LEFT(B85,2)))
      ),
      IF(ISNUMBER(SEARCH("/",B85)*1),
        DATE(VALUE(RIGHT(B85,4)),VALUE(LEFT(B85,2)),VALUE(MID(B85,4,2))),
        DATEVALUE(B85)
      )
    )
  ),
"INVALID_DATE")</f>
        <v>45591</v>
      </c>
      <c r="AA85" s="2">
        <f>IFERROR(
  IF(ISNUMBER(C85),C85,
    IF(ISNUMBER(SEARCH("-",C85)*1),
      IF(LEN(LEFT(C85,FIND("-",C85)-1))=4,
        DATE(VALUE(LEFT(C85,4)),VALUE(MID(C85,6,2)),VALUE(RIGHT(C85,2))),
        DATE(VALUE(RIGHT(C85,4)),VALUE(MID(C85,4,2)),VALUE(LEFT(C85,2)))
      ),
      IF(ISNUMBER(SEARCH("/",C85)*1),
        DATE(VALUE(RIGHT(C85,4)),VALUE(LEFT(C85,2)),VALUE(MID(C85,4,2))),
        DATEVALUE(C85)
      )
    )
  ),
"INVALID_DATE")</f>
        <v>45594</v>
      </c>
      <c r="AB85">
        <f>AA85-Z85</f>
        <v>3</v>
      </c>
      <c r="AC85" t="str">
        <f>TEXT(Z85,"mmmm")</f>
        <v>October</v>
      </c>
      <c r="AD85">
        <f>YEAR(Z85)</f>
        <v>2024</v>
      </c>
      <c r="AE85" t="str">
        <f t="shared" si="5"/>
        <v>OK</v>
      </c>
    </row>
    <row r="86" spans="1:31">
      <c r="A86" t="s">
        <v>531</v>
      </c>
      <c r="B86" t="s">
        <v>532</v>
      </c>
      <c r="C86" t="s">
        <v>533</v>
      </c>
      <c r="D86" t="s">
        <v>534</v>
      </c>
      <c r="E86" t="s">
        <v>187</v>
      </c>
      <c r="F86" t="s">
        <v>115</v>
      </c>
      <c r="G86" t="s">
        <v>69</v>
      </c>
      <c r="H86" t="s">
        <v>347</v>
      </c>
      <c r="I86" t="s">
        <v>348</v>
      </c>
      <c r="J86" t="s">
        <v>93</v>
      </c>
      <c r="K86" t="s">
        <v>230</v>
      </c>
      <c r="L86" t="s">
        <v>535</v>
      </c>
      <c r="M86" t="s">
        <v>40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41</v>
      </c>
      <c r="U86" t="s">
        <v>42</v>
      </c>
      <c r="V86">
        <f>O86*(1-P86)*N86</f>
        <v>2737.3440000000001</v>
      </c>
      <c r="W86">
        <f t="shared" si="3"/>
        <v>651.904</v>
      </c>
      <c r="X86">
        <f t="shared" si="4"/>
        <v>0.23815090562370766</v>
      </c>
      <c r="Y86" t="s">
        <v>4120</v>
      </c>
      <c r="Z86" s="2">
        <f>IFERROR(
  IF(ISNUMBER(B86),B86,
    IF(ISNUMBER(SEARCH("-",B86)*1),
      IF(LEN(LEFT(B86,FIND("-",B86)-1))=4,
        DATE(VALUE(LEFT(B86,4)),VALUE(MID(B86,6,2)),VALUE(RIGHT(B86,2))),
        DATE(VALUE(RIGHT(B86,4)),VALUE(MID(B86,4,2)),VALUE(LEFT(B86,2)))
      ),
      IF(ISNUMBER(SEARCH("/",B86)*1),
        DATE(VALUE(RIGHT(B86,4)),VALUE(LEFT(B86,2)),VALUE(MID(B86,4,2))),
        DATEVALUE(B86)
      )
    )
  ),
"INVALID_DATE")</f>
        <v>45566</v>
      </c>
      <c r="AA86" s="2">
        <f>IFERROR(
  IF(ISNUMBER(C86),C86,
    IF(ISNUMBER(SEARCH("-",C86)*1),
      IF(LEN(LEFT(C86,FIND("-",C86)-1))=4,
        DATE(VALUE(LEFT(C86,4)),VALUE(MID(C86,6,2)),VALUE(RIGHT(C86,2))),
        DATE(VALUE(RIGHT(C86,4)),VALUE(MID(C86,4,2)),VALUE(LEFT(C86,2)))
      ),
      IF(ISNUMBER(SEARCH("/",C86)*1),
        DATE(VALUE(RIGHT(C86,4)),VALUE(LEFT(C86,2)),VALUE(MID(C86,4,2))),
        DATEVALUE(C86)
      )
    )
  ),
"INVALID_DATE")</f>
        <v>45568</v>
      </c>
      <c r="AB86">
        <f>AA86-Z86</f>
        <v>2</v>
      </c>
      <c r="AC86" t="str">
        <f>TEXT(Z86,"mmmm")</f>
        <v>October</v>
      </c>
      <c r="AD86">
        <f>YEAR(Z86)</f>
        <v>2024</v>
      </c>
      <c r="AE86" t="str">
        <f t="shared" si="5"/>
        <v>OK</v>
      </c>
    </row>
    <row r="87" spans="1:31">
      <c r="A87" t="s">
        <v>536</v>
      </c>
      <c r="B87" t="s">
        <v>537</v>
      </c>
      <c r="C87" t="s">
        <v>538</v>
      </c>
      <c r="D87" t="s">
        <v>539</v>
      </c>
      <c r="E87" t="s">
        <v>374</v>
      </c>
      <c r="F87" t="s">
        <v>115</v>
      </c>
      <c r="G87" t="s">
        <v>34</v>
      </c>
      <c r="H87" t="s">
        <v>514</v>
      </c>
      <c r="I87" t="s">
        <v>515</v>
      </c>
      <c r="J87" t="s">
        <v>37</v>
      </c>
      <c r="K87" t="s">
        <v>205</v>
      </c>
      <c r="L87" t="s">
        <v>540</v>
      </c>
      <c r="M87" t="s">
        <v>74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41</v>
      </c>
      <c r="U87" t="s">
        <v>85</v>
      </c>
      <c r="V87">
        <f>O87*(1-P87)*N87</f>
        <v>608.64</v>
      </c>
      <c r="W87">
        <f t="shared" si="3"/>
        <v>264.64999999999998</v>
      </c>
      <c r="X87">
        <f t="shared" si="4"/>
        <v>0.43482189800210302</v>
      </c>
      <c r="Y87" t="str">
        <f>_xlfn.TEXTJOIN(", ",TRUE,IF(G87="Unknown","Missing Region",""),IF(M87="Unknown","Missing Ship Mode",""),IF(P87&lt;0,"Negative Discount",""),IF(P87&gt;0.7,"High Discount",""),IF(C87&lt;B87,"Ship Before Order",""))</f>
        <v>Ship Before Order</v>
      </c>
      <c r="Z87" s="2">
        <f>IFERROR(
  IF(ISNUMBER(B87),B87,
    IF(ISNUMBER(SEARCH("-",B87)*1),
      IF(LEN(LEFT(B87,FIND("-",B87)-1))=4,
        DATE(VALUE(LEFT(B87,4)),VALUE(MID(B87,6,2)),VALUE(RIGHT(B87,2))),
        DATE(VALUE(RIGHT(B87,4)),VALUE(MID(B87,4,2)),VALUE(LEFT(B87,2)))
      ),
      IF(ISNUMBER(SEARCH("/",B87)*1),
        DATE(VALUE(RIGHT(B87,4)),VALUE(LEFT(B87,2)),VALUE(MID(B87,4,2))),
        DATEVALUE(B87)
      )
    )
  ),
"INVALID_DATE")</f>
        <v>45503</v>
      </c>
      <c r="AA87" s="2">
        <f>IFERROR(
  IF(ISNUMBER(C87),C87,
    IF(ISNUMBER(SEARCH("-",C87)*1),
      IF(LEN(LEFT(C87,FIND("-",C87)-1))=4,
        DATE(VALUE(LEFT(C87,4)),VALUE(MID(C87,6,2)),VALUE(RIGHT(C87,2))),
        DATE(VALUE(RIGHT(C87,4)),VALUE(MID(C87,4,2)),VALUE(LEFT(C87,2)))
      ),
      IF(ISNUMBER(SEARCH("/",C87)*1),
        DATE(VALUE(RIGHT(C87,4)),VALUE(LEFT(C87,2)),VALUE(MID(C87,4,2))),
        DATEVALUE(C87)
      )
    )
  ),
"INVALID_DATE")</f>
        <v>45509</v>
      </c>
      <c r="AB87">
        <f>AA87-Z87</f>
        <v>6</v>
      </c>
      <c r="AC87" t="str">
        <f>TEXT(Z87,"mmmm")</f>
        <v>July</v>
      </c>
      <c r="AD87">
        <f>YEAR(Z87)</f>
        <v>2024</v>
      </c>
      <c r="AE87" t="str">
        <f t="shared" si="5"/>
        <v>OK</v>
      </c>
    </row>
    <row r="88" spans="1:31">
      <c r="A88" t="s">
        <v>541</v>
      </c>
      <c r="B88" t="s">
        <v>542</v>
      </c>
      <c r="C88" t="s">
        <v>542</v>
      </c>
      <c r="D88" t="s">
        <v>543</v>
      </c>
      <c r="E88" t="s">
        <v>79</v>
      </c>
      <c r="F88" t="s">
        <v>48</v>
      </c>
      <c r="G88" t="s">
        <v>34</v>
      </c>
      <c r="H88" t="s">
        <v>514</v>
      </c>
      <c r="I88" t="s">
        <v>515</v>
      </c>
      <c r="J88" t="s">
        <v>93</v>
      </c>
      <c r="K88" t="s">
        <v>101</v>
      </c>
      <c r="L88" t="s">
        <v>544</v>
      </c>
      <c r="M88" t="s">
        <v>40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131</v>
      </c>
      <c r="U88" t="s">
        <v>85</v>
      </c>
      <c r="V88">
        <f>O88*(1-P88)*N88</f>
        <v>2390.2559999999999</v>
      </c>
      <c r="W88">
        <f t="shared" si="3"/>
        <v>894.3159999999998</v>
      </c>
      <c r="X88">
        <f t="shared" si="4"/>
        <v>0.37415176591667848</v>
      </c>
      <c r="Y88" t="s">
        <v>4120</v>
      </c>
      <c r="Z88" s="2">
        <f>IFERROR(
  IF(ISNUMBER(B88),B88,
    IF(ISNUMBER(SEARCH("-",B88)*1),
      IF(LEN(LEFT(B88,FIND("-",B88)-1))=4,
        DATE(VALUE(LEFT(B88,4)),VALUE(MID(B88,6,2)),VALUE(RIGHT(B88,2))),
        DATE(VALUE(RIGHT(B88,4)),VALUE(MID(B88,4,2)),VALUE(LEFT(B88,2)))
      ),
      IF(ISNUMBER(SEARCH("/",B88)*1),
        DATE(VALUE(RIGHT(B88,4)),VALUE(LEFT(B88,2)),VALUE(MID(B88,4,2))),
        DATEVALUE(B88)
      )
    )
  ),
"INVALID_DATE")</f>
        <v>45474</v>
      </c>
      <c r="AA88" s="2">
        <f>IFERROR(
  IF(ISNUMBER(C88),C88,
    IF(ISNUMBER(SEARCH("-",C88)*1),
      IF(LEN(LEFT(C88,FIND("-",C88)-1))=4,
        DATE(VALUE(LEFT(C88,4)),VALUE(MID(C88,6,2)),VALUE(RIGHT(C88,2))),
        DATE(VALUE(RIGHT(C88,4)),VALUE(MID(C88,4,2)),VALUE(LEFT(C88,2)))
      ),
      IF(ISNUMBER(SEARCH("/",C88)*1),
        DATE(VALUE(RIGHT(C88,4)),VALUE(LEFT(C88,2)),VALUE(MID(C88,4,2))),
        DATEVALUE(C88)
      )
    )
  ),
"INVALID_DATE")</f>
        <v>45474</v>
      </c>
      <c r="AB88">
        <f>AA88-Z88</f>
        <v>0</v>
      </c>
      <c r="AC88" t="str">
        <f>TEXT(Z88,"mmmm")</f>
        <v>July</v>
      </c>
      <c r="AD88">
        <f>YEAR(Z88)</f>
        <v>2024</v>
      </c>
      <c r="AE88" t="str">
        <f t="shared" si="5"/>
        <v>OK</v>
      </c>
    </row>
    <row r="89" spans="1:31">
      <c r="A89" t="s">
        <v>545</v>
      </c>
      <c r="B89" t="s">
        <v>546</v>
      </c>
      <c r="C89" t="s">
        <v>523</v>
      </c>
      <c r="D89" t="s">
        <v>547</v>
      </c>
      <c r="E89" t="s">
        <v>90</v>
      </c>
      <c r="F89" t="s">
        <v>33</v>
      </c>
      <c r="G89" t="s">
        <v>49</v>
      </c>
      <c r="H89" t="s">
        <v>223</v>
      </c>
      <c r="I89" t="s">
        <v>224</v>
      </c>
      <c r="J89" t="s">
        <v>37</v>
      </c>
      <c r="K89" t="s">
        <v>205</v>
      </c>
      <c r="L89" t="s">
        <v>548</v>
      </c>
      <c r="M89" t="s">
        <v>74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41</v>
      </c>
      <c r="U89" t="s">
        <v>42</v>
      </c>
      <c r="V89">
        <f>O89*(1-P89)*N89</f>
        <v>23416.539999999997</v>
      </c>
      <c r="W89">
        <f t="shared" si="3"/>
        <v>7925.6499999999978</v>
      </c>
      <c r="X89">
        <f t="shared" si="4"/>
        <v>0.33846375254414185</v>
      </c>
      <c r="Y89" t="s">
        <v>4120</v>
      </c>
      <c r="Z89" s="2">
        <f>IFERROR(
  IF(ISNUMBER(B89),B89,
    IF(ISNUMBER(SEARCH("-",B89)*1),
      IF(LEN(LEFT(B89,FIND("-",B89)-1))=4,
        DATE(VALUE(LEFT(B89,4)),VALUE(MID(B89,6,2)),VALUE(RIGHT(B89,2))),
        DATE(VALUE(RIGHT(B89,4)),VALUE(MID(B89,4,2)),VALUE(LEFT(B89,2)))
      ),
      IF(ISNUMBER(SEARCH("/",B89)*1),
        DATE(VALUE(RIGHT(B89,4)),VALUE(LEFT(B89,2)),VALUE(MID(B89,4,2))),
        DATEVALUE(B89)
      )
    )
  ),
"INVALID_DATE")</f>
        <v>45506</v>
      </c>
      <c r="AA89" s="2">
        <f>IFERROR(
  IF(ISNUMBER(C89),C89,
    IF(ISNUMBER(SEARCH("-",C89)*1),
      IF(LEN(LEFT(C89,FIND("-",C89)-1))=4,
        DATE(VALUE(LEFT(C89,4)),VALUE(MID(C89,6,2)),VALUE(RIGHT(C89,2))),
        DATE(VALUE(RIGHT(C89,4)),VALUE(MID(C89,4,2)),VALUE(LEFT(C89,2)))
      ),
      IF(ISNUMBER(SEARCH("/",C89)*1),
        DATE(VALUE(RIGHT(C89,4)),VALUE(LEFT(C89,2)),VALUE(MID(C89,4,2))),
        DATEVALUE(C89)
      )
    )
  ),
"INVALID_DATE")</f>
        <v>45507</v>
      </c>
      <c r="AB89">
        <f>AA89-Z89</f>
        <v>1</v>
      </c>
      <c r="AC89" t="str">
        <f>TEXT(Z89,"mmmm")</f>
        <v>August</v>
      </c>
      <c r="AD89">
        <f>YEAR(Z89)</f>
        <v>2024</v>
      </c>
      <c r="AE89" t="str">
        <f t="shared" si="5"/>
        <v>OK</v>
      </c>
    </row>
    <row r="90" spans="1:31">
      <c r="A90" t="s">
        <v>549</v>
      </c>
      <c r="B90" t="s">
        <v>550</v>
      </c>
      <c r="C90" t="s">
        <v>551</v>
      </c>
      <c r="D90" t="s">
        <v>552</v>
      </c>
      <c r="E90" t="s">
        <v>187</v>
      </c>
      <c r="F90" t="s">
        <v>48</v>
      </c>
      <c r="G90" t="s">
        <v>80</v>
      </c>
      <c r="H90" t="s">
        <v>81</v>
      </c>
      <c r="I90" t="s">
        <v>82</v>
      </c>
      <c r="J90" t="s">
        <v>52</v>
      </c>
      <c r="K90" t="s">
        <v>211</v>
      </c>
      <c r="L90" t="s">
        <v>553</v>
      </c>
      <c r="M90" t="s">
        <v>74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41</v>
      </c>
      <c r="U90" t="s">
        <v>42</v>
      </c>
      <c r="V90">
        <f>O90*(1-P90)*N90</f>
        <v>6241.0249999999996</v>
      </c>
      <c r="W90">
        <f t="shared" si="3"/>
        <v>895.14499999999953</v>
      </c>
      <c r="X90">
        <f t="shared" si="4"/>
        <v>0.1434284780372439</v>
      </c>
      <c r="Y90" t="s">
        <v>4120</v>
      </c>
      <c r="Z90" s="2">
        <f>IFERROR(
  IF(ISNUMBER(B90),B90,
    IF(ISNUMBER(SEARCH("-",B90)*1),
      IF(LEN(LEFT(B90,FIND("-",B90)-1))=4,
        DATE(VALUE(LEFT(B90,4)),VALUE(MID(B90,6,2)),VALUE(RIGHT(B90,2))),
        DATE(VALUE(RIGHT(B90,4)),VALUE(MID(B90,4,2)),VALUE(LEFT(B90,2)))
      ),
      IF(ISNUMBER(SEARCH("/",B90)*1),
        DATE(VALUE(RIGHT(B90,4)),VALUE(LEFT(B90,2)),VALUE(MID(B90,4,2))),
        DATEVALUE(B90)
      )
    )
  ),
"INVALID_DATE")</f>
        <v>45375</v>
      </c>
      <c r="AA90" s="2">
        <f>IFERROR(
  IF(ISNUMBER(C90),C90,
    IF(ISNUMBER(SEARCH("-",C90)*1),
      IF(LEN(LEFT(C90,FIND("-",C90)-1))=4,
        DATE(VALUE(LEFT(C90,4)),VALUE(MID(C90,6,2)),VALUE(RIGHT(C90,2))),
        DATE(VALUE(RIGHT(C90,4)),VALUE(MID(C90,4,2)),VALUE(LEFT(C90,2)))
      ),
      IF(ISNUMBER(SEARCH("/",C90)*1),
        DATE(VALUE(RIGHT(C90,4)),VALUE(LEFT(C90,2)),VALUE(MID(C90,4,2))),
        DATEVALUE(C90)
      )
    )
  ),
"INVALID_DATE")</f>
        <v>45378</v>
      </c>
      <c r="AB90">
        <f>AA90-Z90</f>
        <v>3</v>
      </c>
      <c r="AC90" t="str">
        <f>TEXT(Z90,"mmmm")</f>
        <v>March</v>
      </c>
      <c r="AD90">
        <f>YEAR(Z90)</f>
        <v>2024</v>
      </c>
      <c r="AE90" t="str">
        <f t="shared" si="5"/>
        <v>OK</v>
      </c>
    </row>
    <row r="91" spans="1:31">
      <c r="A91" t="s">
        <v>554</v>
      </c>
      <c r="B91" t="s">
        <v>45</v>
      </c>
      <c r="C91" t="s">
        <v>45</v>
      </c>
      <c r="D91" t="s">
        <v>555</v>
      </c>
      <c r="E91" t="s">
        <v>374</v>
      </c>
      <c r="F91" t="s">
        <v>33</v>
      </c>
      <c r="G91" t="s">
        <v>69</v>
      </c>
      <c r="H91" t="s">
        <v>107</v>
      </c>
      <c r="I91" t="s">
        <v>108</v>
      </c>
      <c r="J91" t="s">
        <v>52</v>
      </c>
      <c r="K91" t="s">
        <v>211</v>
      </c>
      <c r="L91" t="s">
        <v>556</v>
      </c>
      <c r="M91" t="s">
        <v>74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144</v>
      </c>
      <c r="U91" t="s">
        <v>85</v>
      </c>
      <c r="V91">
        <f>O91*(1-P91)*N91</f>
        <v>21062.104000000003</v>
      </c>
      <c r="W91">
        <f t="shared" si="3"/>
        <v>9004.9740000000038</v>
      </c>
      <c r="X91">
        <f t="shared" si="4"/>
        <v>0.42754378718171504</v>
      </c>
      <c r="Y91" t="s">
        <v>4120</v>
      </c>
      <c r="Z91" s="2">
        <f>IFERROR(
  IF(ISNUMBER(B91),B91,
    IF(ISNUMBER(SEARCH("-",B91)*1),
      IF(LEN(LEFT(B91,FIND("-",B91)-1))=4,
        DATE(VALUE(LEFT(B91,4)),VALUE(MID(B91,6,2)),VALUE(RIGHT(B91,2))),
        DATE(VALUE(RIGHT(B91,4)),VALUE(MID(B91,4,2)),VALUE(LEFT(B91,2)))
      ),
      IF(ISNUMBER(SEARCH("/",B91)*1),
        DATE(VALUE(RIGHT(B91,4)),VALUE(LEFT(B91,2)),VALUE(MID(B91,4,2))),
        DATEVALUE(B91)
      )
    )
  ),
"INVALID_DATE")</f>
        <v>45540</v>
      </c>
      <c r="AA91" s="2">
        <f>IFERROR(
  IF(ISNUMBER(C91),C91,
    IF(ISNUMBER(SEARCH("-",C91)*1),
      IF(LEN(LEFT(C91,FIND("-",C91)-1))=4,
        DATE(VALUE(LEFT(C91,4)),VALUE(MID(C91,6,2)),VALUE(RIGHT(C91,2))),
        DATE(VALUE(RIGHT(C91,4)),VALUE(MID(C91,4,2)),VALUE(LEFT(C91,2)))
      ),
      IF(ISNUMBER(SEARCH("/",C91)*1),
        DATE(VALUE(RIGHT(C91,4)),VALUE(LEFT(C91,2)),VALUE(MID(C91,4,2))),
        DATEVALUE(C91)
      )
    )
  ),
"INVALID_DATE")</f>
        <v>45540</v>
      </c>
      <c r="AB91">
        <f>AA91-Z91</f>
        <v>0</v>
      </c>
      <c r="AC91" t="str">
        <f>TEXT(Z91,"mmmm")</f>
        <v>September</v>
      </c>
      <c r="AD91">
        <f>YEAR(Z91)</f>
        <v>2024</v>
      </c>
      <c r="AE91" t="str">
        <f t="shared" si="5"/>
        <v>OK</v>
      </c>
    </row>
    <row r="92" spans="1:31">
      <c r="A92" t="s">
        <v>557</v>
      </c>
      <c r="B92" t="s">
        <v>558</v>
      </c>
      <c r="C92" t="s">
        <v>76</v>
      </c>
      <c r="D92" t="s">
        <v>559</v>
      </c>
      <c r="E92" t="s">
        <v>169</v>
      </c>
      <c r="F92" t="s">
        <v>48</v>
      </c>
      <c r="G92" t="s">
        <v>49</v>
      </c>
      <c r="H92" t="s">
        <v>193</v>
      </c>
      <c r="I92" t="s">
        <v>194</v>
      </c>
      <c r="J92" t="s">
        <v>93</v>
      </c>
      <c r="K92" t="s">
        <v>101</v>
      </c>
      <c r="L92" t="s">
        <v>560</v>
      </c>
      <c r="M92" t="s">
        <v>63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41</v>
      </c>
      <c r="U92" t="s">
        <v>42</v>
      </c>
      <c r="V92">
        <f>O92*(1-P92)*N92</f>
        <v>9445.098</v>
      </c>
      <c r="W92">
        <f t="shared" si="3"/>
        <v>3858.8180000000002</v>
      </c>
      <c r="X92">
        <f t="shared" si="4"/>
        <v>0.40855258282072188</v>
      </c>
      <c r="Y92" t="s">
        <v>4120</v>
      </c>
      <c r="Z92" s="2">
        <f>IFERROR(
  IF(ISNUMBER(B92),B92,
    IF(ISNUMBER(SEARCH("-",B92)*1),
      IF(LEN(LEFT(B92,FIND("-",B92)-1))=4,
        DATE(VALUE(LEFT(B92,4)),VALUE(MID(B92,6,2)),VALUE(RIGHT(B92,2))),
        DATE(VALUE(RIGHT(B92,4)),VALUE(MID(B92,4,2)),VALUE(LEFT(B92,2)))
      ),
      IF(ISNUMBER(SEARCH("/",B92)*1),
        DATE(VALUE(RIGHT(B92,4)),VALUE(LEFT(B92,2)),VALUE(MID(B92,4,2))),
        DATEVALUE(B92)
      )
    )
  ),
"INVALID_DATE")</f>
        <v>45893</v>
      </c>
      <c r="AA92" s="2">
        <f>IFERROR(
  IF(ISNUMBER(C92),C92,
    IF(ISNUMBER(SEARCH("-",C92)*1),
      IF(LEN(LEFT(C92,FIND("-",C92)-1))=4,
        DATE(VALUE(LEFT(C92,4)),VALUE(MID(C92,6,2)),VALUE(RIGHT(C92,2))),
        DATE(VALUE(RIGHT(C92,4)),VALUE(MID(C92,4,2)),VALUE(LEFT(C92,2)))
      ),
      IF(ISNUMBER(SEARCH("/",C92)*1),
        DATE(VALUE(RIGHT(C92,4)),VALUE(LEFT(C92,2)),VALUE(MID(C92,4,2))),
        DATEVALUE(C92)
      )
    )
  ),
"INVALID_DATE")</f>
        <v>45898</v>
      </c>
      <c r="AB92">
        <f>AA92-Z92</f>
        <v>5</v>
      </c>
      <c r="AC92" t="str">
        <f>TEXT(Z92,"mmmm")</f>
        <v>August</v>
      </c>
      <c r="AD92">
        <f>YEAR(Z92)</f>
        <v>2025</v>
      </c>
      <c r="AE92" t="str">
        <f t="shared" si="5"/>
        <v>OK</v>
      </c>
    </row>
    <row r="93" spans="1:31">
      <c r="A93" t="s">
        <v>561</v>
      </c>
      <c r="B93" t="s">
        <v>562</v>
      </c>
      <c r="C93" t="s">
        <v>563</v>
      </c>
      <c r="D93" t="s">
        <v>564</v>
      </c>
      <c r="E93" t="s">
        <v>175</v>
      </c>
      <c r="F93" t="s">
        <v>115</v>
      </c>
      <c r="G93" t="s">
        <v>80</v>
      </c>
      <c r="H93" t="s">
        <v>91</v>
      </c>
      <c r="I93" t="s">
        <v>92</v>
      </c>
      <c r="J93" t="s">
        <v>93</v>
      </c>
      <c r="K93" t="s">
        <v>101</v>
      </c>
      <c r="L93" t="s">
        <v>565</v>
      </c>
      <c r="M93" t="s">
        <v>40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41</v>
      </c>
      <c r="U93" t="s">
        <v>42</v>
      </c>
      <c r="V93">
        <f>O93*(1-P93)*N93</f>
        <v>2427.12</v>
      </c>
      <c r="W93">
        <f t="shared" si="3"/>
        <v>888.77</v>
      </c>
      <c r="X93">
        <f t="shared" si="4"/>
        <v>0.33147516398035531</v>
      </c>
      <c r="Y93" t="s">
        <v>4120</v>
      </c>
      <c r="Z93" s="2">
        <f>IFERROR(
  IF(ISNUMBER(B93),B93,
    IF(ISNUMBER(SEARCH("-",B93)*1),
      IF(LEN(LEFT(B93,FIND("-",B93)-1))=4,
        DATE(VALUE(LEFT(B93,4)),VALUE(MID(B93,6,2)),VALUE(RIGHT(B93,2))),
        DATE(VALUE(RIGHT(B93,4)),VALUE(MID(B93,4,2)),VALUE(LEFT(B93,2)))
      ),
      IF(ISNUMBER(SEARCH("/",B93)*1),
        DATE(VALUE(RIGHT(B93,4)),VALUE(LEFT(B93,2)),VALUE(MID(B93,4,2))),
        DATEVALUE(B93)
      )
    )
  ),
"INVALID_DATE")</f>
        <v>45718</v>
      </c>
      <c r="AA93" s="2">
        <f>IFERROR(
  IF(ISNUMBER(C93),C93,
    IF(ISNUMBER(SEARCH("-",C93)*1),
      IF(LEN(LEFT(C93,FIND("-",C93)-1))=4,
        DATE(VALUE(LEFT(C93,4)),VALUE(MID(C93,6,2)),VALUE(RIGHT(C93,2))),
        DATE(VALUE(RIGHT(C93,4)),VALUE(MID(C93,4,2)),VALUE(LEFT(C93,2)))
      ),
      IF(ISNUMBER(SEARCH("/",C93)*1),
        DATE(VALUE(RIGHT(C93,4)),VALUE(LEFT(C93,2)),VALUE(MID(C93,4,2))),
        DATEVALUE(C93)
      )
    )
  ),
"INVALID_DATE")</f>
        <v>45724</v>
      </c>
      <c r="AB93">
        <f>AA93-Z93</f>
        <v>6</v>
      </c>
      <c r="AC93" t="str">
        <f>TEXT(Z93,"mmmm")</f>
        <v>March</v>
      </c>
      <c r="AD93">
        <f>YEAR(Z93)</f>
        <v>2025</v>
      </c>
      <c r="AE93" t="str">
        <f t="shared" si="5"/>
        <v>OK</v>
      </c>
    </row>
    <row r="94" spans="1:31">
      <c r="A94" t="s">
        <v>566</v>
      </c>
      <c r="B94" t="s">
        <v>191</v>
      </c>
      <c r="C94" t="s">
        <v>567</v>
      </c>
      <c r="D94" t="s">
        <v>568</v>
      </c>
      <c r="E94" t="s">
        <v>169</v>
      </c>
      <c r="F94" t="s">
        <v>33</v>
      </c>
      <c r="G94" t="s">
        <v>80</v>
      </c>
      <c r="H94" t="s">
        <v>91</v>
      </c>
      <c r="I94" t="s">
        <v>92</v>
      </c>
      <c r="J94" t="s">
        <v>37</v>
      </c>
      <c r="K94" t="s">
        <v>38</v>
      </c>
      <c r="L94" t="s">
        <v>569</v>
      </c>
      <c r="M94" t="s">
        <v>74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41</v>
      </c>
      <c r="U94" t="s">
        <v>42</v>
      </c>
      <c r="V94">
        <f>O94*(1-P94)*N94</f>
        <v>36111.906000000003</v>
      </c>
      <c r="W94">
        <f t="shared" si="3"/>
        <v>6917.4060000000027</v>
      </c>
      <c r="X94">
        <f t="shared" si="4"/>
        <v>0.19155480837208552</v>
      </c>
      <c r="Y94" t="str">
        <f>_xlfn.TEXTJOIN(", ",TRUE,IF(G94="Unknown","Missing Region",""),IF(M94="Unknown","Missing Ship Mode",""),IF(P94&lt;0,"Negative Discount",""),IF(P94&gt;0.7,"High Discount",""),IF(C94&lt;B94,"Ship Before Order",""))</f>
        <v>Ship Before Order</v>
      </c>
      <c r="Z94" s="2">
        <f>IFERROR(
  IF(ISNUMBER(B94),B94,
    IF(ISNUMBER(SEARCH("-",B94)*1),
      IF(LEN(LEFT(B94,FIND("-",B94)-1))=4,
        DATE(VALUE(LEFT(B94,4)),VALUE(MID(B94,6,2)),VALUE(RIGHT(B94,2))),
        DATE(VALUE(RIGHT(B94,4)),VALUE(MID(B94,4,2)),VALUE(LEFT(B94,2)))
      ),
      IF(ISNUMBER(SEARCH("/",B94)*1),
        DATE(VALUE(RIGHT(B94,4)),VALUE(LEFT(B94,2)),VALUE(MID(B94,4,2))),
        DATEVALUE(B94)
      )
    )
  ),
"INVALID_DATE")</f>
        <v>45680</v>
      </c>
      <c r="AA94" s="2">
        <f>IFERROR(
  IF(ISNUMBER(C94),C94,
    IF(ISNUMBER(SEARCH("-",C94)*1),
      IF(LEN(LEFT(C94,FIND("-",C94)-1))=4,
        DATE(VALUE(LEFT(C94,4)),VALUE(MID(C94,6,2)),VALUE(RIGHT(C94,2))),
        DATE(VALUE(RIGHT(C94,4)),VALUE(MID(C94,4,2)),VALUE(LEFT(C94,2)))
      ),
      IF(ISNUMBER(SEARCH("/",C94)*1),
        DATE(VALUE(RIGHT(C94,4)),VALUE(LEFT(C94,2)),VALUE(MID(C94,4,2))),
        DATEVALUE(C94)
      )
    )
  ),
"INVALID_DATE")</f>
        <v>45683</v>
      </c>
      <c r="AB94">
        <f>AA94-Z94</f>
        <v>3</v>
      </c>
      <c r="AC94" t="str">
        <f>TEXT(Z94,"mmmm")</f>
        <v>January</v>
      </c>
      <c r="AD94">
        <f>YEAR(Z94)</f>
        <v>2025</v>
      </c>
      <c r="AE94" t="str">
        <f t="shared" si="5"/>
        <v>OK</v>
      </c>
    </row>
    <row r="95" spans="1:31">
      <c r="A95" t="s">
        <v>570</v>
      </c>
      <c r="B95" t="s">
        <v>172</v>
      </c>
      <c r="C95" t="s">
        <v>571</v>
      </c>
      <c r="D95" t="s">
        <v>572</v>
      </c>
      <c r="E95" t="s">
        <v>187</v>
      </c>
      <c r="F95" t="s">
        <v>115</v>
      </c>
      <c r="G95" t="s">
        <v>34</v>
      </c>
      <c r="H95" t="s">
        <v>181</v>
      </c>
      <c r="I95" t="s">
        <v>182</v>
      </c>
      <c r="J95" t="s">
        <v>37</v>
      </c>
      <c r="K95" t="s">
        <v>205</v>
      </c>
      <c r="L95" t="s">
        <v>573</v>
      </c>
      <c r="M95" t="s">
        <v>74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41</v>
      </c>
      <c r="U95" t="s">
        <v>42</v>
      </c>
      <c r="V95">
        <f>O95*(1-P95)*N95</f>
        <v>21279.841100000001</v>
      </c>
      <c r="W95">
        <f t="shared" si="3"/>
        <v>8824.0611000000008</v>
      </c>
      <c r="X95">
        <f t="shared" si="4"/>
        <v>0.36198770769956545</v>
      </c>
      <c r="Y95" t="str">
        <f>_xlfn.TEXTJOIN(", ",TRUE,IF(G95="Unknown","Missing Region",""),IF(M95="Unknown","Missing Ship Mode",""),IF(P95&lt;0,"Negative Discount",""),IF(P95&gt;0.7,"High Discount",""),IF(C95&lt;B95,"Ship Before Order",""))</f>
        <v>Negative Discount</v>
      </c>
      <c r="Z95" s="2">
        <f>IFERROR(
  IF(ISNUMBER(B95),B95,
    IF(ISNUMBER(SEARCH("-",B95)*1),
      IF(LEN(LEFT(B95,FIND("-",B95)-1))=4,
        DATE(VALUE(LEFT(B95,4)),VALUE(MID(B95,6,2)),VALUE(RIGHT(B95,2))),
        DATE(VALUE(RIGHT(B95,4)),VALUE(MID(B95,4,2)),VALUE(LEFT(B95,2)))
      ),
      IF(ISNUMBER(SEARCH("/",B95)*1),
        DATE(VALUE(RIGHT(B95,4)),VALUE(LEFT(B95,2)),VALUE(MID(B95,4,2))),
        DATEVALUE(B95)
      )
    )
  ),
"INVALID_DATE")</f>
        <v>45298</v>
      </c>
      <c r="AA95" s="2">
        <f>IFERROR(
  IF(ISNUMBER(C95),C95,
    IF(ISNUMBER(SEARCH("-",C95)*1),
      IF(LEN(LEFT(C95,FIND("-",C95)-1))=4,
        DATE(VALUE(LEFT(C95,4)),VALUE(MID(C95,6,2)),VALUE(RIGHT(C95,2))),
        DATE(VALUE(RIGHT(C95,4)),VALUE(MID(C95,4,2)),VALUE(LEFT(C95,2)))
      ),
      IF(ISNUMBER(SEARCH("/",C95)*1),
        DATE(VALUE(RIGHT(C95,4)),VALUE(LEFT(C95,2)),VALUE(MID(C95,4,2))),
        DATEVALUE(C95)
      )
    )
  ),
"INVALID_DATE")</f>
        <v>45304</v>
      </c>
      <c r="AB95">
        <f>AA95-Z95</f>
        <v>6</v>
      </c>
      <c r="AC95" t="str">
        <f>TEXT(Z95,"mmmm")</f>
        <v>January</v>
      </c>
      <c r="AD95">
        <f>YEAR(Z95)</f>
        <v>2024</v>
      </c>
      <c r="AE95" t="str">
        <f t="shared" si="5"/>
        <v>OK</v>
      </c>
    </row>
    <row r="96" spans="1:31">
      <c r="A96" t="s">
        <v>574</v>
      </c>
      <c r="B96" t="s">
        <v>575</v>
      </c>
      <c r="C96" t="s">
        <v>576</v>
      </c>
      <c r="D96" t="s">
        <v>577</v>
      </c>
      <c r="E96" t="s">
        <v>217</v>
      </c>
      <c r="F96" t="s">
        <v>33</v>
      </c>
      <c r="G96" t="s">
        <v>34</v>
      </c>
      <c r="H96" t="s">
        <v>331</v>
      </c>
      <c r="I96" t="s">
        <v>332</v>
      </c>
      <c r="J96" t="s">
        <v>93</v>
      </c>
      <c r="K96" t="s">
        <v>230</v>
      </c>
      <c r="L96" t="s">
        <v>578</v>
      </c>
      <c r="M96" t="s">
        <v>40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144</v>
      </c>
      <c r="U96" t="s">
        <v>85</v>
      </c>
      <c r="V96">
        <f>O96*(1-P96)*N96</f>
        <v>26470.710000000003</v>
      </c>
      <c r="W96">
        <f t="shared" si="3"/>
        <v>5103.1100000000042</v>
      </c>
      <c r="X96">
        <f t="shared" si="4"/>
        <v>0.19278326875251928</v>
      </c>
      <c r="Y96" t="str">
        <f>_xlfn.TEXTJOIN(", ",TRUE,IF(G96="Unknown","Missing Region",""),IF(M96="Unknown","Missing Ship Mode",""),IF(P96&lt;0,"Negative Discount",""),IF(P96&gt;0.7,"High Discount",""),IF(C96&lt;B96,"Ship Before Order",""))</f>
        <v>Ship Before Order</v>
      </c>
      <c r="Z96" s="2">
        <f>IFERROR(
  IF(ISNUMBER(B96),B96,
    IF(ISNUMBER(SEARCH("-",B96)*1),
      IF(LEN(LEFT(B96,FIND("-",B96)-1))=4,
        DATE(VALUE(LEFT(B96,4)),VALUE(MID(B96,6,2)),VALUE(RIGHT(B96,2))),
        DATE(VALUE(RIGHT(B96,4)),VALUE(MID(B96,4,2)),VALUE(LEFT(B96,2)))
      ),
      IF(ISNUMBER(SEARCH("/",B96)*1),
        DATE(VALUE(RIGHT(B96,4)),VALUE(LEFT(B96,2)),VALUE(MID(B96,4,2))),
        DATEVALUE(B96)
      )
    )
  ),
"INVALID_DATE")</f>
        <v>45541</v>
      </c>
      <c r="AA96" s="2">
        <f>IFERROR(
  IF(ISNUMBER(C96),C96,
    IF(ISNUMBER(SEARCH("-",C96)*1),
      IF(LEN(LEFT(C96,FIND("-",C96)-1))=4,
        DATE(VALUE(LEFT(C96,4)),VALUE(MID(C96,6,2)),VALUE(RIGHT(C96,2))),
        DATE(VALUE(RIGHT(C96,4)),VALUE(MID(C96,4,2)),VALUE(LEFT(C96,2)))
      ),
      IF(ISNUMBER(SEARCH("/",C96)*1),
        DATE(VALUE(RIGHT(C96,4)),VALUE(LEFT(C96,2)),VALUE(MID(C96,4,2))),
        DATEVALUE(C96)
      )
    )
  ),
"INVALID_DATE")</f>
        <v>45544</v>
      </c>
      <c r="AB96">
        <f>AA96-Z96</f>
        <v>3</v>
      </c>
      <c r="AC96" t="str">
        <f>TEXT(Z96,"mmmm")</f>
        <v>September</v>
      </c>
      <c r="AD96">
        <f>YEAR(Z96)</f>
        <v>2024</v>
      </c>
      <c r="AE96" t="str">
        <f t="shared" si="5"/>
        <v>OK</v>
      </c>
    </row>
    <row r="97" spans="1:31">
      <c r="A97" t="s">
        <v>579</v>
      </c>
      <c r="B97" t="s">
        <v>580</v>
      </c>
      <c r="C97" t="s">
        <v>581</v>
      </c>
      <c r="D97" t="s">
        <v>582</v>
      </c>
      <c r="E97" t="s">
        <v>175</v>
      </c>
      <c r="F97" t="s">
        <v>115</v>
      </c>
      <c r="G97" t="s">
        <v>80</v>
      </c>
      <c r="H97" t="s">
        <v>256</v>
      </c>
      <c r="I97" t="s">
        <v>257</v>
      </c>
      <c r="J97" t="s">
        <v>52</v>
      </c>
      <c r="K97" t="s">
        <v>211</v>
      </c>
      <c r="L97" t="s">
        <v>583</v>
      </c>
      <c r="M97" t="s">
        <v>55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41</v>
      </c>
      <c r="U97" t="s">
        <v>42</v>
      </c>
      <c r="V97">
        <f>O97*(1-P97)*N97</f>
        <v>10524.78</v>
      </c>
      <c r="W97">
        <f t="shared" si="3"/>
        <v>1683.7300000000014</v>
      </c>
      <c r="X97">
        <f t="shared" si="4"/>
        <v>0.1599776907450797</v>
      </c>
      <c r="Y97" t="s">
        <v>4120</v>
      </c>
      <c r="Z97" s="2">
        <f>IFERROR(
  IF(ISNUMBER(B97),B97,
    IF(ISNUMBER(SEARCH("-",B97)*1),
      IF(LEN(LEFT(B97,FIND("-",B97)-1))=4,
        DATE(VALUE(LEFT(B97,4)),VALUE(MID(B97,6,2)),VALUE(RIGHT(B97,2))),
        DATE(VALUE(RIGHT(B97,4)),VALUE(MID(B97,4,2)),VALUE(LEFT(B97,2)))
      ),
      IF(ISNUMBER(SEARCH("/",B97)*1),
        DATE(VALUE(RIGHT(B97,4)),VALUE(LEFT(B97,2)),VALUE(MID(B97,4,2))),
        DATEVALUE(B97)
      )
    )
  ),
"INVALID_DATE")</f>
        <v>45905</v>
      </c>
      <c r="AA97" s="2">
        <f>IFERROR(
  IF(ISNUMBER(C97),C97,
    IF(ISNUMBER(SEARCH("-",C97)*1),
      IF(LEN(LEFT(C97,FIND("-",C97)-1))=4,
        DATE(VALUE(LEFT(C97,4)),VALUE(MID(C97,6,2)),VALUE(RIGHT(C97,2))),
        DATE(VALUE(RIGHT(C97,4)),VALUE(MID(C97,4,2)),VALUE(LEFT(C97,2)))
      ),
      IF(ISNUMBER(SEARCH("/",C97)*1),
        DATE(VALUE(RIGHT(C97,4)),VALUE(LEFT(C97,2)),VALUE(MID(C97,4,2))),
        DATEVALUE(C97)
      )
    )
  ),
"INVALID_DATE")</f>
        <v>45910</v>
      </c>
      <c r="AB97">
        <f>AA97-Z97</f>
        <v>5</v>
      </c>
      <c r="AC97" t="str">
        <f>TEXT(Z97,"mmmm")</f>
        <v>September</v>
      </c>
      <c r="AD97">
        <f>YEAR(Z97)</f>
        <v>2025</v>
      </c>
      <c r="AE97" t="str">
        <f t="shared" si="5"/>
        <v>OK</v>
      </c>
    </row>
    <row r="98" spans="1:31">
      <c r="A98" t="s">
        <v>584</v>
      </c>
      <c r="B98" t="s">
        <v>585</v>
      </c>
      <c r="C98" t="s">
        <v>586</v>
      </c>
      <c r="D98" t="s">
        <v>587</v>
      </c>
      <c r="E98" t="s">
        <v>155</v>
      </c>
      <c r="F98" t="s">
        <v>122</v>
      </c>
      <c r="G98" t="s">
        <v>49</v>
      </c>
      <c r="H98" t="s">
        <v>50</v>
      </c>
      <c r="I98" t="s">
        <v>51</v>
      </c>
      <c r="J98" t="s">
        <v>93</v>
      </c>
      <c r="K98" t="s">
        <v>101</v>
      </c>
      <c r="L98" t="s">
        <v>588</v>
      </c>
      <c r="M98" t="s">
        <v>40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41</v>
      </c>
      <c r="U98" t="s">
        <v>42</v>
      </c>
      <c r="V98">
        <f>O98*(1-P98)*N98</f>
        <v>3840.7079999999996</v>
      </c>
      <c r="W98">
        <f t="shared" si="3"/>
        <v>1324.4179999999997</v>
      </c>
      <c r="X98">
        <f t="shared" si="4"/>
        <v>0.34483728268991931</v>
      </c>
      <c r="Y98" t="s">
        <v>4120</v>
      </c>
      <c r="Z98" s="2">
        <f>IFERROR(
  IF(ISNUMBER(B98),B98,
    IF(ISNUMBER(SEARCH("-",B98)*1),
      IF(LEN(LEFT(B98,FIND("-",B98)-1))=4,
        DATE(VALUE(LEFT(B98,4)),VALUE(MID(B98,6,2)),VALUE(RIGHT(B98,2))),
        DATE(VALUE(RIGHT(B98,4)),VALUE(MID(B98,4,2)),VALUE(LEFT(B98,2)))
      ),
      IF(ISNUMBER(SEARCH("/",B98)*1),
        DATE(VALUE(RIGHT(B98,4)),VALUE(LEFT(B98,2)),VALUE(MID(B98,4,2))),
        DATEVALUE(B98)
      )
    )
  ),
"INVALID_DATE")</f>
        <v>45448</v>
      </c>
      <c r="AA98" s="2">
        <f>IFERROR(
  IF(ISNUMBER(C98),C98,
    IF(ISNUMBER(SEARCH("-",C98)*1),
      IF(LEN(LEFT(C98,FIND("-",C98)-1))=4,
        DATE(VALUE(LEFT(C98,4)),VALUE(MID(C98,6,2)),VALUE(RIGHT(C98,2))),
        DATE(VALUE(RIGHT(C98,4)),VALUE(MID(C98,4,2)),VALUE(LEFT(C98,2)))
      ),
      IF(ISNUMBER(SEARCH("/",C98)*1),
        DATE(VALUE(RIGHT(C98,4)),VALUE(LEFT(C98,2)),VALUE(MID(C98,4,2))),
        DATEVALUE(C98)
      )
    )
  ),
"INVALID_DATE")</f>
        <v>45450</v>
      </c>
      <c r="AB98">
        <f>AA98-Z98</f>
        <v>2</v>
      </c>
      <c r="AC98" t="str">
        <f>TEXT(Z98,"mmmm")</f>
        <v>June</v>
      </c>
      <c r="AD98">
        <f>YEAR(Z98)</f>
        <v>2024</v>
      </c>
      <c r="AE98" t="str">
        <f t="shared" si="5"/>
        <v>OK</v>
      </c>
    </row>
    <row r="99" spans="1:31">
      <c r="A99" t="s">
        <v>589</v>
      </c>
      <c r="B99" t="s">
        <v>590</v>
      </c>
      <c r="C99" t="s">
        <v>591</v>
      </c>
      <c r="D99" t="s">
        <v>592</v>
      </c>
      <c r="E99" t="s">
        <v>217</v>
      </c>
      <c r="F99" t="s">
        <v>48</v>
      </c>
      <c r="G99" t="s">
        <v>80</v>
      </c>
      <c r="H99" t="s">
        <v>242</v>
      </c>
      <c r="I99" t="s">
        <v>243</v>
      </c>
      <c r="J99" t="s">
        <v>37</v>
      </c>
      <c r="K99" t="s">
        <v>163</v>
      </c>
      <c r="L99" t="s">
        <v>593</v>
      </c>
      <c r="M99" t="s">
        <v>55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144</v>
      </c>
      <c r="U99" t="s">
        <v>132</v>
      </c>
      <c r="V99">
        <f>O99*(1-P99)*N99</f>
        <v>14409.440000000002</v>
      </c>
      <c r="W99">
        <f t="shared" si="3"/>
        <v>5599.470000000003</v>
      </c>
      <c r="X99">
        <f t="shared" si="4"/>
        <v>0.3885973361907194</v>
      </c>
      <c r="Y99" t="s">
        <v>4120</v>
      </c>
      <c r="Z99" s="2">
        <f>IFERROR(
  IF(ISNUMBER(B99),B99,
    IF(ISNUMBER(SEARCH("-",B99)*1),
      IF(LEN(LEFT(B99,FIND("-",B99)-1))=4,
        DATE(VALUE(LEFT(B99,4)),VALUE(MID(B99,6,2)),VALUE(RIGHT(B99,2))),
        DATE(VALUE(RIGHT(B99,4)),VALUE(MID(B99,4,2)),VALUE(LEFT(B99,2)))
      ),
      IF(ISNUMBER(SEARCH("/",B99)*1),
        DATE(VALUE(RIGHT(B99,4)),VALUE(LEFT(B99,2)),VALUE(MID(B99,4,2))),
        DATEVALUE(B99)
      )
    )
  ),
"INVALID_DATE")</f>
        <v>45877</v>
      </c>
      <c r="AA99" s="2">
        <f>IFERROR(
  IF(ISNUMBER(C99),C99,
    IF(ISNUMBER(SEARCH("-",C99)*1),
      IF(LEN(LEFT(C99,FIND("-",C99)-1))=4,
        DATE(VALUE(LEFT(C99,4)),VALUE(MID(C99,6,2)),VALUE(RIGHT(C99,2))),
        DATE(VALUE(RIGHT(C99,4)),VALUE(MID(C99,4,2)),VALUE(LEFT(C99,2)))
      ),
      IF(ISNUMBER(SEARCH("/",C99)*1),
        DATE(VALUE(RIGHT(C99,4)),VALUE(LEFT(C99,2)),VALUE(MID(C99,4,2))),
        DATEVALUE(C99)
      )
    )
  ),
"INVALID_DATE")</f>
        <v>45880</v>
      </c>
      <c r="AB99">
        <f>AA99-Z99</f>
        <v>3</v>
      </c>
      <c r="AC99" t="str">
        <f>TEXT(Z99,"mmmm")</f>
        <v>August</v>
      </c>
      <c r="AD99">
        <f>YEAR(Z99)</f>
        <v>2025</v>
      </c>
      <c r="AE99" t="str">
        <f t="shared" si="5"/>
        <v>OK</v>
      </c>
    </row>
    <row r="100" spans="1:31">
      <c r="A100" t="s">
        <v>594</v>
      </c>
      <c r="B100" t="s">
        <v>595</v>
      </c>
      <c r="C100" t="s">
        <v>596</v>
      </c>
      <c r="D100" t="s">
        <v>597</v>
      </c>
      <c r="E100" t="s">
        <v>187</v>
      </c>
      <c r="F100" t="s">
        <v>122</v>
      </c>
      <c r="G100" t="s">
        <v>69</v>
      </c>
      <c r="H100" t="s">
        <v>249</v>
      </c>
      <c r="I100" t="s">
        <v>250</v>
      </c>
      <c r="J100" t="s">
        <v>93</v>
      </c>
      <c r="K100" t="s">
        <v>101</v>
      </c>
      <c r="L100" t="s">
        <v>598</v>
      </c>
      <c r="M100" t="s">
        <v>279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41</v>
      </c>
      <c r="U100" t="s">
        <v>42</v>
      </c>
      <c r="V100">
        <f>O100*(1-P100)*N100</f>
        <v>15184.295999999998</v>
      </c>
      <c r="W100">
        <f t="shared" si="3"/>
        <v>3913.5559999999987</v>
      </c>
      <c r="X100">
        <f t="shared" si="4"/>
        <v>0.25773726809928676</v>
      </c>
      <c r="Y100" t="str">
        <f>_xlfn.TEXTJOIN(", ",TRUE,IF(G100="Unknown","Missing Region",""),IF(M100="Unknown","Missing Ship Mode",""),IF(P100&lt;0,"Negative Discount",""),IF(P100&gt;0.7,"High Discount",""),IF(C100&lt;B100,"Ship Before Order",""))</f>
        <v>Missing Ship Mode, Ship Before Order</v>
      </c>
      <c r="Z100" s="2">
        <f>IFERROR(
  IF(ISNUMBER(B100),B100,
    IF(ISNUMBER(SEARCH("-",B100)*1),
      IF(LEN(LEFT(B100,FIND("-",B100)-1))=4,
        DATE(VALUE(LEFT(B100,4)),VALUE(MID(B100,6,2)),VALUE(RIGHT(B100,2))),
        DATE(VALUE(RIGHT(B100,4)),VALUE(MID(B100,4,2)),VALUE(LEFT(B100,2)))
      ),
      IF(ISNUMBER(SEARCH("/",B100)*1),
        DATE(VALUE(RIGHT(B100,4)),VALUE(LEFT(B100,2)),VALUE(MID(B100,4,2))),
        DATEVALUE(B100)
      )
    )
  ),
"INVALID_DATE")</f>
        <v>45317</v>
      </c>
      <c r="AA100" s="2">
        <f>IFERROR(
  IF(ISNUMBER(C100),C100,
    IF(ISNUMBER(SEARCH("-",C100)*1),
      IF(LEN(LEFT(C100,FIND("-",C100)-1))=4,
        DATE(VALUE(LEFT(C100,4)),VALUE(MID(C100,6,2)),VALUE(RIGHT(C100,2))),
        DATE(VALUE(RIGHT(C100,4)),VALUE(MID(C100,4,2)),VALUE(LEFT(C100,2)))
      ),
      IF(ISNUMBER(SEARCH("/",C100)*1),
        DATE(VALUE(RIGHT(C100,4)),VALUE(LEFT(C100,2)),VALUE(MID(C100,4,2))),
        DATEVALUE(C100)
      )
    )
  ),
"INVALID_DATE")</f>
        <v>45323</v>
      </c>
      <c r="AB100">
        <f>AA100-Z100</f>
        <v>6</v>
      </c>
      <c r="AC100" t="str">
        <f>TEXT(Z100,"mmmm")</f>
        <v>January</v>
      </c>
      <c r="AD100">
        <f>YEAR(Z100)</f>
        <v>2024</v>
      </c>
      <c r="AE100" t="str">
        <f t="shared" si="5"/>
        <v>OK</v>
      </c>
    </row>
    <row r="101" spans="1:31">
      <c r="A101" t="s">
        <v>599</v>
      </c>
      <c r="B101" t="s">
        <v>600</v>
      </c>
      <c r="C101" t="s">
        <v>600</v>
      </c>
      <c r="D101" t="s">
        <v>601</v>
      </c>
      <c r="E101" t="s">
        <v>114</v>
      </c>
      <c r="F101" t="s">
        <v>48</v>
      </c>
      <c r="G101" t="s">
        <v>80</v>
      </c>
      <c r="H101" t="s">
        <v>35</v>
      </c>
      <c r="I101" t="s">
        <v>142</v>
      </c>
      <c r="J101" t="s">
        <v>93</v>
      </c>
      <c r="K101" t="s">
        <v>94</v>
      </c>
      <c r="L101" t="s">
        <v>602</v>
      </c>
      <c r="M101" t="s">
        <v>55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41</v>
      </c>
      <c r="U101" t="s">
        <v>42</v>
      </c>
      <c r="V101">
        <f>O101*(1-P101)*N101</f>
        <v>6495.87</v>
      </c>
      <c r="W101">
        <f t="shared" si="3"/>
        <v>1794.9799999999996</v>
      </c>
      <c r="X101">
        <f t="shared" si="4"/>
        <v>0.27632634273777029</v>
      </c>
      <c r="Y101" t="s">
        <v>4120</v>
      </c>
      <c r="Z101" s="2">
        <f>IFERROR(
  IF(ISNUMBER(B101),B101,
    IF(ISNUMBER(SEARCH("-",B101)*1),
      IF(LEN(LEFT(B101,FIND("-",B101)-1))=4,
        DATE(VALUE(LEFT(B101,4)),VALUE(MID(B101,6,2)),VALUE(RIGHT(B101,2))),
        DATE(VALUE(RIGHT(B101,4)),VALUE(MID(B101,4,2)),VALUE(LEFT(B101,2)))
      ),
      IF(ISNUMBER(SEARCH("/",B101)*1),
        DATE(VALUE(RIGHT(B101,4)),VALUE(LEFT(B101,2)),VALUE(MID(B101,4,2))),
        DATEVALUE(B101)
      )
    )
  ),
"INVALID_DATE")</f>
        <v>45668</v>
      </c>
      <c r="AA101" s="2">
        <f>IFERROR(
  IF(ISNUMBER(C101),C101,
    IF(ISNUMBER(SEARCH("-",C101)*1),
      IF(LEN(LEFT(C101,FIND("-",C101)-1))=4,
        DATE(VALUE(LEFT(C101,4)),VALUE(MID(C101,6,2)),VALUE(RIGHT(C101,2))),
        DATE(VALUE(RIGHT(C101,4)),VALUE(MID(C101,4,2)),VALUE(LEFT(C101,2)))
      ),
      IF(ISNUMBER(SEARCH("/",C101)*1),
        DATE(VALUE(RIGHT(C101,4)),VALUE(LEFT(C101,2)),VALUE(MID(C101,4,2))),
        DATEVALUE(C101)
      )
    )
  ),
"INVALID_DATE")</f>
        <v>45668</v>
      </c>
      <c r="AB101">
        <f>AA101-Z101</f>
        <v>0</v>
      </c>
      <c r="AC101" t="str">
        <f>TEXT(Z101,"mmmm")</f>
        <v>January</v>
      </c>
      <c r="AD101">
        <f>YEAR(Z101)</f>
        <v>2025</v>
      </c>
      <c r="AE101" t="str">
        <f t="shared" si="5"/>
        <v>OK</v>
      </c>
    </row>
    <row r="102" spans="1:31">
      <c r="A102" t="s">
        <v>603</v>
      </c>
      <c r="B102" t="s">
        <v>604</v>
      </c>
      <c r="C102" t="s">
        <v>605</v>
      </c>
      <c r="D102" t="s">
        <v>606</v>
      </c>
      <c r="E102" t="s">
        <v>169</v>
      </c>
      <c r="F102" t="s">
        <v>122</v>
      </c>
      <c r="G102" t="s">
        <v>69</v>
      </c>
      <c r="H102" t="s">
        <v>249</v>
      </c>
      <c r="I102" t="s">
        <v>250</v>
      </c>
      <c r="J102" t="s">
        <v>37</v>
      </c>
      <c r="K102" t="s">
        <v>163</v>
      </c>
      <c r="L102" t="s">
        <v>607</v>
      </c>
      <c r="M102" t="s">
        <v>74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41</v>
      </c>
      <c r="U102" t="s">
        <v>42</v>
      </c>
      <c r="V102">
        <f>O102*(1-P102)*N102</f>
        <v>9540.66</v>
      </c>
      <c r="W102">
        <f t="shared" si="3"/>
        <v>3979.17</v>
      </c>
      <c r="X102">
        <f t="shared" si="4"/>
        <v>0.41707491934520252</v>
      </c>
      <c r="Y102" t="s">
        <v>4120</v>
      </c>
      <c r="Z102" s="2">
        <f>IFERROR(
  IF(ISNUMBER(B102),B102,
    IF(ISNUMBER(SEARCH("-",B102)*1),
      IF(LEN(LEFT(B102,FIND("-",B102)-1))=4,
        DATE(VALUE(LEFT(B102,4)),VALUE(MID(B102,6,2)),VALUE(RIGHT(B102,2))),
        DATE(VALUE(RIGHT(B102,4)),VALUE(MID(B102,4,2)),VALUE(LEFT(B102,2)))
      ),
      IF(ISNUMBER(SEARCH("/",B102)*1),
        DATE(VALUE(RIGHT(B102,4)),VALUE(LEFT(B102,2)),VALUE(MID(B102,4,2))),
        DATEVALUE(B102)
      )
    )
  ),
"INVALID_DATE")</f>
        <v>45912</v>
      </c>
      <c r="AA102" s="2">
        <f>IFERROR(
  IF(ISNUMBER(C102),C102,
    IF(ISNUMBER(SEARCH("-",C102)*1),
      IF(LEN(LEFT(C102,FIND("-",C102)-1))=4,
        DATE(VALUE(LEFT(C102,4)),VALUE(MID(C102,6,2)),VALUE(RIGHT(C102,2))),
        DATE(VALUE(RIGHT(C102,4)),VALUE(MID(C102,4,2)),VALUE(LEFT(C102,2)))
      ),
      IF(ISNUMBER(SEARCH("/",C102)*1),
        DATE(VALUE(RIGHT(C102,4)),VALUE(LEFT(C102,2)),VALUE(MID(C102,4,2))),
        DATEVALUE(C102)
      )
    )
  ),
"INVALID_DATE")</f>
        <v>45918</v>
      </c>
      <c r="AB102">
        <f>AA102-Z102</f>
        <v>6</v>
      </c>
      <c r="AC102" t="str">
        <f>TEXT(Z102,"mmmm")</f>
        <v>September</v>
      </c>
      <c r="AD102">
        <f>YEAR(Z102)</f>
        <v>2025</v>
      </c>
      <c r="AE102" t="str">
        <f t="shared" si="5"/>
        <v>OK</v>
      </c>
    </row>
    <row r="103" spans="1:31">
      <c r="A103" t="s">
        <v>608</v>
      </c>
      <c r="B103" t="s">
        <v>328</v>
      </c>
      <c r="C103" t="s">
        <v>609</v>
      </c>
      <c r="D103" t="s">
        <v>610</v>
      </c>
      <c r="E103" t="s">
        <v>187</v>
      </c>
      <c r="F103" t="s">
        <v>122</v>
      </c>
      <c r="G103" t="s">
        <v>49</v>
      </c>
      <c r="H103" t="s">
        <v>193</v>
      </c>
      <c r="I103" t="s">
        <v>194</v>
      </c>
      <c r="J103" t="s">
        <v>52</v>
      </c>
      <c r="K103" t="s">
        <v>72</v>
      </c>
      <c r="L103" t="s">
        <v>611</v>
      </c>
      <c r="M103" t="s">
        <v>63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41</v>
      </c>
      <c r="U103" t="s">
        <v>42</v>
      </c>
      <c r="V103">
        <f>O103*(1-P103)*N103</f>
        <v>16486.95</v>
      </c>
      <c r="W103">
        <f t="shared" si="3"/>
        <v>4432.8100000000013</v>
      </c>
      <c r="X103">
        <f t="shared" si="4"/>
        <v>0.2688678015036135</v>
      </c>
      <c r="Y103" t="s">
        <v>4120</v>
      </c>
      <c r="Z103" s="2">
        <f>IFERROR(
  IF(ISNUMBER(B103),B103,
    IF(ISNUMBER(SEARCH("-",B103)*1),
      IF(LEN(LEFT(B103,FIND("-",B103)-1))=4,
        DATE(VALUE(LEFT(B103,4)),VALUE(MID(B103,6,2)),VALUE(RIGHT(B103,2))),
        DATE(VALUE(RIGHT(B103,4)),VALUE(MID(B103,4,2)),VALUE(LEFT(B103,2)))
      ),
      IF(ISNUMBER(SEARCH("/",B103)*1),
        DATE(VALUE(RIGHT(B103,4)),VALUE(LEFT(B103,2)),VALUE(MID(B103,4,2))),
        DATEVALUE(B103)
      )
    )
  ),
"INVALID_DATE")</f>
        <v>45465</v>
      </c>
      <c r="AA103" s="2">
        <f>IFERROR(
  IF(ISNUMBER(C103),C103,
    IF(ISNUMBER(SEARCH("-",C103)*1),
      IF(LEN(LEFT(C103,FIND("-",C103)-1))=4,
        DATE(VALUE(LEFT(C103,4)),VALUE(MID(C103,6,2)),VALUE(RIGHT(C103,2))),
        DATE(VALUE(RIGHT(C103,4)),VALUE(MID(C103,4,2)),VALUE(LEFT(C103,2)))
      ),
      IF(ISNUMBER(SEARCH("/",C103)*1),
        DATE(VALUE(RIGHT(C103,4)),VALUE(LEFT(C103,2)),VALUE(MID(C103,4,2))),
        DATEVALUE(C103)
      )
    )
  ),
"INVALID_DATE")</f>
        <v>45469</v>
      </c>
      <c r="AB103">
        <f>AA103-Z103</f>
        <v>4</v>
      </c>
      <c r="AC103" t="str">
        <f>TEXT(Z103,"mmmm")</f>
        <v>June</v>
      </c>
      <c r="AD103">
        <f>YEAR(Z103)</f>
        <v>2024</v>
      </c>
      <c r="AE103" t="str">
        <f t="shared" si="5"/>
        <v>OK</v>
      </c>
    </row>
    <row r="104" spans="1:31">
      <c r="A104" t="s">
        <v>612</v>
      </c>
      <c r="B104" t="s">
        <v>613</v>
      </c>
      <c r="C104" t="s">
        <v>614</v>
      </c>
      <c r="D104" t="s">
        <v>615</v>
      </c>
      <c r="E104" t="s">
        <v>90</v>
      </c>
      <c r="F104" t="s">
        <v>33</v>
      </c>
      <c r="G104" t="s">
        <v>69</v>
      </c>
      <c r="H104" t="s">
        <v>236</v>
      </c>
      <c r="I104" t="s">
        <v>237</v>
      </c>
      <c r="J104" t="s">
        <v>52</v>
      </c>
      <c r="K104" t="s">
        <v>83</v>
      </c>
      <c r="L104" t="s">
        <v>616</v>
      </c>
      <c r="M104" t="s">
        <v>63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131</v>
      </c>
      <c r="U104" t="s">
        <v>85</v>
      </c>
      <c r="V104">
        <f>O104*(1-P104)*N104</f>
        <v>11462.84</v>
      </c>
      <c r="W104">
        <f t="shared" si="3"/>
        <v>2483.0599999999995</v>
      </c>
      <c r="X104">
        <f t="shared" si="4"/>
        <v>0.2166182202665308</v>
      </c>
      <c r="Y104" t="s">
        <v>4120</v>
      </c>
      <c r="Z104" s="2">
        <f>IFERROR(
  IF(ISNUMBER(B104),B104,
    IF(ISNUMBER(SEARCH("-",B104)*1),
      IF(LEN(LEFT(B104,FIND("-",B104)-1))=4,
        DATE(VALUE(LEFT(B104,4)),VALUE(MID(B104,6,2)),VALUE(RIGHT(B104,2))),
        DATE(VALUE(RIGHT(B104,4)),VALUE(MID(B104,4,2)),VALUE(LEFT(B104,2)))
      ),
      IF(ISNUMBER(SEARCH("/",B104)*1),
        DATE(VALUE(RIGHT(B104,4)),VALUE(LEFT(B104,2)),VALUE(MID(B104,4,2))),
        DATEVALUE(B104)
      )
    )
  ),
"INVALID_DATE")</f>
        <v>45850</v>
      </c>
      <c r="AA104" s="2">
        <f>IFERROR(
  IF(ISNUMBER(C104),C104,
    IF(ISNUMBER(SEARCH("-",C104)*1),
      IF(LEN(LEFT(C104,FIND("-",C104)-1))=4,
        DATE(VALUE(LEFT(C104,4)),VALUE(MID(C104,6,2)),VALUE(RIGHT(C104,2))),
        DATE(VALUE(RIGHT(C104,4)),VALUE(MID(C104,4,2)),VALUE(LEFT(C104,2)))
      ),
      IF(ISNUMBER(SEARCH("/",C104)*1),
        DATE(VALUE(RIGHT(C104,4)),VALUE(LEFT(C104,2)),VALUE(MID(C104,4,2))),
        DATEVALUE(C104)
      )
    )
  ),
"INVALID_DATE")</f>
        <v>45854</v>
      </c>
      <c r="AB104">
        <f>AA104-Z104</f>
        <v>4</v>
      </c>
      <c r="AC104" t="str">
        <f>TEXT(Z104,"mmmm")</f>
        <v>July</v>
      </c>
      <c r="AD104">
        <f>YEAR(Z104)</f>
        <v>2025</v>
      </c>
      <c r="AE104" t="str">
        <f t="shared" si="5"/>
        <v>OK</v>
      </c>
    </row>
    <row r="105" spans="1:31">
      <c r="A105" t="s">
        <v>617</v>
      </c>
      <c r="B105" t="s">
        <v>618</v>
      </c>
      <c r="C105" t="s">
        <v>619</v>
      </c>
      <c r="D105" t="s">
        <v>620</v>
      </c>
      <c r="E105" t="s">
        <v>374</v>
      </c>
      <c r="F105" t="s">
        <v>115</v>
      </c>
      <c r="G105" t="s">
        <v>80</v>
      </c>
      <c r="H105" t="s">
        <v>81</v>
      </c>
      <c r="I105" t="s">
        <v>82</v>
      </c>
      <c r="J105" t="s">
        <v>52</v>
      </c>
      <c r="K105" t="s">
        <v>53</v>
      </c>
      <c r="L105" t="s">
        <v>621</v>
      </c>
      <c r="M105" t="s">
        <v>63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41</v>
      </c>
      <c r="U105" t="s">
        <v>42</v>
      </c>
      <c r="V105">
        <f>O105*(1-P105)*N105</f>
        <v>7809.0880000000006</v>
      </c>
      <c r="W105">
        <f t="shared" si="3"/>
        <v>1151.3380000000006</v>
      </c>
      <c r="X105">
        <f t="shared" si="4"/>
        <v>0.147435872809764</v>
      </c>
      <c r="Y105" t="s">
        <v>4120</v>
      </c>
      <c r="Z105" s="2">
        <f>IFERROR(
  IF(ISNUMBER(B105),B105,
    IF(ISNUMBER(SEARCH("-",B105)*1),
      IF(LEN(LEFT(B105,FIND("-",B105)-1))=4,
        DATE(VALUE(LEFT(B105,4)),VALUE(MID(B105,6,2)),VALUE(RIGHT(B105,2))),
        DATE(VALUE(RIGHT(B105,4)),VALUE(MID(B105,4,2)),VALUE(LEFT(B105,2)))
      ),
      IF(ISNUMBER(SEARCH("/",B105)*1),
        DATE(VALUE(RIGHT(B105,4)),VALUE(LEFT(B105,2)),VALUE(MID(B105,4,2))),
        DATEVALUE(B105)
      )
    )
  ),
"INVALID_DATE")</f>
        <v>45779</v>
      </c>
      <c r="AA105" s="2">
        <f>IFERROR(
  IF(ISNUMBER(C105),C105,
    IF(ISNUMBER(SEARCH("-",C105)*1),
      IF(LEN(LEFT(C105,FIND("-",C105)-1))=4,
        DATE(VALUE(LEFT(C105,4)),VALUE(MID(C105,6,2)),VALUE(RIGHT(C105,2))),
        DATE(VALUE(RIGHT(C105,4)),VALUE(MID(C105,4,2)),VALUE(LEFT(C105,2)))
      ),
      IF(ISNUMBER(SEARCH("/",C105)*1),
        DATE(VALUE(RIGHT(C105,4)),VALUE(LEFT(C105,2)),VALUE(MID(C105,4,2))),
        DATEVALUE(C105)
      )
    )
  ),
"INVALID_DATE")</f>
        <v>45787</v>
      </c>
      <c r="AB105">
        <f>AA105-Z105</f>
        <v>8</v>
      </c>
      <c r="AC105" t="str">
        <f>TEXT(Z105,"mmmm")</f>
        <v>May</v>
      </c>
      <c r="AD105">
        <f>YEAR(Z105)</f>
        <v>2025</v>
      </c>
      <c r="AE105" t="str">
        <f t="shared" si="5"/>
        <v>OK</v>
      </c>
    </row>
    <row r="106" spans="1:31">
      <c r="A106" t="s">
        <v>622</v>
      </c>
      <c r="B106" t="s">
        <v>623</v>
      </c>
      <c r="C106" t="s">
        <v>624</v>
      </c>
      <c r="D106" t="s">
        <v>625</v>
      </c>
      <c r="E106" t="s">
        <v>79</v>
      </c>
      <c r="F106" t="s">
        <v>33</v>
      </c>
      <c r="G106" t="s">
        <v>69</v>
      </c>
      <c r="H106" t="s">
        <v>236</v>
      </c>
      <c r="I106" t="s">
        <v>237</v>
      </c>
      <c r="J106" t="s">
        <v>37</v>
      </c>
      <c r="K106" t="s">
        <v>116</v>
      </c>
      <c r="L106" t="s">
        <v>626</v>
      </c>
      <c r="M106" t="s">
        <v>55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41</v>
      </c>
      <c r="U106" t="s">
        <v>85</v>
      </c>
      <c r="V106">
        <f>O106*(1-P106)*N106</f>
        <v>7922.0249999999996</v>
      </c>
      <c r="W106">
        <f t="shared" si="3"/>
        <v>2302.0749999999998</v>
      </c>
      <c r="X106">
        <f t="shared" si="4"/>
        <v>0.27868665909646678</v>
      </c>
      <c r="Y106" t="str">
        <f>_xlfn.TEXTJOIN(", ",TRUE,IF(G106="Unknown","Missing Region",""),IF(M106="Unknown","Missing Ship Mode",""),IF(P106&lt;0,"Negative Discount",""),IF(P106&gt;0.7,"High Discount",""),IF(C106&lt;B106,"Ship Before Order",""))</f>
        <v>Ship Before Order</v>
      </c>
      <c r="Z106" s="2">
        <f>IFERROR(
  IF(ISNUMBER(B106),B106,
    IF(ISNUMBER(SEARCH("-",B106)*1),
      IF(LEN(LEFT(B106,FIND("-",B106)-1))=4,
        DATE(VALUE(LEFT(B106,4)),VALUE(MID(B106,6,2)),VALUE(RIGHT(B106,2))),
        DATE(VALUE(RIGHT(B106,4)),VALUE(MID(B106,4,2)),VALUE(LEFT(B106,2)))
      ),
      IF(ISNUMBER(SEARCH("/",B106)*1),
        DATE(VALUE(RIGHT(B106,4)),VALUE(LEFT(B106,2)),VALUE(MID(B106,4,2))),
        DATEVALUE(B106)
      )
    )
  ),
"INVALID_DATE")</f>
        <v>45689</v>
      </c>
      <c r="AA106" s="2">
        <f>IFERROR(
  IF(ISNUMBER(C106),C106,
    IF(ISNUMBER(SEARCH("-",C106)*1),
      IF(LEN(LEFT(C106,FIND("-",C106)-1))=4,
        DATE(VALUE(LEFT(C106,4)),VALUE(MID(C106,6,2)),VALUE(RIGHT(C106,2))),
        DATE(VALUE(RIGHT(C106,4)),VALUE(MID(C106,4,2)),VALUE(LEFT(C106,2)))
      ),
      IF(ISNUMBER(SEARCH("/",C106)*1),
        DATE(VALUE(RIGHT(C106,4)),VALUE(LEFT(C106,2)),VALUE(MID(C106,4,2))),
        DATEVALUE(C106)
      )
    )
  ),
"INVALID_DATE")</f>
        <v>45696</v>
      </c>
      <c r="AB106">
        <f>AA106-Z106</f>
        <v>7</v>
      </c>
      <c r="AC106" t="str">
        <f>TEXT(Z106,"mmmm")</f>
        <v>February</v>
      </c>
      <c r="AD106">
        <f>YEAR(Z106)</f>
        <v>2025</v>
      </c>
      <c r="AE106" t="str">
        <f t="shared" si="5"/>
        <v>OK</v>
      </c>
    </row>
    <row r="107" spans="1:31">
      <c r="A107" t="s">
        <v>627</v>
      </c>
      <c r="B107" t="s">
        <v>628</v>
      </c>
      <c r="C107" t="s">
        <v>629</v>
      </c>
      <c r="D107" t="s">
        <v>630</v>
      </c>
      <c r="E107" t="s">
        <v>47</v>
      </c>
      <c r="F107" t="s">
        <v>122</v>
      </c>
      <c r="G107" t="s">
        <v>49</v>
      </c>
      <c r="H107" t="s">
        <v>128</v>
      </c>
      <c r="I107" t="s">
        <v>129</v>
      </c>
      <c r="J107" t="s">
        <v>52</v>
      </c>
      <c r="K107" t="s">
        <v>53</v>
      </c>
      <c r="L107" t="s">
        <v>631</v>
      </c>
      <c r="M107" t="s">
        <v>40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41</v>
      </c>
      <c r="U107" t="s">
        <v>42</v>
      </c>
      <c r="V107">
        <f>O107*(1-P107)*N107</f>
        <v>1233</v>
      </c>
      <c r="W107">
        <f t="shared" si="3"/>
        <v>226.10000000000002</v>
      </c>
      <c r="X107">
        <f t="shared" si="4"/>
        <v>0.18337388483373884</v>
      </c>
      <c r="Y107" t="s">
        <v>4120</v>
      </c>
      <c r="Z107" s="2">
        <f>IFERROR(
  IF(ISNUMBER(B107),B107,
    IF(ISNUMBER(SEARCH("-",B107)*1),
      IF(LEN(LEFT(B107,FIND("-",B107)-1))=4,
        DATE(VALUE(LEFT(B107,4)),VALUE(MID(B107,6,2)),VALUE(RIGHT(B107,2))),
        DATE(VALUE(RIGHT(B107,4)),VALUE(MID(B107,4,2)),VALUE(LEFT(B107,2)))
      ),
      IF(ISNUMBER(SEARCH("/",B107)*1),
        DATE(VALUE(RIGHT(B107,4)),VALUE(LEFT(B107,2)),VALUE(MID(B107,4,2))),
        DATEVALUE(B107)
      )
    )
  ),
"INVALID_DATE")</f>
        <v>45467</v>
      </c>
      <c r="AA107" s="2">
        <f>IFERROR(
  IF(ISNUMBER(C107),C107,
    IF(ISNUMBER(SEARCH("-",C107)*1),
      IF(LEN(LEFT(C107,FIND("-",C107)-1))=4,
        DATE(VALUE(LEFT(C107,4)),VALUE(MID(C107,6,2)),VALUE(RIGHT(C107,2))),
        DATE(VALUE(RIGHT(C107,4)),VALUE(MID(C107,4,2)),VALUE(LEFT(C107,2)))
      ),
      IF(ISNUMBER(SEARCH("/",C107)*1),
        DATE(VALUE(RIGHT(C107,4)),VALUE(LEFT(C107,2)),VALUE(MID(C107,4,2))),
        DATEVALUE(C107)
      )
    )
  ),
"INVALID_DATE")</f>
        <v>45472</v>
      </c>
      <c r="AB107">
        <f>AA107-Z107</f>
        <v>5</v>
      </c>
      <c r="AC107" t="str">
        <f>TEXT(Z107,"mmmm")</f>
        <v>June</v>
      </c>
      <c r="AD107">
        <f>YEAR(Z107)</f>
        <v>2024</v>
      </c>
      <c r="AE107" t="str">
        <f t="shared" si="5"/>
        <v>OK</v>
      </c>
    </row>
    <row r="108" spans="1:31">
      <c r="A108" t="s">
        <v>632</v>
      </c>
      <c r="B108" t="s">
        <v>633</v>
      </c>
      <c r="C108" t="s">
        <v>634</v>
      </c>
      <c r="D108" t="s">
        <v>635</v>
      </c>
      <c r="E108" t="s">
        <v>68</v>
      </c>
      <c r="F108" t="s">
        <v>122</v>
      </c>
      <c r="G108" t="s">
        <v>49</v>
      </c>
      <c r="H108" t="s">
        <v>128</v>
      </c>
      <c r="I108" t="s">
        <v>129</v>
      </c>
      <c r="J108" t="s">
        <v>37</v>
      </c>
      <c r="K108" t="s">
        <v>38</v>
      </c>
      <c r="L108" t="s">
        <v>636</v>
      </c>
      <c r="M108" t="s">
        <v>74</v>
      </c>
      <c r="N108">
        <v>2</v>
      </c>
      <c r="O108">
        <v>4004.04</v>
      </c>
      <c r="P108">
        <v>0</v>
      </c>
      <c r="Q108">
        <v>7207.27</v>
      </c>
      <c r="R108">
        <v>5709.39</v>
      </c>
      <c r="S108">
        <v>1497.88</v>
      </c>
      <c r="T108" t="s">
        <v>41</v>
      </c>
      <c r="U108" t="s">
        <v>85</v>
      </c>
      <c r="V108">
        <f>O108*(1-P108)*N108</f>
        <v>8008.08</v>
      </c>
      <c r="W108">
        <f t="shared" si="3"/>
        <v>2298.6899999999996</v>
      </c>
      <c r="X108">
        <f t="shared" si="4"/>
        <v>0.2078290392894952</v>
      </c>
      <c r="Y108" t="s">
        <v>4120</v>
      </c>
      <c r="Z108" s="2">
        <f>IFERROR(
  IF(ISNUMBER(B108),B108,
    IF(ISNUMBER(SEARCH("-",B108)*1),
      IF(LEN(LEFT(B108,FIND("-",B108)-1))=4,
        DATE(VALUE(LEFT(B108,4)),VALUE(MID(B108,6,2)),VALUE(RIGHT(B108,2))),
        DATE(VALUE(RIGHT(B108,4)),VALUE(MID(B108,4,2)),VALUE(LEFT(B108,2)))
      ),
      IF(ISNUMBER(SEARCH("/",B108)*1),
        DATE(VALUE(RIGHT(B108,4)),VALUE(LEFT(B108,2)),VALUE(MID(B108,4,2))),
        DATEVALUE(B108)
      )
    )
  ),
"INVALID_DATE")</f>
        <v>45342</v>
      </c>
      <c r="AA108" s="2">
        <f>IFERROR(
  IF(ISNUMBER(C108),C108,
    IF(ISNUMBER(SEARCH("-",C108)*1),
      IF(LEN(LEFT(C108,FIND("-",C108)-1))=4,
        DATE(VALUE(LEFT(C108,4)),VALUE(MID(C108,6,2)),VALUE(RIGHT(C108,2))),
        DATE(VALUE(RIGHT(C108,4)),VALUE(MID(C108,4,2)),VALUE(LEFT(C108,2)))
      ),
      IF(ISNUMBER(SEARCH("/",C108)*1),
        DATE(VALUE(RIGHT(C108,4)),VALUE(LEFT(C108,2)),VALUE(MID(C108,4,2))),
        DATEVALUE(C108)
      )
    )
  ),
"INVALID_DATE")</f>
        <v>45350</v>
      </c>
      <c r="AB108">
        <f>AA108-Z108</f>
        <v>8</v>
      </c>
      <c r="AC108" t="str">
        <f>TEXT(Z108,"mmmm")</f>
        <v>February</v>
      </c>
      <c r="AD108">
        <f>YEAR(Z108)</f>
        <v>2024</v>
      </c>
      <c r="AE108" t="str">
        <f t="shared" si="5"/>
        <v>OK</v>
      </c>
    </row>
    <row r="109" spans="1:31">
      <c r="A109" t="s">
        <v>637</v>
      </c>
      <c r="B109" t="s">
        <v>638</v>
      </c>
      <c r="C109" t="s">
        <v>639</v>
      </c>
      <c r="D109" t="s">
        <v>640</v>
      </c>
      <c r="E109" t="s">
        <v>187</v>
      </c>
      <c r="F109" t="s">
        <v>122</v>
      </c>
      <c r="G109" t="s">
        <v>49</v>
      </c>
      <c r="H109" t="s">
        <v>128</v>
      </c>
      <c r="I109" t="s">
        <v>129</v>
      </c>
      <c r="J109" t="s">
        <v>52</v>
      </c>
      <c r="K109" t="s">
        <v>72</v>
      </c>
      <c r="L109" t="s">
        <v>641</v>
      </c>
      <c r="M109" t="s">
        <v>63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41</v>
      </c>
      <c r="U109" t="s">
        <v>42</v>
      </c>
      <c r="V109">
        <f>O109*(1-P109)*N109</f>
        <v>12263.236499999999</v>
      </c>
      <c r="W109">
        <f t="shared" si="3"/>
        <v>3337.6664999999994</v>
      </c>
      <c r="X109">
        <f t="shared" si="4"/>
        <v>0.2721686927761342</v>
      </c>
      <c r="Y109" t="str">
        <f>_xlfn.TEXTJOIN(", ",TRUE,IF(G109="Unknown","Missing Region",""),IF(M109="Unknown","Missing Ship Mode",""),IF(P109&lt;0,"Negative Discount",""),IF(P109&gt;0.7,"High Discount",""),IF(C109&lt;B109,"Ship Before Order",""))</f>
        <v>Ship Before Order</v>
      </c>
      <c r="Z109" s="2">
        <f>IFERROR(
  IF(ISNUMBER(B109),B109,
    IF(ISNUMBER(SEARCH("-",B109)*1),
      IF(LEN(LEFT(B109,FIND("-",B109)-1))=4,
        DATE(VALUE(LEFT(B109,4)),VALUE(MID(B109,6,2)),VALUE(RIGHT(B109,2))),
        DATE(VALUE(RIGHT(B109,4)),VALUE(MID(B109,4,2)),VALUE(LEFT(B109,2)))
      ),
      IF(ISNUMBER(SEARCH("/",B109)*1),
        DATE(VALUE(RIGHT(B109,4)),VALUE(LEFT(B109,2)),VALUE(MID(B109,4,2))),
        DATEVALUE(B109)
      )
    )
  ),
"INVALID_DATE")</f>
        <v>45594</v>
      </c>
      <c r="AA109" s="2">
        <f>IFERROR(
  IF(ISNUMBER(C109),C109,
    IF(ISNUMBER(SEARCH("-",C109)*1),
      IF(LEN(LEFT(C109,FIND("-",C109)-1))=4,
        DATE(VALUE(LEFT(C109,4)),VALUE(MID(C109,6,2)),VALUE(RIGHT(C109,2))),
        DATE(VALUE(RIGHT(C109,4)),VALUE(MID(C109,4,2)),VALUE(LEFT(C109,2)))
      ),
      IF(ISNUMBER(SEARCH("/",C109)*1),
        DATE(VALUE(RIGHT(C109,4)),VALUE(LEFT(C109,2)),VALUE(MID(C109,4,2))),
        DATEVALUE(C109)
      )
    )
  ),
"INVALID_DATE")</f>
        <v>45600</v>
      </c>
      <c r="AB109">
        <f>AA109-Z109</f>
        <v>6</v>
      </c>
      <c r="AC109" t="str">
        <f>TEXT(Z109,"mmmm")</f>
        <v>October</v>
      </c>
      <c r="AD109">
        <f>YEAR(Z109)</f>
        <v>2024</v>
      </c>
      <c r="AE109" t="str">
        <f t="shared" si="5"/>
        <v>OK</v>
      </c>
    </row>
    <row r="110" spans="1:31">
      <c r="A110" t="s">
        <v>642</v>
      </c>
      <c r="B110" t="s">
        <v>643</v>
      </c>
      <c r="C110" t="s">
        <v>644</v>
      </c>
      <c r="D110" t="s">
        <v>645</v>
      </c>
      <c r="E110" t="s">
        <v>114</v>
      </c>
      <c r="F110" t="s">
        <v>48</v>
      </c>
      <c r="G110" t="s">
        <v>49</v>
      </c>
      <c r="H110" t="s">
        <v>50</v>
      </c>
      <c r="I110" t="s">
        <v>51</v>
      </c>
      <c r="J110" t="s">
        <v>52</v>
      </c>
      <c r="K110" t="s">
        <v>211</v>
      </c>
      <c r="L110" t="s">
        <v>646</v>
      </c>
      <c r="M110" t="s">
        <v>55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41</v>
      </c>
      <c r="U110" t="s">
        <v>42</v>
      </c>
      <c r="V110">
        <f>O110*(1-P110)*N110</f>
        <v>806.31</v>
      </c>
      <c r="W110">
        <f t="shared" si="3"/>
        <v>307.80999999999995</v>
      </c>
      <c r="X110">
        <f t="shared" si="4"/>
        <v>0.38175143555208296</v>
      </c>
      <c r="Y110" t="str">
        <f>_xlfn.TEXTJOIN(", ",TRUE,IF(G110="Unknown","Missing Region",""),IF(M110="Unknown","Missing Ship Mode",""),IF(P110&lt;0,"Negative Discount",""),IF(P110&gt;0.7,"High Discount",""),IF(C110&lt;B110,"Ship Before Order",""))</f>
        <v>Ship Before Order</v>
      </c>
      <c r="Z110" s="2">
        <f>IFERROR(
  IF(ISNUMBER(B110),B110,
    IF(ISNUMBER(SEARCH("-",B110)*1),
      IF(LEN(LEFT(B110,FIND("-",B110)-1))=4,
        DATE(VALUE(LEFT(B110,4)),VALUE(MID(B110,6,2)),VALUE(RIGHT(B110,2))),
        DATE(VALUE(RIGHT(B110,4)),VALUE(MID(B110,4,2)),VALUE(LEFT(B110,2)))
      ),
      IF(ISNUMBER(SEARCH("/",B110)*1),
        DATE(VALUE(RIGHT(B110,4)),VALUE(LEFT(B110,2)),VALUE(MID(B110,4,2))),
        DATEVALUE(B110)
      )
    )
  ),
"INVALID_DATE")</f>
        <v>45519</v>
      </c>
      <c r="AA110" s="2">
        <f>IFERROR(
  IF(ISNUMBER(C110),C110,
    IF(ISNUMBER(SEARCH("-",C110)*1),
      IF(LEN(LEFT(C110,FIND("-",C110)-1))=4,
        DATE(VALUE(LEFT(C110,4)),VALUE(MID(C110,6,2)),VALUE(RIGHT(C110,2))),
        DATE(VALUE(RIGHT(C110,4)),VALUE(MID(C110,4,2)),VALUE(LEFT(C110,2)))
      ),
      IF(ISNUMBER(SEARCH("/",C110)*1),
        DATE(VALUE(RIGHT(C110,4)),VALUE(LEFT(C110,2)),VALUE(MID(C110,4,2))),
        DATEVALUE(C110)
      )
    )
  ),
"INVALID_DATE")</f>
        <v>45527</v>
      </c>
      <c r="AB110">
        <f>AA110-Z110</f>
        <v>8</v>
      </c>
      <c r="AC110" t="str">
        <f>TEXT(Z110,"mmmm")</f>
        <v>August</v>
      </c>
      <c r="AD110">
        <f>YEAR(Z110)</f>
        <v>2024</v>
      </c>
      <c r="AE110" t="str">
        <f t="shared" si="5"/>
        <v>OK</v>
      </c>
    </row>
    <row r="111" spans="1:31">
      <c r="A111" t="s">
        <v>647</v>
      </c>
      <c r="B111" t="s">
        <v>648</v>
      </c>
      <c r="C111" t="s">
        <v>487</v>
      </c>
      <c r="D111" t="s">
        <v>649</v>
      </c>
      <c r="E111" t="s">
        <v>175</v>
      </c>
      <c r="F111" t="s">
        <v>33</v>
      </c>
      <c r="G111" t="s">
        <v>34</v>
      </c>
      <c r="H111" t="s">
        <v>514</v>
      </c>
      <c r="I111" t="s">
        <v>515</v>
      </c>
      <c r="J111" t="s">
        <v>37</v>
      </c>
      <c r="K111" t="s">
        <v>205</v>
      </c>
      <c r="L111" t="s">
        <v>650</v>
      </c>
      <c r="M111" t="s">
        <v>40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41</v>
      </c>
      <c r="U111" t="s">
        <v>42</v>
      </c>
      <c r="V111">
        <f>O111*(1-P111)*N111</f>
        <v>2091.4650000000001</v>
      </c>
      <c r="W111">
        <f t="shared" si="3"/>
        <v>774.24500000000012</v>
      </c>
      <c r="X111">
        <f t="shared" si="4"/>
        <v>0.37019416965101104</v>
      </c>
      <c r="Y111" t="str">
        <f>_xlfn.TEXTJOIN(", ",TRUE,IF(G111="Unknown","Missing Region",""),IF(M111="Unknown","Missing Ship Mode",""),IF(P111&lt;0,"Negative Discount",""),IF(P111&gt;0.7,"High Discount",""),IF(C111&lt;B111,"Ship Before Order",""))</f>
        <v>Ship Before Order</v>
      </c>
      <c r="Z111" s="2">
        <f>IFERROR(
  IF(ISNUMBER(B111),B111,
    IF(ISNUMBER(SEARCH("-",B111)*1),
      IF(LEN(LEFT(B111,FIND("-",B111)-1))=4,
        DATE(VALUE(LEFT(B111,4)),VALUE(MID(B111,6,2)),VALUE(RIGHT(B111,2))),
        DATE(VALUE(RIGHT(B111,4)),VALUE(MID(B111,4,2)),VALUE(LEFT(B111,2)))
      ),
      IF(ISNUMBER(SEARCH("/",B111)*1),
        DATE(VALUE(RIGHT(B111,4)),VALUE(LEFT(B111,2)),VALUE(MID(B111,4,2))),
        DATEVALUE(B111)
      )
    )
  ),
"INVALID_DATE")</f>
        <v>45892</v>
      </c>
      <c r="AA111" s="2">
        <f>IFERROR(
  IF(ISNUMBER(C111),C111,
    IF(ISNUMBER(SEARCH("-",C111)*1),
      IF(LEN(LEFT(C111,FIND("-",C111)-1))=4,
        DATE(VALUE(LEFT(C111,4)),VALUE(MID(C111,6,2)),VALUE(RIGHT(C111,2))),
        DATE(VALUE(RIGHT(C111,4)),VALUE(MID(C111,4,2)),VALUE(LEFT(C111,2)))
      ),
      IF(ISNUMBER(SEARCH("/",C111)*1),
        DATE(VALUE(RIGHT(C111,4)),VALUE(LEFT(C111,2)),VALUE(MID(C111,4,2))),
        DATEVALUE(C111)
      )
    )
  ),
"INVALID_DATE")</f>
        <v>45896</v>
      </c>
      <c r="AB111">
        <f>AA111-Z111</f>
        <v>4</v>
      </c>
      <c r="AC111" t="str">
        <f>TEXT(Z111,"mmmm")</f>
        <v>August</v>
      </c>
      <c r="AD111">
        <f>YEAR(Z111)</f>
        <v>2025</v>
      </c>
      <c r="AE111" t="str">
        <f t="shared" si="5"/>
        <v>OK</v>
      </c>
    </row>
    <row r="112" spans="1:31">
      <c r="A112" t="s">
        <v>651</v>
      </c>
      <c r="B112" t="s">
        <v>652</v>
      </c>
      <c r="C112" t="s">
        <v>653</v>
      </c>
      <c r="D112" t="s">
        <v>654</v>
      </c>
      <c r="E112" t="s">
        <v>90</v>
      </c>
      <c r="F112" t="s">
        <v>115</v>
      </c>
      <c r="G112" t="s">
        <v>69</v>
      </c>
      <c r="H112" t="s">
        <v>249</v>
      </c>
      <c r="I112" t="s">
        <v>250</v>
      </c>
      <c r="J112" t="s">
        <v>37</v>
      </c>
      <c r="K112" t="s">
        <v>116</v>
      </c>
      <c r="L112" t="s">
        <v>655</v>
      </c>
      <c r="M112" t="s">
        <v>63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131</v>
      </c>
      <c r="U112" t="s">
        <v>85</v>
      </c>
      <c r="V112">
        <f>O112*(1-P112)*N112</f>
        <v>4500.9399999999996</v>
      </c>
      <c r="W112">
        <f t="shared" si="3"/>
        <v>1893.2099999999996</v>
      </c>
      <c r="X112">
        <f t="shared" si="4"/>
        <v>0.42062546934640321</v>
      </c>
      <c r="Y112" t="s">
        <v>4120</v>
      </c>
      <c r="Z112" s="2">
        <f>IFERROR(
  IF(ISNUMBER(B112),B112,
    IF(ISNUMBER(SEARCH("-",B112)*1),
      IF(LEN(LEFT(B112,FIND("-",B112)-1))=4,
        DATE(VALUE(LEFT(B112,4)),VALUE(MID(B112,6,2)),VALUE(RIGHT(B112,2))),
        DATE(VALUE(RIGHT(B112,4)),VALUE(MID(B112,4,2)),VALUE(LEFT(B112,2)))
      ),
      IF(ISNUMBER(SEARCH("/",B112)*1),
        DATE(VALUE(RIGHT(B112,4)),VALUE(LEFT(B112,2)),VALUE(MID(B112,4,2))),
        DATEVALUE(B112)
      )
    )
  ),
"INVALID_DATE")</f>
        <v>45583</v>
      </c>
      <c r="AA112" s="2">
        <f>IFERROR(
  IF(ISNUMBER(C112),C112,
    IF(ISNUMBER(SEARCH("-",C112)*1),
      IF(LEN(LEFT(C112,FIND("-",C112)-1))=4,
        DATE(VALUE(LEFT(C112,4)),VALUE(MID(C112,6,2)),VALUE(RIGHT(C112,2))),
        DATE(VALUE(RIGHT(C112,4)),VALUE(MID(C112,4,2)),VALUE(LEFT(C112,2)))
      ),
      IF(ISNUMBER(SEARCH("/",C112)*1),
        DATE(VALUE(RIGHT(C112,4)),VALUE(LEFT(C112,2)),VALUE(MID(C112,4,2))),
        DATEVALUE(C112)
      )
    )
  ),
"INVALID_DATE")</f>
        <v>45589</v>
      </c>
      <c r="AB112">
        <f>AA112-Z112</f>
        <v>6</v>
      </c>
      <c r="AC112" t="str">
        <f>TEXT(Z112,"mmmm")</f>
        <v>October</v>
      </c>
      <c r="AD112">
        <f>YEAR(Z112)</f>
        <v>2024</v>
      </c>
      <c r="AE112" t="str">
        <f t="shared" si="5"/>
        <v>OK</v>
      </c>
    </row>
    <row r="113" spans="1:31">
      <c r="A113" t="s">
        <v>656</v>
      </c>
      <c r="B113" t="s">
        <v>657</v>
      </c>
      <c r="C113" t="s">
        <v>658</v>
      </c>
      <c r="D113" t="s">
        <v>659</v>
      </c>
      <c r="E113" t="s">
        <v>100</v>
      </c>
      <c r="F113" t="s">
        <v>115</v>
      </c>
      <c r="G113" t="s">
        <v>49</v>
      </c>
      <c r="H113" t="s">
        <v>193</v>
      </c>
      <c r="I113" t="s">
        <v>194</v>
      </c>
      <c r="J113" t="s">
        <v>93</v>
      </c>
      <c r="K113" t="s">
        <v>94</v>
      </c>
      <c r="L113" t="s">
        <v>660</v>
      </c>
      <c r="M113" t="s">
        <v>63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144</v>
      </c>
      <c r="U113" t="s">
        <v>85</v>
      </c>
      <c r="V113">
        <f>O113*(1-P113)*N113</f>
        <v>1623.018</v>
      </c>
      <c r="W113">
        <f t="shared" si="3"/>
        <v>545.55799999999999</v>
      </c>
      <c r="X113">
        <f t="shared" si="4"/>
        <v>0.33613880297223692</v>
      </c>
      <c r="Y113" t="s">
        <v>4120</v>
      </c>
      <c r="Z113" s="2">
        <f>IFERROR(
  IF(ISNUMBER(B113),B113,
    IF(ISNUMBER(SEARCH("-",B113)*1),
      IF(LEN(LEFT(B113,FIND("-",B113)-1))=4,
        DATE(VALUE(LEFT(B113,4)),VALUE(MID(B113,6,2)),VALUE(RIGHT(B113,2))),
        DATE(VALUE(RIGHT(B113,4)),VALUE(MID(B113,4,2)),VALUE(LEFT(B113,2)))
      ),
      IF(ISNUMBER(SEARCH("/",B113)*1),
        DATE(VALUE(RIGHT(B113,4)),VALUE(LEFT(B113,2)),VALUE(MID(B113,4,2))),
        DATEVALUE(B113)
      )
    )
  ),
"INVALID_DATE")</f>
        <v>45835</v>
      </c>
      <c r="AA113" s="2">
        <f>IFERROR(
  IF(ISNUMBER(C113),C113,
    IF(ISNUMBER(SEARCH("-",C113)*1),
      IF(LEN(LEFT(C113,FIND("-",C113)-1))=4,
        DATE(VALUE(LEFT(C113,4)),VALUE(MID(C113,6,2)),VALUE(RIGHT(C113,2))),
        DATE(VALUE(RIGHT(C113,4)),VALUE(MID(C113,4,2)),VALUE(LEFT(C113,2)))
      ),
      IF(ISNUMBER(SEARCH("/",C113)*1),
        DATE(VALUE(RIGHT(C113,4)),VALUE(LEFT(C113,2)),VALUE(MID(C113,4,2))),
        DATEVALUE(C113)
      )
    )
  ),
"INVALID_DATE")</f>
        <v>45838</v>
      </c>
      <c r="AB113">
        <f>AA113-Z113</f>
        <v>3</v>
      </c>
      <c r="AC113" t="str">
        <f>TEXT(Z113,"mmmm")</f>
        <v>June</v>
      </c>
      <c r="AD113">
        <f>YEAR(Z113)</f>
        <v>2025</v>
      </c>
      <c r="AE113" t="str">
        <f t="shared" si="5"/>
        <v>OK</v>
      </c>
    </row>
    <row r="114" spans="1:31">
      <c r="A114" t="s">
        <v>661</v>
      </c>
      <c r="B114" t="s">
        <v>662</v>
      </c>
      <c r="C114" t="s">
        <v>663</v>
      </c>
      <c r="D114" t="s">
        <v>664</v>
      </c>
      <c r="E114" t="s">
        <v>175</v>
      </c>
      <c r="F114" t="s">
        <v>33</v>
      </c>
      <c r="G114" t="s">
        <v>279</v>
      </c>
      <c r="H114" t="s">
        <v>242</v>
      </c>
      <c r="I114" t="s">
        <v>243</v>
      </c>
      <c r="J114" t="s">
        <v>93</v>
      </c>
      <c r="K114" t="s">
        <v>94</v>
      </c>
      <c r="L114" t="s">
        <v>665</v>
      </c>
      <c r="M114" t="s">
        <v>74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41</v>
      </c>
      <c r="U114" t="s">
        <v>42</v>
      </c>
      <c r="V114">
        <f>O114*(1-P114)*N114</f>
        <v>10914.018</v>
      </c>
      <c r="W114">
        <f t="shared" si="3"/>
        <v>4365.2780000000002</v>
      </c>
      <c r="X114">
        <f t="shared" si="4"/>
        <v>0.39996994691232007</v>
      </c>
      <c r="Y114" t="str">
        <f>_xlfn.TEXTJOIN(", ",TRUE,IF(G114="Unknown","Missing Region",""),IF(M114="Unknown","Missing Ship Mode",""),IF(P114&lt;0,"Negative Discount",""),IF(P114&gt;0.7,"High Discount",""),IF(C114&lt;B114,"Ship Before Order",""))</f>
        <v>Missing Region</v>
      </c>
      <c r="Z114" s="2">
        <f>IFERROR(
  IF(ISNUMBER(B114),B114,
    IF(ISNUMBER(SEARCH("-",B114)*1),
      IF(LEN(LEFT(B114,FIND("-",B114)-1))=4,
        DATE(VALUE(LEFT(B114,4)),VALUE(MID(B114,6,2)),VALUE(RIGHT(B114,2))),
        DATE(VALUE(RIGHT(B114,4)),VALUE(MID(B114,4,2)),VALUE(LEFT(B114,2)))
      ),
      IF(ISNUMBER(SEARCH("/",B114)*1),
        DATE(VALUE(RIGHT(B114,4)),VALUE(LEFT(B114,2)),VALUE(MID(B114,4,2))),
        DATEVALUE(B114)
      )
    )
  ),
"INVALID_DATE")</f>
        <v>45301</v>
      </c>
      <c r="AA114" s="2">
        <f>IFERROR(
  IF(ISNUMBER(C114),C114,
    IF(ISNUMBER(SEARCH("-",C114)*1),
      IF(LEN(LEFT(C114,FIND("-",C114)-1))=4,
        DATE(VALUE(LEFT(C114,4)),VALUE(MID(C114,6,2)),VALUE(RIGHT(C114,2))),
        DATE(VALUE(RIGHT(C114,4)),VALUE(MID(C114,4,2)),VALUE(LEFT(C114,2)))
      ),
      IF(ISNUMBER(SEARCH("/",C114)*1),
        DATE(VALUE(RIGHT(C114,4)),VALUE(LEFT(C114,2)),VALUE(MID(C114,4,2))),
        DATEVALUE(C114)
      )
    )
  ),
"INVALID_DATE")</f>
        <v>45305</v>
      </c>
      <c r="AB114">
        <f>AA114-Z114</f>
        <v>4</v>
      </c>
      <c r="AC114" t="str">
        <f>TEXT(Z114,"mmmm")</f>
        <v>January</v>
      </c>
      <c r="AD114">
        <f>YEAR(Z114)</f>
        <v>2024</v>
      </c>
      <c r="AE114" t="str">
        <f t="shared" si="5"/>
        <v>OK</v>
      </c>
    </row>
    <row r="115" spans="1:31">
      <c r="A115" t="s">
        <v>666</v>
      </c>
      <c r="B115" t="s">
        <v>667</v>
      </c>
      <c r="C115" t="s">
        <v>667</v>
      </c>
      <c r="D115" t="s">
        <v>529</v>
      </c>
      <c r="E115" t="s">
        <v>60</v>
      </c>
      <c r="F115" t="s">
        <v>122</v>
      </c>
      <c r="G115" t="s">
        <v>69</v>
      </c>
      <c r="H115" t="s">
        <v>347</v>
      </c>
      <c r="I115" t="s">
        <v>348</v>
      </c>
      <c r="J115" t="s">
        <v>52</v>
      </c>
      <c r="K115" t="s">
        <v>53</v>
      </c>
      <c r="L115" t="s">
        <v>668</v>
      </c>
      <c r="M115" t="s">
        <v>74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41</v>
      </c>
      <c r="U115" t="s">
        <v>42</v>
      </c>
      <c r="V115">
        <f>O115*(1-P115)*N115</f>
        <v>2450.5875000000001</v>
      </c>
      <c r="W115">
        <f t="shared" si="3"/>
        <v>810.69749999999999</v>
      </c>
      <c r="X115">
        <f t="shared" si="4"/>
        <v>0.33081829273766727</v>
      </c>
      <c r="Y115" t="s">
        <v>4120</v>
      </c>
      <c r="Z115" s="2">
        <f>IFERROR(
  IF(ISNUMBER(B115),B115,
    IF(ISNUMBER(SEARCH("-",B115)*1),
      IF(LEN(LEFT(B115,FIND("-",B115)-1))=4,
        DATE(VALUE(LEFT(B115,4)),VALUE(MID(B115,6,2)),VALUE(RIGHT(B115,2))),
        DATE(VALUE(RIGHT(B115,4)),VALUE(MID(B115,4,2)),VALUE(LEFT(B115,2)))
      ),
      IF(ISNUMBER(SEARCH("/",B115)*1),
        DATE(VALUE(RIGHT(B115,4)),VALUE(LEFT(B115,2)),VALUE(MID(B115,4,2))),
        DATEVALUE(B115)
      )
    )
  ),
"INVALID_DATE")</f>
        <v>45334</v>
      </c>
      <c r="AA115" s="2">
        <f>IFERROR(
  IF(ISNUMBER(C115),C115,
    IF(ISNUMBER(SEARCH("-",C115)*1),
      IF(LEN(LEFT(C115,FIND("-",C115)-1))=4,
        DATE(VALUE(LEFT(C115,4)),VALUE(MID(C115,6,2)),VALUE(RIGHT(C115,2))),
        DATE(VALUE(RIGHT(C115,4)),VALUE(MID(C115,4,2)),VALUE(LEFT(C115,2)))
      ),
      IF(ISNUMBER(SEARCH("/",C115)*1),
        DATE(VALUE(RIGHT(C115,4)),VALUE(LEFT(C115,2)),VALUE(MID(C115,4,2))),
        DATEVALUE(C115)
      )
    )
  ),
"INVALID_DATE")</f>
        <v>45334</v>
      </c>
      <c r="AB115">
        <f>AA115-Z115</f>
        <v>0</v>
      </c>
      <c r="AC115" t="str">
        <f>TEXT(Z115,"mmmm")</f>
        <v>February</v>
      </c>
      <c r="AD115">
        <f>YEAR(Z115)</f>
        <v>2024</v>
      </c>
      <c r="AE115" t="str">
        <f t="shared" si="5"/>
        <v>OK</v>
      </c>
    </row>
    <row r="116" spans="1:31">
      <c r="A116" t="s">
        <v>669</v>
      </c>
      <c r="B116" t="s">
        <v>670</v>
      </c>
      <c r="C116" t="s">
        <v>671</v>
      </c>
      <c r="D116" t="s">
        <v>672</v>
      </c>
      <c r="E116" t="s">
        <v>100</v>
      </c>
      <c r="F116" t="s">
        <v>48</v>
      </c>
      <c r="G116" t="s">
        <v>34</v>
      </c>
      <c r="H116" t="s">
        <v>35</v>
      </c>
      <c r="I116" t="s">
        <v>36</v>
      </c>
      <c r="J116" t="s">
        <v>93</v>
      </c>
      <c r="K116" t="s">
        <v>94</v>
      </c>
      <c r="L116" t="s">
        <v>673</v>
      </c>
      <c r="M116" t="s">
        <v>40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144</v>
      </c>
      <c r="U116" t="s">
        <v>85</v>
      </c>
      <c r="V116">
        <f>O116*(1-P116)*N116</f>
        <v>3949.56</v>
      </c>
      <c r="W116">
        <f t="shared" si="3"/>
        <v>762.82999999999993</v>
      </c>
      <c r="X116">
        <f t="shared" si="4"/>
        <v>0.19314303365438176</v>
      </c>
      <c r="Y116" t="s">
        <v>4120</v>
      </c>
      <c r="Z116" s="2">
        <f>IFERROR(
  IF(ISNUMBER(B116),B116,
    IF(ISNUMBER(SEARCH("-",B116)*1),
      IF(LEN(LEFT(B116,FIND("-",B116)-1))=4,
        DATE(VALUE(LEFT(B116,4)),VALUE(MID(B116,6,2)),VALUE(RIGHT(B116,2))),
        DATE(VALUE(RIGHT(B116,4)),VALUE(MID(B116,4,2)),VALUE(LEFT(B116,2)))
      ),
      IF(ISNUMBER(SEARCH("/",B116)*1),
        DATE(VALUE(RIGHT(B116,4)),VALUE(LEFT(B116,2)),VALUE(MID(B116,4,2))),
        DATEVALUE(B116)
      )
    )
  ),
"INVALID_DATE")</f>
        <v>45560</v>
      </c>
      <c r="AA116" s="2">
        <f>IFERROR(
  IF(ISNUMBER(C116),C116,
    IF(ISNUMBER(SEARCH("-",C116)*1),
      IF(LEN(LEFT(C116,FIND("-",C116)-1))=4,
        DATE(VALUE(LEFT(C116,4)),VALUE(MID(C116,6,2)),VALUE(RIGHT(C116,2))),
        DATE(VALUE(RIGHT(C116,4)),VALUE(MID(C116,4,2)),VALUE(LEFT(C116,2)))
      ),
      IF(ISNUMBER(SEARCH("/",C116)*1),
        DATE(VALUE(RIGHT(C116,4)),VALUE(LEFT(C116,2)),VALUE(MID(C116,4,2))),
        DATEVALUE(C116)
      )
    )
  ),
"INVALID_DATE")</f>
        <v>45565</v>
      </c>
      <c r="AB116">
        <f>AA116-Z116</f>
        <v>5</v>
      </c>
      <c r="AC116" t="str">
        <f>TEXT(Z116,"mmmm")</f>
        <v>September</v>
      </c>
      <c r="AD116">
        <f>YEAR(Z116)</f>
        <v>2024</v>
      </c>
      <c r="AE116" t="str">
        <f t="shared" si="5"/>
        <v>OK</v>
      </c>
    </row>
    <row r="117" spans="1:31">
      <c r="A117" t="s">
        <v>674</v>
      </c>
      <c r="B117" t="s">
        <v>675</v>
      </c>
      <c r="C117" t="s">
        <v>676</v>
      </c>
      <c r="D117" t="s">
        <v>677</v>
      </c>
      <c r="E117" t="s">
        <v>374</v>
      </c>
      <c r="F117" t="s">
        <v>115</v>
      </c>
      <c r="G117" t="s">
        <v>69</v>
      </c>
      <c r="H117" t="s">
        <v>347</v>
      </c>
      <c r="I117" t="s">
        <v>348</v>
      </c>
      <c r="J117" t="s">
        <v>37</v>
      </c>
      <c r="K117" t="s">
        <v>205</v>
      </c>
      <c r="L117" t="s">
        <v>678</v>
      </c>
      <c r="M117" t="s">
        <v>55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41</v>
      </c>
      <c r="U117" t="s">
        <v>85</v>
      </c>
      <c r="V117">
        <f>O117*(1-P117)*N117</f>
        <v>758.77799999999991</v>
      </c>
      <c r="W117">
        <f t="shared" si="3"/>
        <v>268.0379999999999</v>
      </c>
      <c r="X117">
        <f t="shared" si="4"/>
        <v>0.35325127177838112</v>
      </c>
      <c r="Y117" t="str">
        <f>_xlfn.TEXTJOIN(", ",TRUE,IF(G117="Unknown","Missing Region",""),IF(M117="Unknown","Missing Ship Mode",""),IF(P117&lt;0,"Negative Discount",""),IF(P117&gt;0.7,"High Discount",""),IF(C117&lt;B117,"Ship Before Order",""))</f>
        <v>Ship Before Order</v>
      </c>
      <c r="Z117" s="2">
        <f>IFERROR(
  IF(ISNUMBER(B117),B117,
    IF(ISNUMBER(SEARCH("-",B117)*1),
      IF(LEN(LEFT(B117,FIND("-",B117)-1))=4,
        DATE(VALUE(LEFT(B117,4)),VALUE(MID(B117,6,2)),VALUE(RIGHT(B117,2))),
        DATE(VALUE(RIGHT(B117,4)),VALUE(MID(B117,4,2)),VALUE(LEFT(B117,2)))
      ),
      IF(ISNUMBER(SEARCH("/",B117)*1),
        DATE(VALUE(RIGHT(B117,4)),VALUE(LEFT(B117,2)),VALUE(MID(B117,4,2))),
        DATEVALUE(B117)
      )
    )
  ),
"INVALID_DATE")</f>
        <v>45653</v>
      </c>
      <c r="AA117" s="2">
        <f>IFERROR(
  IF(ISNUMBER(C117),C117,
    IF(ISNUMBER(SEARCH("-",C117)*1),
      IF(LEN(LEFT(C117,FIND("-",C117)-1))=4,
        DATE(VALUE(LEFT(C117,4)),VALUE(MID(C117,6,2)),VALUE(RIGHT(C117,2))),
        DATE(VALUE(RIGHT(C117,4)),VALUE(MID(C117,4,2)),VALUE(LEFT(C117,2)))
      ),
      IF(ISNUMBER(SEARCH("/",C117)*1),
        DATE(VALUE(RIGHT(C117,4)),VALUE(LEFT(C117,2)),VALUE(MID(C117,4,2))),
        DATEVALUE(C117)
      )
    )
  ),
"INVALID_DATE")</f>
        <v>45658</v>
      </c>
      <c r="AB117">
        <f>AA117-Z117</f>
        <v>5</v>
      </c>
      <c r="AC117" t="str">
        <f>TEXT(Z117,"mmmm")</f>
        <v>December</v>
      </c>
      <c r="AD117">
        <f>YEAR(Z117)</f>
        <v>2024</v>
      </c>
      <c r="AE117" t="str">
        <f t="shared" si="5"/>
        <v>OK</v>
      </c>
    </row>
    <row r="118" spans="1:31">
      <c r="A118" t="s">
        <v>679</v>
      </c>
      <c r="B118" t="s">
        <v>680</v>
      </c>
      <c r="C118" t="s">
        <v>681</v>
      </c>
      <c r="D118" t="s">
        <v>682</v>
      </c>
      <c r="E118" t="s">
        <v>79</v>
      </c>
      <c r="F118" t="s">
        <v>48</v>
      </c>
      <c r="G118" t="s">
        <v>279</v>
      </c>
      <c r="H118" t="s">
        <v>91</v>
      </c>
      <c r="I118" t="s">
        <v>92</v>
      </c>
      <c r="J118" t="s">
        <v>37</v>
      </c>
      <c r="K118" t="s">
        <v>205</v>
      </c>
      <c r="L118" t="s">
        <v>683</v>
      </c>
      <c r="M118" t="s">
        <v>63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207</v>
      </c>
      <c r="U118" t="s">
        <v>85</v>
      </c>
      <c r="V118">
        <f>O118*(1-P118)*N118</f>
        <v>3590.9324999999999</v>
      </c>
      <c r="W118">
        <f t="shared" si="3"/>
        <v>529.54250000000002</v>
      </c>
      <c r="X118">
        <f t="shared" si="4"/>
        <v>0.14746597678038836</v>
      </c>
      <c r="Y118" t="str">
        <f>_xlfn.TEXTJOIN(", ",TRUE,IF(G118="Unknown","Missing Region",""),IF(M118="Unknown","Missing Ship Mode",""),IF(P118&lt;0,"Negative Discount",""),IF(P118&gt;0.7,"High Discount",""),IF(C118&lt;B118,"Ship Before Order",""))</f>
        <v>Missing Region, Ship Before Order</v>
      </c>
      <c r="Z118" s="2">
        <f>IFERROR(
  IF(ISNUMBER(B118),B118,
    IF(ISNUMBER(SEARCH("-",B118)*1),
      IF(LEN(LEFT(B118,FIND("-",B118)-1))=4,
        DATE(VALUE(LEFT(B118,4)),VALUE(MID(B118,6,2)),VALUE(RIGHT(B118,2))),
        DATE(VALUE(RIGHT(B118,4)),VALUE(MID(B118,4,2)),VALUE(LEFT(B118,2)))
      ),
      IF(ISNUMBER(SEARCH("/",B118)*1),
        DATE(VALUE(RIGHT(B118,4)),VALUE(LEFT(B118,2)),VALUE(MID(B118,4,2))),
        DATEVALUE(B118)
      )
    )
  ),
"INVALID_DATE")</f>
        <v>45703</v>
      </c>
      <c r="AA118" s="2">
        <f>IFERROR(
  IF(ISNUMBER(C118),C118,
    IF(ISNUMBER(SEARCH("-",C118)*1),
      IF(LEN(LEFT(C118,FIND("-",C118)-1))=4,
        DATE(VALUE(LEFT(C118,4)),VALUE(MID(C118,6,2)),VALUE(RIGHT(C118,2))),
        DATE(VALUE(RIGHT(C118,4)),VALUE(MID(C118,4,2)),VALUE(LEFT(C118,2)))
      ),
      IF(ISNUMBER(SEARCH("/",C118)*1),
        DATE(VALUE(RIGHT(C118,4)),VALUE(LEFT(C118,2)),VALUE(MID(C118,4,2))),
        DATEVALUE(C118)
      )
    )
  ),
"INVALID_DATE")</f>
        <v>45707</v>
      </c>
      <c r="AB118">
        <f>AA118-Z118</f>
        <v>4</v>
      </c>
      <c r="AC118" t="str">
        <f>TEXT(Z118,"mmmm")</f>
        <v>February</v>
      </c>
      <c r="AD118">
        <f>YEAR(Z118)</f>
        <v>2025</v>
      </c>
      <c r="AE118" t="str">
        <f t="shared" si="5"/>
        <v>OK</v>
      </c>
    </row>
    <row r="119" spans="1:31">
      <c r="A119" t="s">
        <v>684</v>
      </c>
      <c r="B119" t="s">
        <v>685</v>
      </c>
      <c r="C119" t="s">
        <v>686</v>
      </c>
      <c r="D119" t="s">
        <v>687</v>
      </c>
      <c r="E119" t="s">
        <v>47</v>
      </c>
      <c r="F119" t="s">
        <v>122</v>
      </c>
      <c r="G119" t="s">
        <v>69</v>
      </c>
      <c r="H119" t="s">
        <v>347</v>
      </c>
      <c r="I119" t="s">
        <v>348</v>
      </c>
      <c r="J119" t="s">
        <v>93</v>
      </c>
      <c r="K119" t="s">
        <v>390</v>
      </c>
      <c r="L119" t="s">
        <v>688</v>
      </c>
      <c r="M119" t="s">
        <v>74</v>
      </c>
      <c r="N119">
        <v>9</v>
      </c>
      <c r="O119">
        <v>3324.55</v>
      </c>
      <c r="P119" t="s">
        <v>689</v>
      </c>
      <c r="Q119">
        <v>25432.81</v>
      </c>
      <c r="R119">
        <v>20370.16</v>
      </c>
      <c r="S119">
        <v>5062.6499999999996</v>
      </c>
      <c r="T119" t="s">
        <v>41</v>
      </c>
      <c r="U119" t="s">
        <v>42</v>
      </c>
      <c r="V119">
        <f>O119*(1-P119)*N119</f>
        <v>8976.2850000000017</v>
      </c>
      <c r="W119">
        <f t="shared" si="3"/>
        <v>-11393.874999999998</v>
      </c>
      <c r="X119">
        <f t="shared" si="4"/>
        <v>0.19905979716751707</v>
      </c>
      <c r="Y119" t="str">
        <f>_xlfn.TEXTJOIN(", ",TRUE,IF(G119="Unknown","Missing Region",""),IF(M119="Unknown","Missing Ship Mode",""),IF(P119&lt;0,"Negative Discount",""),IF(P119&gt;0.7,"High Discount",""),IF(C119&lt;B119,"Ship Before Order",""))</f>
        <v>High Discount, Ship Before Order</v>
      </c>
      <c r="Z119" s="2">
        <f>IFERROR(
  IF(ISNUMBER(B119),B119,
    IF(ISNUMBER(SEARCH("-",B119)*1),
      IF(LEN(LEFT(B119,FIND("-",B119)-1))=4,
        DATE(VALUE(LEFT(B119,4)),VALUE(MID(B119,6,2)),VALUE(RIGHT(B119,2))),
        DATE(VALUE(RIGHT(B119,4)),VALUE(MID(B119,4,2)),VALUE(LEFT(B119,2)))
      ),
      IF(ISNUMBER(SEARCH("/",B119)*1),
        DATE(VALUE(RIGHT(B119,4)),VALUE(LEFT(B119,2)),VALUE(MID(B119,4,2))),
        DATEVALUE(B119)
      )
    )
  ),
"INVALID_DATE")</f>
        <v>45337</v>
      </c>
      <c r="AA119" s="2">
        <f>IFERROR(
  IF(ISNUMBER(C119),C119,
    IF(ISNUMBER(SEARCH("-",C119)*1),
      IF(LEN(LEFT(C119,FIND("-",C119)-1))=4,
        DATE(VALUE(LEFT(C119,4)),VALUE(MID(C119,6,2)),VALUE(RIGHT(C119,2))),
        DATE(VALUE(RIGHT(C119,4)),VALUE(MID(C119,4,2)),VALUE(LEFT(C119,2)))
      ),
      IF(ISNUMBER(SEARCH("/",C119)*1),
        DATE(VALUE(RIGHT(C119,4)),VALUE(LEFT(C119,2)),VALUE(MID(C119,4,2))),
        DATEVALUE(C119)
      )
    )
  ),
"INVALID_DATE")</f>
        <v>45339</v>
      </c>
      <c r="AB119">
        <f>AA119-Z119</f>
        <v>2</v>
      </c>
      <c r="AC119" t="str">
        <f>TEXT(Z119,"mmmm")</f>
        <v>February</v>
      </c>
      <c r="AD119">
        <f>YEAR(Z119)</f>
        <v>2024</v>
      </c>
      <c r="AE119" t="str">
        <f t="shared" si="5"/>
        <v>OK</v>
      </c>
    </row>
    <row r="120" spans="1:31">
      <c r="A120" t="s">
        <v>690</v>
      </c>
      <c r="B120" t="s">
        <v>691</v>
      </c>
      <c r="C120" t="s">
        <v>692</v>
      </c>
      <c r="D120" t="s">
        <v>693</v>
      </c>
      <c r="E120" t="s">
        <v>694</v>
      </c>
      <c r="F120" t="s">
        <v>122</v>
      </c>
      <c r="G120" t="s">
        <v>69</v>
      </c>
      <c r="H120" t="s">
        <v>107</v>
      </c>
      <c r="I120" t="s">
        <v>108</v>
      </c>
      <c r="J120" t="s">
        <v>93</v>
      </c>
      <c r="K120" t="s">
        <v>101</v>
      </c>
      <c r="L120" t="s">
        <v>695</v>
      </c>
      <c r="M120" t="s">
        <v>55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41</v>
      </c>
      <c r="U120" t="s">
        <v>42</v>
      </c>
      <c r="V120">
        <f>O120*(1-P120)*N120</f>
        <v>6321.0800000000008</v>
      </c>
      <c r="W120">
        <f t="shared" si="3"/>
        <v>1913.8600000000006</v>
      </c>
      <c r="X120">
        <f t="shared" si="4"/>
        <v>0.30277420947053352</v>
      </c>
      <c r="Y120" t="s">
        <v>4120</v>
      </c>
      <c r="Z120" s="2">
        <f>IFERROR(
  IF(ISNUMBER(B120),B120,
    IF(ISNUMBER(SEARCH("-",B120)*1),
      IF(LEN(LEFT(B120,FIND("-",B120)-1))=4,
        DATE(VALUE(LEFT(B120,4)),VALUE(MID(B120,6,2)),VALUE(RIGHT(B120,2))),
        DATE(VALUE(RIGHT(B120,4)),VALUE(MID(B120,4,2)),VALUE(LEFT(B120,2)))
      ),
      IF(ISNUMBER(SEARCH("/",B120)*1),
        DATE(VALUE(RIGHT(B120,4)),VALUE(LEFT(B120,2)),VALUE(MID(B120,4,2))),
        DATEVALUE(B120)
      )
    )
  ),
"INVALID_DATE")</f>
        <v>45453</v>
      </c>
      <c r="AA120" s="2">
        <f>IFERROR(
  IF(ISNUMBER(C120),C120,
    IF(ISNUMBER(SEARCH("-",C120)*1),
      IF(LEN(LEFT(C120,FIND("-",C120)-1))=4,
        DATE(VALUE(LEFT(C120,4)),VALUE(MID(C120,6,2)),VALUE(RIGHT(C120,2))),
        DATE(VALUE(RIGHT(C120,4)),VALUE(MID(C120,4,2)),VALUE(LEFT(C120,2)))
      ),
      IF(ISNUMBER(SEARCH("/",C120)*1),
        DATE(VALUE(RIGHT(C120,4)),VALUE(LEFT(C120,2)),VALUE(MID(C120,4,2))),
        DATEVALUE(C120)
      )
    )
  ),
"INVALID_DATE")</f>
        <v>45461</v>
      </c>
      <c r="AB120">
        <f>AA120-Z120</f>
        <v>8</v>
      </c>
      <c r="AC120" t="str">
        <f>TEXT(Z120,"mmmm")</f>
        <v>June</v>
      </c>
      <c r="AD120">
        <f>YEAR(Z120)</f>
        <v>2024</v>
      </c>
      <c r="AE120" t="str">
        <f t="shared" si="5"/>
        <v>OK</v>
      </c>
    </row>
    <row r="121" spans="1:31">
      <c r="A121" t="s">
        <v>696</v>
      </c>
      <c r="B121" t="s">
        <v>697</v>
      </c>
      <c r="C121" t="s">
        <v>698</v>
      </c>
      <c r="D121" t="s">
        <v>699</v>
      </c>
      <c r="E121" t="s">
        <v>114</v>
      </c>
      <c r="F121" t="s">
        <v>48</v>
      </c>
      <c r="G121" t="s">
        <v>69</v>
      </c>
      <c r="H121" t="s">
        <v>249</v>
      </c>
      <c r="I121" t="s">
        <v>250</v>
      </c>
      <c r="J121" t="s">
        <v>52</v>
      </c>
      <c r="K121" t="s">
        <v>83</v>
      </c>
      <c r="L121" t="s">
        <v>700</v>
      </c>
      <c r="M121" t="s">
        <v>74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131</v>
      </c>
      <c r="U121" t="s">
        <v>132</v>
      </c>
      <c r="V121">
        <f>O121*(1-P121)*N121</f>
        <v>1884.3000000000002</v>
      </c>
      <c r="W121">
        <f t="shared" si="3"/>
        <v>366.61000000000013</v>
      </c>
      <c r="X121">
        <f t="shared" si="4"/>
        <v>0.19456031417502523</v>
      </c>
      <c r="Y121" t="s">
        <v>4120</v>
      </c>
      <c r="Z121" s="2">
        <f>IFERROR(
  IF(ISNUMBER(B121),B121,
    IF(ISNUMBER(SEARCH("-",B121)*1),
      IF(LEN(LEFT(B121,FIND("-",B121)-1))=4,
        DATE(VALUE(LEFT(B121,4)),VALUE(MID(B121,6,2)),VALUE(RIGHT(B121,2))),
        DATE(VALUE(RIGHT(B121,4)),VALUE(MID(B121,4,2)),VALUE(LEFT(B121,2)))
      ),
      IF(ISNUMBER(SEARCH("/",B121)*1),
        DATE(VALUE(RIGHT(B121,4)),VALUE(LEFT(B121,2)),VALUE(MID(B121,4,2))),
        DATEVALUE(B121)
      )
    )
  ),
"INVALID_DATE")</f>
        <v>45455</v>
      </c>
      <c r="AA121" s="2">
        <f>IFERROR(
  IF(ISNUMBER(C121),C121,
    IF(ISNUMBER(SEARCH("-",C121)*1),
      IF(LEN(LEFT(C121,FIND("-",C121)-1))=4,
        DATE(VALUE(LEFT(C121,4)),VALUE(MID(C121,6,2)),VALUE(RIGHT(C121,2))),
        DATE(VALUE(RIGHT(C121,4)),VALUE(MID(C121,4,2)),VALUE(LEFT(C121,2)))
      ),
      IF(ISNUMBER(SEARCH("/",C121)*1),
        DATE(VALUE(RIGHT(C121,4)),VALUE(LEFT(C121,2)),VALUE(MID(C121,4,2))),
        DATEVALUE(C121)
      )
    )
  ),
"INVALID_DATE")</f>
        <v>45462</v>
      </c>
      <c r="AB121">
        <f>AA121-Z121</f>
        <v>7</v>
      </c>
      <c r="AC121" t="str">
        <f>TEXT(Z121,"mmmm")</f>
        <v>June</v>
      </c>
      <c r="AD121">
        <f>YEAR(Z121)</f>
        <v>2024</v>
      </c>
      <c r="AE121" t="str">
        <f t="shared" si="5"/>
        <v>OK</v>
      </c>
    </row>
    <row r="122" spans="1:31">
      <c r="A122" t="s">
        <v>701</v>
      </c>
      <c r="B122" t="s">
        <v>511</v>
      </c>
      <c r="C122" t="s">
        <v>702</v>
      </c>
      <c r="D122" t="s">
        <v>703</v>
      </c>
      <c r="E122" t="s">
        <v>175</v>
      </c>
      <c r="F122" t="s">
        <v>48</v>
      </c>
      <c r="G122" t="s">
        <v>49</v>
      </c>
      <c r="H122" t="s">
        <v>193</v>
      </c>
      <c r="I122" t="s">
        <v>194</v>
      </c>
      <c r="J122" t="s">
        <v>93</v>
      </c>
      <c r="K122" t="s">
        <v>230</v>
      </c>
      <c r="L122" t="s">
        <v>704</v>
      </c>
      <c r="M122" t="s">
        <v>74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41</v>
      </c>
      <c r="U122" t="s">
        <v>132</v>
      </c>
      <c r="V122">
        <f>O122*(1-P122)*N122</f>
        <v>1458.9360000000001</v>
      </c>
      <c r="W122">
        <f t="shared" si="3"/>
        <v>565.7360000000001</v>
      </c>
      <c r="X122">
        <f t="shared" si="4"/>
        <v>0.38777468573073598</v>
      </c>
      <c r="Y122" t="s">
        <v>4120</v>
      </c>
      <c r="Z122" s="2">
        <f>IFERROR(
  IF(ISNUMBER(B122),B122,
    IF(ISNUMBER(SEARCH("-",B122)*1),
      IF(LEN(LEFT(B122,FIND("-",B122)-1))=4,
        DATE(VALUE(LEFT(B122,4)),VALUE(MID(B122,6,2)),VALUE(RIGHT(B122,2))),
        DATE(VALUE(RIGHT(B122,4)),VALUE(MID(B122,4,2)),VALUE(LEFT(B122,2)))
      ),
      IF(ISNUMBER(SEARCH("/",B122)*1),
        DATE(VALUE(RIGHT(B122,4)),VALUE(LEFT(B122,2)),VALUE(MID(B122,4,2))),
        DATEVALUE(B122)
      )
    )
  ),
"INVALID_DATE")</f>
        <v>45514</v>
      </c>
      <c r="AA122" s="2">
        <f>IFERROR(
  IF(ISNUMBER(C122),C122,
    IF(ISNUMBER(SEARCH("-",C122)*1),
      IF(LEN(LEFT(C122,FIND("-",C122)-1))=4,
        DATE(VALUE(LEFT(C122,4)),VALUE(MID(C122,6,2)),VALUE(RIGHT(C122,2))),
        DATE(VALUE(RIGHT(C122,4)),VALUE(MID(C122,4,2)),VALUE(LEFT(C122,2)))
      ),
      IF(ISNUMBER(SEARCH("/",C122)*1),
        DATE(VALUE(RIGHT(C122,4)),VALUE(LEFT(C122,2)),VALUE(MID(C122,4,2))),
        DATEVALUE(C122)
      )
    )
  ),
"INVALID_DATE")</f>
        <v>45522</v>
      </c>
      <c r="AB122">
        <f>AA122-Z122</f>
        <v>8</v>
      </c>
      <c r="AC122" t="str">
        <f>TEXT(Z122,"mmmm")</f>
        <v>August</v>
      </c>
      <c r="AD122">
        <f>YEAR(Z122)</f>
        <v>2024</v>
      </c>
      <c r="AE122" t="str">
        <f t="shared" si="5"/>
        <v>OK</v>
      </c>
    </row>
    <row r="123" spans="1:31">
      <c r="A123" t="s">
        <v>705</v>
      </c>
      <c r="B123" t="s">
        <v>706</v>
      </c>
      <c r="C123" t="s">
        <v>707</v>
      </c>
      <c r="D123" t="s">
        <v>708</v>
      </c>
      <c r="E123" t="s">
        <v>374</v>
      </c>
      <c r="F123" t="s">
        <v>709</v>
      </c>
      <c r="G123" t="s">
        <v>69</v>
      </c>
      <c r="H123" t="s">
        <v>107</v>
      </c>
      <c r="I123" t="s">
        <v>108</v>
      </c>
      <c r="J123" t="s">
        <v>93</v>
      </c>
      <c r="K123" t="s">
        <v>390</v>
      </c>
      <c r="L123" t="s">
        <v>710</v>
      </c>
      <c r="M123" t="s">
        <v>40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131</v>
      </c>
      <c r="U123" t="s">
        <v>85</v>
      </c>
      <c r="V123">
        <f>O123*(1-P123)*N123</f>
        <v>17414.599999999999</v>
      </c>
      <c r="W123">
        <f t="shared" si="3"/>
        <v>5653.6899999999987</v>
      </c>
      <c r="X123">
        <f t="shared" si="4"/>
        <v>0.32465230323981026</v>
      </c>
      <c r="Y123" t="s">
        <v>4120</v>
      </c>
      <c r="Z123" s="2">
        <f>IFERROR(
  IF(ISNUMBER(B123),B123,
    IF(ISNUMBER(SEARCH("-",B123)*1),
      IF(LEN(LEFT(B123,FIND("-",B123)-1))=4,
        DATE(VALUE(LEFT(B123,4)),VALUE(MID(B123,6,2)),VALUE(RIGHT(B123,2))),
        DATE(VALUE(RIGHT(B123,4)),VALUE(MID(B123,4,2)),VALUE(LEFT(B123,2)))
      ),
      IF(ISNUMBER(SEARCH("/",B123)*1),
        DATE(VALUE(RIGHT(B123,4)),VALUE(LEFT(B123,2)),VALUE(MID(B123,4,2))),
        DATEVALUE(B123)
      )
    )
  ),
"INVALID_DATE")</f>
        <v>45891</v>
      </c>
      <c r="AA123" s="2">
        <f>IFERROR(
  IF(ISNUMBER(C123),C123,
    IF(ISNUMBER(SEARCH("-",C123)*1),
      IF(LEN(LEFT(C123,FIND("-",C123)-1))=4,
        DATE(VALUE(LEFT(C123,4)),VALUE(MID(C123,6,2)),VALUE(RIGHT(C123,2))),
        DATE(VALUE(RIGHT(C123,4)),VALUE(MID(C123,4,2)),VALUE(LEFT(C123,2)))
      ),
      IF(ISNUMBER(SEARCH("/",C123)*1),
        DATE(VALUE(RIGHT(C123,4)),VALUE(LEFT(C123,2)),VALUE(MID(C123,4,2))),
        DATEVALUE(C123)
      )
    )
  ),
"INVALID_DATE")</f>
        <v>45895</v>
      </c>
      <c r="AB123">
        <f>AA123-Z123</f>
        <v>4</v>
      </c>
      <c r="AC123" t="str">
        <f>TEXT(Z123,"mmmm")</f>
        <v>August</v>
      </c>
      <c r="AD123">
        <f>YEAR(Z123)</f>
        <v>2025</v>
      </c>
      <c r="AE123" t="str">
        <f t="shared" si="5"/>
        <v>OK</v>
      </c>
    </row>
    <row r="124" spans="1:31">
      <c r="A124" t="s">
        <v>711</v>
      </c>
      <c r="B124" t="s">
        <v>712</v>
      </c>
      <c r="C124" t="s">
        <v>713</v>
      </c>
      <c r="D124" t="s">
        <v>714</v>
      </c>
      <c r="E124" t="s">
        <v>79</v>
      </c>
      <c r="F124" t="s">
        <v>48</v>
      </c>
      <c r="G124" t="s">
        <v>49</v>
      </c>
      <c r="H124" t="s">
        <v>223</v>
      </c>
      <c r="I124" t="s">
        <v>224</v>
      </c>
      <c r="J124" t="s">
        <v>52</v>
      </c>
      <c r="K124" t="s">
        <v>83</v>
      </c>
      <c r="L124" t="s">
        <v>715</v>
      </c>
      <c r="M124" t="s">
        <v>40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41</v>
      </c>
      <c r="U124" t="s">
        <v>42</v>
      </c>
      <c r="V124">
        <f>O124*(1-P124)*N124</f>
        <v>511.04999999999995</v>
      </c>
      <c r="W124">
        <f t="shared" si="3"/>
        <v>143.86999999999995</v>
      </c>
      <c r="X124">
        <f t="shared" si="4"/>
        <v>0.28151844242246354</v>
      </c>
      <c r="Y124" t="str">
        <f>_xlfn.TEXTJOIN(", ",TRUE,IF(G124="Unknown","Missing Region",""),IF(M124="Unknown","Missing Ship Mode",""),IF(P124&lt;0,"Negative Discount",""),IF(P124&gt;0.7,"High Discount",""),IF(C124&lt;B124,"Ship Before Order",""))</f>
        <v>Ship Before Order</v>
      </c>
      <c r="Z124" s="2">
        <f>IFERROR(
  IF(ISNUMBER(B124),B124,
    IF(ISNUMBER(SEARCH("-",B124)*1),
      IF(LEN(LEFT(B124,FIND("-",B124)-1))=4,
        DATE(VALUE(LEFT(B124,4)),VALUE(MID(B124,6,2)),VALUE(RIGHT(B124,2))),
        DATE(VALUE(RIGHT(B124,4)),VALUE(MID(B124,4,2)),VALUE(LEFT(B124,2)))
      ),
      IF(ISNUMBER(SEARCH("/",B124)*1),
        DATE(VALUE(RIGHT(B124,4)),VALUE(LEFT(B124,2)),VALUE(MID(B124,4,2))),
        DATEVALUE(B124)
      )
    )
  ),
"INVALID_DATE")</f>
        <v>45626</v>
      </c>
      <c r="AA124" s="2">
        <f>IFERROR(
  IF(ISNUMBER(C124),C124,
    IF(ISNUMBER(SEARCH("-",C124)*1),
      IF(LEN(LEFT(C124,FIND("-",C124)-1))=4,
        DATE(VALUE(LEFT(C124,4)),VALUE(MID(C124,6,2)),VALUE(RIGHT(C124,2))),
        DATE(VALUE(RIGHT(C124,4)),VALUE(MID(C124,4,2)),VALUE(LEFT(C124,2)))
      ),
      IF(ISNUMBER(SEARCH("/",C124)*1),
        DATE(VALUE(RIGHT(C124,4)),VALUE(LEFT(C124,2)),VALUE(MID(C124,4,2))),
        DATEVALUE(C124)
      )
    )
  ),
"INVALID_DATE")</f>
        <v>45630</v>
      </c>
      <c r="AB124">
        <f>AA124-Z124</f>
        <v>4</v>
      </c>
      <c r="AC124" t="str">
        <f>TEXT(Z124,"mmmm")</f>
        <v>November</v>
      </c>
      <c r="AD124">
        <f>YEAR(Z124)</f>
        <v>2024</v>
      </c>
      <c r="AE124" t="str">
        <f t="shared" si="5"/>
        <v>OK</v>
      </c>
    </row>
    <row r="125" spans="1:31">
      <c r="A125" t="s">
        <v>716</v>
      </c>
      <c r="B125" t="s">
        <v>717</v>
      </c>
      <c r="C125" t="s">
        <v>718</v>
      </c>
      <c r="D125" t="s">
        <v>719</v>
      </c>
      <c r="E125" t="s">
        <v>175</v>
      </c>
      <c r="F125" t="s">
        <v>48</v>
      </c>
      <c r="G125" t="s">
        <v>720</v>
      </c>
      <c r="H125" t="s">
        <v>161</v>
      </c>
      <c r="I125" t="s">
        <v>162</v>
      </c>
      <c r="J125" t="s">
        <v>93</v>
      </c>
      <c r="K125" t="s">
        <v>101</v>
      </c>
      <c r="L125" t="s">
        <v>721</v>
      </c>
      <c r="M125" t="s">
        <v>55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131</v>
      </c>
      <c r="U125" t="s">
        <v>85</v>
      </c>
      <c r="V125">
        <f>O125*(1-P125)*N125</f>
        <v>634.13</v>
      </c>
      <c r="W125">
        <f t="shared" si="3"/>
        <v>180.77999999999997</v>
      </c>
      <c r="X125">
        <f t="shared" si="4"/>
        <v>0.28508350022865975</v>
      </c>
      <c r="Y125" t="s">
        <v>4120</v>
      </c>
      <c r="Z125" s="2">
        <f>IFERROR(
  IF(ISNUMBER(B125),B125,
    IF(ISNUMBER(SEARCH("-",B125)*1),
      IF(LEN(LEFT(B125,FIND("-",B125)-1))=4,
        DATE(VALUE(LEFT(B125,4)),VALUE(MID(B125,6,2)),VALUE(RIGHT(B125,2))),
        DATE(VALUE(RIGHT(B125,4)),VALUE(MID(B125,4,2)),VALUE(LEFT(B125,2)))
      ),
      IF(ISNUMBER(SEARCH("/",B125)*1),
        DATE(VALUE(RIGHT(B125,4)),VALUE(LEFT(B125,2)),VALUE(MID(B125,4,2))),
        DATEVALUE(B125)
      )
    )
  ),
"INVALID_DATE")</f>
        <v>45436</v>
      </c>
      <c r="AA125" s="2">
        <f>IFERROR(
  IF(ISNUMBER(C125),C125,
    IF(ISNUMBER(SEARCH("-",C125)*1),
      IF(LEN(LEFT(C125,FIND("-",C125)-1))=4,
        DATE(VALUE(LEFT(C125,4)),VALUE(MID(C125,6,2)),VALUE(RIGHT(C125,2))),
        DATE(VALUE(RIGHT(C125,4)),VALUE(MID(C125,4,2)),VALUE(LEFT(C125,2)))
      ),
      IF(ISNUMBER(SEARCH("/",C125)*1),
        DATE(VALUE(RIGHT(C125,4)),VALUE(LEFT(C125,2)),VALUE(MID(C125,4,2))),
        DATEVALUE(C125)
      )
    )
  ),
"INVALID_DATE")</f>
        <v>45437</v>
      </c>
      <c r="AB125">
        <f>AA125-Z125</f>
        <v>1</v>
      </c>
      <c r="AC125" t="str">
        <f>TEXT(Z125,"mmmm")</f>
        <v>May</v>
      </c>
      <c r="AD125">
        <f>YEAR(Z125)</f>
        <v>2024</v>
      </c>
      <c r="AE125" t="str">
        <f t="shared" si="5"/>
        <v>OK</v>
      </c>
    </row>
    <row r="126" spans="1:31">
      <c r="A126" t="s">
        <v>722</v>
      </c>
      <c r="B126" t="s">
        <v>29</v>
      </c>
      <c r="C126" t="s">
        <v>723</v>
      </c>
      <c r="D126" t="s">
        <v>724</v>
      </c>
      <c r="E126" t="s">
        <v>60</v>
      </c>
      <c r="F126" t="s">
        <v>115</v>
      </c>
      <c r="G126" t="s">
        <v>69</v>
      </c>
      <c r="H126" t="s">
        <v>236</v>
      </c>
      <c r="I126" t="s">
        <v>237</v>
      </c>
      <c r="J126" t="s">
        <v>93</v>
      </c>
      <c r="K126" t="s">
        <v>101</v>
      </c>
      <c r="L126" t="s">
        <v>725</v>
      </c>
      <c r="M126" t="s">
        <v>74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41</v>
      </c>
      <c r="U126" t="s">
        <v>42</v>
      </c>
      <c r="V126">
        <f>O126*(1-P126)*N126</f>
        <v>4813.3709999999992</v>
      </c>
      <c r="W126">
        <f t="shared" si="3"/>
        <v>1369.6309999999994</v>
      </c>
      <c r="X126">
        <f t="shared" si="4"/>
        <v>0.17722922251370193</v>
      </c>
      <c r="Y126" t="str">
        <f>_xlfn.TEXTJOIN(", ",TRUE,IF(G126="Unknown","Missing Region",""),IF(M126="Unknown","Missing Ship Mode",""),IF(P126&lt;0,"Negative Discount",""),IF(P126&gt;0.7,"High Discount",""),IF(C126&lt;B126,"Ship Before Order",""))</f>
        <v>Negative Discount, Ship Before Order</v>
      </c>
      <c r="Z126" s="2">
        <f>IFERROR(
  IF(ISNUMBER(B126),B126,
    IF(ISNUMBER(SEARCH("-",B126)*1),
      IF(LEN(LEFT(B126,FIND("-",B126)-1))=4,
        DATE(VALUE(LEFT(B126,4)),VALUE(MID(B126,6,2)),VALUE(RIGHT(B126,2))),
        DATE(VALUE(RIGHT(B126,4)),VALUE(MID(B126,4,2)),VALUE(LEFT(B126,2)))
      ),
      IF(ISNUMBER(SEARCH("/",B126)*1),
        DATE(VALUE(RIGHT(B126,4)),VALUE(LEFT(B126,2)),VALUE(MID(B126,4,2))),
        DATEVALUE(B126)
      )
    )
  ),
"INVALID_DATE")</f>
        <v>45494</v>
      </c>
      <c r="AA126" s="2">
        <f>IFERROR(
  IF(ISNUMBER(C126),C126,
    IF(ISNUMBER(SEARCH("-",C126)*1),
      IF(LEN(LEFT(C126,FIND("-",C126)-1))=4,
        DATE(VALUE(LEFT(C126,4)),VALUE(MID(C126,6,2)),VALUE(RIGHT(C126,2))),
        DATE(VALUE(RIGHT(C126,4)),VALUE(MID(C126,4,2)),VALUE(LEFT(C126,2)))
      ),
      IF(ISNUMBER(SEARCH("/",C126)*1),
        DATE(VALUE(RIGHT(C126,4)),VALUE(LEFT(C126,2)),VALUE(MID(C126,4,2))),
        DATEVALUE(C126)
      )
    )
  ),
"INVALID_DATE")</f>
        <v>45497</v>
      </c>
      <c r="AB126">
        <f>AA126-Z126</f>
        <v>3</v>
      </c>
      <c r="AC126" t="str">
        <f>TEXT(Z126,"mmmm")</f>
        <v>July</v>
      </c>
      <c r="AD126">
        <f>YEAR(Z126)</f>
        <v>2024</v>
      </c>
      <c r="AE126" t="str">
        <f t="shared" si="5"/>
        <v>OK</v>
      </c>
    </row>
    <row r="127" spans="1:31">
      <c r="A127" t="s">
        <v>726</v>
      </c>
      <c r="B127" t="s">
        <v>727</v>
      </c>
      <c r="C127" t="s">
        <v>728</v>
      </c>
      <c r="D127" t="s">
        <v>729</v>
      </c>
      <c r="E127" t="s">
        <v>100</v>
      </c>
      <c r="F127" t="s">
        <v>48</v>
      </c>
      <c r="G127" t="s">
        <v>80</v>
      </c>
      <c r="H127" t="s">
        <v>35</v>
      </c>
      <c r="I127" t="s">
        <v>142</v>
      </c>
      <c r="J127" t="s">
        <v>52</v>
      </c>
      <c r="K127" t="s">
        <v>53</v>
      </c>
      <c r="L127" t="s">
        <v>730</v>
      </c>
      <c r="M127" t="s">
        <v>55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131</v>
      </c>
      <c r="U127" t="s">
        <v>132</v>
      </c>
      <c r="V127">
        <f>O127*(1-P127)*N127</f>
        <v>14558.715</v>
      </c>
      <c r="W127">
        <f t="shared" si="3"/>
        <v>4967.2350000000006</v>
      </c>
      <c r="X127">
        <f t="shared" si="4"/>
        <v>0.34118658783189731</v>
      </c>
      <c r="Y127" t="str">
        <f>_xlfn.TEXTJOIN(", ",TRUE,IF(G127="Unknown","Missing Region",""),IF(M127="Unknown","Missing Ship Mode",""),IF(P127&lt;0,"Negative Discount",""),IF(P127&gt;0.7,"High Discount",""),IF(C127&lt;B127,"Ship Before Order",""))</f>
        <v>Ship Before Order</v>
      </c>
      <c r="Z127" s="2">
        <f>IFERROR(
  IF(ISNUMBER(B127),B127,
    IF(ISNUMBER(SEARCH("-",B127)*1),
      IF(LEN(LEFT(B127,FIND("-",B127)-1))=4,
        DATE(VALUE(LEFT(B127,4)),VALUE(MID(B127,6,2)),VALUE(RIGHT(B127,2))),
        DATE(VALUE(RIGHT(B127,4)),VALUE(MID(B127,4,2)),VALUE(LEFT(B127,2)))
      ),
      IF(ISNUMBER(SEARCH("/",B127)*1),
        DATE(VALUE(RIGHT(B127,4)),VALUE(LEFT(B127,2)),VALUE(MID(B127,4,2))),
        DATEVALUE(B127)
      )
    )
  ),
"INVALID_DATE")</f>
        <v>45855</v>
      </c>
      <c r="AA127" s="2">
        <f>IFERROR(
  IF(ISNUMBER(C127),C127,
    IF(ISNUMBER(SEARCH("-",C127)*1),
      IF(LEN(LEFT(C127,FIND("-",C127)-1))=4,
        DATE(VALUE(LEFT(C127,4)),VALUE(MID(C127,6,2)),VALUE(RIGHT(C127,2))),
        DATE(VALUE(RIGHT(C127,4)),VALUE(MID(C127,4,2)),VALUE(LEFT(C127,2)))
      ),
      IF(ISNUMBER(SEARCH("/",C127)*1),
        DATE(VALUE(RIGHT(C127,4)),VALUE(LEFT(C127,2)),VALUE(MID(C127,4,2))),
        DATEVALUE(C127)
      )
    )
  ),
"INVALID_DATE")</f>
        <v>45856</v>
      </c>
      <c r="AB127">
        <f>AA127-Z127</f>
        <v>1</v>
      </c>
      <c r="AC127" t="str">
        <f>TEXT(Z127,"mmmm")</f>
        <v>July</v>
      </c>
      <c r="AD127">
        <f>YEAR(Z127)</f>
        <v>2025</v>
      </c>
      <c r="AE127" t="str">
        <f t="shared" si="5"/>
        <v>OK</v>
      </c>
    </row>
    <row r="128" spans="1:31">
      <c r="A128" t="s">
        <v>731</v>
      </c>
      <c r="B128" t="s">
        <v>732</v>
      </c>
      <c r="C128" t="s">
        <v>733</v>
      </c>
      <c r="D128" t="s">
        <v>734</v>
      </c>
      <c r="E128" t="s">
        <v>149</v>
      </c>
      <c r="F128" t="s">
        <v>115</v>
      </c>
      <c r="G128" t="s">
        <v>34</v>
      </c>
      <c r="H128" t="s">
        <v>514</v>
      </c>
      <c r="I128" t="s">
        <v>515</v>
      </c>
      <c r="J128" t="s">
        <v>93</v>
      </c>
      <c r="K128" t="s">
        <v>101</v>
      </c>
      <c r="L128" t="s">
        <v>735</v>
      </c>
      <c r="M128" t="s">
        <v>74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41</v>
      </c>
      <c r="U128" t="s">
        <v>42</v>
      </c>
      <c r="V128">
        <f>O128*(1-P128)*N128</f>
        <v>4303.4219999999996</v>
      </c>
      <c r="W128">
        <f t="shared" si="3"/>
        <v>1734.8519999999994</v>
      </c>
      <c r="X128">
        <f t="shared" si="4"/>
        <v>0.40313285712293939</v>
      </c>
      <c r="Y128" t="s">
        <v>4120</v>
      </c>
      <c r="Z128" s="2">
        <f>IFERROR(
  IF(ISNUMBER(B128),B128,
    IF(ISNUMBER(SEARCH("-",B128)*1),
      IF(LEN(LEFT(B128,FIND("-",B128)-1))=4,
        DATE(VALUE(LEFT(B128,4)),VALUE(MID(B128,6,2)),VALUE(RIGHT(B128,2))),
        DATE(VALUE(RIGHT(B128,4)),VALUE(MID(B128,4,2)),VALUE(LEFT(B128,2)))
      ),
      IF(ISNUMBER(SEARCH("/",B128)*1),
        DATE(VALUE(RIGHT(B128,4)),VALUE(LEFT(B128,2)),VALUE(MID(B128,4,2))),
        DATEVALUE(B128)
      )
    )
  ),
"INVALID_DATE")</f>
        <v>45924</v>
      </c>
      <c r="AA128" s="2">
        <f>IFERROR(
  IF(ISNUMBER(C128),C128,
    IF(ISNUMBER(SEARCH("-",C128)*1),
      IF(LEN(LEFT(C128,FIND("-",C128)-1))=4,
        DATE(VALUE(LEFT(C128,4)),VALUE(MID(C128,6,2)),VALUE(RIGHT(C128,2))),
        DATE(VALUE(RIGHT(C128,4)),VALUE(MID(C128,4,2)),VALUE(LEFT(C128,2)))
      ),
      IF(ISNUMBER(SEARCH("/",C128)*1),
        DATE(VALUE(RIGHT(C128,4)),VALUE(LEFT(C128,2)),VALUE(MID(C128,4,2))),
        DATEVALUE(C128)
      )
    )
  ),
"INVALID_DATE")</f>
        <v>45926</v>
      </c>
      <c r="AB128">
        <f>AA128-Z128</f>
        <v>2</v>
      </c>
      <c r="AC128" t="str">
        <f>TEXT(Z128,"mmmm")</f>
        <v>September</v>
      </c>
      <c r="AD128">
        <f>YEAR(Z128)</f>
        <v>2025</v>
      </c>
      <c r="AE128" t="str">
        <f t="shared" si="5"/>
        <v>OK</v>
      </c>
    </row>
    <row r="129" spans="1:31">
      <c r="A129" t="s">
        <v>736</v>
      </c>
      <c r="B129" t="s">
        <v>198</v>
      </c>
      <c r="C129" t="s">
        <v>737</v>
      </c>
      <c r="D129" t="s">
        <v>738</v>
      </c>
      <c r="E129" t="s">
        <v>149</v>
      </c>
      <c r="F129" t="s">
        <v>115</v>
      </c>
      <c r="G129" t="s">
        <v>80</v>
      </c>
      <c r="H129" t="s">
        <v>91</v>
      </c>
      <c r="I129" t="s">
        <v>92</v>
      </c>
      <c r="J129" t="s">
        <v>37</v>
      </c>
      <c r="K129" t="s">
        <v>163</v>
      </c>
      <c r="L129" t="s">
        <v>739</v>
      </c>
      <c r="M129" t="s">
        <v>40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41</v>
      </c>
      <c r="U129" t="s">
        <v>42</v>
      </c>
      <c r="V129">
        <f>O129*(1-P129)*N129</f>
        <v>5774.67</v>
      </c>
      <c r="W129">
        <f t="shared" si="3"/>
        <v>2256.31</v>
      </c>
      <c r="X129">
        <f t="shared" si="4"/>
        <v>0.39072535746631409</v>
      </c>
      <c r="Y129" t="s">
        <v>4120</v>
      </c>
      <c r="Z129" s="2">
        <f>IFERROR(
  IF(ISNUMBER(B129),B129,
    IF(ISNUMBER(SEARCH("-",B129)*1),
      IF(LEN(LEFT(B129,FIND("-",B129)-1))=4,
        DATE(VALUE(LEFT(B129,4)),VALUE(MID(B129,6,2)),VALUE(RIGHT(B129,2))),
        DATE(VALUE(RIGHT(B129,4)),VALUE(MID(B129,4,2)),VALUE(LEFT(B129,2)))
      ),
      IF(ISNUMBER(SEARCH("/",B129)*1),
        DATE(VALUE(RIGHT(B129,4)),VALUE(LEFT(B129,2)),VALUE(MID(B129,4,2))),
        DATEVALUE(B129)
      )
    )
  ),
"INVALID_DATE")</f>
        <v>45687</v>
      </c>
      <c r="AA129" s="2">
        <f>IFERROR(
  IF(ISNUMBER(C129),C129,
    IF(ISNUMBER(SEARCH("-",C129)*1),
      IF(LEN(LEFT(C129,FIND("-",C129)-1))=4,
        DATE(VALUE(LEFT(C129,4)),VALUE(MID(C129,6,2)),VALUE(RIGHT(C129,2))),
        DATE(VALUE(RIGHT(C129,4)),VALUE(MID(C129,4,2)),VALUE(LEFT(C129,2)))
      ),
      IF(ISNUMBER(SEARCH("/",C129)*1),
        DATE(VALUE(RIGHT(C129,4)),VALUE(LEFT(C129,2)),VALUE(MID(C129,4,2))),
        DATEVALUE(C129)
      )
    )
  ),
"INVALID_DATE")</f>
        <v>45683</v>
      </c>
      <c r="AB129">
        <f>AA129-Z129</f>
        <v>-4</v>
      </c>
      <c r="AC129" t="str">
        <f>TEXT(Z129,"mmmm")</f>
        <v>January</v>
      </c>
      <c r="AD129">
        <f>YEAR(Z129)</f>
        <v>2025</v>
      </c>
      <c r="AE129" t="str">
        <f t="shared" si="5"/>
        <v>Ship Before Order</v>
      </c>
    </row>
    <row r="130" spans="1:31">
      <c r="A130" t="s">
        <v>740</v>
      </c>
      <c r="B130" t="s">
        <v>741</v>
      </c>
      <c r="C130" t="s">
        <v>742</v>
      </c>
      <c r="D130" t="s">
        <v>743</v>
      </c>
      <c r="E130" t="s">
        <v>100</v>
      </c>
      <c r="F130" t="s">
        <v>48</v>
      </c>
      <c r="G130" t="s">
        <v>49</v>
      </c>
      <c r="H130" t="s">
        <v>50</v>
      </c>
      <c r="I130" t="s">
        <v>51</v>
      </c>
      <c r="J130" t="s">
        <v>52</v>
      </c>
      <c r="K130" t="s">
        <v>72</v>
      </c>
      <c r="L130" t="s">
        <v>744</v>
      </c>
      <c r="M130" t="s">
        <v>74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41</v>
      </c>
      <c r="U130" t="s">
        <v>132</v>
      </c>
      <c r="V130">
        <f>O130*(1-P130)*N130</f>
        <v>4386.3874999999998</v>
      </c>
      <c r="W130">
        <f t="shared" si="3"/>
        <v>1019.5074999999997</v>
      </c>
      <c r="X130">
        <f t="shared" si="4"/>
        <v>0.23242575329599052</v>
      </c>
      <c r="Y130" t="s">
        <v>4120</v>
      </c>
      <c r="Z130" s="2">
        <f>IFERROR(
  IF(ISNUMBER(B130),B130,
    IF(ISNUMBER(SEARCH("-",B130)*1),
      IF(LEN(LEFT(B130,FIND("-",B130)-1))=4,
        DATE(VALUE(LEFT(B130,4)),VALUE(MID(B130,6,2)),VALUE(RIGHT(B130,2))),
        DATE(VALUE(RIGHT(B130,4)),VALUE(MID(B130,4,2)),VALUE(LEFT(B130,2)))
      ),
      IF(ISNUMBER(SEARCH("/",B130)*1),
        DATE(VALUE(RIGHT(B130,4)),VALUE(LEFT(B130,2)),VALUE(MID(B130,4,2))),
        DATEVALUE(B130)
      )
    )
  ),
"INVALID_DATE")</f>
        <v>45639</v>
      </c>
      <c r="AA130" s="2">
        <f>IFERROR(
  IF(ISNUMBER(C130),C130,
    IF(ISNUMBER(SEARCH("-",C130)*1),
      IF(LEN(LEFT(C130,FIND("-",C130)-1))=4,
        DATE(VALUE(LEFT(C130,4)),VALUE(MID(C130,6,2)),VALUE(RIGHT(C130,2))),
        DATE(VALUE(RIGHT(C130,4)),VALUE(MID(C130,4,2)),VALUE(LEFT(C130,2)))
      ),
      IF(ISNUMBER(SEARCH("/",C130)*1),
        DATE(VALUE(RIGHT(C130,4)),VALUE(LEFT(C130,2)),VALUE(MID(C130,4,2))),
        DATEVALUE(C130)
      )
    )
  ),
"INVALID_DATE")</f>
        <v>45642</v>
      </c>
      <c r="AB130">
        <f>AA130-Z130</f>
        <v>3</v>
      </c>
      <c r="AC130" t="str">
        <f>TEXT(Z130,"mmmm")</f>
        <v>December</v>
      </c>
      <c r="AD130">
        <f>YEAR(Z130)</f>
        <v>2024</v>
      </c>
      <c r="AE130" t="str">
        <f t="shared" si="5"/>
        <v>OK</v>
      </c>
    </row>
    <row r="131" spans="1:31">
      <c r="A131" t="s">
        <v>745</v>
      </c>
      <c r="B131" t="s">
        <v>414</v>
      </c>
      <c r="C131" t="s">
        <v>746</v>
      </c>
      <c r="D131" t="s">
        <v>747</v>
      </c>
      <c r="E131" t="s">
        <v>60</v>
      </c>
      <c r="F131" t="s">
        <v>48</v>
      </c>
      <c r="G131" t="s">
        <v>80</v>
      </c>
      <c r="H131" t="s">
        <v>256</v>
      </c>
      <c r="I131" t="s">
        <v>257</v>
      </c>
      <c r="J131" t="s">
        <v>37</v>
      </c>
      <c r="K131" t="s">
        <v>205</v>
      </c>
      <c r="L131" t="s">
        <v>748</v>
      </c>
      <c r="M131" t="s">
        <v>74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41</v>
      </c>
      <c r="U131" t="s">
        <v>42</v>
      </c>
      <c r="V131">
        <f>O131*(1-P131)*N131</f>
        <v>18229.5785</v>
      </c>
      <c r="W131">
        <f t="shared" ref="W131:W194" si="6">V131-R131</f>
        <v>3090.4285</v>
      </c>
      <c r="X131">
        <f t="shared" ref="X131:X194" si="7">S131/Q131</f>
        <v>0.16952831606652483</v>
      </c>
      <c r="Y131" t="s">
        <v>4120</v>
      </c>
      <c r="Z131" s="2">
        <f>IFERROR(
  IF(ISNUMBER(B131),B131,
    IF(ISNUMBER(SEARCH("-",B131)*1),
      IF(LEN(LEFT(B131,FIND("-",B131)-1))=4,
        DATE(VALUE(LEFT(B131,4)),VALUE(MID(B131,6,2)),VALUE(RIGHT(B131,2))),
        DATE(VALUE(RIGHT(B131,4)),VALUE(MID(B131,4,2)),VALUE(LEFT(B131,2)))
      ),
      IF(ISNUMBER(SEARCH("/",B131)*1),
        DATE(VALUE(RIGHT(B131,4)),VALUE(LEFT(B131,2)),VALUE(MID(B131,4,2))),
        DATEVALUE(B131)
      )
    )
  ),
"INVALID_DATE")</f>
        <v>45492</v>
      </c>
      <c r="AA131" s="2">
        <f>IFERROR(
  IF(ISNUMBER(C131),C131,
    IF(ISNUMBER(SEARCH("-",C131)*1),
      IF(LEN(LEFT(C131,FIND("-",C131)-1))=4,
        DATE(VALUE(LEFT(C131,4)),VALUE(MID(C131,6,2)),VALUE(RIGHT(C131,2))),
        DATE(VALUE(RIGHT(C131,4)),VALUE(MID(C131,4,2)),VALUE(LEFT(C131,2)))
      ),
      IF(ISNUMBER(SEARCH("/",C131)*1),
        DATE(VALUE(RIGHT(C131,4)),VALUE(LEFT(C131,2)),VALUE(MID(C131,4,2))),
        DATEVALUE(C131)
      )
    )
  ),
"INVALID_DATE")</f>
        <v>45498</v>
      </c>
      <c r="AB131">
        <f>AA131-Z131</f>
        <v>6</v>
      </c>
      <c r="AC131" t="str">
        <f>TEXT(Z131,"mmmm")</f>
        <v>July</v>
      </c>
      <c r="AD131">
        <f>YEAR(Z131)</f>
        <v>2024</v>
      </c>
      <c r="AE131" t="str">
        <f t="shared" ref="AE131:AE194" si="8">IF(OR(Z131="INVALID_DATE",AA131="INVALID_DATE"),"Invalid Date",IF(AA131&lt;Z131,"Ship Before Order","OK"))</f>
        <v>OK</v>
      </c>
    </row>
    <row r="132" spans="1:31">
      <c r="A132" t="s">
        <v>749</v>
      </c>
      <c r="B132" t="s">
        <v>750</v>
      </c>
      <c r="C132" t="s">
        <v>751</v>
      </c>
      <c r="D132" t="s">
        <v>752</v>
      </c>
      <c r="E132" t="s">
        <v>68</v>
      </c>
      <c r="F132" t="s">
        <v>33</v>
      </c>
      <c r="G132" t="s">
        <v>80</v>
      </c>
      <c r="H132" t="s">
        <v>242</v>
      </c>
      <c r="I132" t="s">
        <v>243</v>
      </c>
      <c r="J132" t="s">
        <v>37</v>
      </c>
      <c r="K132" t="s">
        <v>116</v>
      </c>
      <c r="L132" t="s">
        <v>753</v>
      </c>
      <c r="M132" t="s">
        <v>55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144</v>
      </c>
      <c r="U132" t="s">
        <v>85</v>
      </c>
      <c r="V132">
        <f>O132*(1-P132)*N132</f>
        <v>873.68</v>
      </c>
      <c r="W132">
        <f t="shared" si="6"/>
        <v>211.95999999999992</v>
      </c>
      <c r="X132">
        <f t="shared" si="7"/>
        <v>0.24260598846259501</v>
      </c>
      <c r="Y132" t="str">
        <f>_xlfn.TEXTJOIN(", ",TRUE,IF(G132="Unknown","Missing Region",""),IF(M132="Unknown","Missing Ship Mode",""),IF(P132&lt;0,"Negative Discount",""),IF(P132&gt;0.7,"High Discount",""),IF(C132&lt;B132,"Ship Before Order",""))</f>
        <v>Ship Before Order</v>
      </c>
      <c r="Z132" s="2">
        <f>IFERROR(
  IF(ISNUMBER(B132),B132,
    IF(ISNUMBER(SEARCH("-",B132)*1),
      IF(LEN(LEFT(B132,FIND("-",B132)-1))=4,
        DATE(VALUE(LEFT(B132,4)),VALUE(MID(B132,6,2)),VALUE(RIGHT(B132,2))),
        DATE(VALUE(RIGHT(B132,4)),VALUE(MID(B132,4,2)),VALUE(LEFT(B132,2)))
      ),
      IF(ISNUMBER(SEARCH("/",B132)*1),
        DATE(VALUE(RIGHT(B132,4)),VALUE(LEFT(B132,2)),VALUE(MID(B132,4,2))),
        DATEVALUE(B132)
      )
    )
  ),
"INVALID_DATE")</f>
        <v>45318</v>
      </c>
      <c r="AA132" s="2">
        <f>IFERROR(
  IF(ISNUMBER(C132),C132,
    IF(ISNUMBER(SEARCH("-",C132)*1),
      IF(LEN(LEFT(C132,FIND("-",C132)-1))=4,
        DATE(VALUE(LEFT(C132,4)),VALUE(MID(C132,6,2)),VALUE(RIGHT(C132,2))),
        DATE(VALUE(RIGHT(C132,4)),VALUE(MID(C132,4,2)),VALUE(LEFT(C132,2)))
      ),
      IF(ISNUMBER(SEARCH("/",C132)*1),
        DATE(VALUE(RIGHT(C132,4)),VALUE(LEFT(C132,2)),VALUE(MID(C132,4,2))),
        DATEVALUE(C132)
      )
    )
  ),
"INVALID_DATE")</f>
        <v>45324</v>
      </c>
      <c r="AB132">
        <f>AA132-Z132</f>
        <v>6</v>
      </c>
      <c r="AC132" t="str">
        <f>TEXT(Z132,"mmmm")</f>
        <v>January</v>
      </c>
      <c r="AD132">
        <f>YEAR(Z132)</f>
        <v>2024</v>
      </c>
      <c r="AE132" t="str">
        <f t="shared" si="8"/>
        <v>OK</v>
      </c>
    </row>
    <row r="133" spans="1:31">
      <c r="A133" t="s">
        <v>754</v>
      </c>
      <c r="B133" t="s">
        <v>755</v>
      </c>
      <c r="C133" t="s">
        <v>756</v>
      </c>
      <c r="D133" t="s">
        <v>757</v>
      </c>
      <c r="E133" t="s">
        <v>79</v>
      </c>
      <c r="F133" t="s">
        <v>122</v>
      </c>
      <c r="G133" t="s">
        <v>49</v>
      </c>
      <c r="H133" t="s">
        <v>319</v>
      </c>
      <c r="I133" t="s">
        <v>320</v>
      </c>
      <c r="J133" t="s">
        <v>37</v>
      </c>
      <c r="K133" t="s">
        <v>38</v>
      </c>
      <c r="L133" t="s">
        <v>758</v>
      </c>
      <c r="M133" t="s">
        <v>55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41</v>
      </c>
      <c r="U133" t="s">
        <v>42</v>
      </c>
      <c r="V133">
        <f>O133*(1-P133)*N133</f>
        <v>2692.1520000000005</v>
      </c>
      <c r="W133">
        <f t="shared" si="6"/>
        <v>647.66200000000049</v>
      </c>
      <c r="X133">
        <f t="shared" si="7"/>
        <v>0.24057351930613077</v>
      </c>
      <c r="Y133" t="s">
        <v>4120</v>
      </c>
      <c r="Z133" s="2">
        <f>IFERROR(
  IF(ISNUMBER(B133),B133,
    IF(ISNUMBER(SEARCH("-",B133)*1),
      IF(LEN(LEFT(B133,FIND("-",B133)-1))=4,
        DATE(VALUE(LEFT(B133,4)),VALUE(MID(B133,6,2)),VALUE(RIGHT(B133,2))),
        DATE(VALUE(RIGHT(B133,4)),VALUE(MID(B133,4,2)),VALUE(LEFT(B133,2)))
      ),
      IF(ISNUMBER(SEARCH("/",B133)*1),
        DATE(VALUE(RIGHT(B133,4)),VALUE(LEFT(B133,2)),VALUE(MID(B133,4,2))),
        DATEVALUE(B133)
      )
    )
  ),
"INVALID_DATE")</f>
        <v>45929</v>
      </c>
      <c r="AA133" s="2">
        <f>IFERROR(
  IF(ISNUMBER(C133),C133,
    IF(ISNUMBER(SEARCH("-",C133)*1),
      IF(LEN(LEFT(C133,FIND("-",C133)-1))=4,
        DATE(VALUE(LEFT(C133,4)),VALUE(MID(C133,6,2)),VALUE(RIGHT(C133,2))),
        DATE(VALUE(RIGHT(C133,4)),VALUE(MID(C133,4,2)),VALUE(LEFT(C133,2)))
      ),
      IF(ISNUMBER(SEARCH("/",C133)*1),
        DATE(VALUE(RIGHT(C133,4)),VALUE(LEFT(C133,2)),VALUE(MID(C133,4,2))),
        DATEVALUE(C133)
      )
    )
  ),
"INVALID_DATE")</f>
        <v>45934</v>
      </c>
      <c r="AB133">
        <f>AA133-Z133</f>
        <v>5</v>
      </c>
      <c r="AC133" t="str">
        <f>TEXT(Z133,"mmmm")</f>
        <v>September</v>
      </c>
      <c r="AD133">
        <f>YEAR(Z133)</f>
        <v>2025</v>
      </c>
      <c r="AE133" t="str">
        <f t="shared" si="8"/>
        <v>OK</v>
      </c>
    </row>
    <row r="134" spans="1:31">
      <c r="A134" t="s">
        <v>759</v>
      </c>
      <c r="B134" t="s">
        <v>760</v>
      </c>
      <c r="C134" t="s">
        <v>760</v>
      </c>
      <c r="D134" t="s">
        <v>761</v>
      </c>
      <c r="E134" t="s">
        <v>374</v>
      </c>
      <c r="F134" t="s">
        <v>115</v>
      </c>
      <c r="G134" t="s">
        <v>49</v>
      </c>
      <c r="H134" t="s">
        <v>223</v>
      </c>
      <c r="I134" t="s">
        <v>224</v>
      </c>
      <c r="J134" t="s">
        <v>93</v>
      </c>
      <c r="K134" t="s">
        <v>390</v>
      </c>
      <c r="L134" t="s">
        <v>762</v>
      </c>
      <c r="M134" t="s">
        <v>63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207</v>
      </c>
      <c r="U134" t="s">
        <v>85</v>
      </c>
      <c r="V134">
        <f>O134*(1-P134)*N134</f>
        <v>1066.1600000000001</v>
      </c>
      <c r="W134">
        <f t="shared" si="6"/>
        <v>409.86000000000013</v>
      </c>
      <c r="X134">
        <f t="shared" si="7"/>
        <v>0.38442635251744578</v>
      </c>
      <c r="Y134" t="s">
        <v>4120</v>
      </c>
      <c r="Z134" s="2">
        <f>IFERROR(
  IF(ISNUMBER(B134),B134,
    IF(ISNUMBER(SEARCH("-",B134)*1),
      IF(LEN(LEFT(B134,FIND("-",B134)-1))=4,
        DATE(VALUE(LEFT(B134,4)),VALUE(MID(B134,6,2)),VALUE(RIGHT(B134,2))),
        DATE(VALUE(RIGHT(B134,4)),VALUE(MID(B134,4,2)),VALUE(LEFT(B134,2)))
      ),
      IF(ISNUMBER(SEARCH("/",B134)*1),
        DATE(VALUE(RIGHT(B134,4)),VALUE(LEFT(B134,2)),VALUE(MID(B134,4,2))),
        DATEVALUE(B134)
      )
    )
  ),
"INVALID_DATE")</f>
        <v>45600</v>
      </c>
      <c r="AA134" s="2">
        <f>IFERROR(
  IF(ISNUMBER(C134),C134,
    IF(ISNUMBER(SEARCH("-",C134)*1),
      IF(LEN(LEFT(C134,FIND("-",C134)-1))=4,
        DATE(VALUE(LEFT(C134,4)),VALUE(MID(C134,6,2)),VALUE(RIGHT(C134,2))),
        DATE(VALUE(RIGHT(C134,4)),VALUE(MID(C134,4,2)),VALUE(LEFT(C134,2)))
      ),
      IF(ISNUMBER(SEARCH("/",C134)*1),
        DATE(VALUE(RIGHT(C134,4)),VALUE(LEFT(C134,2)),VALUE(MID(C134,4,2))),
        DATEVALUE(C134)
      )
    )
  ),
"INVALID_DATE")</f>
        <v>45600</v>
      </c>
      <c r="AB134">
        <f>AA134-Z134</f>
        <v>0</v>
      </c>
      <c r="AC134" t="str">
        <f>TEXT(Z134,"mmmm")</f>
        <v>November</v>
      </c>
      <c r="AD134">
        <f>YEAR(Z134)</f>
        <v>2024</v>
      </c>
      <c r="AE134" t="str">
        <f t="shared" si="8"/>
        <v>OK</v>
      </c>
    </row>
    <row r="135" spans="1:31">
      <c r="A135" t="s">
        <v>763</v>
      </c>
      <c r="B135" t="s">
        <v>764</v>
      </c>
      <c r="C135" t="s">
        <v>765</v>
      </c>
      <c r="D135" t="s">
        <v>766</v>
      </c>
      <c r="E135" t="s">
        <v>32</v>
      </c>
      <c r="F135" t="s">
        <v>33</v>
      </c>
      <c r="G135" t="s">
        <v>80</v>
      </c>
      <c r="H135" t="s">
        <v>256</v>
      </c>
      <c r="I135" t="s">
        <v>257</v>
      </c>
      <c r="J135" t="s">
        <v>93</v>
      </c>
      <c r="K135" t="s">
        <v>230</v>
      </c>
      <c r="L135" t="s">
        <v>767</v>
      </c>
      <c r="M135" t="s">
        <v>40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41</v>
      </c>
      <c r="U135" t="s">
        <v>42</v>
      </c>
      <c r="V135">
        <f>O135*(1-P135)*N135</f>
        <v>22930.62</v>
      </c>
      <c r="W135">
        <f t="shared" si="6"/>
        <v>6055.07</v>
      </c>
      <c r="X135">
        <f t="shared" si="7"/>
        <v>0.26406045715292475</v>
      </c>
      <c r="Y135" t="str">
        <f>_xlfn.TEXTJOIN(", ",TRUE,IF(G135="Unknown","Missing Region",""),IF(M135="Unknown","Missing Ship Mode",""),IF(P135&lt;0,"Negative Discount",""),IF(P135&gt;0.7,"High Discount",""),IF(C135&lt;B135,"Ship Before Order",""))</f>
        <v>Ship Before Order</v>
      </c>
      <c r="Z135" s="2">
        <f>IFERROR(
  IF(ISNUMBER(B135),B135,
    IF(ISNUMBER(SEARCH("-",B135)*1),
      IF(LEN(LEFT(B135,FIND("-",B135)-1))=4,
        DATE(VALUE(LEFT(B135,4)),VALUE(MID(B135,6,2)),VALUE(RIGHT(B135,2))),
        DATE(VALUE(RIGHT(B135,4)),VALUE(MID(B135,4,2)),VALUE(LEFT(B135,2)))
      ),
      IF(ISNUMBER(SEARCH("/",B135)*1),
        DATE(VALUE(RIGHT(B135,4)),VALUE(LEFT(B135,2)),VALUE(MID(B135,4,2))),
        DATEVALUE(B135)
      )
    )
  ),
"INVALID_DATE")</f>
        <v>45639</v>
      </c>
      <c r="AA135" s="2">
        <f>IFERROR(
  IF(ISNUMBER(C135),C135,
    IF(ISNUMBER(SEARCH("-",C135)*1),
      IF(LEN(LEFT(C135,FIND("-",C135)-1))=4,
        DATE(VALUE(LEFT(C135,4)),VALUE(MID(C135,6,2)),VALUE(RIGHT(C135,2))),
        DATE(VALUE(RIGHT(C135,4)),VALUE(MID(C135,4,2)),VALUE(LEFT(C135,2)))
      ),
      IF(ISNUMBER(SEARCH("/",C135)*1),
        DATE(VALUE(RIGHT(C135,4)),VALUE(LEFT(C135,2)),VALUE(MID(C135,4,2))),
        DATEVALUE(C135)
      )
    )
  ),
"INVALID_DATE")</f>
        <v>45644</v>
      </c>
      <c r="AB135">
        <f>AA135-Z135</f>
        <v>5</v>
      </c>
      <c r="AC135" t="str">
        <f>TEXT(Z135,"mmmm")</f>
        <v>December</v>
      </c>
      <c r="AD135">
        <f>YEAR(Z135)</f>
        <v>2024</v>
      </c>
      <c r="AE135" t="str">
        <f t="shared" si="8"/>
        <v>OK</v>
      </c>
    </row>
    <row r="136" spans="1:31">
      <c r="A136" t="s">
        <v>768</v>
      </c>
      <c r="B136" t="s">
        <v>769</v>
      </c>
      <c r="C136" t="s">
        <v>770</v>
      </c>
      <c r="D136" t="s">
        <v>771</v>
      </c>
      <c r="E136" t="s">
        <v>90</v>
      </c>
      <c r="F136" t="s">
        <v>122</v>
      </c>
      <c r="G136" t="s">
        <v>49</v>
      </c>
      <c r="H136" t="s">
        <v>128</v>
      </c>
      <c r="I136" t="s">
        <v>129</v>
      </c>
      <c r="J136" t="s">
        <v>52</v>
      </c>
      <c r="K136" t="s">
        <v>211</v>
      </c>
      <c r="L136" t="s">
        <v>772</v>
      </c>
      <c r="M136" t="s">
        <v>279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144</v>
      </c>
      <c r="U136" t="s">
        <v>85</v>
      </c>
      <c r="V136">
        <f>O136*(1-P136)*N136</f>
        <v>1436.6250000000002</v>
      </c>
      <c r="W136">
        <f t="shared" si="6"/>
        <v>524.10500000000025</v>
      </c>
      <c r="X136">
        <f t="shared" si="7"/>
        <v>0.36481463435007172</v>
      </c>
      <c r="Y136" t="str">
        <f>_xlfn.TEXTJOIN(", ",TRUE,IF(G136="Unknown","Missing Region",""),IF(M136="Unknown","Missing Ship Mode",""),IF(P136&lt;0,"Negative Discount",""),IF(P136&gt;0.7,"High Discount",""),IF(C136&lt;B136,"Ship Before Order",""))</f>
        <v>Missing Ship Mode</v>
      </c>
      <c r="Z136" s="2">
        <f>IFERROR(
  IF(ISNUMBER(B136),B136,
    IF(ISNUMBER(SEARCH("-",B136)*1),
      IF(LEN(LEFT(B136,FIND("-",B136)-1))=4,
        DATE(VALUE(LEFT(B136,4)),VALUE(MID(B136,6,2)),VALUE(RIGHT(B136,2))),
        DATE(VALUE(RIGHT(B136,4)),VALUE(MID(B136,4,2)),VALUE(LEFT(B136,2)))
      ),
      IF(ISNUMBER(SEARCH("/",B136)*1),
        DATE(VALUE(RIGHT(B136,4)),VALUE(LEFT(B136,2)),VALUE(MID(B136,4,2))),
        DATEVALUE(B136)
      )
    )
  ),
"INVALID_DATE")</f>
        <v>45852</v>
      </c>
      <c r="AA136" s="2">
        <f>IFERROR(
  IF(ISNUMBER(C136),C136,
    IF(ISNUMBER(SEARCH("-",C136)*1),
      IF(LEN(LEFT(C136,FIND("-",C136)-1))=4,
        DATE(VALUE(LEFT(C136,4)),VALUE(MID(C136,6,2)),VALUE(RIGHT(C136,2))),
        DATE(VALUE(RIGHT(C136,4)),VALUE(MID(C136,4,2)),VALUE(LEFT(C136,2)))
      ),
      IF(ISNUMBER(SEARCH("/",C136)*1),
        DATE(VALUE(RIGHT(C136,4)),VALUE(LEFT(C136,2)),VALUE(MID(C136,4,2))),
        DATEVALUE(C136)
      )
    )
  ),
"INVALID_DATE")</f>
        <v>45852</v>
      </c>
      <c r="AB136">
        <f>AA136-Z136</f>
        <v>0</v>
      </c>
      <c r="AC136" t="str">
        <f>TEXT(Z136,"mmmm")</f>
        <v>July</v>
      </c>
      <c r="AD136">
        <f>YEAR(Z136)</f>
        <v>2025</v>
      </c>
      <c r="AE136" t="str">
        <f t="shared" si="8"/>
        <v>OK</v>
      </c>
    </row>
    <row r="137" spans="1:31">
      <c r="A137" t="s">
        <v>773</v>
      </c>
      <c r="B137" t="s">
        <v>774</v>
      </c>
      <c r="C137" t="s">
        <v>774</v>
      </c>
      <c r="D137" t="s">
        <v>775</v>
      </c>
      <c r="E137" t="s">
        <v>217</v>
      </c>
      <c r="F137" t="s">
        <v>48</v>
      </c>
      <c r="G137" t="s">
        <v>69</v>
      </c>
      <c r="H137" t="s">
        <v>249</v>
      </c>
      <c r="I137" t="s">
        <v>250</v>
      </c>
      <c r="J137" t="s">
        <v>52</v>
      </c>
      <c r="K137" t="s">
        <v>211</v>
      </c>
      <c r="L137" t="s">
        <v>776</v>
      </c>
      <c r="M137" t="s">
        <v>74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41</v>
      </c>
      <c r="U137" t="s">
        <v>42</v>
      </c>
      <c r="V137">
        <f>O137*(1-P137)*N137</f>
        <v>3424.78</v>
      </c>
      <c r="W137">
        <f t="shared" si="6"/>
        <v>1473.3300000000002</v>
      </c>
      <c r="X137">
        <f t="shared" si="7"/>
        <v>0.43019697615613262</v>
      </c>
      <c r="Y137" t="s">
        <v>4120</v>
      </c>
      <c r="Z137" s="2">
        <f>IFERROR(
  IF(ISNUMBER(B137),B137,
    IF(ISNUMBER(SEARCH("-",B137)*1),
      IF(LEN(LEFT(B137,FIND("-",B137)-1))=4,
        DATE(VALUE(LEFT(B137,4)),VALUE(MID(B137,6,2)),VALUE(RIGHT(B137,2))),
        DATE(VALUE(RIGHT(B137,4)),VALUE(MID(B137,4,2)),VALUE(LEFT(B137,2)))
      ),
      IF(ISNUMBER(SEARCH("/",B137)*1),
        DATE(VALUE(RIGHT(B137,4)),VALUE(LEFT(B137,2)),VALUE(MID(B137,4,2))),
        DATEVALUE(B137)
      )
    )
  ),
"INVALID_DATE")</f>
        <v>45893</v>
      </c>
      <c r="AA137" s="2">
        <f>IFERROR(
  IF(ISNUMBER(C137),C137,
    IF(ISNUMBER(SEARCH("-",C137)*1),
      IF(LEN(LEFT(C137,FIND("-",C137)-1))=4,
        DATE(VALUE(LEFT(C137,4)),VALUE(MID(C137,6,2)),VALUE(RIGHT(C137,2))),
        DATE(VALUE(RIGHT(C137,4)),VALUE(MID(C137,4,2)),VALUE(LEFT(C137,2)))
      ),
      IF(ISNUMBER(SEARCH("/",C137)*1),
        DATE(VALUE(RIGHT(C137,4)),VALUE(LEFT(C137,2)),VALUE(MID(C137,4,2))),
        DATEVALUE(C137)
      )
    )
  ),
"INVALID_DATE")</f>
        <v>45893</v>
      </c>
      <c r="AB137">
        <f>AA137-Z137</f>
        <v>0</v>
      </c>
      <c r="AC137" t="str">
        <f>TEXT(Z137,"mmmm")</f>
        <v>August</v>
      </c>
      <c r="AD137">
        <f>YEAR(Z137)</f>
        <v>2025</v>
      </c>
      <c r="AE137" t="str">
        <f t="shared" si="8"/>
        <v>OK</v>
      </c>
    </row>
    <row r="138" spans="1:31">
      <c r="A138" t="s">
        <v>777</v>
      </c>
      <c r="B138" t="s">
        <v>778</v>
      </c>
      <c r="C138" t="s">
        <v>779</v>
      </c>
      <c r="D138" t="s">
        <v>780</v>
      </c>
      <c r="E138" t="s">
        <v>47</v>
      </c>
      <c r="F138" t="s">
        <v>122</v>
      </c>
      <c r="G138" t="s">
        <v>49</v>
      </c>
      <c r="H138" t="s">
        <v>319</v>
      </c>
      <c r="I138" t="s">
        <v>320</v>
      </c>
      <c r="J138" t="s">
        <v>37</v>
      </c>
      <c r="K138" t="s">
        <v>205</v>
      </c>
      <c r="L138" t="s">
        <v>781</v>
      </c>
      <c r="M138" t="s">
        <v>782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41</v>
      </c>
      <c r="U138" t="s">
        <v>42</v>
      </c>
      <c r="V138">
        <f>O138*(1-P138)*N138</f>
        <v>31178.376</v>
      </c>
      <c r="W138">
        <f t="shared" si="6"/>
        <v>9757.2860000000001</v>
      </c>
      <c r="X138">
        <f t="shared" si="7"/>
        <v>0.31295051250257394</v>
      </c>
      <c r="Y138" t="s">
        <v>4120</v>
      </c>
      <c r="Z138" s="2">
        <f>IFERROR(
  IF(ISNUMBER(B138),B138,
    IF(ISNUMBER(SEARCH("-",B138)*1),
      IF(LEN(LEFT(B138,FIND("-",B138)-1))=4,
        DATE(VALUE(LEFT(B138,4)),VALUE(MID(B138,6,2)),VALUE(RIGHT(B138,2))),
        DATE(VALUE(RIGHT(B138,4)),VALUE(MID(B138,4,2)),VALUE(LEFT(B138,2)))
      ),
      IF(ISNUMBER(SEARCH("/",B138)*1),
        DATE(VALUE(RIGHT(B138,4)),VALUE(LEFT(B138,2)),VALUE(MID(B138,4,2))),
        DATEVALUE(B138)
      )
    )
  ),
"INVALID_DATE")</f>
        <v>45697</v>
      </c>
      <c r="AA138" s="2">
        <f>IFERROR(
  IF(ISNUMBER(C138),C138,
    IF(ISNUMBER(SEARCH("-",C138)*1),
      IF(LEN(LEFT(C138,FIND("-",C138)-1))=4,
        DATE(VALUE(LEFT(C138,4)),VALUE(MID(C138,6,2)),VALUE(RIGHT(C138,2))),
        DATE(VALUE(RIGHT(C138,4)),VALUE(MID(C138,4,2)),VALUE(LEFT(C138,2)))
      ),
      IF(ISNUMBER(SEARCH("/",C138)*1),
        DATE(VALUE(RIGHT(C138,4)),VALUE(LEFT(C138,2)),VALUE(MID(C138,4,2))),
        DATEVALUE(C138)
      )
    )
  ),
"INVALID_DATE")</f>
        <v>45703</v>
      </c>
      <c r="AB138">
        <f>AA138-Z138</f>
        <v>6</v>
      </c>
      <c r="AC138" t="str">
        <f>TEXT(Z138,"mmmm")</f>
        <v>February</v>
      </c>
      <c r="AD138">
        <f>YEAR(Z138)</f>
        <v>2025</v>
      </c>
      <c r="AE138" t="str">
        <f t="shared" si="8"/>
        <v>OK</v>
      </c>
    </row>
    <row r="139" spans="1:31">
      <c r="A139" t="s">
        <v>783</v>
      </c>
      <c r="B139" t="s">
        <v>784</v>
      </c>
      <c r="C139" t="s">
        <v>785</v>
      </c>
      <c r="D139" t="s">
        <v>786</v>
      </c>
      <c r="E139" t="s">
        <v>175</v>
      </c>
      <c r="F139" t="s">
        <v>48</v>
      </c>
      <c r="G139" t="s">
        <v>34</v>
      </c>
      <c r="H139" t="s">
        <v>35</v>
      </c>
      <c r="I139" t="s">
        <v>36</v>
      </c>
      <c r="J139" t="s">
        <v>52</v>
      </c>
      <c r="K139" t="s">
        <v>83</v>
      </c>
      <c r="L139" t="s">
        <v>787</v>
      </c>
      <c r="M139" t="s">
        <v>55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41</v>
      </c>
      <c r="U139" t="s">
        <v>42</v>
      </c>
      <c r="V139">
        <f>O139*(1-P139)*N139</f>
        <v>19202.904000000002</v>
      </c>
      <c r="W139">
        <f t="shared" si="6"/>
        <v>3676.2840000000015</v>
      </c>
      <c r="X139">
        <f t="shared" si="7"/>
        <v>0.1914440006457358</v>
      </c>
      <c r="Y139" t="s">
        <v>4120</v>
      </c>
      <c r="Z139" s="2">
        <f>IFERROR(
  IF(ISNUMBER(B139),B139,
    IF(ISNUMBER(SEARCH("-",B139)*1),
      IF(LEN(LEFT(B139,FIND("-",B139)-1))=4,
        DATE(VALUE(LEFT(B139,4)),VALUE(MID(B139,6,2)),VALUE(RIGHT(B139,2))),
        DATE(VALUE(RIGHT(B139,4)),VALUE(MID(B139,4,2)),VALUE(LEFT(B139,2)))
      ),
      IF(ISNUMBER(SEARCH("/",B139)*1),
        DATE(VALUE(RIGHT(B139,4)),VALUE(LEFT(B139,2)),VALUE(MID(B139,4,2))),
        DATEVALUE(B139)
      )
    )
  ),
"INVALID_DATE")</f>
        <v>45666</v>
      </c>
      <c r="AA139" s="2">
        <f>IFERROR(
  IF(ISNUMBER(C139),C139,
    IF(ISNUMBER(SEARCH("-",C139)*1),
      IF(LEN(LEFT(C139,FIND("-",C139)-1))=4,
        DATE(VALUE(LEFT(C139,4)),VALUE(MID(C139,6,2)),VALUE(RIGHT(C139,2))),
        DATE(VALUE(RIGHT(C139,4)),VALUE(MID(C139,4,2)),VALUE(LEFT(C139,2)))
      ),
      IF(ISNUMBER(SEARCH("/",C139)*1),
        DATE(VALUE(RIGHT(C139,4)),VALUE(LEFT(C139,2)),VALUE(MID(C139,4,2))),
        DATEVALUE(C139)
      )
    )
  ),
"INVALID_DATE")</f>
        <v>45666</v>
      </c>
      <c r="AB139">
        <f>AA139-Z139</f>
        <v>0</v>
      </c>
      <c r="AC139" t="str">
        <f>TEXT(Z139,"mmmm")</f>
        <v>January</v>
      </c>
      <c r="AD139">
        <f>YEAR(Z139)</f>
        <v>2025</v>
      </c>
      <c r="AE139" t="str">
        <f t="shared" si="8"/>
        <v>OK</v>
      </c>
    </row>
    <row r="140" spans="1:31">
      <c r="A140" t="s">
        <v>788</v>
      </c>
      <c r="B140" t="s">
        <v>789</v>
      </c>
      <c r="C140" t="s">
        <v>790</v>
      </c>
      <c r="D140" t="s">
        <v>791</v>
      </c>
      <c r="E140" t="s">
        <v>217</v>
      </c>
      <c r="F140" t="s">
        <v>122</v>
      </c>
      <c r="G140" t="s">
        <v>49</v>
      </c>
      <c r="H140" t="s">
        <v>319</v>
      </c>
      <c r="I140" t="s">
        <v>320</v>
      </c>
      <c r="J140" t="s">
        <v>93</v>
      </c>
      <c r="K140" t="s">
        <v>390</v>
      </c>
      <c r="L140" t="s">
        <v>792</v>
      </c>
      <c r="M140" t="s">
        <v>74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41</v>
      </c>
      <c r="U140" t="s">
        <v>42</v>
      </c>
      <c r="V140">
        <f>O140*(1-P140)*N140</f>
        <v>24018.300000000003</v>
      </c>
      <c r="W140">
        <f t="shared" si="6"/>
        <v>9947.5200000000023</v>
      </c>
      <c r="X140">
        <f t="shared" si="7"/>
        <v>0.41416419979765434</v>
      </c>
      <c r="Y140" t="s">
        <v>4120</v>
      </c>
      <c r="Z140" s="2">
        <f>IFERROR(
  IF(ISNUMBER(B140),B140,
    IF(ISNUMBER(SEARCH("-",B140)*1),
      IF(LEN(LEFT(B140,FIND("-",B140)-1))=4,
        DATE(VALUE(LEFT(B140,4)),VALUE(MID(B140,6,2)),VALUE(RIGHT(B140,2))),
        DATE(VALUE(RIGHT(B140,4)),VALUE(MID(B140,4,2)),VALUE(LEFT(B140,2)))
      ),
      IF(ISNUMBER(SEARCH("/",B140)*1),
        DATE(VALUE(RIGHT(B140,4)),VALUE(LEFT(B140,2)),VALUE(MID(B140,4,2))),
        DATEVALUE(B140)
      )
    )
  ),
"INVALID_DATE")</f>
        <v>45311</v>
      </c>
      <c r="AA140" s="2">
        <f>IFERROR(
  IF(ISNUMBER(C140),C140,
    IF(ISNUMBER(SEARCH("-",C140)*1),
      IF(LEN(LEFT(C140,FIND("-",C140)-1))=4,
        DATE(VALUE(LEFT(C140,4)),VALUE(MID(C140,6,2)),VALUE(RIGHT(C140,2))),
        DATE(VALUE(RIGHT(C140,4)),VALUE(MID(C140,4,2)),VALUE(LEFT(C140,2)))
      ),
      IF(ISNUMBER(SEARCH("/",C140)*1),
        DATE(VALUE(RIGHT(C140,4)),VALUE(LEFT(C140,2)),VALUE(MID(C140,4,2))),
        DATEVALUE(C140)
      )
    )
  ),
"INVALID_DATE")</f>
        <v>45317</v>
      </c>
      <c r="AB140">
        <f>AA140-Z140</f>
        <v>6</v>
      </c>
      <c r="AC140" t="str">
        <f>TEXT(Z140,"mmmm")</f>
        <v>January</v>
      </c>
      <c r="AD140">
        <f>YEAR(Z140)</f>
        <v>2024</v>
      </c>
      <c r="AE140" t="str">
        <f t="shared" si="8"/>
        <v>OK</v>
      </c>
    </row>
    <row r="141" spans="1:31">
      <c r="A141" t="s">
        <v>793</v>
      </c>
      <c r="B141" t="s">
        <v>794</v>
      </c>
      <c r="C141" t="s">
        <v>795</v>
      </c>
      <c r="D141" t="s">
        <v>796</v>
      </c>
      <c r="E141" t="s">
        <v>100</v>
      </c>
      <c r="F141" t="s">
        <v>122</v>
      </c>
      <c r="G141" t="s">
        <v>69</v>
      </c>
      <c r="H141" t="s">
        <v>236</v>
      </c>
      <c r="I141" t="s">
        <v>237</v>
      </c>
      <c r="J141" t="s">
        <v>37</v>
      </c>
      <c r="K141" t="s">
        <v>116</v>
      </c>
      <c r="L141" t="s">
        <v>797</v>
      </c>
      <c r="M141" t="s">
        <v>74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41</v>
      </c>
      <c r="U141" t="s">
        <v>42</v>
      </c>
      <c r="V141">
        <f>O141*(1-P141)*N141</f>
        <v>10301.040000000001</v>
      </c>
      <c r="W141">
        <f t="shared" si="6"/>
        <v>3736.9800000000005</v>
      </c>
      <c r="X141">
        <f t="shared" si="7"/>
        <v>0.36277696232613404</v>
      </c>
      <c r="Y141" t="s">
        <v>4120</v>
      </c>
      <c r="Z141" s="2">
        <f>IFERROR(
  IF(ISNUMBER(B141),B141,
    IF(ISNUMBER(SEARCH("-",B141)*1),
      IF(LEN(LEFT(B141,FIND("-",B141)-1))=4,
        DATE(VALUE(LEFT(B141,4)),VALUE(MID(B141,6,2)),VALUE(RIGHT(B141,2))),
        DATE(VALUE(RIGHT(B141,4)),VALUE(MID(B141,4,2)),VALUE(LEFT(B141,2)))
      ),
      IF(ISNUMBER(SEARCH("/",B141)*1),
        DATE(VALUE(RIGHT(B141,4)),VALUE(LEFT(B141,2)),VALUE(MID(B141,4,2))),
        DATEVALUE(B141)
      )
    )
  ),
"INVALID_DATE")</f>
        <v>45718</v>
      </c>
      <c r="AA141" s="2">
        <f>IFERROR(
  IF(ISNUMBER(C141),C141,
    IF(ISNUMBER(SEARCH("-",C141)*1),
      IF(LEN(LEFT(C141,FIND("-",C141)-1))=4,
        DATE(VALUE(LEFT(C141,4)),VALUE(MID(C141,6,2)),VALUE(RIGHT(C141,2))),
        DATE(VALUE(RIGHT(C141,4)),VALUE(MID(C141,4,2)),VALUE(LEFT(C141,2)))
      ),
      IF(ISNUMBER(SEARCH("/",C141)*1),
        DATE(VALUE(RIGHT(C141,4)),VALUE(LEFT(C141,2)),VALUE(MID(C141,4,2))),
        DATEVALUE(C141)
      )
    )
  ),
"INVALID_DATE")</f>
        <v>45723</v>
      </c>
      <c r="AB141">
        <f>AA141-Z141</f>
        <v>5</v>
      </c>
      <c r="AC141" t="str">
        <f>TEXT(Z141,"mmmm")</f>
        <v>March</v>
      </c>
      <c r="AD141">
        <f>YEAR(Z141)</f>
        <v>2025</v>
      </c>
      <c r="AE141" t="str">
        <f t="shared" si="8"/>
        <v>OK</v>
      </c>
    </row>
    <row r="142" spans="1:31">
      <c r="A142" t="s">
        <v>798</v>
      </c>
      <c r="B142" t="s">
        <v>799</v>
      </c>
      <c r="C142" t="s">
        <v>800</v>
      </c>
      <c r="D142" t="s">
        <v>801</v>
      </c>
      <c r="E142" t="s">
        <v>47</v>
      </c>
      <c r="F142" t="s">
        <v>115</v>
      </c>
      <c r="G142" t="s">
        <v>69</v>
      </c>
      <c r="H142" t="s">
        <v>236</v>
      </c>
      <c r="I142" t="s">
        <v>237</v>
      </c>
      <c r="J142" t="s">
        <v>52</v>
      </c>
      <c r="K142" t="s">
        <v>211</v>
      </c>
      <c r="L142" t="s">
        <v>802</v>
      </c>
      <c r="M142" t="s">
        <v>55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41</v>
      </c>
      <c r="U142" t="s">
        <v>42</v>
      </c>
      <c r="V142">
        <f>O142*(1-P142)*N142</f>
        <v>8743.6500000000015</v>
      </c>
      <c r="W142">
        <f t="shared" si="6"/>
        <v>2139.8900000000012</v>
      </c>
      <c r="X142">
        <f t="shared" si="7"/>
        <v>0.24473646589239048</v>
      </c>
      <c r="Y142" t="str">
        <f>_xlfn.TEXTJOIN(", ",TRUE,IF(G142="Unknown","Missing Region",""),IF(M142="Unknown","Missing Ship Mode",""),IF(P142&lt;0,"Negative Discount",""),IF(P142&gt;0.7,"High Discount",""),IF(C142&lt;B142,"Ship Before Order",""))</f>
        <v>Ship Before Order</v>
      </c>
      <c r="Z142" s="2">
        <f>IFERROR(
  IF(ISNUMBER(B142),B142,
    IF(ISNUMBER(SEARCH("-",B142)*1),
      IF(LEN(LEFT(B142,FIND("-",B142)-1))=4,
        DATE(VALUE(LEFT(B142,4)),VALUE(MID(B142,6,2)),VALUE(RIGHT(B142,2))),
        DATE(VALUE(RIGHT(B142,4)),VALUE(MID(B142,4,2)),VALUE(LEFT(B142,2)))
      ),
      IF(ISNUMBER(SEARCH("/",B142)*1),
        DATE(VALUE(RIGHT(B142,4)),VALUE(LEFT(B142,2)),VALUE(MID(B142,4,2))),
        DATEVALUE(B142)
      )
    )
  ),
"INVALID_DATE")</f>
        <v>45443</v>
      </c>
      <c r="AA142" s="2">
        <f>IFERROR(
  IF(ISNUMBER(C142),C142,
    IF(ISNUMBER(SEARCH("-",C142)*1),
      IF(LEN(LEFT(C142,FIND("-",C142)-1))=4,
        DATE(VALUE(LEFT(C142,4)),VALUE(MID(C142,6,2)),VALUE(RIGHT(C142,2))),
        DATE(VALUE(RIGHT(C142,4)),VALUE(MID(C142,4,2)),VALUE(LEFT(C142,2)))
      ),
      IF(ISNUMBER(SEARCH("/",C142)*1),
        DATE(VALUE(RIGHT(C142,4)),VALUE(LEFT(C142,2)),VALUE(MID(C142,4,2))),
        DATEVALUE(C142)
      )
    )
  ),
"INVALID_DATE")</f>
        <v>45444</v>
      </c>
      <c r="AB142">
        <f>AA142-Z142</f>
        <v>1</v>
      </c>
      <c r="AC142" t="str">
        <f>TEXT(Z142,"mmmm")</f>
        <v>May</v>
      </c>
      <c r="AD142">
        <f>YEAR(Z142)</f>
        <v>2024</v>
      </c>
      <c r="AE142" t="str">
        <f t="shared" si="8"/>
        <v>OK</v>
      </c>
    </row>
    <row r="143" spans="1:31">
      <c r="A143" t="s">
        <v>803</v>
      </c>
      <c r="B143" t="s">
        <v>804</v>
      </c>
      <c r="C143" t="s">
        <v>805</v>
      </c>
      <c r="D143" t="s">
        <v>806</v>
      </c>
      <c r="E143" t="s">
        <v>149</v>
      </c>
      <c r="F143" t="s">
        <v>115</v>
      </c>
      <c r="G143" t="s">
        <v>34</v>
      </c>
      <c r="H143" t="s">
        <v>514</v>
      </c>
      <c r="I143" t="s">
        <v>515</v>
      </c>
      <c r="J143" t="s">
        <v>52</v>
      </c>
      <c r="K143" t="s">
        <v>211</v>
      </c>
      <c r="L143" t="s">
        <v>807</v>
      </c>
      <c r="M143" t="s">
        <v>55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41</v>
      </c>
      <c r="U143" t="s">
        <v>132</v>
      </c>
      <c r="V143">
        <f>O143*(1-P143)*N143</f>
        <v>3996.027</v>
      </c>
      <c r="W143">
        <f t="shared" si="6"/>
        <v>1136.5169999999998</v>
      </c>
      <c r="X143">
        <f t="shared" si="7"/>
        <v>0.28441227918709316</v>
      </c>
      <c r="Y143" t="s">
        <v>4120</v>
      </c>
      <c r="Z143" s="2">
        <f>IFERROR(
  IF(ISNUMBER(B143),B143,
    IF(ISNUMBER(SEARCH("-",B143)*1),
      IF(LEN(LEFT(B143,FIND("-",B143)-1))=4,
        DATE(VALUE(LEFT(B143,4)),VALUE(MID(B143,6,2)),VALUE(RIGHT(B143,2))),
        DATE(VALUE(RIGHT(B143,4)),VALUE(MID(B143,4,2)),VALUE(LEFT(B143,2)))
      ),
      IF(ISNUMBER(SEARCH("/",B143)*1),
        DATE(VALUE(RIGHT(B143,4)),VALUE(LEFT(B143,2)),VALUE(MID(B143,4,2))),
        DATEVALUE(B143)
      )
    )
  ),
"INVALID_DATE")</f>
        <v>45374</v>
      </c>
      <c r="AA143" s="2">
        <f>IFERROR(
  IF(ISNUMBER(C143),C143,
    IF(ISNUMBER(SEARCH("-",C143)*1),
      IF(LEN(LEFT(C143,FIND("-",C143)-1))=4,
        DATE(VALUE(LEFT(C143,4)),VALUE(MID(C143,6,2)),VALUE(RIGHT(C143,2))),
        DATE(VALUE(RIGHT(C143,4)),VALUE(MID(C143,4,2)),VALUE(LEFT(C143,2)))
      ),
      IF(ISNUMBER(SEARCH("/",C143)*1),
        DATE(VALUE(RIGHT(C143,4)),VALUE(LEFT(C143,2)),VALUE(MID(C143,4,2))),
        DATEVALUE(C143)
      )
    )
  ),
"INVALID_DATE")</f>
        <v>45380</v>
      </c>
      <c r="AB143">
        <f>AA143-Z143</f>
        <v>6</v>
      </c>
      <c r="AC143" t="str">
        <f>TEXT(Z143,"mmmm")</f>
        <v>March</v>
      </c>
      <c r="AD143">
        <f>YEAR(Z143)</f>
        <v>2024</v>
      </c>
      <c r="AE143" t="str">
        <f t="shared" si="8"/>
        <v>OK</v>
      </c>
    </row>
    <row r="144" spans="1:31">
      <c r="A144" t="s">
        <v>808</v>
      </c>
      <c r="B144" t="s">
        <v>809</v>
      </c>
      <c r="C144" t="s">
        <v>810</v>
      </c>
      <c r="D144" t="s">
        <v>811</v>
      </c>
      <c r="E144" t="s">
        <v>114</v>
      </c>
      <c r="F144" t="s">
        <v>122</v>
      </c>
      <c r="G144" t="s">
        <v>34</v>
      </c>
      <c r="H144" t="s">
        <v>35</v>
      </c>
      <c r="I144" t="s">
        <v>36</v>
      </c>
      <c r="J144" t="s">
        <v>93</v>
      </c>
      <c r="K144" t="s">
        <v>230</v>
      </c>
      <c r="L144" t="s">
        <v>812</v>
      </c>
      <c r="M144" t="s">
        <v>40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41</v>
      </c>
      <c r="U144" t="s">
        <v>42</v>
      </c>
      <c r="V144">
        <f>O144*(1-P144)*N144</f>
        <v>3857.0450000000001</v>
      </c>
      <c r="W144">
        <f t="shared" si="6"/>
        <v>1087.7849999999999</v>
      </c>
      <c r="X144">
        <f t="shared" si="7"/>
        <v>0.28202455769190882</v>
      </c>
      <c r="Y144" t="str">
        <f>_xlfn.TEXTJOIN(", ",TRUE,IF(G144="Unknown","Missing Region",""),IF(M144="Unknown","Missing Ship Mode",""),IF(P144&lt;0,"Negative Discount",""),IF(P144&gt;0.7,"High Discount",""),IF(C144&lt;B144,"Ship Before Order",""))</f>
        <v>Ship Before Order</v>
      </c>
      <c r="Z144" s="2">
        <f>IFERROR(
  IF(ISNUMBER(B144),B144,
    IF(ISNUMBER(SEARCH("-",B144)*1),
      IF(LEN(LEFT(B144,FIND("-",B144)-1))=4,
        DATE(VALUE(LEFT(B144,4)),VALUE(MID(B144,6,2)),VALUE(RIGHT(B144,2))),
        DATE(VALUE(RIGHT(B144,4)),VALUE(MID(B144,4,2)),VALUE(LEFT(B144,2)))
      ),
      IF(ISNUMBER(SEARCH("/",B144)*1),
        DATE(VALUE(RIGHT(B144,4)),VALUE(LEFT(B144,2)),VALUE(MID(B144,4,2))),
        DATEVALUE(B144)
      )
    )
  ),
"INVALID_DATE")</f>
        <v>45381</v>
      </c>
      <c r="AA144" s="2">
        <f>IFERROR(
  IF(ISNUMBER(C144),C144,
    IF(ISNUMBER(SEARCH("-",C144)*1),
      IF(LEN(LEFT(C144,FIND("-",C144)-1))=4,
        DATE(VALUE(LEFT(C144,4)),VALUE(MID(C144,6,2)),VALUE(RIGHT(C144,2))),
        DATE(VALUE(RIGHT(C144,4)),VALUE(MID(C144,4,2)),VALUE(LEFT(C144,2)))
      ),
      IF(ISNUMBER(SEARCH("/",C144)*1),
        DATE(VALUE(RIGHT(C144,4)),VALUE(LEFT(C144,2)),VALUE(MID(C144,4,2))),
        DATEVALUE(C144)
      )
    )
  ),
"INVALID_DATE")</f>
        <v>45377</v>
      </c>
      <c r="AB144">
        <f>AA144-Z144</f>
        <v>-4</v>
      </c>
      <c r="AC144" t="str">
        <f>TEXT(Z144,"mmmm")</f>
        <v>March</v>
      </c>
      <c r="AD144">
        <f>YEAR(Z144)</f>
        <v>2024</v>
      </c>
      <c r="AE144" t="str">
        <f t="shared" si="8"/>
        <v>Ship Before Order</v>
      </c>
    </row>
    <row r="145" spans="1:31">
      <c r="A145" t="s">
        <v>813</v>
      </c>
      <c r="B145" t="s">
        <v>550</v>
      </c>
      <c r="C145" t="s">
        <v>814</v>
      </c>
      <c r="D145" t="s">
        <v>815</v>
      </c>
      <c r="E145" t="s">
        <v>149</v>
      </c>
      <c r="F145" t="s">
        <v>33</v>
      </c>
      <c r="G145" t="s">
        <v>80</v>
      </c>
      <c r="H145" t="s">
        <v>242</v>
      </c>
      <c r="I145" t="s">
        <v>243</v>
      </c>
      <c r="J145" t="s">
        <v>37</v>
      </c>
      <c r="K145" t="s">
        <v>38</v>
      </c>
      <c r="L145" t="s">
        <v>816</v>
      </c>
      <c r="M145" t="s">
        <v>40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41</v>
      </c>
      <c r="U145" t="s">
        <v>132</v>
      </c>
      <c r="V145">
        <f>O145*(1-P145)*N145</f>
        <v>3068.55</v>
      </c>
      <c r="W145">
        <f t="shared" si="6"/>
        <v>1152.3900000000001</v>
      </c>
      <c r="X145">
        <f t="shared" si="7"/>
        <v>0.3755487119323459</v>
      </c>
      <c r="Y145" t="s">
        <v>4120</v>
      </c>
      <c r="Z145" s="2">
        <f>IFERROR(
  IF(ISNUMBER(B145),B145,
    IF(ISNUMBER(SEARCH("-",B145)*1),
      IF(LEN(LEFT(B145,FIND("-",B145)-1))=4,
        DATE(VALUE(LEFT(B145,4)),VALUE(MID(B145,6,2)),VALUE(RIGHT(B145,2))),
        DATE(VALUE(RIGHT(B145,4)),VALUE(MID(B145,4,2)),VALUE(LEFT(B145,2)))
      ),
      IF(ISNUMBER(SEARCH("/",B145)*1),
        DATE(VALUE(RIGHT(B145,4)),VALUE(LEFT(B145,2)),VALUE(MID(B145,4,2))),
        DATEVALUE(B145)
      )
    )
  ),
"INVALID_DATE")</f>
        <v>45375</v>
      </c>
      <c r="AA145" s="2">
        <f>IFERROR(
  IF(ISNUMBER(C145),C145,
    IF(ISNUMBER(SEARCH("-",C145)*1),
      IF(LEN(LEFT(C145,FIND("-",C145)-1))=4,
        DATE(VALUE(LEFT(C145,4)),VALUE(MID(C145,6,2)),VALUE(RIGHT(C145,2))),
        DATE(VALUE(RIGHT(C145,4)),VALUE(MID(C145,4,2)),VALUE(LEFT(C145,2)))
      ),
      IF(ISNUMBER(SEARCH("/",C145)*1),
        DATE(VALUE(RIGHT(C145,4)),VALUE(LEFT(C145,2)),VALUE(MID(C145,4,2))),
        DATEVALUE(C145)
      )
    )
  ),
"INVALID_DATE")</f>
        <v>45377</v>
      </c>
      <c r="AB145">
        <f>AA145-Z145</f>
        <v>2</v>
      </c>
      <c r="AC145" t="str">
        <f>TEXT(Z145,"mmmm")</f>
        <v>March</v>
      </c>
      <c r="AD145">
        <f>YEAR(Z145)</f>
        <v>2024</v>
      </c>
      <c r="AE145" t="str">
        <f t="shared" si="8"/>
        <v>OK</v>
      </c>
    </row>
    <row r="146" spans="1:31">
      <c r="A146" t="s">
        <v>817</v>
      </c>
      <c r="B146" t="s">
        <v>586</v>
      </c>
      <c r="C146" t="s">
        <v>818</v>
      </c>
      <c r="D146" t="s">
        <v>819</v>
      </c>
      <c r="E146" t="s">
        <v>374</v>
      </c>
      <c r="F146" t="s">
        <v>48</v>
      </c>
      <c r="G146" t="s">
        <v>69</v>
      </c>
      <c r="H146" t="s">
        <v>70</v>
      </c>
      <c r="I146" t="s">
        <v>71</v>
      </c>
      <c r="J146" t="s">
        <v>93</v>
      </c>
      <c r="K146" t="s">
        <v>94</v>
      </c>
      <c r="L146" t="s">
        <v>820</v>
      </c>
      <c r="M146" t="s">
        <v>63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131</v>
      </c>
      <c r="U146" t="s">
        <v>132</v>
      </c>
      <c r="V146">
        <f>O146*(1-P146)*N146</f>
        <v>11276.947499999998</v>
      </c>
      <c r="W146">
        <f t="shared" si="6"/>
        <v>4368.1874999999982</v>
      </c>
      <c r="X146">
        <f t="shared" si="7"/>
        <v>0.38735562363937054</v>
      </c>
      <c r="Y146" t="s">
        <v>4120</v>
      </c>
      <c r="Z146" s="2">
        <f>IFERROR(
  IF(ISNUMBER(B146),B146,
    IF(ISNUMBER(SEARCH("-",B146)*1),
      IF(LEN(LEFT(B146,FIND("-",B146)-1))=4,
        DATE(VALUE(LEFT(B146,4)),VALUE(MID(B146,6,2)),VALUE(RIGHT(B146,2))),
        DATE(VALUE(RIGHT(B146,4)),VALUE(MID(B146,4,2)),VALUE(LEFT(B146,2)))
      ),
      IF(ISNUMBER(SEARCH("/",B146)*1),
        DATE(VALUE(RIGHT(B146,4)),VALUE(LEFT(B146,2)),VALUE(MID(B146,4,2))),
        DATEVALUE(B146)
      )
    )
  ),
"INVALID_DATE")</f>
        <v>45450</v>
      </c>
      <c r="AA146" s="2">
        <f>IFERROR(
  IF(ISNUMBER(C146),C146,
    IF(ISNUMBER(SEARCH("-",C146)*1),
      IF(LEN(LEFT(C146,FIND("-",C146)-1))=4,
        DATE(VALUE(LEFT(C146,4)),VALUE(MID(C146,6,2)),VALUE(RIGHT(C146,2))),
        DATE(VALUE(RIGHT(C146,4)),VALUE(MID(C146,4,2)),VALUE(LEFT(C146,2)))
      ),
      IF(ISNUMBER(SEARCH("/",C146)*1),
        DATE(VALUE(RIGHT(C146,4)),VALUE(LEFT(C146,2)),VALUE(MID(C146,4,2))),
        DATEVALUE(C146)
      )
    )
  ),
"INVALID_DATE")</f>
        <v>45458</v>
      </c>
      <c r="AB146">
        <f>AA146-Z146</f>
        <v>8</v>
      </c>
      <c r="AC146" t="str">
        <f>TEXT(Z146,"mmmm")</f>
        <v>June</v>
      </c>
      <c r="AD146">
        <f>YEAR(Z146)</f>
        <v>2024</v>
      </c>
      <c r="AE146" t="str">
        <f t="shared" si="8"/>
        <v>OK</v>
      </c>
    </row>
    <row r="147" spans="1:31">
      <c r="A147" t="s">
        <v>821</v>
      </c>
      <c r="B147" t="s">
        <v>822</v>
      </c>
      <c r="C147" t="s">
        <v>823</v>
      </c>
      <c r="D147" t="s">
        <v>824</v>
      </c>
      <c r="E147" t="s">
        <v>47</v>
      </c>
      <c r="F147" t="s">
        <v>48</v>
      </c>
      <c r="G147" t="s">
        <v>80</v>
      </c>
      <c r="H147" t="s">
        <v>256</v>
      </c>
      <c r="I147" t="s">
        <v>257</v>
      </c>
      <c r="J147" t="s">
        <v>37</v>
      </c>
      <c r="K147" t="s">
        <v>38</v>
      </c>
      <c r="L147" t="s">
        <v>825</v>
      </c>
      <c r="M147" t="s">
        <v>74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41</v>
      </c>
      <c r="U147" t="s">
        <v>42</v>
      </c>
      <c r="V147">
        <f>O147*(1-P147)*N147</f>
        <v>15055.74</v>
      </c>
      <c r="W147">
        <f t="shared" si="6"/>
        <v>5246.91</v>
      </c>
      <c r="X147">
        <f t="shared" si="7"/>
        <v>0.34849897779850075</v>
      </c>
      <c r="Y147" t="str">
        <f>_xlfn.TEXTJOIN(", ",TRUE,IF(G147="Unknown","Missing Region",""),IF(M147="Unknown","Missing Ship Mode",""),IF(P147&lt;0,"Negative Discount",""),IF(P147&gt;0.7,"High Discount",""),IF(C147&lt;B147,"Ship Before Order",""))</f>
        <v>Ship Before Order</v>
      </c>
      <c r="Z147" s="2">
        <f>IFERROR(
  IF(ISNUMBER(B147),B147,
    IF(ISNUMBER(SEARCH("-",B147)*1),
      IF(LEN(LEFT(B147,FIND("-",B147)-1))=4,
        DATE(VALUE(LEFT(B147,4)),VALUE(MID(B147,6,2)),VALUE(RIGHT(B147,2))),
        DATE(VALUE(RIGHT(B147,4)),VALUE(MID(B147,4,2)),VALUE(LEFT(B147,2)))
      ),
      IF(ISNUMBER(SEARCH("/",B147)*1),
        DATE(VALUE(RIGHT(B147,4)),VALUE(LEFT(B147,2)),VALUE(MID(B147,4,2))),
        DATEVALUE(B147)
      )
    )
  ),
"INVALID_DATE")</f>
        <v>45758</v>
      </c>
      <c r="AA147" s="2">
        <f>IFERROR(
  IF(ISNUMBER(C147),C147,
    IF(ISNUMBER(SEARCH("-",C147)*1),
      IF(LEN(LEFT(C147,FIND("-",C147)-1))=4,
        DATE(VALUE(LEFT(C147,4)),VALUE(MID(C147,6,2)),VALUE(RIGHT(C147,2))),
        DATE(VALUE(RIGHT(C147,4)),VALUE(MID(C147,4,2)),VALUE(LEFT(C147,2)))
      ),
      IF(ISNUMBER(SEARCH("/",C147)*1),
        DATE(VALUE(RIGHT(C147,4)),VALUE(LEFT(C147,2)),VALUE(MID(C147,4,2))),
        DATEVALUE(C147)
      )
    )
  ),
"INVALID_DATE")</f>
        <v>45760</v>
      </c>
      <c r="AB147">
        <f>AA147-Z147</f>
        <v>2</v>
      </c>
      <c r="AC147" t="str">
        <f>TEXT(Z147,"mmmm")</f>
        <v>April</v>
      </c>
      <c r="AD147">
        <f>YEAR(Z147)</f>
        <v>2025</v>
      </c>
      <c r="AE147" t="str">
        <f t="shared" si="8"/>
        <v>OK</v>
      </c>
    </row>
    <row r="148" spans="1:31">
      <c r="A148" t="s">
        <v>826</v>
      </c>
      <c r="B148" t="s">
        <v>827</v>
      </c>
      <c r="C148" t="s">
        <v>828</v>
      </c>
      <c r="D148" t="s">
        <v>829</v>
      </c>
      <c r="E148" t="s">
        <v>175</v>
      </c>
      <c r="F148" t="s">
        <v>48</v>
      </c>
      <c r="G148" t="s">
        <v>69</v>
      </c>
      <c r="H148" t="s">
        <v>347</v>
      </c>
      <c r="I148" t="s">
        <v>348</v>
      </c>
      <c r="J148" t="s">
        <v>37</v>
      </c>
      <c r="K148" t="s">
        <v>163</v>
      </c>
      <c r="L148" t="s">
        <v>830</v>
      </c>
      <c r="M148" t="s">
        <v>55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41</v>
      </c>
      <c r="U148" t="s">
        <v>42</v>
      </c>
      <c r="V148">
        <f>O148*(1-P148)*N148</f>
        <v>25639.982999999997</v>
      </c>
      <c r="W148">
        <f t="shared" si="6"/>
        <v>4004.9029999999948</v>
      </c>
      <c r="X148">
        <f t="shared" si="7"/>
        <v>0.1561974697328157</v>
      </c>
      <c r="Y148" t="str">
        <f>_xlfn.TEXTJOIN(", ",TRUE,IF(G148="Unknown","Missing Region",""),IF(M148="Unknown","Missing Ship Mode",""),IF(P148&lt;0,"Negative Discount",""),IF(P148&gt;0.7,"High Discount",""),IF(C148&lt;B148,"Ship Before Order",""))</f>
        <v>Ship Before Order</v>
      </c>
      <c r="Z148" s="2">
        <f>IFERROR(
  IF(ISNUMBER(B148),B148,
    IF(ISNUMBER(SEARCH("-",B148)*1),
      IF(LEN(LEFT(B148,FIND("-",B148)-1))=4,
        DATE(VALUE(LEFT(B148,4)),VALUE(MID(B148,6,2)),VALUE(RIGHT(B148,2))),
        DATE(VALUE(RIGHT(B148,4)),VALUE(MID(B148,4,2)),VALUE(LEFT(B148,2)))
      ),
      IF(ISNUMBER(SEARCH("/",B148)*1),
        DATE(VALUE(RIGHT(B148,4)),VALUE(LEFT(B148,2)),VALUE(MID(B148,4,2))),
        DATEVALUE(B148)
      )
    )
  ),
"INVALID_DATE")</f>
        <v>45868</v>
      </c>
      <c r="AA148" s="2">
        <f>IFERROR(
  IF(ISNUMBER(C148),C148,
    IF(ISNUMBER(SEARCH("-",C148)*1),
      IF(LEN(LEFT(C148,FIND("-",C148)-1))=4,
        DATE(VALUE(LEFT(C148,4)),VALUE(MID(C148,6,2)),VALUE(RIGHT(C148,2))),
        DATE(VALUE(RIGHT(C148,4)),VALUE(MID(C148,4,2)),VALUE(LEFT(C148,2)))
      ),
      IF(ISNUMBER(SEARCH("/",C148)*1),
        DATE(VALUE(RIGHT(C148,4)),VALUE(LEFT(C148,2)),VALUE(MID(C148,4,2))),
        DATEVALUE(C148)
      )
    )
  ),
"INVALID_DATE")</f>
        <v>45870</v>
      </c>
      <c r="AB148">
        <f>AA148-Z148</f>
        <v>2</v>
      </c>
      <c r="AC148" t="str">
        <f>TEXT(Z148,"mmmm")</f>
        <v>July</v>
      </c>
      <c r="AD148">
        <f>YEAR(Z148)</f>
        <v>2025</v>
      </c>
      <c r="AE148" t="str">
        <f t="shared" si="8"/>
        <v>OK</v>
      </c>
    </row>
    <row r="149" spans="1:31">
      <c r="A149" t="s">
        <v>831</v>
      </c>
      <c r="B149" t="s">
        <v>832</v>
      </c>
      <c r="C149" t="s">
        <v>833</v>
      </c>
      <c r="D149" t="s">
        <v>834</v>
      </c>
      <c r="E149" t="s">
        <v>149</v>
      </c>
      <c r="F149" t="s">
        <v>122</v>
      </c>
      <c r="G149" t="s">
        <v>80</v>
      </c>
      <c r="H149" t="s">
        <v>256</v>
      </c>
      <c r="I149" t="s">
        <v>257</v>
      </c>
      <c r="J149" t="s">
        <v>52</v>
      </c>
      <c r="K149" t="s">
        <v>72</v>
      </c>
      <c r="L149" t="s">
        <v>835</v>
      </c>
      <c r="M149" t="s">
        <v>63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41</v>
      </c>
      <c r="U149" t="s">
        <v>42</v>
      </c>
      <c r="V149">
        <f>O149*(1-P149)*N149</f>
        <v>2779.92</v>
      </c>
      <c r="W149">
        <f t="shared" si="6"/>
        <v>1035.8700000000001</v>
      </c>
      <c r="X149">
        <f t="shared" si="7"/>
        <v>0.37262583095916424</v>
      </c>
      <c r="Y149" t="str">
        <f>_xlfn.TEXTJOIN(", ",TRUE,IF(G149="Unknown","Missing Region",""),IF(M149="Unknown","Missing Ship Mode",""),IF(P149&lt;0,"Negative Discount",""),IF(P149&gt;0.7,"High Discount",""),IF(C149&lt;B149,"Ship Before Order",""))</f>
        <v>Ship Before Order</v>
      </c>
      <c r="Z149" s="2">
        <f>IFERROR(
  IF(ISNUMBER(B149),B149,
    IF(ISNUMBER(SEARCH("-",B149)*1),
      IF(LEN(LEFT(B149,FIND("-",B149)-1))=4,
        DATE(VALUE(LEFT(B149,4)),VALUE(MID(B149,6,2)),VALUE(RIGHT(B149,2))),
        DATE(VALUE(RIGHT(B149,4)),VALUE(MID(B149,4,2)),VALUE(LEFT(B149,2)))
      ),
      IF(ISNUMBER(SEARCH("/",B149)*1),
        DATE(VALUE(RIGHT(B149,4)),VALUE(LEFT(B149,2)),VALUE(MID(B149,4,2))),
        DATEVALUE(B149)
      )
    )
  ),
"INVALID_DATE")</f>
        <v>45649</v>
      </c>
      <c r="AA149" s="2">
        <f>IFERROR(
  IF(ISNUMBER(C149),C149,
    IF(ISNUMBER(SEARCH("-",C149)*1),
      IF(LEN(LEFT(C149,FIND("-",C149)-1))=4,
        DATE(VALUE(LEFT(C149,4)),VALUE(MID(C149,6,2)),VALUE(RIGHT(C149,2))),
        DATE(VALUE(RIGHT(C149,4)),VALUE(MID(C149,4,2)),VALUE(LEFT(C149,2)))
      ),
      IF(ISNUMBER(SEARCH("/",C149)*1),
        DATE(VALUE(RIGHT(C149,4)),VALUE(LEFT(C149,2)),VALUE(MID(C149,4,2))),
        DATEVALUE(C149)
      )
    )
  ),
"INVALID_DATE")</f>
        <v>45656</v>
      </c>
      <c r="AB149">
        <f>AA149-Z149</f>
        <v>7</v>
      </c>
      <c r="AC149" t="str">
        <f>TEXT(Z149,"mmmm")</f>
        <v>December</v>
      </c>
      <c r="AD149">
        <f>YEAR(Z149)</f>
        <v>2024</v>
      </c>
      <c r="AE149" t="str">
        <f t="shared" si="8"/>
        <v>OK</v>
      </c>
    </row>
    <row r="150" spans="1:31">
      <c r="A150" t="s">
        <v>836</v>
      </c>
      <c r="B150" t="s">
        <v>837</v>
      </c>
      <c r="C150" t="s">
        <v>838</v>
      </c>
      <c r="D150" t="s">
        <v>839</v>
      </c>
      <c r="E150" t="s">
        <v>47</v>
      </c>
      <c r="F150" t="s">
        <v>122</v>
      </c>
      <c r="G150" t="s">
        <v>80</v>
      </c>
      <c r="H150" t="s">
        <v>91</v>
      </c>
      <c r="I150" t="s">
        <v>92</v>
      </c>
      <c r="J150" t="s">
        <v>93</v>
      </c>
      <c r="K150" t="s">
        <v>230</v>
      </c>
      <c r="L150" t="s">
        <v>840</v>
      </c>
      <c r="M150" t="s">
        <v>279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41</v>
      </c>
      <c r="U150" t="s">
        <v>42</v>
      </c>
      <c r="V150">
        <f>O150*(1-P150)*N150</f>
        <v>10176.42</v>
      </c>
      <c r="W150">
        <f t="shared" si="6"/>
        <v>2571.9499999999998</v>
      </c>
      <c r="X150">
        <f t="shared" si="7"/>
        <v>0.252736227474888</v>
      </c>
      <c r="Y150" t="str">
        <f>_xlfn.TEXTJOIN(", ",TRUE,IF(G150="Unknown","Missing Region",""),IF(M150="Unknown","Missing Ship Mode",""),IF(P150&lt;0,"Negative Discount",""),IF(P150&gt;0.7,"High Discount",""),IF(C150&lt;B150,"Ship Before Order",""))</f>
        <v>Missing Ship Mode</v>
      </c>
      <c r="Z150" s="2">
        <f>IFERROR(
  IF(ISNUMBER(B150),B150,
    IF(ISNUMBER(SEARCH("-",B150)*1),
      IF(LEN(LEFT(B150,FIND("-",B150)-1))=4,
        DATE(VALUE(LEFT(B150,4)),VALUE(MID(B150,6,2)),VALUE(RIGHT(B150,2))),
        DATE(VALUE(RIGHT(B150,4)),VALUE(MID(B150,4,2)),VALUE(LEFT(B150,2)))
      ),
      IF(ISNUMBER(SEARCH("/",B150)*1),
        DATE(VALUE(RIGHT(B150,4)),VALUE(LEFT(B150,2)),VALUE(MID(B150,4,2))),
        DATEVALUE(B150)
      )
    )
  ),
"INVALID_DATE")</f>
        <v>45697</v>
      </c>
      <c r="AA150" s="2">
        <f>IFERROR(
  IF(ISNUMBER(C150),C150,
    IF(ISNUMBER(SEARCH("-",C150)*1),
      IF(LEN(LEFT(C150,FIND("-",C150)-1))=4,
        DATE(VALUE(LEFT(C150,4)),VALUE(MID(C150,6,2)),VALUE(RIGHT(C150,2))),
        DATE(VALUE(RIGHT(C150,4)),VALUE(MID(C150,4,2)),VALUE(LEFT(C150,2)))
      ),
      IF(ISNUMBER(SEARCH("/",C150)*1),
        DATE(VALUE(RIGHT(C150,4)),VALUE(LEFT(C150,2)),VALUE(MID(C150,4,2))),
        DATEVALUE(C150)
      )
    )
  ),
"INVALID_DATE")</f>
        <v>45701</v>
      </c>
      <c r="AB150">
        <f>AA150-Z150</f>
        <v>4</v>
      </c>
      <c r="AC150" t="str">
        <f>TEXT(Z150,"mmmm")</f>
        <v>February</v>
      </c>
      <c r="AD150">
        <f>YEAR(Z150)</f>
        <v>2025</v>
      </c>
      <c r="AE150" t="str">
        <f t="shared" si="8"/>
        <v>OK</v>
      </c>
    </row>
    <row r="151" spans="1:31">
      <c r="A151" t="s">
        <v>841</v>
      </c>
      <c r="B151" t="s">
        <v>842</v>
      </c>
      <c r="C151" t="s">
        <v>842</v>
      </c>
      <c r="D151" t="s">
        <v>843</v>
      </c>
      <c r="E151" t="s">
        <v>169</v>
      </c>
      <c r="F151" t="s">
        <v>48</v>
      </c>
      <c r="G151" t="s">
        <v>844</v>
      </c>
      <c r="H151" t="s">
        <v>35</v>
      </c>
      <c r="I151" t="s">
        <v>142</v>
      </c>
      <c r="J151" t="s">
        <v>93</v>
      </c>
      <c r="K151" t="s">
        <v>101</v>
      </c>
      <c r="L151" t="s">
        <v>845</v>
      </c>
      <c r="M151" t="s">
        <v>55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41</v>
      </c>
      <c r="U151" t="s">
        <v>42</v>
      </c>
      <c r="V151">
        <f>O151*(1-P151)*N151</f>
        <v>13269.952499999999</v>
      </c>
      <c r="W151">
        <f t="shared" si="6"/>
        <v>4292.8524999999991</v>
      </c>
      <c r="X151">
        <f t="shared" si="7"/>
        <v>0.32350159571060932</v>
      </c>
      <c r="Y151" t="s">
        <v>4120</v>
      </c>
      <c r="Z151" s="2">
        <f>IFERROR(
  IF(ISNUMBER(B151),B151,
    IF(ISNUMBER(SEARCH("-",B151)*1),
      IF(LEN(LEFT(B151,FIND("-",B151)-1))=4,
        DATE(VALUE(LEFT(B151,4)),VALUE(MID(B151,6,2)),VALUE(RIGHT(B151,2))),
        DATE(VALUE(RIGHT(B151,4)),VALUE(MID(B151,4,2)),VALUE(LEFT(B151,2)))
      ),
      IF(ISNUMBER(SEARCH("/",B151)*1),
        DATE(VALUE(RIGHT(B151,4)),VALUE(LEFT(B151,2)),VALUE(MID(B151,4,2))),
        DATEVALUE(B151)
      )
    )
  ),
"INVALID_DATE")</f>
        <v>45321</v>
      </c>
      <c r="AA151" s="2">
        <f>IFERROR(
  IF(ISNUMBER(C151),C151,
    IF(ISNUMBER(SEARCH("-",C151)*1),
      IF(LEN(LEFT(C151,FIND("-",C151)-1))=4,
        DATE(VALUE(LEFT(C151,4)),VALUE(MID(C151,6,2)),VALUE(RIGHT(C151,2))),
        DATE(VALUE(RIGHT(C151,4)),VALUE(MID(C151,4,2)),VALUE(LEFT(C151,2)))
      ),
      IF(ISNUMBER(SEARCH("/",C151)*1),
        DATE(VALUE(RIGHT(C151,4)),VALUE(LEFT(C151,2)),VALUE(MID(C151,4,2))),
        DATEVALUE(C151)
      )
    )
  ),
"INVALID_DATE")</f>
        <v>45321</v>
      </c>
      <c r="AB151">
        <f>AA151-Z151</f>
        <v>0</v>
      </c>
      <c r="AC151" t="str">
        <f>TEXT(Z151,"mmmm")</f>
        <v>January</v>
      </c>
      <c r="AD151">
        <f>YEAR(Z151)</f>
        <v>2024</v>
      </c>
      <c r="AE151" t="str">
        <f t="shared" si="8"/>
        <v>OK</v>
      </c>
    </row>
    <row r="152" spans="1:31">
      <c r="A152" t="s">
        <v>846</v>
      </c>
      <c r="B152" t="s">
        <v>847</v>
      </c>
      <c r="C152" t="s">
        <v>848</v>
      </c>
      <c r="D152" t="s">
        <v>849</v>
      </c>
      <c r="E152" t="s">
        <v>68</v>
      </c>
      <c r="F152" t="s">
        <v>33</v>
      </c>
      <c r="G152" t="s">
        <v>279</v>
      </c>
      <c r="H152" t="s">
        <v>242</v>
      </c>
      <c r="I152" t="s">
        <v>243</v>
      </c>
      <c r="J152" t="s">
        <v>52</v>
      </c>
      <c r="K152" t="s">
        <v>211</v>
      </c>
      <c r="L152" t="s">
        <v>850</v>
      </c>
      <c r="M152" t="s">
        <v>63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41</v>
      </c>
      <c r="U152" t="s">
        <v>42</v>
      </c>
      <c r="V152">
        <f>O152*(1-P152)*N152</f>
        <v>1398.7079999999999</v>
      </c>
      <c r="W152">
        <f t="shared" si="6"/>
        <v>341.78799999999978</v>
      </c>
      <c r="X152">
        <f t="shared" si="7"/>
        <v>0.24436087537802689</v>
      </c>
      <c r="Y152" t="str">
        <f>_xlfn.TEXTJOIN(", ",TRUE,IF(G152="Unknown","Missing Region",""),IF(M152="Unknown","Missing Ship Mode",""),IF(P152&lt;0,"Negative Discount",""),IF(P152&gt;0.7,"High Discount",""),IF(C152&lt;B152,"Ship Before Order",""))</f>
        <v>Missing Region</v>
      </c>
      <c r="Z152" s="2">
        <f>IFERROR(
  IF(ISNUMBER(B152),B152,
    IF(ISNUMBER(SEARCH("-",B152)*1),
      IF(LEN(LEFT(B152,FIND("-",B152)-1))=4,
        DATE(VALUE(LEFT(B152,4)),VALUE(MID(B152,6,2)),VALUE(RIGHT(B152,2))),
        DATE(VALUE(RIGHT(B152,4)),VALUE(MID(B152,4,2)),VALUE(LEFT(B152,2)))
      ),
      IF(ISNUMBER(SEARCH("/",B152)*1),
        DATE(VALUE(RIGHT(B152,4)),VALUE(LEFT(B152,2)),VALUE(MID(B152,4,2))),
        DATEVALUE(B152)
      )
    )
  ),
"INVALID_DATE")</f>
        <v>45355</v>
      </c>
      <c r="AA152" s="2">
        <f>IFERROR(
  IF(ISNUMBER(C152),C152,
    IF(ISNUMBER(SEARCH("-",C152)*1),
      IF(LEN(LEFT(C152,FIND("-",C152)-1))=4,
        DATE(VALUE(LEFT(C152,4)),VALUE(MID(C152,6,2)),VALUE(RIGHT(C152,2))),
        DATE(VALUE(RIGHT(C152,4)),VALUE(MID(C152,4,2)),VALUE(LEFT(C152,2)))
      ),
      IF(ISNUMBER(SEARCH("/",C152)*1),
        DATE(VALUE(RIGHT(C152,4)),VALUE(LEFT(C152,2)),VALUE(MID(C152,4,2))),
        DATEVALUE(C152)
      )
    )
  ),
"INVALID_DATE")</f>
        <v>45363</v>
      </c>
      <c r="AB152">
        <f>AA152-Z152</f>
        <v>8</v>
      </c>
      <c r="AC152" t="str">
        <f>TEXT(Z152,"mmmm")</f>
        <v>March</v>
      </c>
      <c r="AD152">
        <f>YEAR(Z152)</f>
        <v>2024</v>
      </c>
      <c r="AE152" t="str">
        <f t="shared" si="8"/>
        <v>OK</v>
      </c>
    </row>
    <row r="153" spans="1:31">
      <c r="A153" t="s">
        <v>851</v>
      </c>
      <c r="B153" t="s">
        <v>852</v>
      </c>
      <c r="C153" t="s">
        <v>853</v>
      </c>
      <c r="D153" t="s">
        <v>854</v>
      </c>
      <c r="E153" t="s">
        <v>100</v>
      </c>
      <c r="F153" t="s">
        <v>122</v>
      </c>
      <c r="G153" t="s">
        <v>279</v>
      </c>
      <c r="H153" t="s">
        <v>91</v>
      </c>
      <c r="I153" t="s">
        <v>92</v>
      </c>
      <c r="J153" t="s">
        <v>93</v>
      </c>
      <c r="K153" t="s">
        <v>101</v>
      </c>
      <c r="L153" t="s">
        <v>855</v>
      </c>
      <c r="M153" t="s">
        <v>74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144</v>
      </c>
      <c r="U153" t="s">
        <v>132</v>
      </c>
      <c r="V153">
        <f>O153*(1-P153)*N153</f>
        <v>7718.22</v>
      </c>
      <c r="W153">
        <f t="shared" si="6"/>
        <v>2362.29</v>
      </c>
      <c r="X153">
        <f t="shared" si="7"/>
        <v>0.30606668376905555</v>
      </c>
      <c r="Y153" t="str">
        <f>_xlfn.TEXTJOIN(", ",TRUE,IF(G153="Unknown","Missing Region",""),IF(M153="Unknown","Missing Ship Mode",""),IF(P153&lt;0,"Negative Discount",""),IF(P153&gt;0.7,"High Discount",""),IF(C153&lt;B153,"Ship Before Order",""))</f>
        <v>Missing Region, Ship Before Order</v>
      </c>
      <c r="Z153" s="2">
        <f>IFERROR(
  IF(ISNUMBER(B153),B153,
    IF(ISNUMBER(SEARCH("-",B153)*1),
      IF(LEN(LEFT(B153,FIND("-",B153)-1))=4,
        DATE(VALUE(LEFT(B153,4)),VALUE(MID(B153,6,2)),VALUE(RIGHT(B153,2))),
        DATE(VALUE(RIGHT(B153,4)),VALUE(MID(B153,4,2)),VALUE(LEFT(B153,2)))
      ),
      IF(ISNUMBER(SEARCH("/",B153)*1),
        DATE(VALUE(RIGHT(B153,4)),VALUE(LEFT(B153,2)),VALUE(MID(B153,4,2))),
        DATEVALUE(B153)
      )
    )
  ),
"INVALID_DATE")</f>
        <v>45470</v>
      </c>
      <c r="AA153" s="2">
        <f>IFERROR(
  IF(ISNUMBER(C153),C153,
    IF(ISNUMBER(SEARCH("-",C153)*1),
      IF(LEN(LEFT(C153,FIND("-",C153)-1))=4,
        DATE(VALUE(LEFT(C153,4)),VALUE(MID(C153,6,2)),VALUE(RIGHT(C153,2))),
        DATE(VALUE(RIGHT(C153,4)),VALUE(MID(C153,4,2)),VALUE(LEFT(C153,2)))
      ),
      IF(ISNUMBER(SEARCH("/",C153)*1),
        DATE(VALUE(RIGHT(C153,4)),VALUE(LEFT(C153,2)),VALUE(MID(C153,4,2))),
        DATEVALUE(C153)
      )
    )
  ),
"INVALID_DATE")</f>
        <v>45470</v>
      </c>
      <c r="AB153">
        <f>AA153-Z153</f>
        <v>0</v>
      </c>
      <c r="AC153" t="str">
        <f>TEXT(Z153,"mmmm")</f>
        <v>June</v>
      </c>
      <c r="AD153">
        <f>YEAR(Z153)</f>
        <v>2024</v>
      </c>
      <c r="AE153" t="str">
        <f t="shared" si="8"/>
        <v>OK</v>
      </c>
    </row>
    <row r="154" spans="1:31">
      <c r="A154" t="s">
        <v>856</v>
      </c>
      <c r="B154" t="s">
        <v>857</v>
      </c>
      <c r="C154" t="s">
        <v>858</v>
      </c>
      <c r="D154" t="s">
        <v>859</v>
      </c>
      <c r="E154" t="s">
        <v>374</v>
      </c>
      <c r="F154" t="s">
        <v>48</v>
      </c>
      <c r="G154" t="s">
        <v>69</v>
      </c>
      <c r="H154" t="s">
        <v>249</v>
      </c>
      <c r="I154" t="s">
        <v>250</v>
      </c>
      <c r="J154" t="s">
        <v>52</v>
      </c>
      <c r="K154" t="s">
        <v>53</v>
      </c>
      <c r="L154" t="s">
        <v>860</v>
      </c>
      <c r="M154" t="s">
        <v>40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144</v>
      </c>
      <c r="U154" t="s">
        <v>132</v>
      </c>
      <c r="V154">
        <f>O154*(1-P154)*N154</f>
        <v>5875.4160000000002</v>
      </c>
      <c r="W154">
        <f t="shared" si="6"/>
        <v>1494.866</v>
      </c>
      <c r="X154">
        <f t="shared" si="7"/>
        <v>0.25442776856803428</v>
      </c>
      <c r="Y154" t="str">
        <f>_xlfn.TEXTJOIN(", ",TRUE,IF(G154="Unknown","Missing Region",""),IF(M154="Unknown","Missing Ship Mode",""),IF(P154&lt;0,"Negative Discount",""),IF(P154&gt;0.7,"High Discount",""),IF(C154&lt;B154,"Ship Before Order",""))</f>
        <v>Ship Before Order</v>
      </c>
      <c r="Z154" s="2">
        <f>IFERROR(
  IF(ISNUMBER(B154),B154,
    IF(ISNUMBER(SEARCH("-",B154)*1),
      IF(LEN(LEFT(B154,FIND("-",B154)-1))=4,
        DATE(VALUE(LEFT(B154,4)),VALUE(MID(B154,6,2)),VALUE(RIGHT(B154,2))),
        DATE(VALUE(RIGHT(B154,4)),VALUE(MID(B154,4,2)),VALUE(LEFT(B154,2)))
      ),
      IF(ISNUMBER(SEARCH("/",B154)*1),
        DATE(VALUE(RIGHT(B154,4)),VALUE(LEFT(B154,2)),VALUE(MID(B154,4,2))),
        DATEVALUE(B154)
      )
    )
  ),
"INVALID_DATE")</f>
        <v>45457</v>
      </c>
      <c r="AA154" s="2">
        <f>IFERROR(
  IF(ISNUMBER(C154),C154,
    IF(ISNUMBER(SEARCH("-",C154)*1),
      IF(LEN(LEFT(C154,FIND("-",C154)-1))=4,
        DATE(VALUE(LEFT(C154,4)),VALUE(MID(C154,6,2)),VALUE(RIGHT(C154,2))),
        DATE(VALUE(RIGHT(C154,4)),VALUE(MID(C154,4,2)),VALUE(LEFT(C154,2)))
      ),
      IF(ISNUMBER(SEARCH("/",C154)*1),
        DATE(VALUE(RIGHT(C154,4)),VALUE(LEFT(C154,2)),VALUE(MID(C154,4,2))),
        DATEVALUE(C154)
      )
    )
  ),
"INVALID_DATE")</f>
        <v>45460</v>
      </c>
      <c r="AB154">
        <f>AA154-Z154</f>
        <v>3</v>
      </c>
      <c r="AC154" t="str">
        <f>TEXT(Z154,"mmmm")</f>
        <v>June</v>
      </c>
      <c r="AD154">
        <f>YEAR(Z154)</f>
        <v>2024</v>
      </c>
      <c r="AE154" t="str">
        <f t="shared" si="8"/>
        <v>OK</v>
      </c>
    </row>
    <row r="155" spans="1:31">
      <c r="A155" t="s">
        <v>861</v>
      </c>
      <c r="B155" t="s">
        <v>862</v>
      </c>
      <c r="C155" t="s">
        <v>863</v>
      </c>
      <c r="D155" t="s">
        <v>864</v>
      </c>
      <c r="E155" t="s">
        <v>114</v>
      </c>
      <c r="F155" t="s">
        <v>33</v>
      </c>
      <c r="G155" t="s">
        <v>49</v>
      </c>
      <c r="H155" t="s">
        <v>50</v>
      </c>
      <c r="I155" t="s">
        <v>51</v>
      </c>
      <c r="J155" t="s">
        <v>37</v>
      </c>
      <c r="K155" t="s">
        <v>116</v>
      </c>
      <c r="L155" t="s">
        <v>865</v>
      </c>
      <c r="M155" t="s">
        <v>74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131</v>
      </c>
      <c r="U155" t="s">
        <v>132</v>
      </c>
      <c r="V155">
        <f>O155*(1-P155)*N155</f>
        <v>22962.17</v>
      </c>
      <c r="W155">
        <f t="shared" si="6"/>
        <v>7245.6699999999983</v>
      </c>
      <c r="X155">
        <f t="shared" si="7"/>
        <v>0.31554813852523522</v>
      </c>
      <c r="Y155" t="str">
        <f>_xlfn.TEXTJOIN(", ",TRUE,IF(G155="Unknown","Missing Region",""),IF(M155="Unknown","Missing Ship Mode",""),IF(P155&lt;0,"Negative Discount",""),IF(P155&gt;0.7,"High Discount",""),IF(C155&lt;B155,"Ship Before Order",""))</f>
        <v>Ship Before Order</v>
      </c>
      <c r="Z155" s="2">
        <f>IFERROR(
  IF(ISNUMBER(B155),B155,
    IF(ISNUMBER(SEARCH("-",B155)*1),
      IF(LEN(LEFT(B155,FIND("-",B155)-1))=4,
        DATE(VALUE(LEFT(B155,4)),VALUE(MID(B155,6,2)),VALUE(RIGHT(B155,2))),
        DATE(VALUE(RIGHT(B155,4)),VALUE(MID(B155,4,2)),VALUE(LEFT(B155,2)))
      ),
      IF(ISNUMBER(SEARCH("/",B155)*1),
        DATE(VALUE(RIGHT(B155,4)),VALUE(LEFT(B155,2)),VALUE(MID(B155,4,2))),
        DATEVALUE(B155)
      )
    )
  ),
"INVALID_DATE")</f>
        <v>45923</v>
      </c>
      <c r="AA155" s="2">
        <f>IFERROR(
  IF(ISNUMBER(C155),C155,
    IF(ISNUMBER(SEARCH("-",C155)*1),
      IF(LEN(LEFT(C155,FIND("-",C155)-1))=4,
        DATE(VALUE(LEFT(C155,4)),VALUE(MID(C155,6,2)),VALUE(RIGHT(C155,2))),
        DATE(VALUE(RIGHT(C155,4)),VALUE(MID(C155,4,2)),VALUE(LEFT(C155,2)))
      ),
      IF(ISNUMBER(SEARCH("/",C155)*1),
        DATE(VALUE(RIGHT(C155,4)),VALUE(LEFT(C155,2)),VALUE(MID(C155,4,2))),
        DATEVALUE(C155)
      )
    )
  ),
"INVALID_DATE")</f>
        <v>45925</v>
      </c>
      <c r="AB155">
        <f>AA155-Z155</f>
        <v>2</v>
      </c>
      <c r="AC155" t="str">
        <f>TEXT(Z155,"mmmm")</f>
        <v>September</v>
      </c>
      <c r="AD155">
        <f>YEAR(Z155)</f>
        <v>2025</v>
      </c>
      <c r="AE155" t="str">
        <f t="shared" si="8"/>
        <v>OK</v>
      </c>
    </row>
    <row r="156" spans="1:31">
      <c r="A156" t="s">
        <v>866</v>
      </c>
      <c r="B156" t="s">
        <v>867</v>
      </c>
      <c r="C156" t="s">
        <v>868</v>
      </c>
      <c r="D156" t="s">
        <v>677</v>
      </c>
      <c r="E156" t="s">
        <v>149</v>
      </c>
      <c r="F156" t="s">
        <v>33</v>
      </c>
      <c r="G156" t="s">
        <v>69</v>
      </c>
      <c r="H156" t="s">
        <v>347</v>
      </c>
      <c r="I156" t="s">
        <v>348</v>
      </c>
      <c r="J156" t="s">
        <v>52</v>
      </c>
      <c r="K156" t="s">
        <v>211</v>
      </c>
      <c r="L156" t="s">
        <v>869</v>
      </c>
      <c r="M156" t="s">
        <v>55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41</v>
      </c>
      <c r="U156" t="s">
        <v>42</v>
      </c>
      <c r="V156">
        <f>O156*(1-P156)*N156</f>
        <v>2209.252</v>
      </c>
      <c r="W156">
        <f t="shared" si="6"/>
        <v>685.47199999999998</v>
      </c>
      <c r="X156">
        <f t="shared" si="7"/>
        <v>0.31027271698540232</v>
      </c>
      <c r="Y156" t="str">
        <f>_xlfn.TEXTJOIN(", ",TRUE,IF(G156="Unknown","Missing Region",""),IF(M156="Unknown","Missing Ship Mode",""),IF(P156&lt;0,"Negative Discount",""),IF(P156&gt;0.7,"High Discount",""),IF(C156&lt;B156,"Ship Before Order",""))</f>
        <v>Ship Before Order</v>
      </c>
      <c r="Z156" s="2">
        <f>IFERROR(
  IF(ISNUMBER(B156),B156,
    IF(ISNUMBER(SEARCH("-",B156)*1),
      IF(LEN(LEFT(B156,FIND("-",B156)-1))=4,
        DATE(VALUE(LEFT(B156,4)),VALUE(MID(B156,6,2)),VALUE(RIGHT(B156,2))),
        DATE(VALUE(RIGHT(B156,4)),VALUE(MID(B156,4,2)),VALUE(LEFT(B156,2)))
      ),
      IF(ISNUMBER(SEARCH("/",B156)*1),
        DATE(VALUE(RIGHT(B156,4)),VALUE(LEFT(B156,2)),VALUE(MID(B156,4,2))),
        DATEVALUE(B156)
      )
    )
  ),
"INVALID_DATE")</f>
        <v>45334</v>
      </c>
      <c r="AA156" s="2">
        <f>IFERROR(
  IF(ISNUMBER(C156),C156,
    IF(ISNUMBER(SEARCH("-",C156)*1),
      IF(LEN(LEFT(C156,FIND("-",C156)-1))=4,
        DATE(VALUE(LEFT(C156,4)),VALUE(MID(C156,6,2)),VALUE(RIGHT(C156,2))),
        DATE(VALUE(RIGHT(C156,4)),VALUE(MID(C156,4,2)),VALUE(LEFT(C156,2)))
      ),
      IF(ISNUMBER(SEARCH("/",C156)*1),
        DATE(VALUE(RIGHT(C156,4)),VALUE(LEFT(C156,2)),VALUE(MID(C156,4,2))),
        DATEVALUE(C156)
      )
    )
  ),
"INVALID_DATE")</f>
        <v>45333</v>
      </c>
      <c r="AB156">
        <f>AA156-Z156</f>
        <v>-1</v>
      </c>
      <c r="AC156" t="str">
        <f>TEXT(Z156,"mmmm")</f>
        <v>February</v>
      </c>
      <c r="AD156">
        <f>YEAR(Z156)</f>
        <v>2024</v>
      </c>
      <c r="AE156" t="str">
        <f t="shared" si="8"/>
        <v>Ship Before Order</v>
      </c>
    </row>
    <row r="157" spans="1:31">
      <c r="A157" t="s">
        <v>870</v>
      </c>
      <c r="B157" t="s">
        <v>567</v>
      </c>
      <c r="C157" t="s">
        <v>448</v>
      </c>
      <c r="D157" t="s">
        <v>871</v>
      </c>
      <c r="E157" t="s">
        <v>32</v>
      </c>
      <c r="F157" t="s">
        <v>115</v>
      </c>
      <c r="G157" t="s">
        <v>80</v>
      </c>
      <c r="H157" t="s">
        <v>35</v>
      </c>
      <c r="I157" t="s">
        <v>142</v>
      </c>
      <c r="J157" t="s">
        <v>52</v>
      </c>
      <c r="K157" t="s">
        <v>72</v>
      </c>
      <c r="L157" t="s">
        <v>872</v>
      </c>
      <c r="M157" t="s">
        <v>55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131</v>
      </c>
      <c r="U157" t="s">
        <v>132</v>
      </c>
      <c r="V157">
        <f>O157*(1-P157)*N157</f>
        <v>7720.1640000000007</v>
      </c>
      <c r="W157">
        <f t="shared" si="6"/>
        <v>1839.1640000000007</v>
      </c>
      <c r="X157">
        <f t="shared" si="7"/>
        <v>0.2382282232492591</v>
      </c>
      <c r="Y157" t="s">
        <v>4120</v>
      </c>
      <c r="Z157" s="2">
        <f>IFERROR(
  IF(ISNUMBER(B157),B157,
    IF(ISNUMBER(SEARCH("-",B157)*1),
      IF(LEN(LEFT(B157,FIND("-",B157)-1))=4,
        DATE(VALUE(LEFT(B157,4)),VALUE(MID(B157,6,2)),VALUE(RIGHT(B157,2))),
        DATE(VALUE(RIGHT(B157,4)),VALUE(MID(B157,4,2)),VALUE(LEFT(B157,2)))
      ),
      IF(ISNUMBER(SEARCH("/",B157)*1),
        DATE(VALUE(RIGHT(B157,4)),VALUE(LEFT(B157,2)),VALUE(MID(B157,4,2))),
        DATEVALUE(B157)
      )
    )
  ),
"INVALID_DATE")</f>
        <v>45683</v>
      </c>
      <c r="AA157" s="2">
        <f>IFERROR(
  IF(ISNUMBER(C157),C157,
    IF(ISNUMBER(SEARCH("-",C157)*1),
      IF(LEN(LEFT(C157,FIND("-",C157)-1))=4,
        DATE(VALUE(LEFT(C157,4)),VALUE(MID(C157,6,2)),VALUE(RIGHT(C157,2))),
        DATE(VALUE(RIGHT(C157,4)),VALUE(MID(C157,4,2)),VALUE(LEFT(C157,2)))
      ),
      IF(ISNUMBER(SEARCH("/",C157)*1),
        DATE(VALUE(RIGHT(C157,4)),VALUE(LEFT(C157,2)),VALUE(MID(C157,4,2))),
        DATEVALUE(C157)
      )
    )
  ),
"INVALID_DATE")</f>
        <v>45691</v>
      </c>
      <c r="AB157">
        <f>AA157-Z157</f>
        <v>8</v>
      </c>
      <c r="AC157" t="str">
        <f>TEXT(Z157,"mmmm")</f>
        <v>January</v>
      </c>
      <c r="AD157">
        <f>YEAR(Z157)</f>
        <v>2025</v>
      </c>
      <c r="AE157" t="str">
        <f t="shared" si="8"/>
        <v>OK</v>
      </c>
    </row>
    <row r="158" spans="1:31">
      <c r="A158" t="s">
        <v>873</v>
      </c>
      <c r="B158" t="s">
        <v>874</v>
      </c>
      <c r="C158" t="s">
        <v>875</v>
      </c>
      <c r="D158" t="s">
        <v>876</v>
      </c>
      <c r="E158" t="s">
        <v>90</v>
      </c>
      <c r="F158" t="s">
        <v>48</v>
      </c>
      <c r="G158" t="s">
        <v>49</v>
      </c>
      <c r="H158" t="s">
        <v>193</v>
      </c>
      <c r="I158" t="s">
        <v>194</v>
      </c>
      <c r="J158" t="s">
        <v>93</v>
      </c>
      <c r="K158" t="s">
        <v>390</v>
      </c>
      <c r="L158" t="s">
        <v>877</v>
      </c>
      <c r="M158" t="s">
        <v>40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41</v>
      </c>
      <c r="U158" t="s">
        <v>42</v>
      </c>
      <c r="V158">
        <f>O158*(1-P158)*N158</f>
        <v>12103.192499999999</v>
      </c>
      <c r="W158">
        <f t="shared" si="6"/>
        <v>5385.3224999999993</v>
      </c>
      <c r="X158">
        <f t="shared" si="7"/>
        <v>0.444950463472853</v>
      </c>
      <c r="Y158" t="str">
        <f>_xlfn.TEXTJOIN(", ",TRUE,IF(G158="Unknown","Missing Region",""),IF(M158="Unknown","Missing Ship Mode",""),IF(P158&lt;0,"Negative Discount",""),IF(P158&gt;0.7,"High Discount",""),IF(C158&lt;B158,"Ship Before Order",""))</f>
        <v>Ship Before Order</v>
      </c>
      <c r="Z158" s="2">
        <f>IFERROR(
  IF(ISNUMBER(B158),B158,
    IF(ISNUMBER(SEARCH("-",B158)*1),
      IF(LEN(LEFT(B158,FIND("-",B158)-1))=4,
        DATE(VALUE(LEFT(B158,4)),VALUE(MID(B158,6,2)),VALUE(RIGHT(B158,2))),
        DATE(VALUE(RIGHT(B158,4)),VALUE(MID(B158,4,2)),VALUE(LEFT(B158,2)))
      ),
      IF(ISNUMBER(SEARCH("/",B158)*1),
        DATE(VALUE(RIGHT(B158,4)),VALUE(LEFT(B158,2)),VALUE(MID(B158,4,2))),
        DATEVALUE(B158)
      )
    )
  ),
"INVALID_DATE")</f>
        <v>45743</v>
      </c>
      <c r="AA158" s="2">
        <f>IFERROR(
  IF(ISNUMBER(C158),C158,
    IF(ISNUMBER(SEARCH("-",C158)*1),
      IF(LEN(LEFT(C158,FIND("-",C158)-1))=4,
        DATE(VALUE(LEFT(C158,4)),VALUE(MID(C158,6,2)),VALUE(RIGHT(C158,2))),
        DATE(VALUE(RIGHT(C158,4)),VALUE(MID(C158,4,2)),VALUE(LEFT(C158,2)))
      ),
      IF(ISNUMBER(SEARCH("/",C158)*1),
        DATE(VALUE(RIGHT(C158,4)),VALUE(LEFT(C158,2)),VALUE(MID(C158,4,2))),
        DATEVALUE(C158)
      )
    )
  ),
"INVALID_DATE")</f>
        <v>45743</v>
      </c>
      <c r="AB158">
        <f>AA158-Z158</f>
        <v>0</v>
      </c>
      <c r="AC158" t="str">
        <f>TEXT(Z158,"mmmm")</f>
        <v>March</v>
      </c>
      <c r="AD158">
        <f>YEAR(Z158)</f>
        <v>2025</v>
      </c>
      <c r="AE158" t="str">
        <f t="shared" si="8"/>
        <v>OK</v>
      </c>
    </row>
    <row r="159" spans="1:31">
      <c r="A159" t="s">
        <v>878</v>
      </c>
      <c r="B159" t="s">
        <v>879</v>
      </c>
      <c r="C159" t="s">
        <v>880</v>
      </c>
      <c r="D159" t="s">
        <v>881</v>
      </c>
      <c r="E159" t="s">
        <v>187</v>
      </c>
      <c r="F159" t="s">
        <v>48</v>
      </c>
      <c r="G159" t="s">
        <v>69</v>
      </c>
      <c r="H159" t="s">
        <v>107</v>
      </c>
      <c r="I159" t="s">
        <v>108</v>
      </c>
      <c r="J159" t="s">
        <v>52</v>
      </c>
      <c r="K159" t="s">
        <v>211</v>
      </c>
      <c r="L159" t="s">
        <v>882</v>
      </c>
      <c r="M159" t="s">
        <v>74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41</v>
      </c>
      <c r="U159" t="s">
        <v>42</v>
      </c>
      <c r="V159">
        <f>O159*(1-P159)*N159</f>
        <v>2335.3920000000003</v>
      </c>
      <c r="W159">
        <f t="shared" si="6"/>
        <v>869.24200000000019</v>
      </c>
      <c r="X159">
        <f t="shared" si="7"/>
        <v>0.37220335789739617</v>
      </c>
      <c r="Y159" t="s">
        <v>4120</v>
      </c>
      <c r="Z159" s="2">
        <f>IFERROR(
  IF(ISNUMBER(B159),B159,
    IF(ISNUMBER(SEARCH("-",B159)*1),
      IF(LEN(LEFT(B159,FIND("-",B159)-1))=4,
        DATE(VALUE(LEFT(B159,4)),VALUE(MID(B159,6,2)),VALUE(RIGHT(B159,2))),
        DATE(VALUE(RIGHT(B159,4)),VALUE(MID(B159,4,2)),VALUE(LEFT(B159,2)))
      ),
      IF(ISNUMBER(SEARCH("/",B159)*1),
        DATE(VALUE(RIGHT(B159,4)),VALUE(LEFT(B159,2)),VALUE(MID(B159,4,2))),
        DATEVALUE(B159)
      )
    )
  ),
"INVALID_DATE")</f>
        <v>45587</v>
      </c>
      <c r="AA159" s="2">
        <f>IFERROR(
  IF(ISNUMBER(C159),C159,
    IF(ISNUMBER(SEARCH("-",C159)*1),
      IF(LEN(LEFT(C159,FIND("-",C159)-1))=4,
        DATE(VALUE(LEFT(C159,4)),VALUE(MID(C159,6,2)),VALUE(RIGHT(C159,2))),
        DATE(VALUE(RIGHT(C159,4)),VALUE(MID(C159,4,2)),VALUE(LEFT(C159,2)))
      ),
      IF(ISNUMBER(SEARCH("/",C159)*1),
        DATE(VALUE(RIGHT(C159,4)),VALUE(LEFT(C159,2)),VALUE(MID(C159,4,2))),
        DATEVALUE(C159)
      )
    )
  ),
"INVALID_DATE")</f>
        <v>45589</v>
      </c>
      <c r="AB159">
        <f>AA159-Z159</f>
        <v>2</v>
      </c>
      <c r="AC159" t="str">
        <f>TEXT(Z159,"mmmm")</f>
        <v>October</v>
      </c>
      <c r="AD159">
        <f>YEAR(Z159)</f>
        <v>2024</v>
      </c>
      <c r="AE159" t="str">
        <f t="shared" si="8"/>
        <v>OK</v>
      </c>
    </row>
    <row r="160" spans="1:31">
      <c r="A160" t="s">
        <v>883</v>
      </c>
      <c r="B160" t="s">
        <v>884</v>
      </c>
      <c r="C160" t="s">
        <v>885</v>
      </c>
      <c r="D160" t="s">
        <v>886</v>
      </c>
      <c r="E160" t="s">
        <v>100</v>
      </c>
      <c r="F160" t="s">
        <v>122</v>
      </c>
      <c r="G160" t="s">
        <v>69</v>
      </c>
      <c r="H160" t="s">
        <v>70</v>
      </c>
      <c r="I160" t="s">
        <v>71</v>
      </c>
      <c r="J160" t="s">
        <v>52</v>
      </c>
      <c r="K160" t="s">
        <v>211</v>
      </c>
      <c r="L160" t="s">
        <v>887</v>
      </c>
      <c r="M160" t="s">
        <v>63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41</v>
      </c>
      <c r="U160" t="s">
        <v>42</v>
      </c>
      <c r="V160">
        <f>O160*(1-P160)*N160</f>
        <v>3989.5629999999996</v>
      </c>
      <c r="W160">
        <f t="shared" si="6"/>
        <v>1608.1829999999995</v>
      </c>
      <c r="X160">
        <f t="shared" si="7"/>
        <v>0.40309708338764177</v>
      </c>
      <c r="Y160" t="str">
        <f>_xlfn.TEXTJOIN(", ",TRUE,IF(G160="Unknown","Missing Region",""),IF(M160="Unknown","Missing Ship Mode",""),IF(P160&lt;0,"Negative Discount",""),IF(P160&gt;0.7,"High Discount",""),IF(C160&lt;B160,"Ship Before Order",""))</f>
        <v>Ship Before Order</v>
      </c>
      <c r="Z160" s="2">
        <f>IFERROR(
  IF(ISNUMBER(B160),B160,
    IF(ISNUMBER(SEARCH("-",B160)*1),
      IF(LEN(LEFT(B160,FIND("-",B160)-1))=4,
        DATE(VALUE(LEFT(B160,4)),VALUE(MID(B160,6,2)),VALUE(RIGHT(B160,2))),
        DATE(VALUE(RIGHT(B160,4)),VALUE(MID(B160,4,2)),VALUE(LEFT(B160,2)))
      ),
      IF(ISNUMBER(SEARCH("/",B160)*1),
        DATE(VALUE(RIGHT(B160,4)),VALUE(LEFT(B160,2)),VALUE(MID(B160,4,2))),
        DATEVALUE(B160)
      )
    )
  ),
"INVALID_DATE")</f>
        <v>45544</v>
      </c>
      <c r="AA160" s="2">
        <f>IFERROR(
  IF(ISNUMBER(C160),C160,
    IF(ISNUMBER(SEARCH("-",C160)*1),
      IF(LEN(LEFT(C160,FIND("-",C160)-1))=4,
        DATE(VALUE(LEFT(C160,4)),VALUE(MID(C160,6,2)),VALUE(RIGHT(C160,2))),
        DATE(VALUE(RIGHT(C160,4)),VALUE(MID(C160,4,2)),VALUE(LEFT(C160,2)))
      ),
      IF(ISNUMBER(SEARCH("/",C160)*1),
        DATE(VALUE(RIGHT(C160,4)),VALUE(LEFT(C160,2)),VALUE(MID(C160,4,2))),
        DATEVALUE(C160)
      )
    )
  ),
"INVALID_DATE")</f>
        <v>45546</v>
      </c>
      <c r="AB160">
        <f>AA160-Z160</f>
        <v>2</v>
      </c>
      <c r="AC160" t="str">
        <f>TEXT(Z160,"mmmm")</f>
        <v>September</v>
      </c>
      <c r="AD160">
        <f>YEAR(Z160)</f>
        <v>2024</v>
      </c>
      <c r="AE160" t="str">
        <f t="shared" si="8"/>
        <v>OK</v>
      </c>
    </row>
    <row r="161" spans="1:31">
      <c r="A161" t="s">
        <v>888</v>
      </c>
      <c r="B161" t="s">
        <v>889</v>
      </c>
      <c r="C161" t="s">
        <v>890</v>
      </c>
      <c r="D161" t="s">
        <v>891</v>
      </c>
      <c r="E161" t="s">
        <v>149</v>
      </c>
      <c r="F161" t="s">
        <v>115</v>
      </c>
      <c r="G161" t="s">
        <v>34</v>
      </c>
      <c r="H161" t="s">
        <v>331</v>
      </c>
      <c r="I161" t="s">
        <v>332</v>
      </c>
      <c r="J161" t="s">
        <v>52</v>
      </c>
      <c r="K161" t="s">
        <v>83</v>
      </c>
      <c r="L161" t="s">
        <v>892</v>
      </c>
      <c r="M161" t="s">
        <v>55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144</v>
      </c>
      <c r="U161" t="s">
        <v>85</v>
      </c>
      <c r="V161">
        <f>O161*(1-P161)*N161</f>
        <v>33893.324999999997</v>
      </c>
      <c r="W161">
        <f t="shared" si="6"/>
        <v>8142.9749999999985</v>
      </c>
      <c r="X161">
        <f t="shared" si="7"/>
        <v>0.24025294659832677</v>
      </c>
      <c r="Y161" t="str">
        <f>_xlfn.TEXTJOIN(", ",TRUE,IF(G161="Unknown","Missing Region",""),IF(M161="Unknown","Missing Ship Mode",""),IF(P161&lt;0,"Negative Discount",""),IF(P161&gt;0.7,"High Discount",""),IF(C161&lt;B161,"Ship Before Order",""))</f>
        <v>Ship Before Order</v>
      </c>
      <c r="Z161" s="2">
        <f>IFERROR(
  IF(ISNUMBER(B161),B161,
    IF(ISNUMBER(SEARCH("-",B161)*1),
      IF(LEN(LEFT(B161,FIND("-",B161)-1))=4,
        DATE(VALUE(LEFT(B161,4)),VALUE(MID(B161,6,2)),VALUE(RIGHT(B161,2))),
        DATE(VALUE(RIGHT(B161,4)),VALUE(MID(B161,4,2)),VALUE(LEFT(B161,2)))
      ),
      IF(ISNUMBER(SEARCH("/",B161)*1),
        DATE(VALUE(RIGHT(B161,4)),VALUE(LEFT(B161,2)),VALUE(MID(B161,4,2))),
        DATEVALUE(B161)
      )
    )
  ),
"INVALID_DATE")</f>
        <v>45687</v>
      </c>
      <c r="AA161" s="2">
        <f>IFERROR(
  IF(ISNUMBER(C161),C161,
    IF(ISNUMBER(SEARCH("-",C161)*1),
      IF(LEN(LEFT(C161,FIND("-",C161)-1))=4,
        DATE(VALUE(LEFT(C161,4)),VALUE(MID(C161,6,2)),VALUE(RIGHT(C161,2))),
        DATE(VALUE(RIGHT(C161,4)),VALUE(MID(C161,4,2)),VALUE(LEFT(C161,2)))
      ),
      IF(ISNUMBER(SEARCH("/",C161)*1),
        DATE(VALUE(RIGHT(C161,4)),VALUE(LEFT(C161,2)),VALUE(MID(C161,4,2))),
        DATEVALUE(C161)
      )
    )
  ),
"INVALID_DATE")</f>
        <v>45692</v>
      </c>
      <c r="AB161">
        <f>AA161-Z161</f>
        <v>5</v>
      </c>
      <c r="AC161" t="str">
        <f>TEXT(Z161,"mmmm")</f>
        <v>January</v>
      </c>
      <c r="AD161">
        <f>YEAR(Z161)</f>
        <v>2025</v>
      </c>
      <c r="AE161" t="str">
        <f t="shared" si="8"/>
        <v>OK</v>
      </c>
    </row>
    <row r="162" spans="1:31">
      <c r="A162" t="s">
        <v>893</v>
      </c>
      <c r="B162" t="s">
        <v>894</v>
      </c>
      <c r="C162" t="s">
        <v>895</v>
      </c>
      <c r="D162" t="s">
        <v>896</v>
      </c>
      <c r="E162" t="s">
        <v>90</v>
      </c>
      <c r="F162" t="s">
        <v>48</v>
      </c>
      <c r="G162" t="s">
        <v>80</v>
      </c>
      <c r="H162" t="s">
        <v>81</v>
      </c>
      <c r="I162" t="s">
        <v>82</v>
      </c>
      <c r="J162" t="s">
        <v>37</v>
      </c>
      <c r="K162" t="s">
        <v>38</v>
      </c>
      <c r="L162" t="s">
        <v>897</v>
      </c>
      <c r="M162" t="s">
        <v>40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144</v>
      </c>
      <c r="U162" t="s">
        <v>85</v>
      </c>
      <c r="V162">
        <f>O162*(1-P162)*N162</f>
        <v>4789.5960000000005</v>
      </c>
      <c r="W162">
        <f t="shared" si="6"/>
        <v>751.95600000000059</v>
      </c>
      <c r="X162">
        <f t="shared" si="7"/>
        <v>0.15699849674294303</v>
      </c>
      <c r="Y162" t="s">
        <v>4120</v>
      </c>
      <c r="Z162" s="2">
        <f>IFERROR(
  IF(ISNUMBER(B162),B162,
    IF(ISNUMBER(SEARCH("-",B162)*1),
      IF(LEN(LEFT(B162,FIND("-",B162)-1))=4,
        DATE(VALUE(LEFT(B162,4)),VALUE(MID(B162,6,2)),VALUE(RIGHT(B162,2))),
        DATE(VALUE(RIGHT(B162,4)),VALUE(MID(B162,4,2)),VALUE(LEFT(B162,2)))
      ),
      IF(ISNUMBER(SEARCH("/",B162)*1),
        DATE(VALUE(RIGHT(B162,4)),VALUE(LEFT(B162,2)),VALUE(MID(B162,4,2))),
        DATEVALUE(B162)
      )
    )
  ),
"INVALID_DATE")</f>
        <v>45938</v>
      </c>
      <c r="AA162" s="2">
        <f>IFERROR(
  IF(ISNUMBER(C162),C162,
    IF(ISNUMBER(SEARCH("-",C162)*1),
      IF(LEN(LEFT(C162,FIND("-",C162)-1))=4,
        DATE(VALUE(LEFT(C162,4)),VALUE(MID(C162,6,2)),VALUE(RIGHT(C162,2))),
        DATE(VALUE(RIGHT(C162,4)),VALUE(MID(C162,4,2)),VALUE(LEFT(C162,2)))
      ),
      IF(ISNUMBER(SEARCH("/",C162)*1),
        DATE(VALUE(RIGHT(C162,4)),VALUE(LEFT(C162,2)),VALUE(MID(C162,4,2))),
        DATEVALUE(C162)
      )
    )
  ),
"INVALID_DATE")</f>
        <v>45936</v>
      </c>
      <c r="AB162">
        <f>AA162-Z162</f>
        <v>-2</v>
      </c>
      <c r="AC162" t="str">
        <f>TEXT(Z162,"mmmm")</f>
        <v>October</v>
      </c>
      <c r="AD162">
        <f>YEAR(Z162)</f>
        <v>2025</v>
      </c>
      <c r="AE162" t="str">
        <f t="shared" si="8"/>
        <v>Ship Before Order</v>
      </c>
    </row>
    <row r="163" spans="1:31">
      <c r="A163" t="s">
        <v>898</v>
      </c>
      <c r="B163" t="s">
        <v>899</v>
      </c>
      <c r="C163" t="s">
        <v>900</v>
      </c>
      <c r="D163" t="s">
        <v>901</v>
      </c>
      <c r="E163" t="s">
        <v>68</v>
      </c>
      <c r="F163" t="s">
        <v>902</v>
      </c>
      <c r="G163" t="s">
        <v>80</v>
      </c>
      <c r="H163" t="s">
        <v>35</v>
      </c>
      <c r="I163" t="s">
        <v>142</v>
      </c>
      <c r="J163" t="s">
        <v>37</v>
      </c>
      <c r="K163" t="s">
        <v>205</v>
      </c>
      <c r="L163" t="s">
        <v>903</v>
      </c>
      <c r="M163" t="s">
        <v>74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144</v>
      </c>
      <c r="U163" t="s">
        <v>85</v>
      </c>
      <c r="V163">
        <f>O163*(1-P163)*N163</f>
        <v>1643.41</v>
      </c>
      <c r="W163">
        <f t="shared" si="6"/>
        <v>736.0100000000001</v>
      </c>
      <c r="X163">
        <f t="shared" si="7"/>
        <v>0.4478553738872223</v>
      </c>
      <c r="Y163" t="s">
        <v>4120</v>
      </c>
      <c r="Z163" s="2">
        <f>IFERROR(
  IF(ISNUMBER(B163),B163,
    IF(ISNUMBER(SEARCH("-",B163)*1),
      IF(LEN(LEFT(B163,FIND("-",B163)-1))=4,
        DATE(VALUE(LEFT(B163,4)),VALUE(MID(B163,6,2)),VALUE(RIGHT(B163,2))),
        DATE(VALUE(RIGHT(B163,4)),VALUE(MID(B163,4,2)),VALUE(LEFT(B163,2)))
      ),
      IF(ISNUMBER(SEARCH("/",B163)*1),
        DATE(VALUE(RIGHT(B163,4)),VALUE(LEFT(B163,2)),VALUE(MID(B163,4,2))),
        DATEVALUE(B163)
      )
    )
  ),
"INVALID_DATE")</f>
        <v>45862</v>
      </c>
      <c r="AA163" s="2">
        <f>IFERROR(
  IF(ISNUMBER(C163),C163,
    IF(ISNUMBER(SEARCH("-",C163)*1),
      IF(LEN(LEFT(C163,FIND("-",C163)-1))=4,
        DATE(VALUE(LEFT(C163,4)),VALUE(MID(C163,6,2)),VALUE(RIGHT(C163,2))),
        DATE(VALUE(RIGHT(C163,4)),VALUE(MID(C163,4,2)),VALUE(LEFT(C163,2)))
      ),
      IF(ISNUMBER(SEARCH("/",C163)*1),
        DATE(VALUE(RIGHT(C163,4)),VALUE(LEFT(C163,2)),VALUE(MID(C163,4,2))),
        DATEVALUE(C163)
      )
    )
  ),
"INVALID_DATE")</f>
        <v>45868</v>
      </c>
      <c r="AB163">
        <f>AA163-Z163</f>
        <v>6</v>
      </c>
      <c r="AC163" t="str">
        <f>TEXT(Z163,"mmmm")</f>
        <v>July</v>
      </c>
      <c r="AD163">
        <f>YEAR(Z163)</f>
        <v>2025</v>
      </c>
      <c r="AE163" t="str">
        <f t="shared" si="8"/>
        <v>OK</v>
      </c>
    </row>
    <row r="164" spans="1:31">
      <c r="A164" t="s">
        <v>904</v>
      </c>
      <c r="B164" t="s">
        <v>905</v>
      </c>
      <c r="C164" t="s">
        <v>906</v>
      </c>
      <c r="D164" t="s">
        <v>907</v>
      </c>
      <c r="E164" t="s">
        <v>100</v>
      </c>
      <c r="F164" t="s">
        <v>48</v>
      </c>
      <c r="G164" t="s">
        <v>80</v>
      </c>
      <c r="H164" t="s">
        <v>256</v>
      </c>
      <c r="I164" t="s">
        <v>257</v>
      </c>
      <c r="J164" t="s">
        <v>52</v>
      </c>
      <c r="K164" t="s">
        <v>72</v>
      </c>
      <c r="L164" t="s">
        <v>908</v>
      </c>
      <c r="M164" t="s">
        <v>40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144</v>
      </c>
      <c r="U164" t="s">
        <v>132</v>
      </c>
      <c r="V164">
        <f>O164*(1-P164)*N164</f>
        <v>35782.720000000001</v>
      </c>
      <c r="W164">
        <f t="shared" si="6"/>
        <v>9358.3100000000013</v>
      </c>
      <c r="X164">
        <f t="shared" si="7"/>
        <v>0.25997024247714151</v>
      </c>
      <c r="Y164" t="str">
        <f>_xlfn.TEXTJOIN(", ",TRUE,IF(G164="Unknown","Missing Region",""),IF(M164="Unknown","Missing Ship Mode",""),IF(P164&lt;0,"Negative Discount",""),IF(P164&gt;0.7,"High Discount",""),IF(C164&lt;B164,"Ship Before Order",""))</f>
        <v>Ship Before Order</v>
      </c>
      <c r="Z164" s="2">
        <f>IFERROR(
  IF(ISNUMBER(B164),B164,
    IF(ISNUMBER(SEARCH("-",B164)*1),
      IF(LEN(LEFT(B164,FIND("-",B164)-1))=4,
        DATE(VALUE(LEFT(B164,4)),VALUE(MID(B164,6,2)),VALUE(RIGHT(B164,2))),
        DATE(VALUE(RIGHT(B164,4)),VALUE(MID(B164,4,2)),VALUE(LEFT(B164,2)))
      ),
      IF(ISNUMBER(SEARCH("/",B164)*1),
        DATE(VALUE(RIGHT(B164,4)),VALUE(LEFT(B164,2)),VALUE(MID(B164,4,2))),
        DATEVALUE(B164)
      )
    )
  ),
"INVALID_DATE")</f>
        <v>45360</v>
      </c>
      <c r="AA164" s="2">
        <f>IFERROR(
  IF(ISNUMBER(C164),C164,
    IF(ISNUMBER(SEARCH("-",C164)*1),
      IF(LEN(LEFT(C164,FIND("-",C164)-1))=4,
        DATE(VALUE(LEFT(C164,4)),VALUE(MID(C164,6,2)),VALUE(RIGHT(C164,2))),
        DATE(VALUE(RIGHT(C164,4)),VALUE(MID(C164,4,2)),VALUE(LEFT(C164,2)))
      ),
      IF(ISNUMBER(SEARCH("/",C164)*1),
        DATE(VALUE(RIGHT(C164,4)),VALUE(LEFT(C164,2)),VALUE(MID(C164,4,2))),
        DATEVALUE(C164)
      )
    )
  ),
"INVALID_DATE")</f>
        <v>45365</v>
      </c>
      <c r="AB164">
        <f>AA164-Z164</f>
        <v>5</v>
      </c>
      <c r="AC164" t="str">
        <f>TEXT(Z164,"mmmm")</f>
        <v>March</v>
      </c>
      <c r="AD164">
        <f>YEAR(Z164)</f>
        <v>2024</v>
      </c>
      <c r="AE164" t="str">
        <f t="shared" si="8"/>
        <v>OK</v>
      </c>
    </row>
    <row r="165" spans="1:31">
      <c r="A165" t="s">
        <v>909</v>
      </c>
      <c r="B165" t="s">
        <v>910</v>
      </c>
      <c r="C165" t="s">
        <v>733</v>
      </c>
      <c r="D165" t="s">
        <v>911</v>
      </c>
      <c r="E165" t="s">
        <v>187</v>
      </c>
      <c r="F165" t="s">
        <v>122</v>
      </c>
      <c r="G165" t="s">
        <v>80</v>
      </c>
      <c r="H165" t="s">
        <v>242</v>
      </c>
      <c r="I165" t="s">
        <v>243</v>
      </c>
      <c r="J165" t="s">
        <v>52</v>
      </c>
      <c r="K165" t="s">
        <v>53</v>
      </c>
      <c r="L165" t="s">
        <v>912</v>
      </c>
      <c r="M165" t="s">
        <v>279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144</v>
      </c>
      <c r="U165" t="s">
        <v>132</v>
      </c>
      <c r="V165">
        <f>O165*(1-P165)*N165</f>
        <v>15679.332000000002</v>
      </c>
      <c r="W165">
        <f t="shared" si="6"/>
        <v>3201.5120000000024</v>
      </c>
      <c r="X165">
        <f t="shared" si="7"/>
        <v>0.20418665848604503</v>
      </c>
      <c r="Y165" t="str">
        <f>_xlfn.TEXTJOIN(", ",TRUE,IF(G165="Unknown","Missing Region",""),IF(M165="Unknown","Missing Ship Mode",""),IF(P165&lt;0,"Negative Discount",""),IF(P165&gt;0.7,"High Discount",""),IF(C165&lt;B165,"Ship Before Order",""))</f>
        <v>Missing Ship Mode</v>
      </c>
      <c r="Z165" s="2">
        <f>IFERROR(
  IF(ISNUMBER(B165),B165,
    IF(ISNUMBER(SEARCH("-",B165)*1),
      IF(LEN(LEFT(B165,FIND("-",B165)-1))=4,
        DATE(VALUE(LEFT(B165,4)),VALUE(MID(B165,6,2)),VALUE(RIGHT(B165,2))),
        DATE(VALUE(RIGHT(B165,4)),VALUE(MID(B165,4,2)),VALUE(LEFT(B165,2)))
      ),
      IF(ISNUMBER(SEARCH("/",B165)*1),
        DATE(VALUE(RIGHT(B165,4)),VALUE(LEFT(B165,2)),VALUE(MID(B165,4,2))),
        DATEVALUE(B165)
      )
    )
  ),
"INVALID_DATE")</f>
        <v>45921</v>
      </c>
      <c r="AA165" s="2">
        <f>IFERROR(
  IF(ISNUMBER(C165),C165,
    IF(ISNUMBER(SEARCH("-",C165)*1),
      IF(LEN(LEFT(C165,FIND("-",C165)-1))=4,
        DATE(VALUE(LEFT(C165,4)),VALUE(MID(C165,6,2)),VALUE(RIGHT(C165,2))),
        DATE(VALUE(RIGHT(C165,4)),VALUE(MID(C165,4,2)),VALUE(LEFT(C165,2)))
      ),
      IF(ISNUMBER(SEARCH("/",C165)*1),
        DATE(VALUE(RIGHT(C165,4)),VALUE(LEFT(C165,2)),VALUE(MID(C165,4,2))),
        DATEVALUE(C165)
      )
    )
  ),
"INVALID_DATE")</f>
        <v>45926</v>
      </c>
      <c r="AB165">
        <f>AA165-Z165</f>
        <v>5</v>
      </c>
      <c r="AC165" t="str">
        <f>TEXT(Z165,"mmmm")</f>
        <v>September</v>
      </c>
      <c r="AD165">
        <f>YEAR(Z165)</f>
        <v>2025</v>
      </c>
      <c r="AE165" t="str">
        <f t="shared" si="8"/>
        <v>OK</v>
      </c>
    </row>
    <row r="166" spans="1:31">
      <c r="A166" t="s">
        <v>913</v>
      </c>
      <c r="B166" t="s">
        <v>914</v>
      </c>
      <c r="C166" t="s">
        <v>915</v>
      </c>
      <c r="D166" t="s">
        <v>916</v>
      </c>
      <c r="E166" t="s">
        <v>155</v>
      </c>
      <c r="F166" t="s">
        <v>48</v>
      </c>
      <c r="G166" t="s">
        <v>49</v>
      </c>
      <c r="H166" t="s">
        <v>128</v>
      </c>
      <c r="I166" t="s">
        <v>129</v>
      </c>
      <c r="J166" t="s">
        <v>52</v>
      </c>
      <c r="K166" t="s">
        <v>211</v>
      </c>
      <c r="L166" t="s">
        <v>917</v>
      </c>
      <c r="M166" t="s">
        <v>40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41</v>
      </c>
      <c r="U166" t="s">
        <v>42</v>
      </c>
      <c r="V166">
        <f>O166*(1-P166)*N166</f>
        <v>2365.8150000000001</v>
      </c>
      <c r="W166">
        <f t="shared" si="6"/>
        <v>817.82500000000005</v>
      </c>
      <c r="X166">
        <f t="shared" si="7"/>
        <v>0.34568563965136823</v>
      </c>
      <c r="Y166" t="s">
        <v>4120</v>
      </c>
      <c r="Z166" s="2">
        <f>IFERROR(
  IF(ISNUMBER(B166),B166,
    IF(ISNUMBER(SEARCH("-",B166)*1),
      IF(LEN(LEFT(B166,FIND("-",B166)-1))=4,
        DATE(VALUE(LEFT(B166,4)),VALUE(MID(B166,6,2)),VALUE(RIGHT(B166,2))),
        DATE(VALUE(RIGHT(B166,4)),VALUE(MID(B166,4,2)),VALUE(LEFT(B166,2)))
      ),
      IF(ISNUMBER(SEARCH("/",B166)*1),
        DATE(VALUE(RIGHT(B166,4)),VALUE(LEFT(B166,2)),VALUE(MID(B166,4,2))),
        DATEVALUE(B166)
      )
    )
  ),
"INVALID_DATE")</f>
        <v>45909</v>
      </c>
      <c r="AA166" s="2">
        <f>IFERROR(
  IF(ISNUMBER(C166),C166,
    IF(ISNUMBER(SEARCH("-",C166)*1),
      IF(LEN(LEFT(C166,FIND("-",C166)-1))=4,
        DATE(VALUE(LEFT(C166,4)),VALUE(MID(C166,6,2)),VALUE(RIGHT(C166,2))),
        DATE(VALUE(RIGHT(C166,4)),VALUE(MID(C166,4,2)),VALUE(LEFT(C166,2)))
      ),
      IF(ISNUMBER(SEARCH("/",C166)*1),
        DATE(VALUE(RIGHT(C166,4)),VALUE(LEFT(C166,2)),VALUE(MID(C166,4,2))),
        DATEVALUE(C166)
      )
    )
  ),
"INVALID_DATE")</f>
        <v>45914</v>
      </c>
      <c r="AB166">
        <f>AA166-Z166</f>
        <v>5</v>
      </c>
      <c r="AC166" t="str">
        <f>TEXT(Z166,"mmmm")</f>
        <v>September</v>
      </c>
      <c r="AD166">
        <f>YEAR(Z166)</f>
        <v>2025</v>
      </c>
      <c r="AE166" t="str">
        <f t="shared" si="8"/>
        <v>OK</v>
      </c>
    </row>
    <row r="167" spans="1:31">
      <c r="A167" t="s">
        <v>918</v>
      </c>
      <c r="B167" t="s">
        <v>919</v>
      </c>
      <c r="C167" t="s">
        <v>920</v>
      </c>
      <c r="D167" t="s">
        <v>921</v>
      </c>
      <c r="E167" t="s">
        <v>47</v>
      </c>
      <c r="F167" t="s">
        <v>122</v>
      </c>
      <c r="G167" t="s">
        <v>49</v>
      </c>
      <c r="H167" t="s">
        <v>193</v>
      </c>
      <c r="I167" t="s">
        <v>194</v>
      </c>
      <c r="J167" t="s">
        <v>52</v>
      </c>
      <c r="K167" t="s">
        <v>83</v>
      </c>
      <c r="L167" t="s">
        <v>922</v>
      </c>
      <c r="M167" t="s">
        <v>74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41</v>
      </c>
      <c r="U167" t="s">
        <v>42</v>
      </c>
      <c r="V167">
        <f>O167*(1-P167)*N167</f>
        <v>10268.969999999999</v>
      </c>
      <c r="W167">
        <f t="shared" si="6"/>
        <v>3798.0499999999993</v>
      </c>
      <c r="X167">
        <f t="shared" si="7"/>
        <v>0.36985695741637187</v>
      </c>
      <c r="Y167" t="s">
        <v>4120</v>
      </c>
      <c r="Z167" s="2">
        <f>IFERROR(
  IF(ISNUMBER(B167),B167,
    IF(ISNUMBER(SEARCH("-",B167)*1),
      IF(LEN(LEFT(B167,FIND("-",B167)-1))=4,
        DATE(VALUE(LEFT(B167,4)),VALUE(MID(B167,6,2)),VALUE(RIGHT(B167,2))),
        DATE(VALUE(RIGHT(B167,4)),VALUE(MID(B167,4,2)),VALUE(LEFT(B167,2)))
      ),
      IF(ISNUMBER(SEARCH("/",B167)*1),
        DATE(VALUE(RIGHT(B167,4)),VALUE(LEFT(B167,2)),VALUE(MID(B167,4,2))),
        DATEVALUE(B167)
      )
    )
  ),
"INVALID_DATE")</f>
        <v>45618</v>
      </c>
      <c r="AA167" s="2">
        <f>IFERROR(
  IF(ISNUMBER(C167),C167,
    IF(ISNUMBER(SEARCH("-",C167)*1),
      IF(LEN(LEFT(C167,FIND("-",C167)-1))=4,
        DATE(VALUE(LEFT(C167,4)),VALUE(MID(C167,6,2)),VALUE(RIGHT(C167,2))),
        DATE(VALUE(RIGHT(C167,4)),VALUE(MID(C167,4,2)),VALUE(LEFT(C167,2)))
      ),
      IF(ISNUMBER(SEARCH("/",C167)*1),
        DATE(VALUE(RIGHT(C167,4)),VALUE(LEFT(C167,2)),VALUE(MID(C167,4,2))),
        DATEVALUE(C167)
      )
    )
  ),
"INVALID_DATE")</f>
        <v>45625</v>
      </c>
      <c r="AB167">
        <f>AA167-Z167</f>
        <v>7</v>
      </c>
      <c r="AC167" t="str">
        <f>TEXT(Z167,"mmmm")</f>
        <v>November</v>
      </c>
      <c r="AD167">
        <f>YEAR(Z167)</f>
        <v>2024</v>
      </c>
      <c r="AE167" t="str">
        <f t="shared" si="8"/>
        <v>OK</v>
      </c>
    </row>
    <row r="168" spans="1:31">
      <c r="A168" t="s">
        <v>923</v>
      </c>
      <c r="B168" t="s">
        <v>924</v>
      </c>
      <c r="C168" t="s">
        <v>105</v>
      </c>
      <c r="D168" t="s">
        <v>925</v>
      </c>
      <c r="E168" t="s">
        <v>32</v>
      </c>
      <c r="F168" t="s">
        <v>48</v>
      </c>
      <c r="G168" t="s">
        <v>80</v>
      </c>
      <c r="H168" t="s">
        <v>242</v>
      </c>
      <c r="I168" t="s">
        <v>243</v>
      </c>
      <c r="J168" t="s">
        <v>926</v>
      </c>
      <c r="K168" t="s">
        <v>116</v>
      </c>
      <c r="L168" t="s">
        <v>927</v>
      </c>
      <c r="M168" t="s">
        <v>63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41</v>
      </c>
      <c r="U168" t="s">
        <v>42</v>
      </c>
      <c r="V168">
        <f>O168*(1-P168)*N168</f>
        <v>2046.28</v>
      </c>
      <c r="W168">
        <f t="shared" si="6"/>
        <v>596.74</v>
      </c>
      <c r="X168">
        <f t="shared" si="7"/>
        <v>0.29162186992982386</v>
      </c>
      <c r="Y168" t="s">
        <v>4120</v>
      </c>
      <c r="Z168" s="2">
        <f>IFERROR(
  IF(ISNUMBER(B168),B168,
    IF(ISNUMBER(SEARCH("-",B168)*1),
      IF(LEN(LEFT(B168,FIND("-",B168)-1))=4,
        DATE(VALUE(LEFT(B168,4)),VALUE(MID(B168,6,2)),VALUE(RIGHT(B168,2))),
        DATE(VALUE(RIGHT(B168,4)),VALUE(MID(B168,4,2)),VALUE(LEFT(B168,2)))
      ),
      IF(ISNUMBER(SEARCH("/",B168)*1),
        DATE(VALUE(RIGHT(B168,4)),VALUE(LEFT(B168,2)),VALUE(MID(B168,4,2))),
        DATEVALUE(B168)
      )
    )
  ),
"INVALID_DATE")</f>
        <v>45708</v>
      </c>
      <c r="AA168" s="2">
        <f>IFERROR(
  IF(ISNUMBER(C168),C168,
    IF(ISNUMBER(SEARCH("-",C168)*1),
      IF(LEN(LEFT(C168,FIND("-",C168)-1))=4,
        DATE(VALUE(LEFT(C168,4)),VALUE(MID(C168,6,2)),VALUE(RIGHT(C168,2))),
        DATE(VALUE(RIGHT(C168,4)),VALUE(MID(C168,4,2)),VALUE(LEFT(C168,2)))
      ),
      IF(ISNUMBER(SEARCH("/",C168)*1),
        DATE(VALUE(RIGHT(C168,4)),VALUE(LEFT(C168,2)),VALUE(MID(C168,4,2))),
        DATEVALUE(C168)
      )
    )
  ),
"INVALID_DATE")</f>
        <v>45714</v>
      </c>
      <c r="AB168">
        <f>AA168-Z168</f>
        <v>6</v>
      </c>
      <c r="AC168" t="str">
        <f>TEXT(Z168,"mmmm")</f>
        <v>February</v>
      </c>
      <c r="AD168">
        <f>YEAR(Z168)</f>
        <v>2025</v>
      </c>
      <c r="AE168" t="str">
        <f t="shared" si="8"/>
        <v>OK</v>
      </c>
    </row>
    <row r="169" spans="1:31">
      <c r="A169" t="s">
        <v>928</v>
      </c>
      <c r="B169" t="s">
        <v>929</v>
      </c>
      <c r="C169" t="s">
        <v>930</v>
      </c>
      <c r="D169" t="s">
        <v>931</v>
      </c>
      <c r="E169" t="s">
        <v>68</v>
      </c>
      <c r="F169" t="s">
        <v>122</v>
      </c>
      <c r="G169" t="s">
        <v>69</v>
      </c>
      <c r="H169" t="s">
        <v>236</v>
      </c>
      <c r="I169" t="s">
        <v>237</v>
      </c>
      <c r="J169" t="s">
        <v>37</v>
      </c>
      <c r="K169" t="s">
        <v>163</v>
      </c>
      <c r="L169" t="s">
        <v>932</v>
      </c>
      <c r="M169" t="s">
        <v>63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41</v>
      </c>
      <c r="U169" t="s">
        <v>132</v>
      </c>
      <c r="V169">
        <f>O169*(1-P169)*N169</f>
        <v>23186.614499999996</v>
      </c>
      <c r="W169">
        <f t="shared" si="6"/>
        <v>5280.0744999999952</v>
      </c>
      <c r="X169">
        <f t="shared" si="7"/>
        <v>0.22772065429142077</v>
      </c>
      <c r="Y169" t="str">
        <f>_xlfn.TEXTJOIN(", ",TRUE,IF(G169="Unknown","Missing Region",""),IF(M169="Unknown","Missing Ship Mode",""),IF(P169&lt;0,"Negative Discount",""),IF(P169&gt;0.7,"High Discount",""),IF(C169&lt;B169,"Ship Before Order",""))</f>
        <v>Ship Before Order</v>
      </c>
      <c r="Z169" s="2">
        <f>IFERROR(
  IF(ISNUMBER(B169),B169,
    IF(ISNUMBER(SEARCH("-",B169)*1),
      IF(LEN(LEFT(B169,FIND("-",B169)-1))=4,
        DATE(VALUE(LEFT(B169,4)),VALUE(MID(B169,6,2)),VALUE(RIGHT(B169,2))),
        DATE(VALUE(RIGHT(B169,4)),VALUE(MID(B169,4,2)),VALUE(LEFT(B169,2)))
      ),
      IF(ISNUMBER(SEARCH("/",B169)*1),
        DATE(VALUE(RIGHT(B169,4)),VALUE(LEFT(B169,2)),VALUE(MID(B169,4,2))),
        DATEVALUE(B169)
      )
    )
  ),
"INVALID_DATE")</f>
        <v>45887</v>
      </c>
      <c r="AA169" s="2">
        <f>IFERROR(
  IF(ISNUMBER(C169),C169,
    IF(ISNUMBER(SEARCH("-",C169)*1),
      IF(LEN(LEFT(C169,FIND("-",C169)-1))=4,
        DATE(VALUE(LEFT(C169,4)),VALUE(MID(C169,6,2)),VALUE(RIGHT(C169,2))),
        DATE(VALUE(RIGHT(C169,4)),VALUE(MID(C169,4,2)),VALUE(LEFT(C169,2)))
      ),
      IF(ISNUMBER(SEARCH("/",C169)*1),
        DATE(VALUE(RIGHT(C169,4)),VALUE(LEFT(C169,2)),VALUE(MID(C169,4,2))),
        DATEVALUE(C169)
      )
    )
  ),
"INVALID_DATE")</f>
        <v>45887</v>
      </c>
      <c r="AB169">
        <f>AA169-Z169</f>
        <v>0</v>
      </c>
      <c r="AC169" t="str">
        <f>TEXT(Z169,"mmmm")</f>
        <v>August</v>
      </c>
      <c r="AD169">
        <f>YEAR(Z169)</f>
        <v>2025</v>
      </c>
      <c r="AE169" t="str">
        <f t="shared" si="8"/>
        <v>OK</v>
      </c>
    </row>
    <row r="170" spans="1:31">
      <c r="A170" t="s">
        <v>933</v>
      </c>
      <c r="B170" t="s">
        <v>934</v>
      </c>
      <c r="C170" t="s">
        <v>191</v>
      </c>
      <c r="D170" t="s">
        <v>935</v>
      </c>
      <c r="E170" t="s">
        <v>374</v>
      </c>
      <c r="F170" t="s">
        <v>33</v>
      </c>
      <c r="G170" t="s">
        <v>80</v>
      </c>
      <c r="H170" t="s">
        <v>81</v>
      </c>
      <c r="I170" t="s">
        <v>82</v>
      </c>
      <c r="J170" t="s">
        <v>93</v>
      </c>
      <c r="K170" t="s">
        <v>94</v>
      </c>
      <c r="L170" t="s">
        <v>936</v>
      </c>
      <c r="M170" t="s">
        <v>55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41</v>
      </c>
      <c r="U170" t="s">
        <v>85</v>
      </c>
      <c r="V170">
        <f>O170*(1-P170)*N170</f>
        <v>2557.08</v>
      </c>
      <c r="W170">
        <f t="shared" si="6"/>
        <v>531.38999999999987</v>
      </c>
      <c r="X170">
        <f t="shared" si="7"/>
        <v>0.20781125346097892</v>
      </c>
      <c r="Y170" t="s">
        <v>4120</v>
      </c>
      <c r="Z170" s="2">
        <f>IFERROR(
  IF(ISNUMBER(B170),B170,
    IF(ISNUMBER(SEARCH("-",B170)*1),
      IF(LEN(LEFT(B170,FIND("-",B170)-1))=4,
        DATE(VALUE(LEFT(B170,4)),VALUE(MID(B170,6,2)),VALUE(RIGHT(B170,2))),
        DATE(VALUE(RIGHT(B170,4)),VALUE(MID(B170,4,2)),VALUE(LEFT(B170,2)))
      ),
      IF(ISNUMBER(SEARCH("/",B170)*1),
        DATE(VALUE(RIGHT(B170,4)),VALUE(LEFT(B170,2)),VALUE(MID(B170,4,2))),
        DATEVALUE(B170)
      )
    )
  ),
"INVALID_DATE")</f>
        <v>45677</v>
      </c>
      <c r="AA170" s="2">
        <f>IFERROR(
  IF(ISNUMBER(C170),C170,
    IF(ISNUMBER(SEARCH("-",C170)*1),
      IF(LEN(LEFT(C170,FIND("-",C170)-1))=4,
        DATE(VALUE(LEFT(C170,4)),VALUE(MID(C170,6,2)),VALUE(RIGHT(C170,2))),
        DATE(VALUE(RIGHT(C170,4)),VALUE(MID(C170,4,2)),VALUE(LEFT(C170,2)))
      ),
      IF(ISNUMBER(SEARCH("/",C170)*1),
        DATE(VALUE(RIGHT(C170,4)),VALUE(LEFT(C170,2)),VALUE(MID(C170,4,2))),
        DATEVALUE(C170)
      )
    )
  ),
"INVALID_DATE")</f>
        <v>45680</v>
      </c>
      <c r="AB170">
        <f>AA170-Z170</f>
        <v>3</v>
      </c>
      <c r="AC170" t="str">
        <f>TEXT(Z170,"mmmm")</f>
        <v>January</v>
      </c>
      <c r="AD170">
        <f>YEAR(Z170)</f>
        <v>2025</v>
      </c>
      <c r="AE170" t="str">
        <f t="shared" si="8"/>
        <v>OK</v>
      </c>
    </row>
    <row r="171" spans="1:31">
      <c r="A171" t="s">
        <v>937</v>
      </c>
      <c r="B171" t="s">
        <v>938</v>
      </c>
      <c r="C171" t="s">
        <v>939</v>
      </c>
      <c r="D171" t="s">
        <v>940</v>
      </c>
      <c r="E171" t="s">
        <v>217</v>
      </c>
      <c r="F171" t="s">
        <v>33</v>
      </c>
      <c r="G171" t="s">
        <v>49</v>
      </c>
      <c r="H171" t="s">
        <v>223</v>
      </c>
      <c r="I171" t="s">
        <v>224</v>
      </c>
      <c r="J171" t="s">
        <v>37</v>
      </c>
      <c r="K171" t="s">
        <v>61</v>
      </c>
      <c r="L171" t="s">
        <v>941</v>
      </c>
      <c r="M171" t="s">
        <v>74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144</v>
      </c>
      <c r="U171" t="s">
        <v>132</v>
      </c>
      <c r="V171">
        <f>O171*(1-P171)*N171</f>
        <v>5577.6399999999994</v>
      </c>
      <c r="W171">
        <f t="shared" si="6"/>
        <v>2036.3499999999995</v>
      </c>
      <c r="X171">
        <f t="shared" si="7"/>
        <v>0.36509168752375554</v>
      </c>
      <c r="Y171" t="str">
        <f>_xlfn.TEXTJOIN(", ",TRUE,IF(G171="Unknown","Missing Region",""),IF(M171="Unknown","Missing Ship Mode",""),IF(P171&lt;0,"Negative Discount",""),IF(P171&gt;0.7,"High Discount",""),IF(C171&lt;B171,"Ship Before Order",""))</f>
        <v>Ship Before Order</v>
      </c>
      <c r="Z171" s="2">
        <f>IFERROR(
  IF(ISNUMBER(B171),B171,
    IF(ISNUMBER(SEARCH("-",B171)*1),
      IF(LEN(LEFT(B171,FIND("-",B171)-1))=4,
        DATE(VALUE(LEFT(B171,4)),VALUE(MID(B171,6,2)),VALUE(RIGHT(B171,2))),
        DATE(VALUE(RIGHT(B171,4)),VALUE(MID(B171,4,2)),VALUE(LEFT(B171,2)))
      ),
      IF(ISNUMBER(SEARCH("/",B171)*1),
        DATE(VALUE(RIGHT(B171,4)),VALUE(LEFT(B171,2)),VALUE(MID(B171,4,2))),
        DATEVALUE(B171)
      )
    )
  ),
"INVALID_DATE")</f>
        <v>45913</v>
      </c>
      <c r="AA171" s="2">
        <f>IFERROR(
  IF(ISNUMBER(C171),C171,
    IF(ISNUMBER(SEARCH("-",C171)*1),
      IF(LEN(LEFT(C171,FIND("-",C171)-1))=4,
        DATE(VALUE(LEFT(C171,4)),VALUE(MID(C171,6,2)),VALUE(RIGHT(C171,2))),
        DATE(VALUE(RIGHT(C171,4)),VALUE(MID(C171,4,2)),VALUE(LEFT(C171,2)))
      ),
      IF(ISNUMBER(SEARCH("/",C171)*1),
        DATE(VALUE(RIGHT(C171,4)),VALUE(LEFT(C171,2)),VALUE(MID(C171,4,2))),
        DATEVALUE(C171)
      )
    )
  ),
"INVALID_DATE")</f>
        <v>45913</v>
      </c>
      <c r="AB171">
        <f>AA171-Z171</f>
        <v>0</v>
      </c>
      <c r="AC171" t="str">
        <f>TEXT(Z171,"mmmm")</f>
        <v>September</v>
      </c>
      <c r="AD171">
        <f>YEAR(Z171)</f>
        <v>2025</v>
      </c>
      <c r="AE171" t="str">
        <f t="shared" si="8"/>
        <v>OK</v>
      </c>
    </row>
    <row r="172" spans="1:31">
      <c r="A172" t="s">
        <v>942</v>
      </c>
      <c r="B172" t="s">
        <v>119</v>
      </c>
      <c r="C172" t="s">
        <v>943</v>
      </c>
      <c r="D172" t="s">
        <v>944</v>
      </c>
      <c r="E172" t="s">
        <v>187</v>
      </c>
      <c r="F172" t="s">
        <v>115</v>
      </c>
      <c r="G172" t="s">
        <v>49</v>
      </c>
      <c r="H172" t="s">
        <v>193</v>
      </c>
      <c r="I172" t="s">
        <v>194</v>
      </c>
      <c r="J172" t="s">
        <v>93</v>
      </c>
      <c r="K172" t="s">
        <v>101</v>
      </c>
      <c r="L172" t="s">
        <v>945</v>
      </c>
      <c r="M172" t="s">
        <v>74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41</v>
      </c>
      <c r="U172" t="s">
        <v>42</v>
      </c>
      <c r="V172">
        <f>O172*(1-P172)*N172</f>
        <v>5133.96</v>
      </c>
      <c r="W172">
        <f t="shared" si="6"/>
        <v>1203.96</v>
      </c>
      <c r="X172">
        <f t="shared" si="7"/>
        <v>0.23450903396208775</v>
      </c>
      <c r="Y172" t="s">
        <v>4120</v>
      </c>
      <c r="Z172" s="2">
        <f>IFERROR(
  IF(ISNUMBER(B172),B172,
    IF(ISNUMBER(SEARCH("-",B172)*1),
      IF(LEN(LEFT(B172,FIND("-",B172)-1))=4,
        DATE(VALUE(LEFT(B172,4)),VALUE(MID(B172,6,2)),VALUE(RIGHT(B172,2))),
        DATE(VALUE(RIGHT(B172,4)),VALUE(MID(B172,4,2)),VALUE(LEFT(B172,2)))
      ),
      IF(ISNUMBER(SEARCH("/",B172)*1),
        DATE(VALUE(RIGHT(B172,4)),VALUE(LEFT(B172,2)),VALUE(MID(B172,4,2))),
        DATEVALUE(B172)
      )
    )
  ),
"INVALID_DATE")</f>
        <v>45907</v>
      </c>
      <c r="AA172" s="2">
        <f>IFERROR(
  IF(ISNUMBER(C172),C172,
    IF(ISNUMBER(SEARCH("-",C172)*1),
      IF(LEN(LEFT(C172,FIND("-",C172)-1))=4,
        DATE(VALUE(LEFT(C172,4)),VALUE(MID(C172,6,2)),VALUE(RIGHT(C172,2))),
        DATE(VALUE(RIGHT(C172,4)),VALUE(MID(C172,4,2)),VALUE(LEFT(C172,2)))
      ),
      IF(ISNUMBER(SEARCH("/",C172)*1),
        DATE(VALUE(RIGHT(C172,4)),VALUE(LEFT(C172,2)),VALUE(MID(C172,4,2))),
        DATEVALUE(C172)
      )
    )
  ),
"INVALID_DATE")</f>
        <v>45915</v>
      </c>
      <c r="AB172">
        <f>AA172-Z172</f>
        <v>8</v>
      </c>
      <c r="AC172" t="str">
        <f>TEXT(Z172,"mmmm")</f>
        <v>September</v>
      </c>
      <c r="AD172">
        <f>YEAR(Z172)</f>
        <v>2025</v>
      </c>
      <c r="AE172" t="str">
        <f t="shared" si="8"/>
        <v>OK</v>
      </c>
    </row>
    <row r="173" spans="1:31">
      <c r="A173" t="s">
        <v>946</v>
      </c>
      <c r="B173" t="s">
        <v>104</v>
      </c>
      <c r="C173" t="s">
        <v>947</v>
      </c>
      <c r="D173" t="s">
        <v>948</v>
      </c>
      <c r="E173" t="s">
        <v>32</v>
      </c>
      <c r="F173" t="s">
        <v>115</v>
      </c>
      <c r="G173" t="s">
        <v>49</v>
      </c>
      <c r="H173" t="s">
        <v>193</v>
      </c>
      <c r="I173" t="s">
        <v>194</v>
      </c>
      <c r="J173" t="s">
        <v>37</v>
      </c>
      <c r="K173" t="s">
        <v>116</v>
      </c>
      <c r="L173" t="s">
        <v>949</v>
      </c>
      <c r="M173" t="s">
        <v>55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41</v>
      </c>
      <c r="U173" t="s">
        <v>42</v>
      </c>
      <c r="V173">
        <f>O173*(1-P173)*N173</f>
        <v>15923.512500000001</v>
      </c>
      <c r="W173">
        <f t="shared" si="6"/>
        <v>4631.7125000000015</v>
      </c>
      <c r="X173">
        <f t="shared" si="7"/>
        <v>0.29087242699630922</v>
      </c>
      <c r="Y173" t="str">
        <f>_xlfn.TEXTJOIN(", ",TRUE,IF(G173="Unknown","Missing Region",""),IF(M173="Unknown","Missing Ship Mode",""),IF(P173&lt;0,"Negative Discount",""),IF(P173&gt;0.7,"High Discount",""),IF(C173&lt;B173,"Ship Before Order",""))</f>
        <v>Ship Before Order</v>
      </c>
      <c r="Z173" s="2">
        <f>IFERROR(
  IF(ISNUMBER(B173),B173,
    IF(ISNUMBER(SEARCH("-",B173)*1),
      IF(LEN(LEFT(B173,FIND("-",B173)-1))=4,
        DATE(VALUE(LEFT(B173,4)),VALUE(MID(B173,6,2)),VALUE(RIGHT(B173,2))),
        DATE(VALUE(RIGHT(B173,4)),VALUE(MID(B173,4,2)),VALUE(LEFT(B173,2)))
      ),
      IF(ISNUMBER(SEARCH("/",B173)*1),
        DATE(VALUE(RIGHT(B173,4)),VALUE(LEFT(B173,2)),VALUE(MID(B173,4,2))),
        DATEVALUE(B173)
      )
    )
  ),
"INVALID_DATE")</f>
        <v>45711</v>
      </c>
      <c r="AA173" s="2">
        <f>IFERROR(
  IF(ISNUMBER(C173),C173,
    IF(ISNUMBER(SEARCH("-",C173)*1),
      IF(LEN(LEFT(C173,FIND("-",C173)-1))=4,
        DATE(VALUE(LEFT(C173,4)),VALUE(MID(C173,6,2)),VALUE(RIGHT(C173,2))),
        DATE(VALUE(RIGHT(C173,4)),VALUE(MID(C173,4,2)),VALUE(LEFT(C173,2)))
      ),
      IF(ISNUMBER(SEARCH("/",C173)*1),
        DATE(VALUE(RIGHT(C173,4)),VALUE(LEFT(C173,2)),VALUE(MID(C173,4,2))),
        DATEVALUE(C173)
      )
    )
  ),
"INVALID_DATE")</f>
        <v>45713</v>
      </c>
      <c r="AB173">
        <f>AA173-Z173</f>
        <v>2</v>
      </c>
      <c r="AC173" t="str">
        <f>TEXT(Z173,"mmmm")</f>
        <v>February</v>
      </c>
      <c r="AD173">
        <f>YEAR(Z173)</f>
        <v>2025</v>
      </c>
      <c r="AE173" t="str">
        <f t="shared" si="8"/>
        <v>OK</v>
      </c>
    </row>
    <row r="174" spans="1:31">
      <c r="A174" t="s">
        <v>950</v>
      </c>
      <c r="B174" t="s">
        <v>951</v>
      </c>
      <c r="C174" t="s">
        <v>952</v>
      </c>
      <c r="D174" t="s">
        <v>953</v>
      </c>
      <c r="E174" t="s">
        <v>32</v>
      </c>
      <c r="F174" t="s">
        <v>115</v>
      </c>
      <c r="G174" t="s">
        <v>34</v>
      </c>
      <c r="H174" t="s">
        <v>514</v>
      </c>
      <c r="I174" t="s">
        <v>515</v>
      </c>
      <c r="J174" t="s">
        <v>52</v>
      </c>
      <c r="K174" t="s">
        <v>72</v>
      </c>
      <c r="L174" t="s">
        <v>954</v>
      </c>
      <c r="M174" t="s">
        <v>55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131</v>
      </c>
      <c r="U174" t="s">
        <v>132</v>
      </c>
      <c r="V174">
        <f>O174*(1-P174)*N174</f>
        <v>23997.222000000002</v>
      </c>
      <c r="W174">
        <f t="shared" si="6"/>
        <v>7862.5920000000024</v>
      </c>
      <c r="X174">
        <f t="shared" si="7"/>
        <v>0.32764586897982351</v>
      </c>
      <c r="Y174" t="s">
        <v>4120</v>
      </c>
      <c r="Z174" s="2">
        <f>IFERROR(
  IF(ISNUMBER(B174),B174,
    IF(ISNUMBER(SEARCH("-",B174)*1),
      IF(LEN(LEFT(B174,FIND("-",B174)-1))=4,
        DATE(VALUE(LEFT(B174,4)),VALUE(MID(B174,6,2)),VALUE(RIGHT(B174,2))),
        DATE(VALUE(RIGHT(B174,4)),VALUE(MID(B174,4,2)),VALUE(LEFT(B174,2)))
      ),
      IF(ISNUMBER(SEARCH("/",B174)*1),
        DATE(VALUE(RIGHT(B174,4)),VALUE(LEFT(B174,2)),VALUE(MID(B174,4,2))),
        DATEVALUE(B174)
      )
    )
  ),
"INVALID_DATE")</f>
        <v>45871</v>
      </c>
      <c r="AA174" s="2">
        <f>IFERROR(
  IF(ISNUMBER(C174),C174,
    IF(ISNUMBER(SEARCH("-",C174)*1),
      IF(LEN(LEFT(C174,FIND("-",C174)-1))=4,
        DATE(VALUE(LEFT(C174,4)),VALUE(MID(C174,6,2)),VALUE(RIGHT(C174,2))),
        DATE(VALUE(RIGHT(C174,4)),VALUE(MID(C174,4,2)),VALUE(LEFT(C174,2)))
      ),
      IF(ISNUMBER(SEARCH("/",C174)*1),
        DATE(VALUE(RIGHT(C174,4)),VALUE(LEFT(C174,2)),VALUE(MID(C174,4,2))),
        DATEVALUE(C174)
      )
    )
  ),
"INVALID_DATE")</f>
        <v>45879</v>
      </c>
      <c r="AB174">
        <f>AA174-Z174</f>
        <v>8</v>
      </c>
      <c r="AC174" t="str">
        <f>TEXT(Z174,"mmmm")</f>
        <v>August</v>
      </c>
      <c r="AD174">
        <f>YEAR(Z174)</f>
        <v>2025</v>
      </c>
      <c r="AE174" t="str">
        <f t="shared" si="8"/>
        <v>OK</v>
      </c>
    </row>
    <row r="175" spans="1:31">
      <c r="A175" t="s">
        <v>955</v>
      </c>
      <c r="B175" t="s">
        <v>956</v>
      </c>
      <c r="C175" t="s">
        <v>957</v>
      </c>
      <c r="D175" t="s">
        <v>958</v>
      </c>
      <c r="E175" t="s">
        <v>959</v>
      </c>
      <c r="F175" t="s">
        <v>122</v>
      </c>
      <c r="G175" t="s">
        <v>34</v>
      </c>
      <c r="H175" t="s">
        <v>161</v>
      </c>
      <c r="I175" t="s">
        <v>162</v>
      </c>
      <c r="J175" t="s">
        <v>93</v>
      </c>
      <c r="K175" t="s">
        <v>101</v>
      </c>
      <c r="L175" t="s">
        <v>960</v>
      </c>
      <c r="M175" t="s">
        <v>40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41</v>
      </c>
      <c r="U175" t="s">
        <v>42</v>
      </c>
      <c r="V175">
        <f>O175*(1-P175)*N175</f>
        <v>1734.1875</v>
      </c>
      <c r="W175">
        <f t="shared" si="6"/>
        <v>348.11750000000006</v>
      </c>
      <c r="X175">
        <f t="shared" si="7"/>
        <v>0.20073925002450713</v>
      </c>
      <c r="Y175" t="s">
        <v>4120</v>
      </c>
      <c r="Z175" s="2">
        <f>IFERROR(
  IF(ISNUMBER(B175),B175,
    IF(ISNUMBER(SEARCH("-",B175)*1),
      IF(LEN(LEFT(B175,FIND("-",B175)-1))=4,
        DATE(VALUE(LEFT(B175,4)),VALUE(MID(B175,6,2)),VALUE(RIGHT(B175,2))),
        DATE(VALUE(RIGHT(B175,4)),VALUE(MID(B175,4,2)),VALUE(LEFT(B175,2)))
      ),
      IF(ISNUMBER(SEARCH("/",B175)*1),
        DATE(VALUE(RIGHT(B175,4)),VALUE(LEFT(B175,2)),VALUE(MID(B175,4,2))),
        DATEVALUE(B175)
      )
    )
  ),
"INVALID_DATE")</f>
        <v>45414</v>
      </c>
      <c r="AA175" s="2">
        <f>IFERROR(
  IF(ISNUMBER(C175),C175,
    IF(ISNUMBER(SEARCH("-",C175)*1),
      IF(LEN(LEFT(C175,FIND("-",C175)-1))=4,
        DATE(VALUE(LEFT(C175,4)),VALUE(MID(C175,6,2)),VALUE(RIGHT(C175,2))),
        DATE(VALUE(RIGHT(C175,4)),VALUE(MID(C175,4,2)),VALUE(LEFT(C175,2)))
      ),
      IF(ISNUMBER(SEARCH("/",C175)*1),
        DATE(VALUE(RIGHT(C175,4)),VALUE(LEFT(C175,2)),VALUE(MID(C175,4,2))),
        DATEVALUE(C175)
      )
    )
  ),
"INVALID_DATE")</f>
        <v>45420</v>
      </c>
      <c r="AB175">
        <f>AA175-Z175</f>
        <v>6</v>
      </c>
      <c r="AC175" t="str">
        <f>TEXT(Z175,"mmmm")</f>
        <v>May</v>
      </c>
      <c r="AD175">
        <f>YEAR(Z175)</f>
        <v>2024</v>
      </c>
      <c r="AE175" t="str">
        <f t="shared" si="8"/>
        <v>OK</v>
      </c>
    </row>
    <row r="176" spans="1:31">
      <c r="A176" t="s">
        <v>961</v>
      </c>
      <c r="B176" t="s">
        <v>962</v>
      </c>
      <c r="C176" t="s">
        <v>963</v>
      </c>
      <c r="D176" t="s">
        <v>964</v>
      </c>
      <c r="E176" t="s">
        <v>32</v>
      </c>
      <c r="F176" t="s">
        <v>48</v>
      </c>
      <c r="G176" t="s">
        <v>69</v>
      </c>
      <c r="H176" t="s">
        <v>236</v>
      </c>
      <c r="I176" t="s">
        <v>237</v>
      </c>
      <c r="J176" t="s">
        <v>52</v>
      </c>
      <c r="K176" t="s">
        <v>211</v>
      </c>
      <c r="L176" t="s">
        <v>965</v>
      </c>
      <c r="M176" t="s">
        <v>63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144</v>
      </c>
      <c r="U176" t="s">
        <v>132</v>
      </c>
      <c r="V176">
        <f>O176*(1-P176)*N176</f>
        <v>8264.7029999999995</v>
      </c>
      <c r="W176">
        <f t="shared" si="6"/>
        <v>3495.9529999999995</v>
      </c>
      <c r="X176">
        <f t="shared" si="7"/>
        <v>0.42299780996285402</v>
      </c>
      <c r="Y176" t="str">
        <f>_xlfn.TEXTJOIN(", ",TRUE,IF(G176="Unknown","Missing Region",""),IF(M176="Unknown","Missing Ship Mode",""),IF(P176&lt;0,"Negative Discount",""),IF(P176&gt;0.7,"High Discount",""),IF(C176&lt;B176,"Ship Before Order",""))</f>
        <v>Ship Before Order</v>
      </c>
      <c r="Z176" s="2">
        <f>IFERROR(
  IF(ISNUMBER(B176),B176,
    IF(ISNUMBER(SEARCH("-",B176)*1),
      IF(LEN(LEFT(B176,FIND("-",B176)-1))=4,
        DATE(VALUE(LEFT(B176,4)),VALUE(MID(B176,6,2)),VALUE(RIGHT(B176,2))),
        DATE(VALUE(RIGHT(B176,4)),VALUE(MID(B176,4,2)),VALUE(LEFT(B176,2)))
      ),
      IF(ISNUMBER(SEARCH("/",B176)*1),
        DATE(VALUE(RIGHT(B176,4)),VALUE(LEFT(B176,2)),VALUE(MID(B176,4,2))),
        DATEVALUE(B176)
      )
    )
  ),
"INVALID_DATE")</f>
        <v>45928</v>
      </c>
      <c r="AA176" s="2">
        <f>IFERROR(
  IF(ISNUMBER(C176),C176,
    IF(ISNUMBER(SEARCH("-",C176)*1),
      IF(LEN(LEFT(C176,FIND("-",C176)-1))=4,
        DATE(VALUE(LEFT(C176,4)),VALUE(MID(C176,6,2)),VALUE(RIGHT(C176,2))),
        DATE(VALUE(RIGHT(C176,4)),VALUE(MID(C176,4,2)),VALUE(LEFT(C176,2)))
      ),
      IF(ISNUMBER(SEARCH("/",C176)*1),
        DATE(VALUE(RIGHT(C176,4)),VALUE(LEFT(C176,2)),VALUE(MID(C176,4,2))),
        DATEVALUE(C176)
      )
    )
  ),
"INVALID_DATE")</f>
        <v>45934</v>
      </c>
      <c r="AB176">
        <f>AA176-Z176</f>
        <v>6</v>
      </c>
      <c r="AC176" t="str">
        <f>TEXT(Z176,"mmmm")</f>
        <v>September</v>
      </c>
      <c r="AD176">
        <f>YEAR(Z176)</f>
        <v>2025</v>
      </c>
      <c r="AE176" t="str">
        <f t="shared" si="8"/>
        <v>OK</v>
      </c>
    </row>
    <row r="177" spans="1:31">
      <c r="A177" t="s">
        <v>966</v>
      </c>
      <c r="B177" t="s">
        <v>750</v>
      </c>
      <c r="C177" t="s">
        <v>967</v>
      </c>
      <c r="D177" t="s">
        <v>968</v>
      </c>
      <c r="E177" t="s">
        <v>68</v>
      </c>
      <c r="F177" t="s">
        <v>48</v>
      </c>
      <c r="G177" t="s">
        <v>49</v>
      </c>
      <c r="H177" t="s">
        <v>193</v>
      </c>
      <c r="I177" t="s">
        <v>194</v>
      </c>
      <c r="J177" t="s">
        <v>93</v>
      </c>
      <c r="K177" t="s">
        <v>390</v>
      </c>
      <c r="L177" t="s">
        <v>969</v>
      </c>
      <c r="M177" t="s">
        <v>55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41</v>
      </c>
      <c r="U177" t="s">
        <v>132</v>
      </c>
      <c r="V177">
        <f>O177*(1-P177)*N177</f>
        <v>15906.849000000002</v>
      </c>
      <c r="W177">
        <f t="shared" si="6"/>
        <v>4892.3890000000029</v>
      </c>
      <c r="X177">
        <f t="shared" si="7"/>
        <v>0.30756497986716413</v>
      </c>
      <c r="Y177" t="s">
        <v>4120</v>
      </c>
      <c r="Z177" s="2">
        <f>IFERROR(
  IF(ISNUMBER(B177),B177,
    IF(ISNUMBER(SEARCH("-",B177)*1),
      IF(LEN(LEFT(B177,FIND("-",B177)-1))=4,
        DATE(VALUE(LEFT(B177,4)),VALUE(MID(B177,6,2)),VALUE(RIGHT(B177,2))),
        DATE(VALUE(RIGHT(B177,4)),VALUE(MID(B177,4,2)),VALUE(LEFT(B177,2)))
      ),
      IF(ISNUMBER(SEARCH("/",B177)*1),
        DATE(VALUE(RIGHT(B177,4)),VALUE(LEFT(B177,2)),VALUE(MID(B177,4,2))),
        DATEVALUE(B177)
      )
    )
  ),
"INVALID_DATE")</f>
        <v>45318</v>
      </c>
      <c r="AA177" s="2">
        <f>IFERROR(
  IF(ISNUMBER(C177),C177,
    IF(ISNUMBER(SEARCH("-",C177)*1),
      IF(LEN(LEFT(C177,FIND("-",C177)-1))=4,
        DATE(VALUE(LEFT(C177,4)),VALUE(MID(C177,6,2)),VALUE(RIGHT(C177,2))),
        DATE(VALUE(RIGHT(C177,4)),VALUE(MID(C177,4,2)),VALUE(LEFT(C177,2)))
      ),
      IF(ISNUMBER(SEARCH("/",C177)*1),
        DATE(VALUE(RIGHT(C177,4)),VALUE(LEFT(C177,2)),VALUE(MID(C177,4,2))),
        DATEVALUE(C177)
      )
    )
  ),
"INVALID_DATE")</f>
        <v>45325</v>
      </c>
      <c r="AB177">
        <f>AA177-Z177</f>
        <v>7</v>
      </c>
      <c r="AC177" t="str">
        <f>TEXT(Z177,"mmmm")</f>
        <v>January</v>
      </c>
      <c r="AD177">
        <f>YEAR(Z177)</f>
        <v>2024</v>
      </c>
      <c r="AE177" t="str">
        <f t="shared" si="8"/>
        <v>OK</v>
      </c>
    </row>
    <row r="178" spans="1:31">
      <c r="A178" t="s">
        <v>970</v>
      </c>
      <c r="B178" t="s">
        <v>971</v>
      </c>
      <c r="C178" t="s">
        <v>972</v>
      </c>
      <c r="D178" t="s">
        <v>973</v>
      </c>
      <c r="E178" t="s">
        <v>90</v>
      </c>
      <c r="F178" t="s">
        <v>115</v>
      </c>
      <c r="G178" t="s">
        <v>49</v>
      </c>
      <c r="H178" t="s">
        <v>319</v>
      </c>
      <c r="I178" t="s">
        <v>320</v>
      </c>
      <c r="J178" t="s">
        <v>52</v>
      </c>
      <c r="K178" t="s">
        <v>211</v>
      </c>
      <c r="L178" t="s">
        <v>974</v>
      </c>
      <c r="M178" t="s">
        <v>74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41</v>
      </c>
      <c r="U178" t="s">
        <v>42</v>
      </c>
      <c r="V178">
        <f>O178*(1-P178)*N178</f>
        <v>24229.011999999999</v>
      </c>
      <c r="W178">
        <f t="shared" si="6"/>
        <v>10318.371999999999</v>
      </c>
      <c r="X178">
        <f t="shared" si="7"/>
        <v>0.42586841146212751</v>
      </c>
      <c r="Y178" t="str">
        <f>_xlfn.TEXTJOIN(", ",TRUE,IF(G178="Unknown","Missing Region",""),IF(M178="Unknown","Missing Ship Mode",""),IF(P178&lt;0,"Negative Discount",""),IF(P178&gt;0.7,"High Discount",""),IF(C178&lt;B178,"Ship Before Order",""))</f>
        <v>Ship Before Order</v>
      </c>
      <c r="Z178" s="2">
        <f>IFERROR(
  IF(ISNUMBER(B178),B178,
    IF(ISNUMBER(SEARCH("-",B178)*1),
      IF(LEN(LEFT(B178,FIND("-",B178)-1))=4,
        DATE(VALUE(LEFT(B178,4)),VALUE(MID(B178,6,2)),VALUE(RIGHT(B178,2))),
        DATE(VALUE(RIGHT(B178,4)),VALUE(MID(B178,4,2)),VALUE(LEFT(B178,2)))
      ),
      IF(ISNUMBER(SEARCH("/",B178)*1),
        DATE(VALUE(RIGHT(B178,4)),VALUE(LEFT(B178,2)),VALUE(MID(B178,4,2))),
        DATEVALUE(B178)
      )
    )
  ),
"INVALID_DATE")</f>
        <v>45734</v>
      </c>
      <c r="AA178" s="2">
        <f>IFERROR(
  IF(ISNUMBER(C178),C178,
    IF(ISNUMBER(SEARCH("-",C178)*1),
      IF(LEN(LEFT(C178,FIND("-",C178)-1))=4,
        DATE(VALUE(LEFT(C178,4)),VALUE(MID(C178,6,2)),VALUE(RIGHT(C178,2))),
        DATE(VALUE(RIGHT(C178,4)),VALUE(MID(C178,4,2)),VALUE(LEFT(C178,2)))
      ),
      IF(ISNUMBER(SEARCH("/",C178)*1),
        DATE(VALUE(RIGHT(C178,4)),VALUE(LEFT(C178,2)),VALUE(MID(C178,4,2))),
        DATEVALUE(C178)
      )
    )
  ),
"INVALID_DATE")</f>
        <v>45742</v>
      </c>
      <c r="AB178">
        <f>AA178-Z178</f>
        <v>8</v>
      </c>
      <c r="AC178" t="str">
        <f>TEXT(Z178,"mmmm")</f>
        <v>March</v>
      </c>
      <c r="AD178">
        <f>YEAR(Z178)</f>
        <v>2025</v>
      </c>
      <c r="AE178" t="str">
        <f t="shared" si="8"/>
        <v>OK</v>
      </c>
    </row>
    <row r="179" spans="1:31">
      <c r="A179" t="s">
        <v>975</v>
      </c>
      <c r="B179" t="s">
        <v>976</v>
      </c>
      <c r="C179" t="s">
        <v>977</v>
      </c>
      <c r="D179" t="s">
        <v>978</v>
      </c>
      <c r="E179" t="s">
        <v>175</v>
      </c>
      <c r="F179" t="s">
        <v>122</v>
      </c>
      <c r="G179" t="s">
        <v>279</v>
      </c>
      <c r="H179" t="s">
        <v>193</v>
      </c>
      <c r="I179" t="s">
        <v>194</v>
      </c>
      <c r="J179" t="s">
        <v>37</v>
      </c>
      <c r="K179" t="s">
        <v>61</v>
      </c>
      <c r="L179" t="s">
        <v>979</v>
      </c>
      <c r="M179" t="s">
        <v>55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41</v>
      </c>
      <c r="U179" t="s">
        <v>42</v>
      </c>
      <c r="V179">
        <f>O179*(1-P179)*N179</f>
        <v>31039.599999999999</v>
      </c>
      <c r="W179">
        <f t="shared" si="6"/>
        <v>10172.879999999997</v>
      </c>
      <c r="X179">
        <f t="shared" si="7"/>
        <v>0.3277387595200969</v>
      </c>
      <c r="Y179" t="str">
        <f>_xlfn.TEXTJOIN(", ",TRUE,IF(G179="Unknown","Missing Region",""),IF(M179="Unknown","Missing Ship Mode",""),IF(P179&lt;0,"Negative Discount",""),IF(P179&gt;0.7,"High Discount",""),IF(C179&lt;B179,"Ship Before Order",""))</f>
        <v>Missing Region</v>
      </c>
      <c r="Z179" s="2">
        <f>IFERROR(
  IF(ISNUMBER(B179),B179,
    IF(ISNUMBER(SEARCH("-",B179)*1),
      IF(LEN(LEFT(B179,FIND("-",B179)-1))=4,
        DATE(VALUE(LEFT(B179,4)),VALUE(MID(B179,6,2)),VALUE(RIGHT(B179,2))),
        DATE(VALUE(RIGHT(B179,4)),VALUE(MID(B179,4,2)),VALUE(LEFT(B179,2)))
      ),
      IF(ISNUMBER(SEARCH("/",B179)*1),
        DATE(VALUE(RIGHT(B179,4)),VALUE(LEFT(B179,2)),VALUE(MID(B179,4,2))),
        DATEVALUE(B179)
      )
    )
  ),
"INVALID_DATE")</f>
        <v>45444</v>
      </c>
      <c r="AA179" s="2">
        <f>IFERROR(
  IF(ISNUMBER(C179),C179,
    IF(ISNUMBER(SEARCH("-",C179)*1),
      IF(LEN(LEFT(C179,FIND("-",C179)-1))=4,
        DATE(VALUE(LEFT(C179,4)),VALUE(MID(C179,6,2)),VALUE(RIGHT(C179,2))),
        DATE(VALUE(RIGHT(C179,4)),VALUE(MID(C179,4,2)),VALUE(LEFT(C179,2)))
      ),
      IF(ISNUMBER(SEARCH("/",C179)*1),
        DATE(VALUE(RIGHT(C179,4)),VALUE(LEFT(C179,2)),VALUE(MID(C179,4,2))),
        DATEVALUE(C179)
      )
    )
  ),
"INVALID_DATE")</f>
        <v>45446</v>
      </c>
      <c r="AB179">
        <f>AA179-Z179</f>
        <v>2</v>
      </c>
      <c r="AC179" t="str">
        <f>TEXT(Z179,"mmmm")</f>
        <v>June</v>
      </c>
      <c r="AD179">
        <f>YEAR(Z179)</f>
        <v>2024</v>
      </c>
      <c r="AE179" t="str">
        <f t="shared" si="8"/>
        <v>OK</v>
      </c>
    </row>
    <row r="180" spans="1:31">
      <c r="A180" t="s">
        <v>980</v>
      </c>
      <c r="B180" t="s">
        <v>981</v>
      </c>
      <c r="C180" t="s">
        <v>982</v>
      </c>
      <c r="D180" t="s">
        <v>983</v>
      </c>
      <c r="E180" t="s">
        <v>60</v>
      </c>
      <c r="F180" t="s">
        <v>115</v>
      </c>
      <c r="G180" t="s">
        <v>69</v>
      </c>
      <c r="H180" t="s">
        <v>70</v>
      </c>
      <c r="I180" t="s">
        <v>71</v>
      </c>
      <c r="J180" t="s">
        <v>37</v>
      </c>
      <c r="K180" t="s">
        <v>61</v>
      </c>
      <c r="L180" t="s">
        <v>984</v>
      </c>
      <c r="M180" t="s">
        <v>74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41</v>
      </c>
      <c r="U180" t="s">
        <v>42</v>
      </c>
      <c r="V180">
        <f>O180*(1-P180)*N180</f>
        <v>13126.96</v>
      </c>
      <c r="W180">
        <f t="shared" si="6"/>
        <v>2394.5199999999986</v>
      </c>
      <c r="X180">
        <f t="shared" si="7"/>
        <v>0.18241237879905173</v>
      </c>
      <c r="Y180" t="str">
        <f>_xlfn.TEXTJOIN(", ",TRUE,IF(G180="Unknown","Missing Region",""),IF(M180="Unknown","Missing Ship Mode",""),IF(P180&lt;0,"Negative Discount",""),IF(P180&gt;0.7,"High Discount",""),IF(C180&lt;B180,"Ship Before Order",""))</f>
        <v>Ship Before Order</v>
      </c>
      <c r="Z180" s="2">
        <f>IFERROR(
  IF(ISNUMBER(B180),B180,
    IF(ISNUMBER(SEARCH("-",B180)*1),
      IF(LEN(LEFT(B180,FIND("-",B180)-1))=4,
        DATE(VALUE(LEFT(B180,4)),VALUE(MID(B180,6,2)),VALUE(RIGHT(B180,2))),
        DATE(VALUE(RIGHT(B180,4)),VALUE(MID(B180,4,2)),VALUE(LEFT(B180,2)))
      ),
      IF(ISNUMBER(SEARCH("/",B180)*1),
        DATE(VALUE(RIGHT(B180,4)),VALUE(LEFT(B180,2)),VALUE(MID(B180,4,2))),
        DATEVALUE(B180)
      )
    )
  ),
"INVALID_DATE")</f>
        <v>45565</v>
      </c>
      <c r="AA180" s="2">
        <f>IFERROR(
  IF(ISNUMBER(C180),C180,
    IF(ISNUMBER(SEARCH("-",C180)*1),
      IF(LEN(LEFT(C180,FIND("-",C180)-1))=4,
        DATE(VALUE(LEFT(C180,4)),VALUE(MID(C180,6,2)),VALUE(RIGHT(C180,2))),
        DATE(VALUE(RIGHT(C180,4)),VALUE(MID(C180,4,2)),VALUE(LEFT(C180,2)))
      ),
      IF(ISNUMBER(SEARCH("/",C180)*1),
        DATE(VALUE(RIGHT(C180,4)),VALUE(LEFT(C180,2)),VALUE(MID(C180,4,2))),
        DATEVALUE(C180)
      )
    )
  ),
"INVALID_DATE")</f>
        <v>45565</v>
      </c>
      <c r="AB180">
        <f>AA180-Z180</f>
        <v>0</v>
      </c>
      <c r="AC180" t="str">
        <f>TEXT(Z180,"mmmm")</f>
        <v>September</v>
      </c>
      <c r="AD180">
        <f>YEAR(Z180)</f>
        <v>2024</v>
      </c>
      <c r="AE180" t="str">
        <f t="shared" si="8"/>
        <v>OK</v>
      </c>
    </row>
    <row r="181" spans="1:31">
      <c r="A181" t="s">
        <v>985</v>
      </c>
      <c r="B181" t="s">
        <v>986</v>
      </c>
      <c r="C181" t="s">
        <v>987</v>
      </c>
      <c r="D181" t="s">
        <v>988</v>
      </c>
      <c r="E181" t="s">
        <v>79</v>
      </c>
      <c r="F181" t="s">
        <v>48</v>
      </c>
      <c r="G181" t="s">
        <v>69</v>
      </c>
      <c r="H181" t="s">
        <v>347</v>
      </c>
      <c r="I181" t="s">
        <v>348</v>
      </c>
      <c r="J181" t="s">
        <v>52</v>
      </c>
      <c r="K181" t="s">
        <v>72</v>
      </c>
      <c r="L181" t="s">
        <v>989</v>
      </c>
      <c r="M181" t="s">
        <v>74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131</v>
      </c>
      <c r="U181" t="s">
        <v>132</v>
      </c>
      <c r="V181">
        <f>O181*(1-P181)*N181</f>
        <v>9558.9000000000015</v>
      </c>
      <c r="W181">
        <f t="shared" si="6"/>
        <v>4042.1400000000012</v>
      </c>
      <c r="X181">
        <f t="shared" si="7"/>
        <v>0.4228666478360481</v>
      </c>
      <c r="Y181" t="str">
        <f>_xlfn.TEXTJOIN(", ",TRUE,IF(G181="Unknown","Missing Region",""),IF(M181="Unknown","Missing Ship Mode",""),IF(P181&lt;0,"Negative Discount",""),IF(P181&gt;0.7,"High Discount",""),IF(C181&lt;B181,"Ship Before Order",""))</f>
        <v>Ship Before Order</v>
      </c>
      <c r="Z181" s="2">
        <f>IFERROR(
  IF(ISNUMBER(B181),B181,
    IF(ISNUMBER(SEARCH("-",B181)*1),
      IF(LEN(LEFT(B181,FIND("-",B181)-1))=4,
        DATE(VALUE(LEFT(B181,4)),VALUE(MID(B181,6,2)),VALUE(RIGHT(B181,2))),
        DATE(VALUE(RIGHT(B181,4)),VALUE(MID(B181,4,2)),VALUE(LEFT(B181,2)))
      ),
      IF(ISNUMBER(SEARCH("/",B181)*1),
        DATE(VALUE(RIGHT(B181,4)),VALUE(LEFT(B181,2)),VALUE(MID(B181,4,2))),
        DATEVALUE(B181)
      )
    )
  ),
"INVALID_DATE")</f>
        <v>45366</v>
      </c>
      <c r="AA181" s="2">
        <f>IFERROR(
  IF(ISNUMBER(C181),C181,
    IF(ISNUMBER(SEARCH("-",C181)*1),
      IF(LEN(LEFT(C181,FIND("-",C181)-1))=4,
        DATE(VALUE(LEFT(C181,4)),VALUE(MID(C181,6,2)),VALUE(RIGHT(C181,2))),
        DATE(VALUE(RIGHT(C181,4)),VALUE(MID(C181,4,2)),VALUE(LEFT(C181,2)))
      ),
      IF(ISNUMBER(SEARCH("/",C181)*1),
        DATE(VALUE(RIGHT(C181,4)),VALUE(LEFT(C181,2)),VALUE(MID(C181,4,2))),
        DATEVALUE(C181)
      )
    )
  ),
"INVALID_DATE")</f>
        <v>45370</v>
      </c>
      <c r="AB181">
        <f>AA181-Z181</f>
        <v>4</v>
      </c>
      <c r="AC181" t="str">
        <f>TEXT(Z181,"mmmm")</f>
        <v>March</v>
      </c>
      <c r="AD181">
        <f>YEAR(Z181)</f>
        <v>2024</v>
      </c>
      <c r="AE181" t="str">
        <f t="shared" si="8"/>
        <v>OK</v>
      </c>
    </row>
    <row r="182" spans="1:31">
      <c r="A182" t="s">
        <v>990</v>
      </c>
      <c r="B182" t="s">
        <v>991</v>
      </c>
      <c r="C182" t="s">
        <v>992</v>
      </c>
      <c r="D182" t="s">
        <v>993</v>
      </c>
      <c r="E182" t="s">
        <v>47</v>
      </c>
      <c r="F182" t="s">
        <v>122</v>
      </c>
      <c r="G182" t="s">
        <v>34</v>
      </c>
      <c r="H182" t="s">
        <v>181</v>
      </c>
      <c r="I182" t="s">
        <v>182</v>
      </c>
      <c r="J182" t="s">
        <v>926</v>
      </c>
      <c r="K182" t="s">
        <v>205</v>
      </c>
      <c r="L182" t="s">
        <v>994</v>
      </c>
      <c r="M182" t="s">
        <v>63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41</v>
      </c>
      <c r="U182" t="s">
        <v>42</v>
      </c>
      <c r="V182">
        <f>O182*(1-P182)*N182</f>
        <v>5320.9170000000004</v>
      </c>
      <c r="W182">
        <f t="shared" si="6"/>
        <v>2279.4170000000004</v>
      </c>
      <c r="X182">
        <f t="shared" si="7"/>
        <v>0.42838832382369968</v>
      </c>
      <c r="Y182" t="s">
        <v>4120</v>
      </c>
      <c r="Z182" s="2">
        <f>IFERROR(
  IF(ISNUMBER(B182),B182,
    IF(ISNUMBER(SEARCH("-",B182)*1),
      IF(LEN(LEFT(B182,FIND("-",B182)-1))=4,
        DATE(VALUE(LEFT(B182,4)),VALUE(MID(B182,6,2)),VALUE(RIGHT(B182,2))),
        DATE(VALUE(RIGHT(B182,4)),VALUE(MID(B182,4,2)),VALUE(LEFT(B182,2)))
      ),
      IF(ISNUMBER(SEARCH("/",B182)*1),
        DATE(VALUE(RIGHT(B182,4)),VALUE(LEFT(B182,2)),VALUE(MID(B182,4,2))),
        DATEVALUE(B182)
      )
    )
  ),
"INVALID_DATE")</f>
        <v>45530</v>
      </c>
      <c r="AA182" s="2">
        <f>IFERROR(
  IF(ISNUMBER(C182),C182,
    IF(ISNUMBER(SEARCH("-",C182)*1),
      IF(LEN(LEFT(C182,FIND("-",C182)-1))=4,
        DATE(VALUE(LEFT(C182,4)),VALUE(MID(C182,6,2)),VALUE(RIGHT(C182,2))),
        DATE(VALUE(RIGHT(C182,4)),VALUE(MID(C182,4,2)),VALUE(LEFT(C182,2)))
      ),
      IF(ISNUMBER(SEARCH("/",C182)*1),
        DATE(VALUE(RIGHT(C182,4)),VALUE(LEFT(C182,2)),VALUE(MID(C182,4,2))),
        DATEVALUE(C182)
      )
    )
  ),
"INVALID_DATE")</f>
        <v>45530</v>
      </c>
      <c r="AB182">
        <f>AA182-Z182</f>
        <v>0</v>
      </c>
      <c r="AC182" t="str">
        <f>TEXT(Z182,"mmmm")</f>
        <v>August</v>
      </c>
      <c r="AD182">
        <f>YEAR(Z182)</f>
        <v>2024</v>
      </c>
      <c r="AE182" t="str">
        <f t="shared" si="8"/>
        <v>OK</v>
      </c>
    </row>
    <row r="183" spans="1:31">
      <c r="A183" t="s">
        <v>995</v>
      </c>
      <c r="B183" t="s">
        <v>996</v>
      </c>
      <c r="C183" t="s">
        <v>997</v>
      </c>
      <c r="D183" t="s">
        <v>998</v>
      </c>
      <c r="E183" t="s">
        <v>149</v>
      </c>
      <c r="F183" t="s">
        <v>122</v>
      </c>
      <c r="G183" t="s">
        <v>69</v>
      </c>
      <c r="H183" t="s">
        <v>347</v>
      </c>
      <c r="I183" t="s">
        <v>348</v>
      </c>
      <c r="J183" t="s">
        <v>37</v>
      </c>
      <c r="K183" t="s">
        <v>61</v>
      </c>
      <c r="L183" t="s">
        <v>999</v>
      </c>
      <c r="M183" t="s">
        <v>40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41</v>
      </c>
      <c r="U183" t="s">
        <v>42</v>
      </c>
      <c r="V183">
        <f>O183*(1-P183)*N183</f>
        <v>10205.799999999999</v>
      </c>
      <c r="W183">
        <f t="shared" si="6"/>
        <v>4219.4899999999989</v>
      </c>
      <c r="X183">
        <f t="shared" si="7"/>
        <v>0.41344039663720628</v>
      </c>
      <c r="Y183" t="s">
        <v>4120</v>
      </c>
      <c r="Z183" s="2">
        <f>IFERROR(
  IF(ISNUMBER(B183),B183,
    IF(ISNUMBER(SEARCH("-",B183)*1),
      IF(LEN(LEFT(B183,FIND("-",B183)-1))=4,
        DATE(VALUE(LEFT(B183,4)),VALUE(MID(B183,6,2)),VALUE(RIGHT(B183,2))),
        DATE(VALUE(RIGHT(B183,4)),VALUE(MID(B183,4,2)),VALUE(LEFT(B183,2)))
      ),
      IF(ISNUMBER(SEARCH("/",B183)*1),
        DATE(VALUE(RIGHT(B183,4)),VALUE(LEFT(B183,2)),VALUE(MID(B183,4,2))),
        DATEVALUE(B183)
      )
    )
  ),
"INVALID_DATE")</f>
        <v>45909</v>
      </c>
      <c r="AA183" s="2">
        <f>IFERROR(
  IF(ISNUMBER(C183),C183,
    IF(ISNUMBER(SEARCH("-",C183)*1),
      IF(LEN(LEFT(C183,FIND("-",C183)-1))=4,
        DATE(VALUE(LEFT(C183,4)),VALUE(MID(C183,6,2)),VALUE(RIGHT(C183,2))),
        DATE(VALUE(RIGHT(C183,4)),VALUE(MID(C183,4,2)),VALUE(LEFT(C183,2)))
      ),
      IF(ISNUMBER(SEARCH("/",C183)*1),
        DATE(VALUE(RIGHT(C183,4)),VALUE(LEFT(C183,2)),VALUE(MID(C183,4,2))),
        DATEVALUE(C183)
      )
    )
  ),
"INVALID_DATE")</f>
        <v>45910</v>
      </c>
      <c r="AB183">
        <f>AA183-Z183</f>
        <v>1</v>
      </c>
      <c r="AC183" t="str">
        <f>TEXT(Z183,"mmmm")</f>
        <v>September</v>
      </c>
      <c r="AD183">
        <f>YEAR(Z183)</f>
        <v>2025</v>
      </c>
      <c r="AE183" t="str">
        <f t="shared" si="8"/>
        <v>OK</v>
      </c>
    </row>
    <row r="184" spans="1:31">
      <c r="A184" t="s">
        <v>1000</v>
      </c>
      <c r="B184" t="s">
        <v>307</v>
      </c>
      <c r="C184" t="s">
        <v>307</v>
      </c>
      <c r="D184" t="s">
        <v>1001</v>
      </c>
      <c r="E184" t="s">
        <v>79</v>
      </c>
      <c r="F184" t="s">
        <v>122</v>
      </c>
      <c r="G184" t="s">
        <v>49</v>
      </c>
      <c r="H184" t="s">
        <v>193</v>
      </c>
      <c r="I184" t="s">
        <v>194</v>
      </c>
      <c r="J184" t="s">
        <v>93</v>
      </c>
      <c r="K184" t="s">
        <v>390</v>
      </c>
      <c r="L184" t="s">
        <v>1002</v>
      </c>
      <c r="M184" t="s">
        <v>74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41</v>
      </c>
      <c r="U184" t="s">
        <v>42</v>
      </c>
      <c r="V184">
        <f>O184*(1-P184)*N184</f>
        <v>5430.3899999999994</v>
      </c>
      <c r="W184">
        <f t="shared" si="6"/>
        <v>1722.7299999999996</v>
      </c>
      <c r="X184">
        <f t="shared" si="7"/>
        <v>0.31723872502711592</v>
      </c>
      <c r="Y184" t="s">
        <v>4120</v>
      </c>
      <c r="Z184" s="2">
        <f>IFERROR(
  IF(ISNUMBER(B184),B184,
    IF(ISNUMBER(SEARCH("-",B184)*1),
      IF(LEN(LEFT(B184,FIND("-",B184)-1))=4,
        DATE(VALUE(LEFT(B184,4)),VALUE(MID(B184,6,2)),VALUE(RIGHT(B184,2))),
        DATE(VALUE(RIGHT(B184,4)),VALUE(MID(B184,4,2)),VALUE(LEFT(B184,2)))
      ),
      IF(ISNUMBER(SEARCH("/",B184)*1),
        DATE(VALUE(RIGHT(B184,4)),VALUE(LEFT(B184,2)),VALUE(MID(B184,4,2))),
        DATEVALUE(B184)
      )
    )
  ),
"INVALID_DATE")</f>
        <v>45581</v>
      </c>
      <c r="AA184" s="2">
        <f>IFERROR(
  IF(ISNUMBER(C184),C184,
    IF(ISNUMBER(SEARCH("-",C184)*1),
      IF(LEN(LEFT(C184,FIND("-",C184)-1))=4,
        DATE(VALUE(LEFT(C184,4)),VALUE(MID(C184,6,2)),VALUE(RIGHT(C184,2))),
        DATE(VALUE(RIGHT(C184,4)),VALUE(MID(C184,4,2)),VALUE(LEFT(C184,2)))
      ),
      IF(ISNUMBER(SEARCH("/",C184)*1),
        DATE(VALUE(RIGHT(C184,4)),VALUE(LEFT(C184,2)),VALUE(MID(C184,4,2))),
        DATEVALUE(C184)
      )
    )
  ),
"INVALID_DATE")</f>
        <v>45581</v>
      </c>
      <c r="AB184">
        <f>AA184-Z184</f>
        <v>0</v>
      </c>
      <c r="AC184" t="str">
        <f>TEXT(Z184,"mmmm")</f>
        <v>October</v>
      </c>
      <c r="AD184">
        <f>YEAR(Z184)</f>
        <v>2024</v>
      </c>
      <c r="AE184" t="str">
        <f t="shared" si="8"/>
        <v>OK</v>
      </c>
    </row>
    <row r="185" spans="1:31">
      <c r="A185" t="s">
        <v>1003</v>
      </c>
      <c r="B185" t="s">
        <v>1004</v>
      </c>
      <c r="C185" t="s">
        <v>1005</v>
      </c>
      <c r="D185" t="s">
        <v>1006</v>
      </c>
      <c r="E185" t="s">
        <v>90</v>
      </c>
      <c r="F185" t="s">
        <v>122</v>
      </c>
      <c r="G185" t="s">
        <v>69</v>
      </c>
      <c r="H185" t="s">
        <v>70</v>
      </c>
      <c r="I185" t="s">
        <v>71</v>
      </c>
      <c r="J185" t="s">
        <v>93</v>
      </c>
      <c r="K185" t="s">
        <v>101</v>
      </c>
      <c r="L185" t="s">
        <v>1007</v>
      </c>
      <c r="M185" t="s">
        <v>74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41</v>
      </c>
      <c r="U185" t="s">
        <v>132</v>
      </c>
      <c r="V185">
        <f>O185*(1-P185)*N185</f>
        <v>12907.216</v>
      </c>
      <c r="W185">
        <f t="shared" si="6"/>
        <v>4579.3260000000009</v>
      </c>
      <c r="X185">
        <f t="shared" si="7"/>
        <v>0.35478825029712052</v>
      </c>
      <c r="Y185" t="s">
        <v>4120</v>
      </c>
      <c r="Z185" s="2">
        <f>IFERROR(
  IF(ISNUMBER(B185),B185,
    IF(ISNUMBER(SEARCH("-",B185)*1),
      IF(LEN(LEFT(B185,FIND("-",B185)-1))=4,
        DATE(VALUE(LEFT(B185,4)),VALUE(MID(B185,6,2)),VALUE(RIGHT(B185,2))),
        DATE(VALUE(RIGHT(B185,4)),VALUE(MID(B185,4,2)),VALUE(LEFT(B185,2)))
      ),
      IF(ISNUMBER(SEARCH("/",B185)*1),
        DATE(VALUE(RIGHT(B185,4)),VALUE(LEFT(B185,2)),VALUE(MID(B185,4,2))),
        DATEVALUE(B185)
      )
    )
  ),
"INVALID_DATE")</f>
        <v>45832</v>
      </c>
      <c r="AA185" s="2">
        <f>IFERROR(
  IF(ISNUMBER(C185),C185,
    IF(ISNUMBER(SEARCH("-",C185)*1),
      IF(LEN(LEFT(C185,FIND("-",C185)-1))=4,
        DATE(VALUE(LEFT(C185,4)),VALUE(MID(C185,6,2)),VALUE(RIGHT(C185,2))),
        DATE(VALUE(RIGHT(C185,4)),VALUE(MID(C185,4,2)),VALUE(LEFT(C185,2)))
      ),
      IF(ISNUMBER(SEARCH("/",C185)*1),
        DATE(VALUE(RIGHT(C185,4)),VALUE(LEFT(C185,2)),VALUE(MID(C185,4,2))),
        DATEVALUE(C185)
      )
    )
  ),
"INVALID_DATE")</f>
        <v>45835</v>
      </c>
      <c r="AB185">
        <f>AA185-Z185</f>
        <v>3</v>
      </c>
      <c r="AC185" t="str">
        <f>TEXT(Z185,"mmmm")</f>
        <v>June</v>
      </c>
      <c r="AD185">
        <f>YEAR(Z185)</f>
        <v>2025</v>
      </c>
      <c r="AE185" t="str">
        <f t="shared" si="8"/>
        <v>OK</v>
      </c>
    </row>
    <row r="186" spans="1:31">
      <c r="A186" t="s">
        <v>1008</v>
      </c>
      <c r="B186" t="s">
        <v>1009</v>
      </c>
      <c r="C186" t="s">
        <v>356</v>
      </c>
      <c r="D186" t="s">
        <v>1010</v>
      </c>
      <c r="E186" t="s">
        <v>90</v>
      </c>
      <c r="F186" t="s">
        <v>115</v>
      </c>
      <c r="G186" t="s">
        <v>80</v>
      </c>
      <c r="H186" t="s">
        <v>91</v>
      </c>
      <c r="I186" t="s">
        <v>92</v>
      </c>
      <c r="J186" t="s">
        <v>52</v>
      </c>
      <c r="K186" t="s">
        <v>211</v>
      </c>
      <c r="L186" t="s">
        <v>1011</v>
      </c>
      <c r="M186" t="s">
        <v>74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131</v>
      </c>
      <c r="U186" t="s">
        <v>132</v>
      </c>
      <c r="V186">
        <f>O186*(1-P186)*N186</f>
        <v>1777.96</v>
      </c>
      <c r="W186">
        <f t="shared" si="6"/>
        <v>756.80000000000007</v>
      </c>
      <c r="X186">
        <f t="shared" si="7"/>
        <v>0.42565637022205222</v>
      </c>
      <c r="Y186" t="s">
        <v>4120</v>
      </c>
      <c r="Z186" s="2">
        <f>IFERROR(
  IF(ISNUMBER(B186),B186,
    IF(ISNUMBER(SEARCH("-",B186)*1),
      IF(LEN(LEFT(B186,FIND("-",B186)-1))=4,
        DATE(VALUE(LEFT(B186,4)),VALUE(MID(B186,6,2)),VALUE(RIGHT(B186,2))),
        DATE(VALUE(RIGHT(B186,4)),VALUE(MID(B186,4,2)),VALUE(LEFT(B186,2)))
      ),
      IF(ISNUMBER(SEARCH("/",B186)*1),
        DATE(VALUE(RIGHT(B186,4)),VALUE(LEFT(B186,2)),VALUE(MID(B186,4,2))),
        DATEVALUE(B186)
      )
    )
  ),
"INVALID_DATE")</f>
        <v>45384</v>
      </c>
      <c r="AA186" s="2">
        <f>IFERROR(
  IF(ISNUMBER(C186),C186,
    IF(ISNUMBER(SEARCH("-",C186)*1),
      IF(LEN(LEFT(C186,FIND("-",C186)-1))=4,
        DATE(VALUE(LEFT(C186,4)),VALUE(MID(C186,6,2)),VALUE(RIGHT(C186,2))),
        DATE(VALUE(RIGHT(C186,4)),VALUE(MID(C186,4,2)),VALUE(LEFT(C186,2)))
      ),
      IF(ISNUMBER(SEARCH("/",C186)*1),
        DATE(VALUE(RIGHT(C186,4)),VALUE(LEFT(C186,2)),VALUE(MID(C186,4,2))),
        DATEVALUE(C186)
      )
    )
  ),
"INVALID_DATE")</f>
        <v>45388</v>
      </c>
      <c r="AB186">
        <f>AA186-Z186</f>
        <v>4</v>
      </c>
      <c r="AC186" t="str">
        <f>TEXT(Z186,"mmmm")</f>
        <v>April</v>
      </c>
      <c r="AD186">
        <f>YEAR(Z186)</f>
        <v>2024</v>
      </c>
      <c r="AE186" t="str">
        <f t="shared" si="8"/>
        <v>OK</v>
      </c>
    </row>
    <row r="187" spans="1:31">
      <c r="A187" t="s">
        <v>1012</v>
      </c>
      <c r="B187" t="s">
        <v>111</v>
      </c>
      <c r="C187" t="s">
        <v>1013</v>
      </c>
      <c r="D187" t="s">
        <v>1014</v>
      </c>
      <c r="E187" t="s">
        <v>68</v>
      </c>
      <c r="F187" t="s">
        <v>33</v>
      </c>
      <c r="G187" t="s">
        <v>279</v>
      </c>
      <c r="H187" t="s">
        <v>161</v>
      </c>
      <c r="I187" t="s">
        <v>162</v>
      </c>
      <c r="J187" t="s">
        <v>37</v>
      </c>
      <c r="K187" t="s">
        <v>116</v>
      </c>
      <c r="L187" t="s">
        <v>1015</v>
      </c>
      <c r="M187" t="s">
        <v>40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41</v>
      </c>
      <c r="U187" t="s">
        <v>42</v>
      </c>
      <c r="V187">
        <f>O187*(1-P187)*N187</f>
        <v>1605.0720000000001</v>
      </c>
      <c r="W187">
        <f t="shared" si="6"/>
        <v>267.79200000000014</v>
      </c>
      <c r="X187">
        <f t="shared" si="7"/>
        <v>0.16684007551072541</v>
      </c>
      <c r="Y187" t="str">
        <f>_xlfn.TEXTJOIN(", ",TRUE,IF(G187="Unknown","Missing Region",""),IF(M187="Unknown","Missing Ship Mode",""),IF(P187&lt;0,"Negative Discount",""),IF(P187&gt;0.7,"High Discount",""),IF(C187&lt;B187,"Ship Before Order",""))</f>
        <v>Missing Region</v>
      </c>
      <c r="Z187" s="2">
        <f>IFERROR(
  IF(ISNUMBER(B187),B187,
    IF(ISNUMBER(SEARCH("-",B187)*1),
      IF(LEN(LEFT(B187,FIND("-",B187)-1))=4,
        DATE(VALUE(LEFT(B187,4)),VALUE(MID(B187,6,2)),VALUE(RIGHT(B187,2))),
        DATE(VALUE(RIGHT(B187,4)),VALUE(MID(B187,4,2)),VALUE(LEFT(B187,2)))
      ),
      IF(ISNUMBER(SEARCH("/",B187)*1),
        DATE(VALUE(RIGHT(B187,4)),VALUE(LEFT(B187,2)),VALUE(MID(B187,4,2))),
        DATEVALUE(B187)
      )
    )
  ),
"INVALID_DATE")</f>
        <v>45601</v>
      </c>
      <c r="AA187" s="2">
        <f>IFERROR(
  IF(ISNUMBER(C187),C187,
    IF(ISNUMBER(SEARCH("-",C187)*1),
      IF(LEN(LEFT(C187,FIND("-",C187)-1))=4,
        DATE(VALUE(LEFT(C187,4)),VALUE(MID(C187,6,2)),VALUE(RIGHT(C187,2))),
        DATE(VALUE(RIGHT(C187,4)),VALUE(MID(C187,4,2)),VALUE(LEFT(C187,2)))
      ),
      IF(ISNUMBER(SEARCH("/",C187)*1),
        DATE(VALUE(RIGHT(C187,4)),VALUE(LEFT(C187,2)),VALUE(MID(C187,4,2))),
        DATEVALUE(C187)
      )
    )
  ),
"INVALID_DATE")</f>
        <v>45609</v>
      </c>
      <c r="AB187">
        <f>AA187-Z187</f>
        <v>8</v>
      </c>
      <c r="AC187" t="str">
        <f>TEXT(Z187,"mmmm")</f>
        <v>November</v>
      </c>
      <c r="AD187">
        <f>YEAR(Z187)</f>
        <v>2024</v>
      </c>
      <c r="AE187" t="str">
        <f t="shared" si="8"/>
        <v>OK</v>
      </c>
    </row>
    <row r="188" spans="1:31">
      <c r="A188" t="s">
        <v>1016</v>
      </c>
      <c r="B188" t="s">
        <v>340</v>
      </c>
      <c r="C188" t="s">
        <v>1017</v>
      </c>
      <c r="D188" t="s">
        <v>373</v>
      </c>
      <c r="E188" t="s">
        <v>90</v>
      </c>
      <c r="F188" t="s">
        <v>33</v>
      </c>
      <c r="G188" t="s">
        <v>69</v>
      </c>
      <c r="H188" t="s">
        <v>347</v>
      </c>
      <c r="I188" t="s">
        <v>348</v>
      </c>
      <c r="J188" t="s">
        <v>52</v>
      </c>
      <c r="K188" t="s">
        <v>53</v>
      </c>
      <c r="L188" t="s">
        <v>1018</v>
      </c>
      <c r="M188" t="s">
        <v>63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41</v>
      </c>
      <c r="U188" t="s">
        <v>42</v>
      </c>
      <c r="V188">
        <f>O188*(1-P188)*N188</f>
        <v>23996.059499999996</v>
      </c>
      <c r="W188">
        <f t="shared" si="6"/>
        <v>3828.7794999999969</v>
      </c>
      <c r="X188">
        <f t="shared" si="7"/>
        <v>0.15955869421896762</v>
      </c>
      <c r="Y188" t="s">
        <v>4120</v>
      </c>
      <c r="Z188" s="2">
        <f>IFERROR(
  IF(ISNUMBER(B188),B188,
    IF(ISNUMBER(SEARCH("-",B188)*1),
      IF(LEN(LEFT(B188,FIND("-",B188)-1))=4,
        DATE(VALUE(LEFT(B188,4)),VALUE(MID(B188,6,2)),VALUE(RIGHT(B188,2))),
        DATE(VALUE(RIGHT(B188,4)),VALUE(MID(B188,4,2)),VALUE(LEFT(B188,2)))
      ),
      IF(ISNUMBER(SEARCH("/",B188)*1),
        DATE(VALUE(RIGHT(B188,4)),VALUE(LEFT(B188,2)),VALUE(MID(B188,4,2))),
        DATEVALUE(B188)
      )
    )
  ),
"INVALID_DATE")</f>
        <v>45492</v>
      </c>
      <c r="AA188" s="2">
        <f>IFERROR(
  IF(ISNUMBER(C188),C188,
    IF(ISNUMBER(SEARCH("-",C188)*1),
      IF(LEN(LEFT(C188,FIND("-",C188)-1))=4,
        DATE(VALUE(LEFT(C188,4)),VALUE(MID(C188,6,2)),VALUE(RIGHT(C188,2))),
        DATE(VALUE(RIGHT(C188,4)),VALUE(MID(C188,4,2)),VALUE(LEFT(C188,2)))
      ),
      IF(ISNUMBER(SEARCH("/",C188)*1),
        DATE(VALUE(RIGHT(C188,4)),VALUE(LEFT(C188,2)),VALUE(MID(C188,4,2))),
        DATEVALUE(C188)
      )
    )
  ),
"INVALID_DATE")</f>
        <v>45493</v>
      </c>
      <c r="AB188">
        <f>AA188-Z188</f>
        <v>1</v>
      </c>
      <c r="AC188" t="str">
        <f>TEXT(Z188,"mmmm")</f>
        <v>July</v>
      </c>
      <c r="AD188">
        <f>YEAR(Z188)</f>
        <v>2024</v>
      </c>
      <c r="AE188" t="str">
        <f t="shared" si="8"/>
        <v>OK</v>
      </c>
    </row>
    <row r="189" spans="1:31">
      <c r="A189" t="s">
        <v>1019</v>
      </c>
      <c r="B189" t="s">
        <v>1020</v>
      </c>
      <c r="C189" t="s">
        <v>1021</v>
      </c>
      <c r="D189" t="s">
        <v>1022</v>
      </c>
      <c r="E189" t="s">
        <v>47</v>
      </c>
      <c r="F189" t="s">
        <v>33</v>
      </c>
      <c r="G189" t="s">
        <v>80</v>
      </c>
      <c r="H189" t="s">
        <v>91</v>
      </c>
      <c r="I189" t="s">
        <v>92</v>
      </c>
      <c r="J189" t="s">
        <v>52</v>
      </c>
      <c r="K189" t="s">
        <v>83</v>
      </c>
      <c r="L189" t="s">
        <v>1023</v>
      </c>
      <c r="M189" t="s">
        <v>55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41</v>
      </c>
      <c r="U189" t="s">
        <v>132</v>
      </c>
      <c r="V189">
        <f>O189*(1-P189)*N189</f>
        <v>8717.2199999999993</v>
      </c>
      <c r="W189">
        <f t="shared" si="6"/>
        <v>2501.2599999999993</v>
      </c>
      <c r="X189">
        <f t="shared" si="7"/>
        <v>0.28693321953558593</v>
      </c>
      <c r="Y189" t="str">
        <f>_xlfn.TEXTJOIN(", ",TRUE,IF(G189="Unknown","Missing Region",""),IF(M189="Unknown","Missing Ship Mode",""),IF(P189&lt;0,"Negative Discount",""),IF(P189&gt;0.7,"High Discount",""),IF(C189&lt;B189,"Ship Before Order",""))</f>
        <v>Ship Before Order</v>
      </c>
      <c r="Z189" s="2">
        <f>IFERROR(
  IF(ISNUMBER(B189),B189,
    IF(ISNUMBER(SEARCH("-",B189)*1),
      IF(LEN(LEFT(B189,FIND("-",B189)-1))=4,
        DATE(VALUE(LEFT(B189,4)),VALUE(MID(B189,6,2)),VALUE(RIGHT(B189,2))),
        DATE(VALUE(RIGHT(B189,4)),VALUE(MID(B189,4,2)),VALUE(LEFT(B189,2)))
      ),
      IF(ISNUMBER(SEARCH("/",B189)*1),
        DATE(VALUE(RIGHT(B189,4)),VALUE(LEFT(B189,2)),VALUE(MID(B189,4,2))),
        DATEVALUE(B189)
      )
    )
  ),
"INVALID_DATE")</f>
        <v>45778</v>
      </c>
      <c r="AA189" s="2">
        <f>IFERROR(
  IF(ISNUMBER(C189),C189,
    IF(ISNUMBER(SEARCH("-",C189)*1),
      IF(LEN(LEFT(C189,FIND("-",C189)-1))=4,
        DATE(VALUE(LEFT(C189,4)),VALUE(MID(C189,6,2)),VALUE(RIGHT(C189,2))),
        DATE(VALUE(RIGHT(C189,4)),VALUE(MID(C189,4,2)),VALUE(LEFT(C189,2)))
      ),
      IF(ISNUMBER(SEARCH("/",C189)*1),
        DATE(VALUE(RIGHT(C189,4)),VALUE(LEFT(C189,2)),VALUE(MID(C189,4,2))),
        DATEVALUE(C189)
      )
    )
  ),
"INVALID_DATE")</f>
        <v>45779</v>
      </c>
      <c r="AB189">
        <f>AA189-Z189</f>
        <v>1</v>
      </c>
      <c r="AC189" t="str">
        <f>TEXT(Z189,"mmmm")</f>
        <v>May</v>
      </c>
      <c r="AD189">
        <f>YEAR(Z189)</f>
        <v>2025</v>
      </c>
      <c r="AE189" t="str">
        <f t="shared" si="8"/>
        <v>OK</v>
      </c>
    </row>
    <row r="190" spans="1:31">
      <c r="A190" t="s">
        <v>1024</v>
      </c>
      <c r="B190" t="s">
        <v>1025</v>
      </c>
      <c r="C190" t="s">
        <v>1026</v>
      </c>
      <c r="D190" t="s">
        <v>1027</v>
      </c>
      <c r="E190" t="s">
        <v>149</v>
      </c>
      <c r="F190" t="s">
        <v>115</v>
      </c>
      <c r="G190" t="s">
        <v>49</v>
      </c>
      <c r="H190" t="s">
        <v>128</v>
      </c>
      <c r="I190" t="s">
        <v>129</v>
      </c>
      <c r="J190" t="s">
        <v>52</v>
      </c>
      <c r="K190" t="s">
        <v>211</v>
      </c>
      <c r="L190" t="s">
        <v>1028</v>
      </c>
      <c r="M190" t="s">
        <v>55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41</v>
      </c>
      <c r="U190" t="s">
        <v>42</v>
      </c>
      <c r="V190">
        <f>O190*(1-P190)*N190</f>
        <v>6407.2260000000006</v>
      </c>
      <c r="W190">
        <f t="shared" si="6"/>
        <v>1484.1360000000004</v>
      </c>
      <c r="X190">
        <f t="shared" si="7"/>
        <v>0.22644969827356023</v>
      </c>
      <c r="Y190" t="s">
        <v>4120</v>
      </c>
      <c r="Z190" s="2">
        <f>IFERROR(
  IF(ISNUMBER(B190),B190,
    IF(ISNUMBER(SEARCH("-",B190)*1),
      IF(LEN(LEFT(B190,FIND("-",B190)-1))=4,
        DATE(VALUE(LEFT(B190,4)),VALUE(MID(B190,6,2)),VALUE(RIGHT(B190,2))),
        DATE(VALUE(RIGHT(B190,4)),VALUE(MID(B190,4,2)),VALUE(LEFT(B190,2)))
      ),
      IF(ISNUMBER(SEARCH("/",B190)*1),
        DATE(VALUE(RIGHT(B190,4)),VALUE(LEFT(B190,2)),VALUE(MID(B190,4,2))),
        DATEVALUE(B190)
      )
    )
  ),
"INVALID_DATE")</f>
        <v>45798</v>
      </c>
      <c r="AA190" s="2">
        <f>IFERROR(
  IF(ISNUMBER(C190),C190,
    IF(ISNUMBER(SEARCH("-",C190)*1),
      IF(LEN(LEFT(C190,FIND("-",C190)-1))=4,
        DATE(VALUE(LEFT(C190,4)),VALUE(MID(C190,6,2)),VALUE(RIGHT(C190,2))),
        DATE(VALUE(RIGHT(C190,4)),VALUE(MID(C190,4,2)),VALUE(LEFT(C190,2)))
      ),
      IF(ISNUMBER(SEARCH("/",C190)*1),
        DATE(VALUE(RIGHT(C190,4)),VALUE(LEFT(C190,2)),VALUE(MID(C190,4,2))),
        DATEVALUE(C190)
      )
    )
  ),
"INVALID_DATE")</f>
        <v>45805</v>
      </c>
      <c r="AB190">
        <f>AA190-Z190</f>
        <v>7</v>
      </c>
      <c r="AC190" t="str">
        <f>TEXT(Z190,"mmmm")</f>
        <v>May</v>
      </c>
      <c r="AD190">
        <f>YEAR(Z190)</f>
        <v>2025</v>
      </c>
      <c r="AE190" t="str">
        <f t="shared" si="8"/>
        <v>OK</v>
      </c>
    </row>
    <row r="191" spans="1:31">
      <c r="A191" t="s">
        <v>1029</v>
      </c>
      <c r="B191" t="s">
        <v>1030</v>
      </c>
      <c r="C191" t="s">
        <v>1031</v>
      </c>
      <c r="D191" t="s">
        <v>1032</v>
      </c>
      <c r="E191" t="s">
        <v>68</v>
      </c>
      <c r="F191" t="s">
        <v>33</v>
      </c>
      <c r="G191" t="s">
        <v>80</v>
      </c>
      <c r="H191" t="s">
        <v>35</v>
      </c>
      <c r="I191" t="s">
        <v>142</v>
      </c>
      <c r="J191" t="s">
        <v>52</v>
      </c>
      <c r="K191" t="s">
        <v>211</v>
      </c>
      <c r="L191" t="s">
        <v>1033</v>
      </c>
      <c r="M191" t="s">
        <v>63</v>
      </c>
      <c r="N191">
        <v>9</v>
      </c>
      <c r="O191">
        <v>3318.24</v>
      </c>
      <c r="P191">
        <v>0</v>
      </c>
      <c r="Q191">
        <v>25384.54</v>
      </c>
      <c r="R191">
        <v>16872.39</v>
      </c>
      <c r="S191">
        <v>8512.15</v>
      </c>
      <c r="T191" t="s">
        <v>41</v>
      </c>
      <c r="U191" t="s">
        <v>1034</v>
      </c>
      <c r="V191">
        <f>O191*(1-P191)*N191</f>
        <v>29864.159999999996</v>
      </c>
      <c r="W191">
        <f t="shared" si="6"/>
        <v>12991.769999999997</v>
      </c>
      <c r="X191">
        <f t="shared" si="7"/>
        <v>0.33532811703501419</v>
      </c>
      <c r="Y191" t="str">
        <f>_xlfn.TEXTJOIN(", ",TRUE,IF(G191="Unknown","Missing Region",""),IF(M191="Unknown","Missing Ship Mode",""),IF(P191&lt;0,"Negative Discount",""),IF(P191&gt;0.7,"High Discount",""),IF(C191&lt;B191,"Ship Before Order",""))</f>
        <v>Ship Before Order</v>
      </c>
      <c r="Z191" s="2">
        <f>IFERROR(
  IF(ISNUMBER(B191),B191,
    IF(ISNUMBER(SEARCH("-",B191)*1),
      IF(LEN(LEFT(B191,FIND("-",B191)-1))=4,
        DATE(VALUE(LEFT(B191,4)),VALUE(MID(B191,6,2)),VALUE(RIGHT(B191,2))),
        DATE(VALUE(RIGHT(B191,4)),VALUE(MID(B191,4,2)),VALUE(LEFT(B191,2)))
      ),
      IF(ISNUMBER(SEARCH("/",B191)*1),
        DATE(VALUE(RIGHT(B191,4)),VALUE(LEFT(B191,2)),VALUE(MID(B191,4,2))),
        DATEVALUE(B191)
      )
    )
  ),
"INVALID_DATE")</f>
        <v>45783</v>
      </c>
      <c r="AA191" s="2">
        <f>IFERROR(
  IF(ISNUMBER(C191),C191,
    IF(ISNUMBER(SEARCH("-",C191)*1),
      IF(LEN(LEFT(C191,FIND("-",C191)-1))=4,
        DATE(VALUE(LEFT(C191,4)),VALUE(MID(C191,6,2)),VALUE(RIGHT(C191,2))),
        DATE(VALUE(RIGHT(C191,4)),VALUE(MID(C191,4,2)),VALUE(LEFT(C191,2)))
      ),
      IF(ISNUMBER(SEARCH("/",C191)*1),
        DATE(VALUE(RIGHT(C191,4)),VALUE(LEFT(C191,2)),VALUE(MID(C191,4,2))),
        DATEVALUE(C191)
      )
    )
  ),
"INVALID_DATE")</f>
        <v>45784</v>
      </c>
      <c r="AB191">
        <f>AA191-Z191</f>
        <v>1</v>
      </c>
      <c r="AC191" t="str">
        <f>TEXT(Z191,"mmmm")</f>
        <v>May</v>
      </c>
      <c r="AD191">
        <f>YEAR(Z191)</f>
        <v>2025</v>
      </c>
      <c r="AE191" t="str">
        <f t="shared" si="8"/>
        <v>OK</v>
      </c>
    </row>
    <row r="192" spans="1:31">
      <c r="A192" t="s">
        <v>1035</v>
      </c>
      <c r="B192" t="s">
        <v>1036</v>
      </c>
      <c r="C192" t="s">
        <v>1037</v>
      </c>
      <c r="D192" t="s">
        <v>1038</v>
      </c>
      <c r="E192" t="s">
        <v>114</v>
      </c>
      <c r="F192" t="s">
        <v>33</v>
      </c>
      <c r="G192" t="s">
        <v>69</v>
      </c>
      <c r="H192" t="s">
        <v>347</v>
      </c>
      <c r="I192" t="s">
        <v>348</v>
      </c>
      <c r="J192" t="s">
        <v>37</v>
      </c>
      <c r="K192" t="s">
        <v>163</v>
      </c>
      <c r="L192" t="s">
        <v>1039</v>
      </c>
      <c r="M192" t="s">
        <v>63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41</v>
      </c>
      <c r="U192" t="s">
        <v>42</v>
      </c>
      <c r="V192">
        <f>O192*(1-P192)*N192</f>
        <v>1458.2429999999999</v>
      </c>
      <c r="W192">
        <f t="shared" si="6"/>
        <v>514.92299999999989</v>
      </c>
      <c r="X192">
        <f t="shared" si="7"/>
        <v>0.35311059907834097</v>
      </c>
      <c r="Y192" t="str">
        <f>_xlfn.TEXTJOIN(", ",TRUE,IF(G192="Unknown","Missing Region",""),IF(M192="Unknown","Missing Ship Mode",""),IF(P192&lt;0,"Negative Discount",""),IF(P192&gt;0.7,"High Discount",""),IF(C192&lt;B192,"Ship Before Order",""))</f>
        <v>Ship Before Order</v>
      </c>
      <c r="Z192" s="2">
        <f>IFERROR(
  IF(ISNUMBER(B192),B192,
    IF(ISNUMBER(SEARCH("-",B192)*1),
      IF(LEN(LEFT(B192,FIND("-",B192)-1))=4,
        DATE(VALUE(LEFT(B192,4)),VALUE(MID(B192,6,2)),VALUE(RIGHT(B192,2))),
        DATE(VALUE(RIGHT(B192,4)),VALUE(MID(B192,4,2)),VALUE(LEFT(B192,2)))
      ),
      IF(ISNUMBER(SEARCH("/",B192)*1),
        DATE(VALUE(RIGHT(B192,4)),VALUE(LEFT(B192,2)),VALUE(MID(B192,4,2))),
        DATEVALUE(B192)
      )
    )
  ),
"INVALID_DATE")</f>
        <v>45767</v>
      </c>
      <c r="AA192" s="2">
        <f>IFERROR(
  IF(ISNUMBER(C192),C192,
    IF(ISNUMBER(SEARCH("-",C192)*1),
      IF(LEN(LEFT(C192,FIND("-",C192)-1))=4,
        DATE(VALUE(LEFT(C192,4)),VALUE(MID(C192,6,2)),VALUE(RIGHT(C192,2))),
        DATE(VALUE(RIGHT(C192,4)),VALUE(MID(C192,4,2)),VALUE(LEFT(C192,2)))
      ),
      IF(ISNUMBER(SEARCH("/",C192)*1),
        DATE(VALUE(RIGHT(C192,4)),VALUE(LEFT(C192,2)),VALUE(MID(C192,4,2))),
        DATEVALUE(C192)
      )
    )
  ),
"INVALID_DATE")</f>
        <v>45768</v>
      </c>
      <c r="AB192">
        <f>AA192-Z192</f>
        <v>1</v>
      </c>
      <c r="AC192" t="str">
        <f>TEXT(Z192,"mmmm")</f>
        <v>April</v>
      </c>
      <c r="AD192">
        <f>YEAR(Z192)</f>
        <v>2025</v>
      </c>
      <c r="AE192" t="str">
        <f t="shared" si="8"/>
        <v>OK</v>
      </c>
    </row>
    <row r="193" spans="1:31">
      <c r="A193" t="s">
        <v>1040</v>
      </c>
      <c r="B193" t="s">
        <v>1041</v>
      </c>
      <c r="C193" t="s">
        <v>653</v>
      </c>
      <c r="D193" t="s">
        <v>1042</v>
      </c>
      <c r="E193" t="s">
        <v>175</v>
      </c>
      <c r="F193" t="s">
        <v>48</v>
      </c>
      <c r="G193" t="s">
        <v>69</v>
      </c>
      <c r="H193" t="s">
        <v>347</v>
      </c>
      <c r="I193" t="s">
        <v>348</v>
      </c>
      <c r="J193" t="s">
        <v>52</v>
      </c>
      <c r="K193" t="s">
        <v>211</v>
      </c>
      <c r="L193" t="s">
        <v>1043</v>
      </c>
      <c r="M193" t="s">
        <v>40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41</v>
      </c>
      <c r="U193" t="s">
        <v>42</v>
      </c>
      <c r="V193">
        <f>O193*(1-P193)*N193</f>
        <v>9047.64</v>
      </c>
      <c r="W193">
        <f t="shared" si="6"/>
        <v>-10350.040000000001</v>
      </c>
      <c r="X193">
        <f t="shared" si="7"/>
        <v>0.24961780088509269</v>
      </c>
      <c r="Y193" t="s">
        <v>4120</v>
      </c>
      <c r="Z193" s="2">
        <f>IFERROR(
  IF(ISNUMBER(B193),B193,
    IF(ISNUMBER(SEARCH("-",B193)*1),
      IF(LEN(LEFT(B193,FIND("-",B193)-1))=4,
        DATE(VALUE(LEFT(B193,4)),VALUE(MID(B193,6,2)),VALUE(RIGHT(B193,2))),
        DATE(VALUE(RIGHT(B193,4)),VALUE(MID(B193,4,2)),VALUE(LEFT(B193,2)))
      ),
      IF(ISNUMBER(SEARCH("/",B193)*1),
        DATE(VALUE(RIGHT(B193,4)),VALUE(LEFT(B193,2)),VALUE(MID(B193,4,2))),
        DATEVALUE(B193)
      )
    )
  ),
"INVALID_DATE")</f>
        <v>45584</v>
      </c>
      <c r="AA193" s="2">
        <f>IFERROR(
  IF(ISNUMBER(C193),C193,
    IF(ISNUMBER(SEARCH("-",C193)*1),
      IF(LEN(LEFT(C193,FIND("-",C193)-1))=4,
        DATE(VALUE(LEFT(C193,4)),VALUE(MID(C193,6,2)),VALUE(RIGHT(C193,2))),
        DATE(VALUE(RIGHT(C193,4)),VALUE(MID(C193,4,2)),VALUE(LEFT(C193,2)))
      ),
      IF(ISNUMBER(SEARCH("/",C193)*1),
        DATE(VALUE(RIGHT(C193,4)),VALUE(LEFT(C193,2)),VALUE(MID(C193,4,2))),
        DATEVALUE(C193)
      )
    )
  ),
"INVALID_DATE")</f>
        <v>45589</v>
      </c>
      <c r="AB193">
        <f>AA193-Z193</f>
        <v>5</v>
      </c>
      <c r="AC193" t="str">
        <f>TEXT(Z193,"mmmm")</f>
        <v>October</v>
      </c>
      <c r="AD193">
        <f>YEAR(Z193)</f>
        <v>2024</v>
      </c>
      <c r="AE193" t="str">
        <f t="shared" si="8"/>
        <v>OK</v>
      </c>
    </row>
    <row r="194" spans="1:31">
      <c r="A194" t="s">
        <v>1044</v>
      </c>
      <c r="B194" t="s">
        <v>1045</v>
      </c>
      <c r="C194" t="s">
        <v>1046</v>
      </c>
      <c r="D194" t="s">
        <v>1047</v>
      </c>
      <c r="E194" t="s">
        <v>60</v>
      </c>
      <c r="F194" t="s">
        <v>122</v>
      </c>
      <c r="G194" t="s">
        <v>80</v>
      </c>
      <c r="H194" t="s">
        <v>242</v>
      </c>
      <c r="I194" t="s">
        <v>243</v>
      </c>
      <c r="J194" t="s">
        <v>52</v>
      </c>
      <c r="K194" t="s">
        <v>83</v>
      </c>
      <c r="L194" t="s">
        <v>1048</v>
      </c>
      <c r="M194" t="s">
        <v>63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41</v>
      </c>
      <c r="U194" t="s">
        <v>42</v>
      </c>
      <c r="V194">
        <f>O194*(1-P194)*N194</f>
        <v>8764.1200000000008</v>
      </c>
      <c r="W194">
        <f t="shared" si="6"/>
        <v>1544.0700000000006</v>
      </c>
      <c r="X194">
        <f t="shared" si="7"/>
        <v>0.17618083732308545</v>
      </c>
      <c r="Y194" t="str">
        <f>_xlfn.TEXTJOIN(", ",TRUE,IF(G194="Unknown","Missing Region",""),IF(M194="Unknown","Missing Ship Mode",""),IF(P194&lt;0,"Negative Discount",""),IF(P194&gt;0.7,"High Discount",""),IF(C194&lt;B194,"Ship Before Order",""))</f>
        <v>Ship Before Order</v>
      </c>
      <c r="Z194" s="2">
        <f>IFERROR(
  IF(ISNUMBER(B194),B194,
    IF(ISNUMBER(SEARCH("-",B194)*1),
      IF(LEN(LEFT(B194,FIND("-",B194)-1))=4,
        DATE(VALUE(LEFT(B194,4)),VALUE(MID(B194,6,2)),VALUE(RIGHT(B194,2))),
        DATE(VALUE(RIGHT(B194,4)),VALUE(MID(B194,4,2)),VALUE(LEFT(B194,2)))
      ),
      IF(ISNUMBER(SEARCH("/",B194)*1),
        DATE(VALUE(RIGHT(B194,4)),VALUE(LEFT(B194,2)),VALUE(MID(B194,4,2))),
        DATEVALUE(B194)
      )
    )
  ),
"INVALID_DATE")</f>
        <v>45635</v>
      </c>
      <c r="AA194" s="2">
        <f>IFERROR(
  IF(ISNUMBER(C194),C194,
    IF(ISNUMBER(SEARCH("-",C194)*1),
      IF(LEN(LEFT(C194,FIND("-",C194)-1))=4,
        DATE(VALUE(LEFT(C194,4)),VALUE(MID(C194,6,2)),VALUE(RIGHT(C194,2))),
        DATE(VALUE(RIGHT(C194,4)),VALUE(MID(C194,4,2)),VALUE(LEFT(C194,2)))
      ),
      IF(ISNUMBER(SEARCH("/",C194)*1),
        DATE(VALUE(RIGHT(C194,4)),VALUE(LEFT(C194,2)),VALUE(MID(C194,4,2))),
        DATEVALUE(C194)
      )
    )
  ),
"INVALID_DATE")</f>
        <v>45642</v>
      </c>
      <c r="AB194">
        <f>AA194-Z194</f>
        <v>7</v>
      </c>
      <c r="AC194" t="str">
        <f>TEXT(Z194,"mmmm")</f>
        <v>December</v>
      </c>
      <c r="AD194">
        <f>YEAR(Z194)</f>
        <v>2024</v>
      </c>
      <c r="AE194" t="str">
        <f t="shared" si="8"/>
        <v>OK</v>
      </c>
    </row>
    <row r="195" spans="1:31">
      <c r="A195" t="s">
        <v>1049</v>
      </c>
      <c r="B195" t="s">
        <v>1050</v>
      </c>
      <c r="C195" t="s">
        <v>1051</v>
      </c>
      <c r="D195" t="s">
        <v>1052</v>
      </c>
      <c r="E195" t="s">
        <v>149</v>
      </c>
      <c r="F195" t="s">
        <v>48</v>
      </c>
      <c r="G195" t="s">
        <v>34</v>
      </c>
      <c r="H195" t="s">
        <v>161</v>
      </c>
      <c r="I195" t="s">
        <v>162</v>
      </c>
      <c r="J195" t="s">
        <v>93</v>
      </c>
      <c r="K195" t="s">
        <v>101</v>
      </c>
      <c r="L195" t="s">
        <v>1053</v>
      </c>
      <c r="M195" t="s">
        <v>55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131</v>
      </c>
      <c r="U195" t="s">
        <v>132</v>
      </c>
      <c r="V195">
        <f>O195*(1-P195)*N195</f>
        <v>9391.8240000000005</v>
      </c>
      <c r="W195">
        <f t="shared" ref="W195:W258" si="9">V195-R195</f>
        <v>3378.6040000000003</v>
      </c>
      <c r="X195">
        <f t="shared" ref="X195:X258" si="10">S195/Q195</f>
        <v>0.3597385810205051</v>
      </c>
      <c r="Y195" t="s">
        <v>4120</v>
      </c>
      <c r="Z195" s="2">
        <f>IFERROR(
  IF(ISNUMBER(B195),B195,
    IF(ISNUMBER(SEARCH("-",B195)*1),
      IF(LEN(LEFT(B195,FIND("-",B195)-1))=4,
        DATE(VALUE(LEFT(B195,4)),VALUE(MID(B195,6,2)),VALUE(RIGHT(B195,2))),
        DATE(VALUE(RIGHT(B195,4)),VALUE(MID(B195,4,2)),VALUE(LEFT(B195,2)))
      ),
      IF(ISNUMBER(SEARCH("/",B195)*1),
        DATE(VALUE(RIGHT(B195,4)),VALUE(LEFT(B195,2)),VALUE(MID(B195,4,2))),
        DATEVALUE(B195)
      )
    )
  ),
"INVALID_DATE")</f>
        <v>45466</v>
      </c>
      <c r="AA195" s="2">
        <f>IFERROR(
  IF(ISNUMBER(C195),C195,
    IF(ISNUMBER(SEARCH("-",C195)*1),
      IF(LEN(LEFT(C195,FIND("-",C195)-1))=4,
        DATE(VALUE(LEFT(C195,4)),VALUE(MID(C195,6,2)),VALUE(RIGHT(C195,2))),
        DATE(VALUE(RIGHT(C195,4)),VALUE(MID(C195,4,2)),VALUE(LEFT(C195,2)))
      ),
      IF(ISNUMBER(SEARCH("/",C195)*1),
        DATE(VALUE(RIGHT(C195,4)),VALUE(LEFT(C195,2)),VALUE(MID(C195,4,2))),
        DATEVALUE(C195)
      )
    )
  ),
"INVALID_DATE")</f>
        <v>45471</v>
      </c>
      <c r="AB195">
        <f>AA195-Z195</f>
        <v>5</v>
      </c>
      <c r="AC195" t="str">
        <f>TEXT(Z195,"mmmm")</f>
        <v>June</v>
      </c>
      <c r="AD195">
        <f>YEAR(Z195)</f>
        <v>2024</v>
      </c>
      <c r="AE195" t="str">
        <f t="shared" ref="AE195:AE258" si="11">IF(OR(Z195="INVALID_DATE",AA195="INVALID_DATE"),"Invalid Date",IF(AA195&lt;Z195,"Ship Before Order","OK"))</f>
        <v>OK</v>
      </c>
    </row>
    <row r="196" spans="1:31">
      <c r="A196" t="s">
        <v>1054</v>
      </c>
      <c r="B196" t="s">
        <v>1055</v>
      </c>
      <c r="C196" t="s">
        <v>1056</v>
      </c>
      <c r="D196" t="s">
        <v>1057</v>
      </c>
      <c r="E196" t="s">
        <v>149</v>
      </c>
      <c r="F196" t="s">
        <v>33</v>
      </c>
      <c r="G196" t="s">
        <v>1058</v>
      </c>
      <c r="H196" t="s">
        <v>81</v>
      </c>
      <c r="I196" t="s">
        <v>82</v>
      </c>
      <c r="J196" t="s">
        <v>52</v>
      </c>
      <c r="K196" t="s">
        <v>72</v>
      </c>
      <c r="L196" t="s">
        <v>1059</v>
      </c>
      <c r="M196" t="s">
        <v>63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144</v>
      </c>
      <c r="U196" t="s">
        <v>132</v>
      </c>
      <c r="V196">
        <f>O196*(1-P196)*N196</f>
        <v>7339.2344999999987</v>
      </c>
      <c r="W196">
        <f t="shared" si="9"/>
        <v>1905.1144999999988</v>
      </c>
      <c r="X196">
        <f t="shared" si="10"/>
        <v>0.25957900215690199</v>
      </c>
      <c r="Y196" t="str">
        <f>_xlfn.TEXTJOIN(", ",TRUE,IF(G196="Unknown","Missing Region",""),IF(M196="Unknown","Missing Ship Mode",""),IF(P196&lt;0,"Negative Discount",""),IF(P196&gt;0.7,"High Discount",""),IF(C196&lt;B196,"Ship Before Order",""))</f>
        <v>Ship Before Order</v>
      </c>
      <c r="Z196" s="2">
        <f>IFERROR(
  IF(ISNUMBER(B196),B196,
    IF(ISNUMBER(SEARCH("-",B196)*1),
      IF(LEN(LEFT(B196,FIND("-",B196)-1))=4,
        DATE(VALUE(LEFT(B196,4)),VALUE(MID(B196,6,2)),VALUE(RIGHT(B196,2))),
        DATE(VALUE(RIGHT(B196,4)),VALUE(MID(B196,4,2)),VALUE(LEFT(B196,2)))
      ),
      IF(ISNUMBER(SEARCH("/",B196)*1),
        DATE(VALUE(RIGHT(B196,4)),VALUE(LEFT(B196,2)),VALUE(MID(B196,4,2))),
        DATEVALUE(B196)
      )
    )
  ),
"INVALID_DATE")</f>
        <v>45685</v>
      </c>
      <c r="AA196" s="2">
        <f>IFERROR(
  IF(ISNUMBER(C196),C196,
    IF(ISNUMBER(SEARCH("-",C196)*1),
      IF(LEN(LEFT(C196,FIND("-",C196)-1))=4,
        DATE(VALUE(LEFT(C196,4)),VALUE(MID(C196,6,2)),VALUE(RIGHT(C196,2))),
        DATE(VALUE(RIGHT(C196,4)),VALUE(MID(C196,4,2)),VALUE(LEFT(C196,2)))
      ),
      IF(ISNUMBER(SEARCH("/",C196)*1),
        DATE(VALUE(RIGHT(C196,4)),VALUE(LEFT(C196,2)),VALUE(MID(C196,4,2))),
        DATEVALUE(C196)
      )
    )
  ),
"INVALID_DATE")</f>
        <v>45688</v>
      </c>
      <c r="AB196">
        <f>AA196-Z196</f>
        <v>3</v>
      </c>
      <c r="AC196" t="str">
        <f>TEXT(Z196,"mmmm")</f>
        <v>January</v>
      </c>
      <c r="AD196">
        <f>YEAR(Z196)</f>
        <v>2025</v>
      </c>
      <c r="AE196" t="str">
        <f t="shared" si="11"/>
        <v>OK</v>
      </c>
    </row>
    <row r="197" spans="1:31">
      <c r="A197" t="s">
        <v>1060</v>
      </c>
      <c r="B197" t="s">
        <v>1061</v>
      </c>
      <c r="C197" t="s">
        <v>1062</v>
      </c>
      <c r="D197" t="s">
        <v>1063</v>
      </c>
      <c r="E197" t="s">
        <v>100</v>
      </c>
      <c r="F197" t="s">
        <v>122</v>
      </c>
      <c r="G197" t="s">
        <v>69</v>
      </c>
      <c r="H197" t="s">
        <v>107</v>
      </c>
      <c r="I197" t="s">
        <v>108</v>
      </c>
      <c r="J197" t="s">
        <v>52</v>
      </c>
      <c r="K197" t="s">
        <v>72</v>
      </c>
      <c r="L197" t="s">
        <v>1064</v>
      </c>
      <c r="M197" t="s">
        <v>55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41</v>
      </c>
      <c r="U197" t="s">
        <v>42</v>
      </c>
      <c r="V197">
        <f>O197*(1-P197)*N197</f>
        <v>9614.15</v>
      </c>
      <c r="W197">
        <f t="shared" si="9"/>
        <v>2037.3099999999995</v>
      </c>
      <c r="X197">
        <f t="shared" si="10"/>
        <v>0.21190744891644087</v>
      </c>
      <c r="Y197" t="str">
        <f>_xlfn.TEXTJOIN(", ",TRUE,IF(G197="Unknown","Missing Region",""),IF(M197="Unknown","Missing Ship Mode",""),IF(P197&lt;0,"Negative Discount",""),IF(P197&gt;0.7,"High Discount",""),IF(C197&lt;B197,"Ship Before Order",""))</f>
        <v>Ship Before Order</v>
      </c>
      <c r="Z197" s="2">
        <f>IFERROR(
  IF(ISNUMBER(B197),B197,
    IF(ISNUMBER(SEARCH("-",B197)*1),
      IF(LEN(LEFT(B197,FIND("-",B197)-1))=4,
        DATE(VALUE(LEFT(B197,4)),VALUE(MID(B197,6,2)),VALUE(RIGHT(B197,2))),
        DATE(VALUE(RIGHT(B197,4)),VALUE(MID(B197,4,2)),VALUE(LEFT(B197,2)))
      ),
      IF(ISNUMBER(SEARCH("/",B197)*1),
        DATE(VALUE(RIGHT(B197,4)),VALUE(LEFT(B197,2)),VALUE(MID(B197,4,2))),
        DATEVALUE(B197)
      )
    )
  ),
"INVALID_DATE")</f>
        <v>45860</v>
      </c>
      <c r="AA197" s="2">
        <f>IFERROR(
  IF(ISNUMBER(C197),C197,
    IF(ISNUMBER(SEARCH("-",C197)*1),
      IF(LEN(LEFT(C197,FIND("-",C197)-1))=4,
        DATE(VALUE(LEFT(C197,4)),VALUE(MID(C197,6,2)),VALUE(RIGHT(C197,2))),
        DATE(VALUE(RIGHT(C197,4)),VALUE(MID(C197,4,2)),VALUE(LEFT(C197,2)))
      ),
      IF(ISNUMBER(SEARCH("/",C197)*1),
        DATE(VALUE(RIGHT(C197,4)),VALUE(LEFT(C197,2)),VALUE(MID(C197,4,2))),
        DATEVALUE(C197)
      )
    )
  ),
"INVALID_DATE")</f>
        <v>45862</v>
      </c>
      <c r="AB197">
        <f>AA197-Z197</f>
        <v>2</v>
      </c>
      <c r="AC197" t="str">
        <f>TEXT(Z197,"mmmm")</f>
        <v>July</v>
      </c>
      <c r="AD197">
        <f>YEAR(Z197)</f>
        <v>2025</v>
      </c>
      <c r="AE197" t="str">
        <f t="shared" si="11"/>
        <v>OK</v>
      </c>
    </row>
    <row r="198" spans="1:31">
      <c r="A198" t="s">
        <v>1065</v>
      </c>
      <c r="B198" t="s">
        <v>1066</v>
      </c>
      <c r="C198" t="s">
        <v>1067</v>
      </c>
      <c r="D198" t="s">
        <v>1068</v>
      </c>
      <c r="E198" t="s">
        <v>374</v>
      </c>
      <c r="F198" t="s">
        <v>122</v>
      </c>
      <c r="G198" t="s">
        <v>34</v>
      </c>
      <c r="H198" t="s">
        <v>181</v>
      </c>
      <c r="I198" t="s">
        <v>182</v>
      </c>
      <c r="J198" t="s">
        <v>37</v>
      </c>
      <c r="K198" t="s">
        <v>163</v>
      </c>
      <c r="L198" t="s">
        <v>1069</v>
      </c>
      <c r="M198" t="s">
        <v>63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41</v>
      </c>
      <c r="U198" t="s">
        <v>42</v>
      </c>
      <c r="V198">
        <f>O198*(1-P198)*N198</f>
        <v>3272.4809999999998</v>
      </c>
      <c r="W198">
        <f t="shared" si="9"/>
        <v>755.04099999999971</v>
      </c>
      <c r="X198">
        <f t="shared" si="10"/>
        <v>0.23072409915415831</v>
      </c>
      <c r="Y198" t="s">
        <v>4120</v>
      </c>
      <c r="Z198" s="2">
        <f>IFERROR(
  IF(ISNUMBER(B198),B198,
    IF(ISNUMBER(SEARCH("-",B198)*1),
      IF(LEN(LEFT(B198,FIND("-",B198)-1))=4,
        DATE(VALUE(LEFT(B198,4)),VALUE(MID(B198,6,2)),VALUE(RIGHT(B198,2))),
        DATE(VALUE(RIGHT(B198,4)),VALUE(MID(B198,4,2)),VALUE(LEFT(B198,2)))
      ),
      IF(ISNUMBER(SEARCH("/",B198)*1),
        DATE(VALUE(RIGHT(B198,4)),VALUE(LEFT(B198,2)),VALUE(MID(B198,4,2))),
        DATEVALUE(B198)
      )
    )
  ),
"INVALID_DATE")</f>
        <v>45313</v>
      </c>
      <c r="AA198" s="2">
        <f>IFERROR(
  IF(ISNUMBER(C198),C198,
    IF(ISNUMBER(SEARCH("-",C198)*1),
      IF(LEN(LEFT(C198,FIND("-",C198)-1))=4,
        DATE(VALUE(LEFT(C198,4)),VALUE(MID(C198,6,2)),VALUE(RIGHT(C198,2))),
        DATE(VALUE(RIGHT(C198,4)),VALUE(MID(C198,4,2)),VALUE(LEFT(C198,2)))
      ),
      IF(ISNUMBER(SEARCH("/",C198)*1),
        DATE(VALUE(RIGHT(C198,4)),VALUE(LEFT(C198,2)),VALUE(MID(C198,4,2))),
        DATEVALUE(C198)
      )
    )
  ),
"INVALID_DATE")</f>
        <v>45316</v>
      </c>
      <c r="AB198">
        <f>AA198-Z198</f>
        <v>3</v>
      </c>
      <c r="AC198" t="str">
        <f>TEXT(Z198,"mmmm")</f>
        <v>January</v>
      </c>
      <c r="AD198">
        <f>YEAR(Z198)</f>
        <v>2024</v>
      </c>
      <c r="AE198" t="str">
        <f t="shared" si="11"/>
        <v>OK</v>
      </c>
    </row>
    <row r="199" spans="1:31">
      <c r="A199" t="s">
        <v>1070</v>
      </c>
      <c r="B199" t="s">
        <v>377</v>
      </c>
      <c r="C199" t="s">
        <v>1071</v>
      </c>
      <c r="D199" t="s">
        <v>572</v>
      </c>
      <c r="E199" t="s">
        <v>155</v>
      </c>
      <c r="F199" t="s">
        <v>709</v>
      </c>
      <c r="G199" t="s">
        <v>49</v>
      </c>
      <c r="H199" t="s">
        <v>193</v>
      </c>
      <c r="I199" t="s">
        <v>194</v>
      </c>
      <c r="J199" t="s">
        <v>37</v>
      </c>
      <c r="K199" t="s">
        <v>163</v>
      </c>
      <c r="L199" t="s">
        <v>1072</v>
      </c>
      <c r="M199" t="s">
        <v>40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41</v>
      </c>
      <c r="U199" t="s">
        <v>42</v>
      </c>
      <c r="V199">
        <f>O199*(1-P199)*N199</f>
        <v>17409.87</v>
      </c>
      <c r="W199">
        <f t="shared" si="9"/>
        <v>3333.619999999999</v>
      </c>
      <c r="X199">
        <f t="shared" si="10"/>
        <v>0.19147874165631334</v>
      </c>
      <c r="Y199" t="str">
        <f>_xlfn.TEXTJOIN(", ",TRUE,IF(G199="Unknown","Missing Region",""),IF(M199="Unknown","Missing Ship Mode",""),IF(P199&lt;0,"Negative Discount",""),IF(P199&gt;0.7,"High Discount",""),IF(C199&lt;B199,"Ship Before Order",""))</f>
        <v>Ship Before Order</v>
      </c>
      <c r="Z199" s="2">
        <f>IFERROR(
  IF(ISNUMBER(B199),B199,
    IF(ISNUMBER(SEARCH("-",B199)*1),
      IF(LEN(LEFT(B199,FIND("-",B199)-1))=4,
        DATE(VALUE(LEFT(B199,4)),VALUE(MID(B199,6,2)),VALUE(RIGHT(B199,2))),
        DATE(VALUE(RIGHT(B199,4)),VALUE(MID(B199,4,2)),VALUE(LEFT(B199,2)))
      ),
      IF(ISNUMBER(SEARCH("/",B199)*1),
        DATE(VALUE(RIGHT(B199,4)),VALUE(LEFT(B199,2)),VALUE(MID(B199,4,2))),
        DATEVALUE(B199)
      )
    )
  ),
"INVALID_DATE")</f>
        <v>45747</v>
      </c>
      <c r="AA199" s="2">
        <f>IFERROR(
  IF(ISNUMBER(C199),C199,
    IF(ISNUMBER(SEARCH("-",C199)*1),
      IF(LEN(LEFT(C199,FIND("-",C199)-1))=4,
        DATE(VALUE(LEFT(C199,4)),VALUE(MID(C199,6,2)),VALUE(RIGHT(C199,2))),
        DATE(VALUE(RIGHT(C199,4)),VALUE(MID(C199,4,2)),VALUE(LEFT(C199,2)))
      ),
      IF(ISNUMBER(SEARCH("/",C199)*1),
        DATE(VALUE(RIGHT(C199,4)),VALUE(LEFT(C199,2)),VALUE(MID(C199,4,2))),
        DATEVALUE(C199)
      )
    )
  ),
"INVALID_DATE")</f>
        <v>45754</v>
      </c>
      <c r="AB199">
        <f>AA199-Z199</f>
        <v>7</v>
      </c>
      <c r="AC199" t="str">
        <f>TEXT(Z199,"mmmm")</f>
        <v>March</v>
      </c>
      <c r="AD199">
        <f>YEAR(Z199)</f>
        <v>2025</v>
      </c>
      <c r="AE199" t="str">
        <f t="shared" si="11"/>
        <v>OK</v>
      </c>
    </row>
    <row r="200" spans="1:31">
      <c r="A200" t="s">
        <v>1073</v>
      </c>
      <c r="B200" t="s">
        <v>1074</v>
      </c>
      <c r="C200" t="s">
        <v>1075</v>
      </c>
      <c r="D200" t="s">
        <v>1076</v>
      </c>
      <c r="E200" t="s">
        <v>175</v>
      </c>
      <c r="F200" t="s">
        <v>33</v>
      </c>
      <c r="G200" t="s">
        <v>80</v>
      </c>
      <c r="H200" t="s">
        <v>242</v>
      </c>
      <c r="I200" t="s">
        <v>243</v>
      </c>
      <c r="J200" t="s">
        <v>37</v>
      </c>
      <c r="K200" t="s">
        <v>61</v>
      </c>
      <c r="L200" t="s">
        <v>1077</v>
      </c>
      <c r="M200" t="s">
        <v>40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207</v>
      </c>
      <c r="U200" t="s">
        <v>85</v>
      </c>
      <c r="V200">
        <f>O200*(1-P200)*N200</f>
        <v>1125.3509999999999</v>
      </c>
      <c r="W200">
        <f t="shared" si="9"/>
        <v>448.38099999999986</v>
      </c>
      <c r="X200">
        <f t="shared" si="10"/>
        <v>0.39843604212022932</v>
      </c>
      <c r="Y200" t="s">
        <v>4120</v>
      </c>
      <c r="Z200" s="2">
        <f>IFERROR(
  IF(ISNUMBER(B200),B200,
    IF(ISNUMBER(SEARCH("-",B200)*1),
      IF(LEN(LEFT(B200,FIND("-",B200)-1))=4,
        DATE(VALUE(LEFT(B200,4)),VALUE(MID(B200,6,2)),VALUE(RIGHT(B200,2))),
        DATE(VALUE(RIGHT(B200,4)),VALUE(MID(B200,4,2)),VALUE(LEFT(B200,2)))
      ),
      IF(ISNUMBER(SEARCH("/",B200)*1),
        DATE(VALUE(RIGHT(B200,4)),VALUE(LEFT(B200,2)),VALUE(MID(B200,4,2))),
        DATEVALUE(B200)
      )
    )
  ),
"INVALID_DATE")</f>
        <v>45448</v>
      </c>
      <c r="AA200" s="2">
        <f>IFERROR(
  IF(ISNUMBER(C200),C200,
    IF(ISNUMBER(SEARCH("-",C200)*1),
      IF(LEN(LEFT(C200,FIND("-",C200)-1))=4,
        DATE(VALUE(LEFT(C200,4)),VALUE(MID(C200,6,2)),VALUE(RIGHT(C200,2))),
        DATE(VALUE(RIGHT(C200,4)),VALUE(MID(C200,4,2)),VALUE(LEFT(C200,2)))
      ),
      IF(ISNUMBER(SEARCH("/",C200)*1),
        DATE(VALUE(RIGHT(C200,4)),VALUE(LEFT(C200,2)),VALUE(MID(C200,4,2))),
        DATEVALUE(C200)
      )
    )
  ),
"INVALID_DATE")</f>
        <v>45449</v>
      </c>
      <c r="AB200">
        <f>AA200-Z200</f>
        <v>1</v>
      </c>
      <c r="AC200" t="str">
        <f>TEXT(Z200,"mmmm")</f>
        <v>June</v>
      </c>
      <c r="AD200">
        <f>YEAR(Z200)</f>
        <v>2024</v>
      </c>
      <c r="AE200" t="str">
        <f t="shared" si="11"/>
        <v>OK</v>
      </c>
    </row>
    <row r="201" spans="1:31">
      <c r="A201" t="s">
        <v>1078</v>
      </c>
      <c r="B201" t="s">
        <v>311</v>
      </c>
      <c r="C201" t="s">
        <v>1079</v>
      </c>
      <c r="D201" t="s">
        <v>1080</v>
      </c>
      <c r="E201" t="s">
        <v>155</v>
      </c>
      <c r="F201" t="s">
        <v>122</v>
      </c>
      <c r="G201" t="s">
        <v>49</v>
      </c>
      <c r="H201" t="s">
        <v>193</v>
      </c>
      <c r="I201" t="s">
        <v>194</v>
      </c>
      <c r="J201" t="s">
        <v>93</v>
      </c>
      <c r="K201" t="s">
        <v>390</v>
      </c>
      <c r="L201" t="s">
        <v>1081</v>
      </c>
      <c r="M201" t="s">
        <v>279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41</v>
      </c>
      <c r="U201" t="s">
        <v>42</v>
      </c>
      <c r="V201">
        <f>O201*(1-P201)*N201</f>
        <v>9835.11</v>
      </c>
      <c r="W201">
        <f t="shared" si="9"/>
        <v>4397.47</v>
      </c>
      <c r="X201">
        <f t="shared" si="10"/>
        <v>0.44711955433136996</v>
      </c>
      <c r="Y201" t="str">
        <f>_xlfn.TEXTJOIN(", ",TRUE,IF(G201="Unknown","Missing Region",""),IF(M201="Unknown","Missing Ship Mode",""),IF(P201&lt;0,"Negative Discount",""),IF(P201&gt;0.7,"High Discount",""),IF(C201&lt;B201,"Ship Before Order",""))</f>
        <v>Missing Ship Mode</v>
      </c>
      <c r="Z201" s="2">
        <f>IFERROR(
  IF(ISNUMBER(B201),B201,
    IF(ISNUMBER(SEARCH("-",B201)*1),
      IF(LEN(LEFT(B201,FIND("-",B201)-1))=4,
        DATE(VALUE(LEFT(B201,4)),VALUE(MID(B201,6,2)),VALUE(RIGHT(B201,2))),
        DATE(VALUE(RIGHT(B201,4)),VALUE(MID(B201,4,2)),VALUE(LEFT(B201,2)))
      ),
      IF(ISNUMBER(SEARCH("/",B201)*1),
        DATE(VALUE(RIGHT(B201,4)),VALUE(LEFT(B201,2)),VALUE(MID(B201,4,2))),
        DATEVALUE(B201)
      )
    )
  ),
"INVALID_DATE")</f>
        <v>45363</v>
      </c>
      <c r="AA201" s="2">
        <f>IFERROR(
  IF(ISNUMBER(C201),C201,
    IF(ISNUMBER(SEARCH("-",C201)*1),
      IF(LEN(LEFT(C201,FIND("-",C201)-1))=4,
        DATE(VALUE(LEFT(C201,4)),VALUE(MID(C201,6,2)),VALUE(RIGHT(C201,2))),
        DATE(VALUE(RIGHT(C201,4)),VALUE(MID(C201,4,2)),VALUE(LEFT(C201,2)))
      ),
      IF(ISNUMBER(SEARCH("/",C201)*1),
        DATE(VALUE(RIGHT(C201,4)),VALUE(LEFT(C201,2)),VALUE(MID(C201,4,2))),
        DATEVALUE(C201)
      )
    )
  ),
"INVALID_DATE")</f>
        <v>45363</v>
      </c>
      <c r="AB201">
        <f>AA201-Z201</f>
        <v>0</v>
      </c>
      <c r="AC201" t="str">
        <f>TEXT(Z201,"mmmm")</f>
        <v>March</v>
      </c>
      <c r="AD201">
        <f>YEAR(Z201)</f>
        <v>2024</v>
      </c>
      <c r="AE201" t="str">
        <f t="shared" si="11"/>
        <v>OK</v>
      </c>
    </row>
    <row r="202" spans="1:31">
      <c r="A202" t="s">
        <v>1082</v>
      </c>
      <c r="B202" t="s">
        <v>1005</v>
      </c>
      <c r="C202" t="s">
        <v>1083</v>
      </c>
      <c r="D202" t="s">
        <v>1084</v>
      </c>
      <c r="E202" t="s">
        <v>149</v>
      </c>
      <c r="F202" t="s">
        <v>48</v>
      </c>
      <c r="G202" t="s">
        <v>34</v>
      </c>
      <c r="H202" t="s">
        <v>35</v>
      </c>
      <c r="I202" t="s">
        <v>36</v>
      </c>
      <c r="J202" t="s">
        <v>93</v>
      </c>
      <c r="K202" t="s">
        <v>101</v>
      </c>
      <c r="L202" t="s">
        <v>1085</v>
      </c>
      <c r="M202" t="s">
        <v>63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144</v>
      </c>
      <c r="U202" t="s">
        <v>85</v>
      </c>
      <c r="V202">
        <f>O202*(1-P202)*N202</f>
        <v>12907.98</v>
      </c>
      <c r="W202">
        <f t="shared" si="9"/>
        <v>3710.8999999999996</v>
      </c>
      <c r="X202">
        <f t="shared" si="10"/>
        <v>0.28748882474252363</v>
      </c>
      <c r="Y202" t="str">
        <f>_xlfn.TEXTJOIN(", ",TRUE,IF(G202="Unknown","Missing Region",""),IF(M202="Unknown","Missing Ship Mode",""),IF(P202&lt;0,"Negative Discount",""),IF(P202&gt;0.7,"High Discount",""),IF(C202&lt;B202,"Ship Before Order",""))</f>
        <v>Ship Before Order</v>
      </c>
      <c r="Z202" s="2">
        <f>IFERROR(
  IF(ISNUMBER(B202),B202,
    IF(ISNUMBER(SEARCH("-",B202)*1),
      IF(LEN(LEFT(B202,FIND("-",B202)-1))=4,
        DATE(VALUE(LEFT(B202,4)),VALUE(MID(B202,6,2)),VALUE(RIGHT(B202,2))),
        DATE(VALUE(RIGHT(B202,4)),VALUE(MID(B202,4,2)),VALUE(LEFT(B202,2)))
      ),
      IF(ISNUMBER(SEARCH("/",B202)*1),
        DATE(VALUE(RIGHT(B202,4)),VALUE(LEFT(B202,2)),VALUE(MID(B202,4,2))),
        DATEVALUE(B202)
      )
    )
  ),
"INVALID_DATE")</f>
        <v>45835</v>
      </c>
      <c r="AA202" s="2">
        <f>IFERROR(
  IF(ISNUMBER(C202),C202,
    IF(ISNUMBER(SEARCH("-",C202)*1),
      IF(LEN(LEFT(C202,FIND("-",C202)-1))=4,
        DATE(VALUE(LEFT(C202,4)),VALUE(MID(C202,6,2)),VALUE(RIGHT(C202,2))),
        DATE(VALUE(RIGHT(C202,4)),VALUE(MID(C202,4,2)),VALUE(LEFT(C202,2)))
      ),
      IF(ISNUMBER(SEARCH("/",C202)*1),
        DATE(VALUE(RIGHT(C202,4)),VALUE(LEFT(C202,2)),VALUE(MID(C202,4,2))),
        DATEVALUE(C202)
      )
    )
  ),
"INVALID_DATE")</f>
        <v>45843</v>
      </c>
      <c r="AB202">
        <f>AA202-Z202</f>
        <v>8</v>
      </c>
      <c r="AC202" t="str">
        <f>TEXT(Z202,"mmmm")</f>
        <v>June</v>
      </c>
      <c r="AD202">
        <f>YEAR(Z202)</f>
        <v>2025</v>
      </c>
      <c r="AE202" t="str">
        <f t="shared" si="11"/>
        <v>OK</v>
      </c>
    </row>
    <row r="203" spans="1:31">
      <c r="A203" t="s">
        <v>1086</v>
      </c>
      <c r="B203" t="s">
        <v>1087</v>
      </c>
      <c r="C203" t="s">
        <v>1088</v>
      </c>
      <c r="D203" t="s">
        <v>1089</v>
      </c>
      <c r="E203" t="s">
        <v>90</v>
      </c>
      <c r="F203" t="s">
        <v>33</v>
      </c>
      <c r="G203" t="s">
        <v>80</v>
      </c>
      <c r="H203" t="s">
        <v>91</v>
      </c>
      <c r="I203" t="s">
        <v>92</v>
      </c>
      <c r="J203" t="s">
        <v>37</v>
      </c>
      <c r="K203" t="s">
        <v>116</v>
      </c>
      <c r="L203" t="s">
        <v>1090</v>
      </c>
      <c r="M203" t="s">
        <v>40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131</v>
      </c>
      <c r="U203" t="s">
        <v>85</v>
      </c>
      <c r="V203">
        <f>O203*(1-P203)*N203</f>
        <v>5808.1895999999997</v>
      </c>
      <c r="W203">
        <f t="shared" si="9"/>
        <v>2853.3295999999996</v>
      </c>
      <c r="X203">
        <f t="shared" si="10"/>
        <v>0.37880173481250695</v>
      </c>
      <c r="Y203" t="str">
        <f>_xlfn.TEXTJOIN(", ",TRUE,IF(G203="Unknown","Missing Region",""),IF(M203="Unknown","Missing Ship Mode",""),IF(P203&lt;0,"Negative Discount",""),IF(P203&gt;0.7,"High Discount",""),IF(C203&lt;B203,"Ship Before Order",""))</f>
        <v>Negative Discount, Ship Before Order</v>
      </c>
      <c r="Z203" s="2">
        <f>IFERROR(
  IF(ISNUMBER(B203),B203,
    IF(ISNUMBER(SEARCH("-",B203)*1),
      IF(LEN(LEFT(B203,FIND("-",B203)-1))=4,
        DATE(VALUE(LEFT(B203,4)),VALUE(MID(B203,6,2)),VALUE(RIGHT(B203,2))),
        DATE(VALUE(RIGHT(B203,4)),VALUE(MID(B203,4,2)),VALUE(LEFT(B203,2)))
      ),
      IF(ISNUMBER(SEARCH("/",B203)*1),
        DATE(VALUE(RIGHT(B203,4)),VALUE(LEFT(B203,2)),VALUE(MID(B203,4,2))),
        DATEVALUE(B203)
      )
    )
  ),
"INVALID_DATE")</f>
        <v>45864</v>
      </c>
      <c r="AA203" s="2">
        <f>IFERROR(
  IF(ISNUMBER(C203),C203,
    IF(ISNUMBER(SEARCH("-",C203)*1),
      IF(LEN(LEFT(C203,FIND("-",C203)-1))=4,
        DATE(VALUE(LEFT(C203,4)),VALUE(MID(C203,6,2)),VALUE(RIGHT(C203,2))),
        DATE(VALUE(RIGHT(C203,4)),VALUE(MID(C203,4,2)),VALUE(LEFT(C203,2)))
      ),
      IF(ISNUMBER(SEARCH("/",C203)*1),
        DATE(VALUE(RIGHT(C203,4)),VALUE(LEFT(C203,2)),VALUE(MID(C203,4,2))),
        DATEVALUE(C203)
      )
    )
  ),
"INVALID_DATE")</f>
        <v>45872</v>
      </c>
      <c r="AB203">
        <f>AA203-Z203</f>
        <v>8</v>
      </c>
      <c r="AC203" t="str">
        <f>TEXT(Z203,"mmmm")</f>
        <v>July</v>
      </c>
      <c r="AD203">
        <f>YEAR(Z203)</f>
        <v>2025</v>
      </c>
      <c r="AE203" t="str">
        <f t="shared" si="11"/>
        <v>OK</v>
      </c>
    </row>
    <row r="204" spans="1:31">
      <c r="A204" t="s">
        <v>1091</v>
      </c>
      <c r="B204" t="s">
        <v>1092</v>
      </c>
      <c r="C204" t="s">
        <v>1093</v>
      </c>
      <c r="D204" t="s">
        <v>1094</v>
      </c>
      <c r="E204" t="s">
        <v>175</v>
      </c>
      <c r="F204" t="s">
        <v>115</v>
      </c>
      <c r="G204" t="s">
        <v>80</v>
      </c>
      <c r="H204" t="s">
        <v>256</v>
      </c>
      <c r="I204" t="s">
        <v>257</v>
      </c>
      <c r="J204" t="s">
        <v>93</v>
      </c>
      <c r="K204" t="s">
        <v>94</v>
      </c>
      <c r="L204" t="s">
        <v>1095</v>
      </c>
      <c r="M204" t="s">
        <v>74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41</v>
      </c>
      <c r="U204" t="s">
        <v>42</v>
      </c>
      <c r="V204">
        <f>O204*(1-P204)*N204</f>
        <v>13231.144</v>
      </c>
      <c r="W204">
        <f t="shared" si="9"/>
        <v>1941.0840000000007</v>
      </c>
      <c r="X204">
        <f t="shared" si="10"/>
        <v>0.14670542372010273</v>
      </c>
      <c r="Y204" t="s">
        <v>4120</v>
      </c>
      <c r="Z204" s="2">
        <f>IFERROR(
  IF(ISNUMBER(B204),B204,
    IF(ISNUMBER(SEARCH("-",B204)*1),
      IF(LEN(LEFT(B204,FIND("-",B204)-1))=4,
        DATE(VALUE(LEFT(B204,4)),VALUE(MID(B204,6,2)),VALUE(RIGHT(B204,2))),
        DATE(VALUE(RIGHT(B204,4)),VALUE(MID(B204,4,2)),VALUE(LEFT(B204,2)))
      ),
      IF(ISNUMBER(SEARCH("/",B204)*1),
        DATE(VALUE(RIGHT(B204,4)),VALUE(LEFT(B204,2)),VALUE(MID(B204,4,2))),
        DATEVALUE(B204)
      )
    )
  ),
"INVALID_DATE")</f>
        <v>45744</v>
      </c>
      <c r="AA204" s="2">
        <f>IFERROR(
  IF(ISNUMBER(C204),C204,
    IF(ISNUMBER(SEARCH("-",C204)*1),
      IF(LEN(LEFT(C204,FIND("-",C204)-1))=4,
        DATE(VALUE(LEFT(C204,4)),VALUE(MID(C204,6,2)),VALUE(RIGHT(C204,2))),
        DATE(VALUE(RIGHT(C204,4)),VALUE(MID(C204,4,2)),VALUE(LEFT(C204,2)))
      ),
      IF(ISNUMBER(SEARCH("/",C204)*1),
        DATE(VALUE(RIGHT(C204,4)),VALUE(LEFT(C204,2)),VALUE(MID(C204,4,2))),
        DATEVALUE(C204)
      )
    )
  ),
"INVALID_DATE")</f>
        <v>45744</v>
      </c>
      <c r="AB204">
        <f>AA204-Z204</f>
        <v>0</v>
      </c>
      <c r="AC204" t="str">
        <f>TEXT(Z204,"mmmm")</f>
        <v>March</v>
      </c>
      <c r="AD204">
        <f>YEAR(Z204)</f>
        <v>2025</v>
      </c>
      <c r="AE204" t="str">
        <f t="shared" si="11"/>
        <v>OK</v>
      </c>
    </row>
    <row r="205" spans="1:31">
      <c r="A205" t="s">
        <v>1096</v>
      </c>
      <c r="B205" t="s">
        <v>1097</v>
      </c>
      <c r="C205" t="s">
        <v>1098</v>
      </c>
      <c r="D205" t="s">
        <v>1099</v>
      </c>
      <c r="E205" t="s">
        <v>175</v>
      </c>
      <c r="F205" t="s">
        <v>115</v>
      </c>
      <c r="G205" t="s">
        <v>80</v>
      </c>
      <c r="H205" t="s">
        <v>35</v>
      </c>
      <c r="I205" t="s">
        <v>142</v>
      </c>
      <c r="J205" t="s">
        <v>93</v>
      </c>
      <c r="K205" t="s">
        <v>94</v>
      </c>
      <c r="L205" t="s">
        <v>1100</v>
      </c>
      <c r="M205" t="s">
        <v>40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41</v>
      </c>
      <c r="U205" t="s">
        <v>42</v>
      </c>
      <c r="V205">
        <f>O205*(1-P205)*N205</f>
        <v>484.78899999999999</v>
      </c>
      <c r="W205">
        <f t="shared" si="9"/>
        <v>151.24899999999997</v>
      </c>
      <c r="X205">
        <f t="shared" si="10"/>
        <v>0.31199075888529054</v>
      </c>
      <c r="Y205" t="str">
        <f>_xlfn.TEXTJOIN(", ",TRUE,IF(G205="Unknown","Missing Region",""),IF(M205="Unknown","Missing Ship Mode",""),IF(P205&lt;0,"Negative Discount",""),IF(P205&gt;0.7,"High Discount",""),IF(C205&lt;B205,"Ship Before Order",""))</f>
        <v>Ship Before Order</v>
      </c>
      <c r="Z205" s="2">
        <f>IFERROR(
  IF(ISNUMBER(B205),B205,
    IF(ISNUMBER(SEARCH("-",B205)*1),
      IF(LEN(LEFT(B205,FIND("-",B205)-1))=4,
        DATE(VALUE(LEFT(B205,4)),VALUE(MID(B205,6,2)),VALUE(RIGHT(B205,2))),
        DATE(VALUE(RIGHT(B205,4)),VALUE(MID(B205,4,2)),VALUE(LEFT(B205,2)))
      ),
      IF(ISNUMBER(SEARCH("/",B205)*1),
        DATE(VALUE(RIGHT(B205,4)),VALUE(LEFT(B205,2)),VALUE(MID(B205,4,2))),
        DATEVALUE(B205)
      )
    )
  ),
"INVALID_DATE")</f>
        <v>45379</v>
      </c>
      <c r="AA205" s="2">
        <f>IFERROR(
  IF(ISNUMBER(C205),C205,
    IF(ISNUMBER(SEARCH("-",C205)*1),
      IF(LEN(LEFT(C205,FIND("-",C205)-1))=4,
        DATE(VALUE(LEFT(C205,4)),VALUE(MID(C205,6,2)),VALUE(RIGHT(C205,2))),
        DATE(VALUE(RIGHT(C205,4)),VALUE(MID(C205,4,2)),VALUE(LEFT(C205,2)))
      ),
      IF(ISNUMBER(SEARCH("/",C205)*1),
        DATE(VALUE(RIGHT(C205,4)),VALUE(LEFT(C205,2)),VALUE(MID(C205,4,2))),
        DATEVALUE(C205)
      )
    )
  ),
"INVALID_DATE")</f>
        <v>45381</v>
      </c>
      <c r="AB205">
        <f>AA205-Z205</f>
        <v>2</v>
      </c>
      <c r="AC205" t="str">
        <f>TEXT(Z205,"mmmm")</f>
        <v>March</v>
      </c>
      <c r="AD205">
        <f>YEAR(Z205)</f>
        <v>2024</v>
      </c>
      <c r="AE205" t="str">
        <f t="shared" si="11"/>
        <v>OK</v>
      </c>
    </row>
    <row r="206" spans="1:31">
      <c r="A206" t="s">
        <v>1101</v>
      </c>
      <c r="B206" t="s">
        <v>1102</v>
      </c>
      <c r="C206" t="s">
        <v>1103</v>
      </c>
      <c r="D206" t="s">
        <v>1104</v>
      </c>
      <c r="E206" t="s">
        <v>47</v>
      </c>
      <c r="F206" t="s">
        <v>122</v>
      </c>
      <c r="G206" t="s">
        <v>49</v>
      </c>
      <c r="H206" t="s">
        <v>128</v>
      </c>
      <c r="I206" t="s">
        <v>129</v>
      </c>
      <c r="J206" t="s">
        <v>52</v>
      </c>
      <c r="K206" t="s">
        <v>53</v>
      </c>
      <c r="L206" t="s">
        <v>1105</v>
      </c>
      <c r="M206" t="s">
        <v>40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41</v>
      </c>
      <c r="U206" t="s">
        <v>42</v>
      </c>
      <c r="V206">
        <f>O206*(1-P206)*N206</f>
        <v>1624.146</v>
      </c>
      <c r="W206">
        <f t="shared" si="9"/>
        <v>406.15599999999995</v>
      </c>
      <c r="X206">
        <f t="shared" si="10"/>
        <v>0.25007542406797401</v>
      </c>
      <c r="Y206" t="s">
        <v>4120</v>
      </c>
      <c r="Z206" s="2">
        <f>IFERROR(
  IF(ISNUMBER(B206),B206,
    IF(ISNUMBER(SEARCH("-",B206)*1),
      IF(LEN(LEFT(B206,FIND("-",B206)-1))=4,
        DATE(VALUE(LEFT(B206,4)),VALUE(MID(B206,6,2)),VALUE(RIGHT(B206,2))),
        DATE(VALUE(RIGHT(B206,4)),VALUE(MID(B206,4,2)),VALUE(LEFT(B206,2)))
      ),
      IF(ISNUMBER(SEARCH("/",B206)*1),
        DATE(VALUE(RIGHT(B206,4)),VALUE(LEFT(B206,2)),VALUE(MID(B206,4,2))),
        DATEVALUE(B206)
      )
    )
  ),
"INVALID_DATE")</f>
        <v>45858</v>
      </c>
      <c r="AA206" s="2">
        <f>IFERROR(
  IF(ISNUMBER(C206),C206,
    IF(ISNUMBER(SEARCH("-",C206)*1),
      IF(LEN(LEFT(C206,FIND("-",C206)-1))=4,
        DATE(VALUE(LEFT(C206,4)),VALUE(MID(C206,6,2)),VALUE(RIGHT(C206,2))),
        DATE(VALUE(RIGHT(C206,4)),VALUE(MID(C206,4,2)),VALUE(LEFT(C206,2)))
      ),
      IF(ISNUMBER(SEARCH("/",C206)*1),
        DATE(VALUE(RIGHT(C206,4)),VALUE(LEFT(C206,2)),VALUE(MID(C206,4,2))),
        DATEVALUE(C206)
      )
    )
  ),
"INVALID_DATE")</f>
        <v>45861</v>
      </c>
      <c r="AB206">
        <f>AA206-Z206</f>
        <v>3</v>
      </c>
      <c r="AC206" t="str">
        <f>TEXT(Z206,"mmmm")</f>
        <v>July</v>
      </c>
      <c r="AD206">
        <f>YEAR(Z206)</f>
        <v>2025</v>
      </c>
      <c r="AE206" t="str">
        <f t="shared" si="11"/>
        <v>OK</v>
      </c>
    </row>
    <row r="207" spans="1:31">
      <c r="A207" t="s">
        <v>1106</v>
      </c>
      <c r="B207" t="s">
        <v>1107</v>
      </c>
      <c r="C207" t="s">
        <v>1108</v>
      </c>
      <c r="D207" t="s">
        <v>1109</v>
      </c>
      <c r="E207" t="s">
        <v>79</v>
      </c>
      <c r="F207" t="s">
        <v>33</v>
      </c>
      <c r="G207" t="s">
        <v>80</v>
      </c>
      <c r="H207" t="s">
        <v>81</v>
      </c>
      <c r="I207" t="s">
        <v>82</v>
      </c>
      <c r="J207" t="s">
        <v>926</v>
      </c>
      <c r="K207" t="s">
        <v>116</v>
      </c>
      <c r="L207" t="s">
        <v>1110</v>
      </c>
      <c r="M207" t="s">
        <v>55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41</v>
      </c>
      <c r="U207" t="s">
        <v>42</v>
      </c>
      <c r="V207">
        <f>O207*(1-P207)*N207</f>
        <v>4193.232</v>
      </c>
      <c r="W207">
        <f t="shared" si="9"/>
        <v>863.24200000000019</v>
      </c>
      <c r="X207">
        <f t="shared" si="10"/>
        <v>0.20586516837855307</v>
      </c>
      <c r="Y207" t="str">
        <f>_xlfn.TEXTJOIN(", ",TRUE,IF(G207="Unknown","Missing Region",""),IF(M207="Unknown","Missing Ship Mode",""),IF(P207&lt;0,"Negative Discount",""),IF(P207&gt;0.7,"High Discount",""),IF(C207&lt;B207,"Ship Before Order",""))</f>
        <v>Ship Before Order</v>
      </c>
      <c r="Z207" s="2">
        <f>IFERROR(
  IF(ISNUMBER(B207),B207,
    IF(ISNUMBER(SEARCH("-",B207)*1),
      IF(LEN(LEFT(B207,FIND("-",B207)-1))=4,
        DATE(VALUE(LEFT(B207,4)),VALUE(MID(B207,6,2)),VALUE(RIGHT(B207,2))),
        DATE(VALUE(RIGHT(B207,4)),VALUE(MID(B207,4,2)),VALUE(LEFT(B207,2)))
      ),
      IF(ISNUMBER(SEARCH("/",B207)*1),
        DATE(VALUE(RIGHT(B207,4)),VALUE(LEFT(B207,2)),VALUE(MID(B207,4,2))),
        DATEVALUE(B207)
      )
    )
  ),
"INVALID_DATE")</f>
        <v>45768</v>
      </c>
      <c r="AA207" s="2">
        <f>IFERROR(
  IF(ISNUMBER(C207),C207,
    IF(ISNUMBER(SEARCH("-",C207)*1),
      IF(LEN(LEFT(C207,FIND("-",C207)-1))=4,
        DATE(VALUE(LEFT(C207,4)),VALUE(MID(C207,6,2)),VALUE(RIGHT(C207,2))),
        DATE(VALUE(RIGHT(C207,4)),VALUE(MID(C207,4,2)),VALUE(LEFT(C207,2)))
      ),
      IF(ISNUMBER(SEARCH("/",C207)*1),
        DATE(VALUE(RIGHT(C207,4)),VALUE(LEFT(C207,2)),VALUE(MID(C207,4,2))),
        DATEVALUE(C207)
      )
    )
  ),
"INVALID_DATE")</f>
        <v>45773</v>
      </c>
      <c r="AB207">
        <f>AA207-Z207</f>
        <v>5</v>
      </c>
      <c r="AC207" t="str">
        <f>TEXT(Z207,"mmmm")</f>
        <v>April</v>
      </c>
      <c r="AD207">
        <f>YEAR(Z207)</f>
        <v>2025</v>
      </c>
      <c r="AE207" t="str">
        <f t="shared" si="11"/>
        <v>OK</v>
      </c>
    </row>
    <row r="208" spans="1:31">
      <c r="A208" t="s">
        <v>1111</v>
      </c>
      <c r="B208" t="s">
        <v>1112</v>
      </c>
      <c r="C208" t="s">
        <v>125</v>
      </c>
      <c r="D208" t="s">
        <v>1113</v>
      </c>
      <c r="E208" t="s">
        <v>217</v>
      </c>
      <c r="F208" t="s">
        <v>48</v>
      </c>
      <c r="G208" t="s">
        <v>34</v>
      </c>
      <c r="H208" t="s">
        <v>181</v>
      </c>
      <c r="I208" t="s">
        <v>182</v>
      </c>
      <c r="J208" t="s">
        <v>52</v>
      </c>
      <c r="K208" t="s">
        <v>72</v>
      </c>
      <c r="L208" t="s">
        <v>1114</v>
      </c>
      <c r="M208" t="s">
        <v>63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41</v>
      </c>
      <c r="U208" t="s">
        <v>42</v>
      </c>
      <c r="V208">
        <f>O208*(1-P208)*N208</f>
        <v>430.26</v>
      </c>
      <c r="W208">
        <f t="shared" si="9"/>
        <v>143.88</v>
      </c>
      <c r="X208">
        <f t="shared" si="10"/>
        <v>0.33440245432994004</v>
      </c>
      <c r="Y208" t="s">
        <v>4120</v>
      </c>
      <c r="Z208" s="2">
        <f>IFERROR(
  IF(ISNUMBER(B208),B208,
    IF(ISNUMBER(SEARCH("-",B208)*1),
      IF(LEN(LEFT(B208,FIND("-",B208)-1))=4,
        DATE(VALUE(LEFT(B208,4)),VALUE(MID(B208,6,2)),VALUE(RIGHT(B208,2))),
        DATE(VALUE(RIGHT(B208,4)),VALUE(MID(B208,4,2)),VALUE(LEFT(B208,2)))
      ),
      IF(ISNUMBER(SEARCH("/",B208)*1),
        DATE(VALUE(RIGHT(B208,4)),VALUE(LEFT(B208,2)),VALUE(MID(B208,4,2))),
        DATEVALUE(B208)
      )
    )
  ),
"INVALID_DATE")</f>
        <v>45795</v>
      </c>
      <c r="AA208" s="2">
        <f>IFERROR(
  IF(ISNUMBER(C208),C208,
    IF(ISNUMBER(SEARCH("-",C208)*1),
      IF(LEN(LEFT(C208,FIND("-",C208)-1))=4,
        DATE(VALUE(LEFT(C208,4)),VALUE(MID(C208,6,2)),VALUE(RIGHT(C208,2))),
        DATE(VALUE(RIGHT(C208,4)),VALUE(MID(C208,4,2)),VALUE(LEFT(C208,2)))
      ),
      IF(ISNUMBER(SEARCH("/",C208)*1),
        DATE(VALUE(RIGHT(C208,4)),VALUE(LEFT(C208,2)),VALUE(MID(C208,4,2))),
        DATEVALUE(C208)
      )
    )
  ),
"INVALID_DATE")</f>
        <v>45797</v>
      </c>
      <c r="AB208">
        <f>AA208-Z208</f>
        <v>2</v>
      </c>
      <c r="AC208" t="str">
        <f>TEXT(Z208,"mmmm")</f>
        <v>May</v>
      </c>
      <c r="AD208">
        <f>YEAR(Z208)</f>
        <v>2025</v>
      </c>
      <c r="AE208" t="str">
        <f t="shared" si="11"/>
        <v>OK</v>
      </c>
    </row>
    <row r="209" spans="1:31">
      <c r="A209" t="s">
        <v>1115</v>
      </c>
      <c r="B209" t="s">
        <v>1116</v>
      </c>
      <c r="C209" t="s">
        <v>1117</v>
      </c>
      <c r="D209" t="s">
        <v>1118</v>
      </c>
      <c r="E209" t="s">
        <v>169</v>
      </c>
      <c r="F209" t="s">
        <v>122</v>
      </c>
      <c r="G209" t="s">
        <v>80</v>
      </c>
      <c r="H209" t="s">
        <v>256</v>
      </c>
      <c r="I209" t="s">
        <v>257</v>
      </c>
      <c r="J209" t="s">
        <v>52</v>
      </c>
      <c r="K209" t="s">
        <v>211</v>
      </c>
      <c r="L209" t="s">
        <v>1119</v>
      </c>
      <c r="M209" t="s">
        <v>40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41</v>
      </c>
      <c r="U209" t="s">
        <v>42</v>
      </c>
      <c r="V209">
        <f>O209*(1-P209)*N209</f>
        <v>1752.7200000000003</v>
      </c>
      <c r="W209">
        <f t="shared" si="9"/>
        <v>756.31000000000029</v>
      </c>
      <c r="X209">
        <f t="shared" si="10"/>
        <v>0.43150645853302294</v>
      </c>
      <c r="Y209" t="s">
        <v>4120</v>
      </c>
      <c r="Z209" s="2">
        <f>IFERROR(
  IF(ISNUMBER(B209),B209,
    IF(ISNUMBER(SEARCH("-",B209)*1),
      IF(LEN(LEFT(B209,FIND("-",B209)-1))=4,
        DATE(VALUE(LEFT(B209,4)),VALUE(MID(B209,6,2)),VALUE(RIGHT(B209,2))),
        DATE(VALUE(RIGHT(B209,4)),VALUE(MID(B209,4,2)),VALUE(LEFT(B209,2)))
      ),
      IF(ISNUMBER(SEARCH("/",B209)*1),
        DATE(VALUE(RIGHT(B209,4)),VALUE(LEFT(B209,2)),VALUE(MID(B209,4,2))),
        DATEVALUE(B209)
      )
    )
  ),
"INVALID_DATE")</f>
        <v>45483</v>
      </c>
      <c r="AA209" s="2">
        <f>IFERROR(
  IF(ISNUMBER(C209),C209,
    IF(ISNUMBER(SEARCH("-",C209)*1),
      IF(LEN(LEFT(C209,FIND("-",C209)-1))=4,
        DATE(VALUE(LEFT(C209,4)),VALUE(MID(C209,6,2)),VALUE(RIGHT(C209,2))),
        DATE(VALUE(RIGHT(C209,4)),VALUE(MID(C209,4,2)),VALUE(LEFT(C209,2)))
      ),
      IF(ISNUMBER(SEARCH("/",C209)*1),
        DATE(VALUE(RIGHT(C209,4)),VALUE(LEFT(C209,2)),VALUE(MID(C209,4,2))),
        DATEVALUE(C209)
      )
    )
  ),
"INVALID_DATE")</f>
        <v>45489</v>
      </c>
      <c r="AB209">
        <f>AA209-Z209</f>
        <v>6</v>
      </c>
      <c r="AC209" t="str">
        <f>TEXT(Z209,"mmmm")</f>
        <v>July</v>
      </c>
      <c r="AD209">
        <f>YEAR(Z209)</f>
        <v>2024</v>
      </c>
      <c r="AE209" t="str">
        <f t="shared" si="11"/>
        <v>OK</v>
      </c>
    </row>
    <row r="210" spans="1:31">
      <c r="A210" t="s">
        <v>1120</v>
      </c>
      <c r="B210" t="s">
        <v>1121</v>
      </c>
      <c r="C210" t="s">
        <v>1122</v>
      </c>
      <c r="D210" t="s">
        <v>1123</v>
      </c>
      <c r="E210" t="s">
        <v>217</v>
      </c>
      <c r="F210" t="s">
        <v>33</v>
      </c>
      <c r="G210" t="s">
        <v>34</v>
      </c>
      <c r="H210" t="s">
        <v>161</v>
      </c>
      <c r="I210" t="s">
        <v>162</v>
      </c>
      <c r="J210" t="s">
        <v>52</v>
      </c>
      <c r="K210" t="s">
        <v>83</v>
      </c>
      <c r="L210" t="s">
        <v>1124</v>
      </c>
      <c r="M210" t="s">
        <v>55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41</v>
      </c>
      <c r="U210" t="s">
        <v>42</v>
      </c>
      <c r="V210">
        <f>O210*(1-P210)*N210</f>
        <v>999.83</v>
      </c>
      <c r="W210">
        <f t="shared" si="9"/>
        <v>364.92000000000007</v>
      </c>
      <c r="X210">
        <f t="shared" si="10"/>
        <v>0.36498204694798114</v>
      </c>
      <c r="Y210" t="str">
        <f>_xlfn.TEXTJOIN(", ",TRUE,IF(G210="Unknown","Missing Region",""),IF(M210="Unknown","Missing Ship Mode",""),IF(P210&lt;0,"Negative Discount",""),IF(P210&gt;0.7,"High Discount",""),IF(C210&lt;B210,"Ship Before Order",""))</f>
        <v>Ship Before Order</v>
      </c>
      <c r="Z210" s="2">
        <f>IFERROR(
  IF(ISNUMBER(B210),B210,
    IF(ISNUMBER(SEARCH("-",B210)*1),
      IF(LEN(LEFT(B210,FIND("-",B210)-1))=4,
        DATE(VALUE(LEFT(B210,4)),VALUE(MID(B210,6,2)),VALUE(RIGHT(B210,2))),
        DATE(VALUE(RIGHT(B210,4)),VALUE(MID(B210,4,2)),VALUE(LEFT(B210,2)))
      ),
      IF(ISNUMBER(SEARCH("/",B210)*1),
        DATE(VALUE(RIGHT(B210,4)),VALUE(LEFT(B210,2)),VALUE(MID(B210,4,2))),
        DATEVALUE(B210)
      )
    )
  ),
"INVALID_DATE")</f>
        <v>45837</v>
      </c>
      <c r="AA210" s="2">
        <f>IFERROR(
  IF(ISNUMBER(C210),C210,
    IF(ISNUMBER(SEARCH("-",C210)*1),
      IF(LEN(LEFT(C210,FIND("-",C210)-1))=4,
        DATE(VALUE(LEFT(C210,4)),VALUE(MID(C210,6,2)),VALUE(RIGHT(C210,2))),
        DATE(VALUE(RIGHT(C210,4)),VALUE(MID(C210,4,2)),VALUE(LEFT(C210,2)))
      ),
      IF(ISNUMBER(SEARCH("/",C210)*1),
        DATE(VALUE(RIGHT(C210,4)),VALUE(LEFT(C210,2)),VALUE(MID(C210,4,2))),
        DATEVALUE(C210)
      )
    )
  ),
"INVALID_DATE")</f>
        <v>45843</v>
      </c>
      <c r="AB210">
        <f>AA210-Z210</f>
        <v>6</v>
      </c>
      <c r="AC210" t="str">
        <f>TEXT(Z210,"mmmm")</f>
        <v>June</v>
      </c>
      <c r="AD210">
        <f>YEAR(Z210)</f>
        <v>2025</v>
      </c>
      <c r="AE210" t="str">
        <f t="shared" si="11"/>
        <v>OK</v>
      </c>
    </row>
    <row r="211" spans="1:31">
      <c r="A211" t="s">
        <v>1125</v>
      </c>
      <c r="B211" t="s">
        <v>1126</v>
      </c>
      <c r="C211" t="s">
        <v>1127</v>
      </c>
      <c r="D211" t="s">
        <v>1128</v>
      </c>
      <c r="E211" t="s">
        <v>187</v>
      </c>
      <c r="F211" t="s">
        <v>48</v>
      </c>
      <c r="G211" t="s">
        <v>69</v>
      </c>
      <c r="H211" t="s">
        <v>107</v>
      </c>
      <c r="I211" t="s">
        <v>108</v>
      </c>
      <c r="J211" t="s">
        <v>37</v>
      </c>
      <c r="K211" t="s">
        <v>38</v>
      </c>
      <c r="L211" t="s">
        <v>1129</v>
      </c>
      <c r="M211" t="s">
        <v>63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41</v>
      </c>
      <c r="U211" t="s">
        <v>42</v>
      </c>
      <c r="V211">
        <f>O211*(1-P211)*N211</f>
        <v>7006.3380000000006</v>
      </c>
      <c r="W211">
        <f t="shared" si="9"/>
        <v>2365.4580000000005</v>
      </c>
      <c r="X211">
        <f t="shared" si="10"/>
        <v>0.33761707253715922</v>
      </c>
      <c r="Y211" t="s">
        <v>4120</v>
      </c>
      <c r="Z211" s="2">
        <f>IFERROR(
  IF(ISNUMBER(B211),B211,
    IF(ISNUMBER(SEARCH("-",B211)*1),
      IF(LEN(LEFT(B211,FIND("-",B211)-1))=4,
        DATE(VALUE(LEFT(B211,4)),VALUE(MID(B211,6,2)),VALUE(RIGHT(B211,2))),
        DATE(VALUE(RIGHT(B211,4)),VALUE(MID(B211,4,2)),VALUE(LEFT(B211,2)))
      ),
      IF(ISNUMBER(SEARCH("/",B211)*1),
        DATE(VALUE(RIGHT(B211,4)),VALUE(LEFT(B211,2)),VALUE(MID(B211,4,2))),
        DATEVALUE(B211)
      )
    )
  ),
"INVALID_DATE")</f>
        <v>45882</v>
      </c>
      <c r="AA211" s="2">
        <f>IFERROR(
  IF(ISNUMBER(C211),C211,
    IF(ISNUMBER(SEARCH("-",C211)*1),
      IF(LEN(LEFT(C211,FIND("-",C211)-1))=4,
        DATE(VALUE(LEFT(C211,4)),VALUE(MID(C211,6,2)),VALUE(RIGHT(C211,2))),
        DATE(VALUE(RIGHT(C211,4)),VALUE(MID(C211,4,2)),VALUE(LEFT(C211,2)))
      ),
      IF(ISNUMBER(SEARCH("/",C211)*1),
        DATE(VALUE(RIGHT(C211,4)),VALUE(LEFT(C211,2)),VALUE(MID(C211,4,2))),
        DATEVALUE(C211)
      )
    )
  ),
"INVALID_DATE")</f>
        <v>45883</v>
      </c>
      <c r="AB211">
        <f>AA211-Z211</f>
        <v>1</v>
      </c>
      <c r="AC211" t="str">
        <f>TEXT(Z211,"mmmm")</f>
        <v>August</v>
      </c>
      <c r="AD211">
        <f>YEAR(Z211)</f>
        <v>2025</v>
      </c>
      <c r="AE211" t="str">
        <f t="shared" si="11"/>
        <v>OK</v>
      </c>
    </row>
    <row r="212" spans="1:31">
      <c r="A212" t="s">
        <v>1130</v>
      </c>
      <c r="B212" t="s">
        <v>1131</v>
      </c>
      <c r="C212" t="s">
        <v>1132</v>
      </c>
      <c r="D212" t="s">
        <v>1133</v>
      </c>
      <c r="E212" t="s">
        <v>374</v>
      </c>
      <c r="F212" t="s">
        <v>122</v>
      </c>
      <c r="G212" t="s">
        <v>69</v>
      </c>
      <c r="H212" t="s">
        <v>236</v>
      </c>
      <c r="I212" t="s">
        <v>237</v>
      </c>
      <c r="J212" t="s">
        <v>93</v>
      </c>
      <c r="K212" t="s">
        <v>390</v>
      </c>
      <c r="L212" t="s">
        <v>1134</v>
      </c>
      <c r="M212" t="s">
        <v>40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207</v>
      </c>
      <c r="U212" t="s">
        <v>132</v>
      </c>
      <c r="V212">
        <f>O212*(1-P212)*N212</f>
        <v>4131.3599999999997</v>
      </c>
      <c r="W212">
        <f t="shared" si="9"/>
        <v>1194.2899999999995</v>
      </c>
      <c r="X212">
        <f t="shared" si="10"/>
        <v>0.28907914100925602</v>
      </c>
      <c r="Y212" t="s">
        <v>4120</v>
      </c>
      <c r="Z212" s="2">
        <f>IFERROR(
  IF(ISNUMBER(B212),B212,
    IF(ISNUMBER(SEARCH("-",B212)*1),
      IF(LEN(LEFT(B212,FIND("-",B212)-1))=4,
        DATE(VALUE(LEFT(B212,4)),VALUE(MID(B212,6,2)),VALUE(RIGHT(B212,2))),
        DATE(VALUE(RIGHT(B212,4)),VALUE(MID(B212,4,2)),VALUE(LEFT(B212,2)))
      ),
      IF(ISNUMBER(SEARCH("/",B212)*1),
        DATE(VALUE(RIGHT(B212,4)),VALUE(LEFT(B212,2)),VALUE(MID(B212,4,2))),
        DATEVALUE(B212)
      )
    )
  ),
"INVALID_DATE")</f>
        <v>45366</v>
      </c>
      <c r="AA212" s="2">
        <f>IFERROR(
  IF(ISNUMBER(C212),C212,
    IF(ISNUMBER(SEARCH("-",C212)*1),
      IF(LEN(LEFT(C212,FIND("-",C212)-1))=4,
        DATE(VALUE(LEFT(C212,4)),VALUE(MID(C212,6,2)),VALUE(RIGHT(C212,2))),
        DATE(VALUE(RIGHT(C212,4)),VALUE(MID(C212,4,2)),VALUE(LEFT(C212,2)))
      ),
      IF(ISNUMBER(SEARCH("/",C212)*1),
        DATE(VALUE(RIGHT(C212,4)),VALUE(LEFT(C212,2)),VALUE(MID(C212,4,2))),
        DATEVALUE(C212)
      )
    )
  ),
"INVALID_DATE")</f>
        <v>45369</v>
      </c>
      <c r="AB212">
        <f>AA212-Z212</f>
        <v>3</v>
      </c>
      <c r="AC212" t="str">
        <f>TEXT(Z212,"mmmm")</f>
        <v>March</v>
      </c>
      <c r="AD212">
        <f>YEAR(Z212)</f>
        <v>2024</v>
      </c>
      <c r="AE212" t="str">
        <f t="shared" si="11"/>
        <v>OK</v>
      </c>
    </row>
    <row r="213" spans="1:31">
      <c r="A213" t="s">
        <v>1135</v>
      </c>
      <c r="B213" t="s">
        <v>1136</v>
      </c>
      <c r="C213" t="s">
        <v>1137</v>
      </c>
      <c r="D213" t="s">
        <v>1138</v>
      </c>
      <c r="E213" t="s">
        <v>187</v>
      </c>
      <c r="F213" t="s">
        <v>115</v>
      </c>
      <c r="G213" t="s">
        <v>1139</v>
      </c>
      <c r="H213" t="s">
        <v>128</v>
      </c>
      <c r="I213" t="s">
        <v>129</v>
      </c>
      <c r="J213" t="s">
        <v>93</v>
      </c>
      <c r="K213" t="s">
        <v>101</v>
      </c>
      <c r="L213" t="s">
        <v>1140</v>
      </c>
      <c r="M213" t="s">
        <v>40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41</v>
      </c>
      <c r="U213" t="s">
        <v>42</v>
      </c>
      <c r="V213">
        <f>O213*(1-P213)*N213</f>
        <v>27020.48</v>
      </c>
      <c r="W213">
        <f t="shared" si="9"/>
        <v>4135.239999999998</v>
      </c>
      <c r="X213">
        <f t="shared" si="10"/>
        <v>0.1530409526403676</v>
      </c>
      <c r="Y213" t="s">
        <v>4120</v>
      </c>
      <c r="Z213" s="2">
        <f>IFERROR(
  IF(ISNUMBER(B213),B213,
    IF(ISNUMBER(SEARCH("-",B213)*1),
      IF(LEN(LEFT(B213,FIND("-",B213)-1))=4,
        DATE(VALUE(LEFT(B213,4)),VALUE(MID(B213,6,2)),VALUE(RIGHT(B213,2))),
        DATE(VALUE(RIGHT(B213,4)),VALUE(MID(B213,4,2)),VALUE(LEFT(B213,2)))
      ),
      IF(ISNUMBER(SEARCH("/",B213)*1),
        DATE(VALUE(RIGHT(B213,4)),VALUE(LEFT(B213,2)),VALUE(MID(B213,4,2))),
        DATEVALUE(B213)
      )
    )
  ),
"INVALID_DATE")</f>
        <v>45428</v>
      </c>
      <c r="AA213" s="2">
        <f>IFERROR(
  IF(ISNUMBER(C213),C213,
    IF(ISNUMBER(SEARCH("-",C213)*1),
      IF(LEN(LEFT(C213,FIND("-",C213)-1))=4,
        DATE(VALUE(LEFT(C213,4)),VALUE(MID(C213,6,2)),VALUE(RIGHT(C213,2))),
        DATE(VALUE(RIGHT(C213,4)),VALUE(MID(C213,4,2)),VALUE(LEFT(C213,2)))
      ),
      IF(ISNUMBER(SEARCH("/",C213)*1),
        DATE(VALUE(RIGHT(C213,4)),VALUE(LEFT(C213,2)),VALUE(MID(C213,4,2))),
        DATEVALUE(C213)
      )
    )
  ),
"INVALID_DATE")</f>
        <v>45429</v>
      </c>
      <c r="AB213">
        <f>AA213-Z213</f>
        <v>1</v>
      </c>
      <c r="AC213" t="str">
        <f>TEXT(Z213,"mmmm")</f>
        <v>May</v>
      </c>
      <c r="AD213">
        <f>YEAR(Z213)</f>
        <v>2024</v>
      </c>
      <c r="AE213" t="str">
        <f t="shared" si="11"/>
        <v>OK</v>
      </c>
    </row>
    <row r="214" spans="1:31">
      <c r="A214" t="s">
        <v>1141</v>
      </c>
      <c r="B214" t="s">
        <v>1142</v>
      </c>
      <c r="C214" t="s">
        <v>1143</v>
      </c>
      <c r="D214" t="s">
        <v>1144</v>
      </c>
      <c r="E214" t="s">
        <v>79</v>
      </c>
      <c r="F214" t="s">
        <v>48</v>
      </c>
      <c r="G214" t="s">
        <v>49</v>
      </c>
      <c r="H214" t="s">
        <v>50</v>
      </c>
      <c r="I214" t="s">
        <v>51</v>
      </c>
      <c r="J214" t="s">
        <v>93</v>
      </c>
      <c r="K214" t="s">
        <v>230</v>
      </c>
      <c r="L214" t="s">
        <v>1145</v>
      </c>
      <c r="M214" t="s">
        <v>55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41</v>
      </c>
      <c r="U214" t="s">
        <v>42</v>
      </c>
      <c r="V214">
        <f>O214*(1-P214)*N214</f>
        <v>364.65</v>
      </c>
      <c r="W214">
        <f t="shared" si="9"/>
        <v>83.909999999999968</v>
      </c>
      <c r="X214">
        <f t="shared" si="10"/>
        <v>0.23011106540518306</v>
      </c>
      <c r="Y214" t="s">
        <v>4120</v>
      </c>
      <c r="Z214" s="2">
        <f>IFERROR(
  IF(ISNUMBER(B214),B214,
    IF(ISNUMBER(SEARCH("-",B214)*1),
      IF(LEN(LEFT(B214,FIND("-",B214)-1))=4,
        DATE(VALUE(LEFT(B214,4)),VALUE(MID(B214,6,2)),VALUE(RIGHT(B214,2))),
        DATE(VALUE(RIGHT(B214,4)),VALUE(MID(B214,4,2)),VALUE(LEFT(B214,2)))
      ),
      IF(ISNUMBER(SEARCH("/",B214)*1),
        DATE(VALUE(RIGHT(B214,4)),VALUE(LEFT(B214,2)),VALUE(MID(B214,4,2))),
        DATEVALUE(B214)
      )
    )
  ),
"INVALID_DATE")</f>
        <v>45556</v>
      </c>
      <c r="AA214" s="2">
        <f>IFERROR(
  IF(ISNUMBER(C214),C214,
    IF(ISNUMBER(SEARCH("-",C214)*1),
      IF(LEN(LEFT(C214,FIND("-",C214)-1))=4,
        DATE(VALUE(LEFT(C214,4)),VALUE(MID(C214,6,2)),VALUE(RIGHT(C214,2))),
        DATE(VALUE(RIGHT(C214,4)),VALUE(MID(C214,4,2)),VALUE(LEFT(C214,2)))
      ),
      IF(ISNUMBER(SEARCH("/",C214)*1),
        DATE(VALUE(RIGHT(C214,4)),VALUE(LEFT(C214,2)),VALUE(MID(C214,4,2))),
        DATEVALUE(C214)
      )
    )
  ),
"INVALID_DATE")</f>
        <v>45556</v>
      </c>
      <c r="AB214">
        <f>AA214-Z214</f>
        <v>0</v>
      </c>
      <c r="AC214" t="str">
        <f>TEXT(Z214,"mmmm")</f>
        <v>September</v>
      </c>
      <c r="AD214">
        <f>YEAR(Z214)</f>
        <v>2024</v>
      </c>
      <c r="AE214" t="str">
        <f t="shared" si="11"/>
        <v>OK</v>
      </c>
    </row>
    <row r="215" spans="1:31">
      <c r="A215" t="s">
        <v>1146</v>
      </c>
      <c r="B215" t="s">
        <v>1147</v>
      </c>
      <c r="C215" t="s">
        <v>1148</v>
      </c>
      <c r="D215" t="s">
        <v>1149</v>
      </c>
      <c r="E215" t="s">
        <v>60</v>
      </c>
      <c r="F215" t="s">
        <v>48</v>
      </c>
      <c r="G215" t="s">
        <v>49</v>
      </c>
      <c r="H215" t="s">
        <v>193</v>
      </c>
      <c r="I215" t="s">
        <v>194</v>
      </c>
      <c r="J215" t="s">
        <v>93</v>
      </c>
      <c r="K215" t="s">
        <v>94</v>
      </c>
      <c r="L215" t="s">
        <v>1150</v>
      </c>
      <c r="M215" t="s">
        <v>40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41</v>
      </c>
      <c r="U215" t="s">
        <v>42</v>
      </c>
      <c r="V215">
        <f>O215*(1-P215)*N215</f>
        <v>13864.735999999999</v>
      </c>
      <c r="W215">
        <f t="shared" si="9"/>
        <v>2570.6759999999995</v>
      </c>
      <c r="X215">
        <f t="shared" si="10"/>
        <v>0.18541133840230686</v>
      </c>
      <c r="Y215" t="s">
        <v>4120</v>
      </c>
      <c r="Z215" s="2">
        <f>IFERROR(
  IF(ISNUMBER(B215),B215,
    IF(ISNUMBER(SEARCH("-",B215)*1),
      IF(LEN(LEFT(B215,FIND("-",B215)-1))=4,
        DATE(VALUE(LEFT(B215,4)),VALUE(MID(B215,6,2)),VALUE(RIGHT(B215,2))),
        DATE(VALUE(RIGHT(B215,4)),VALUE(MID(B215,4,2)),VALUE(LEFT(B215,2)))
      ),
      IF(ISNUMBER(SEARCH("/",B215)*1),
        DATE(VALUE(RIGHT(B215,4)),VALUE(LEFT(B215,2)),VALUE(MID(B215,4,2))),
        DATEVALUE(B215)
      )
    )
  ),
"INVALID_DATE")</f>
        <v>45427</v>
      </c>
      <c r="AA215" s="2">
        <f>IFERROR(
  IF(ISNUMBER(C215),C215,
    IF(ISNUMBER(SEARCH("-",C215)*1),
      IF(LEN(LEFT(C215,FIND("-",C215)-1))=4,
        DATE(VALUE(LEFT(C215,4)),VALUE(MID(C215,6,2)),VALUE(RIGHT(C215,2))),
        DATE(VALUE(RIGHT(C215,4)),VALUE(MID(C215,4,2)),VALUE(LEFT(C215,2)))
      ),
      IF(ISNUMBER(SEARCH("/",C215)*1),
        DATE(VALUE(RIGHT(C215,4)),VALUE(LEFT(C215,2)),VALUE(MID(C215,4,2))),
        DATEVALUE(C215)
      )
    )
  ),
"INVALID_DATE")</f>
        <v>45433</v>
      </c>
      <c r="AB215">
        <f>AA215-Z215</f>
        <v>6</v>
      </c>
      <c r="AC215" t="str">
        <f>TEXT(Z215,"mmmm")</f>
        <v>May</v>
      </c>
      <c r="AD215">
        <f>YEAR(Z215)</f>
        <v>2024</v>
      </c>
      <c r="AE215" t="str">
        <f t="shared" si="11"/>
        <v>OK</v>
      </c>
    </row>
    <row r="216" spans="1:31">
      <c r="A216" t="s">
        <v>1151</v>
      </c>
      <c r="B216" t="s">
        <v>1152</v>
      </c>
      <c r="C216" t="s">
        <v>1153</v>
      </c>
      <c r="D216" t="s">
        <v>1154</v>
      </c>
      <c r="E216" t="s">
        <v>155</v>
      </c>
      <c r="F216" t="s">
        <v>33</v>
      </c>
      <c r="G216" t="s">
        <v>34</v>
      </c>
      <c r="H216" t="s">
        <v>331</v>
      </c>
      <c r="I216" t="s">
        <v>332</v>
      </c>
      <c r="J216" t="s">
        <v>93</v>
      </c>
      <c r="K216" t="s">
        <v>94</v>
      </c>
      <c r="L216" t="s">
        <v>1155</v>
      </c>
      <c r="M216" t="s">
        <v>63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41</v>
      </c>
      <c r="U216" t="s">
        <v>42</v>
      </c>
      <c r="V216">
        <f>O216*(1-P216)*N216</f>
        <v>707.31299999999999</v>
      </c>
      <c r="W216">
        <f t="shared" si="9"/>
        <v>138.31299999999999</v>
      </c>
      <c r="X216">
        <f t="shared" si="10"/>
        <v>0.19554367957472679</v>
      </c>
      <c r="Y216" t="s">
        <v>4120</v>
      </c>
      <c r="Z216" s="2">
        <f>IFERROR(
  IF(ISNUMBER(B216),B216,
    IF(ISNUMBER(SEARCH("-",B216)*1),
      IF(LEN(LEFT(B216,FIND("-",B216)-1))=4,
        DATE(VALUE(LEFT(B216,4)),VALUE(MID(B216,6,2)),VALUE(RIGHT(B216,2))),
        DATE(VALUE(RIGHT(B216,4)),VALUE(MID(B216,4,2)),VALUE(LEFT(B216,2)))
      ),
      IF(ISNUMBER(SEARCH("/",B216)*1),
        DATE(VALUE(RIGHT(B216,4)),VALUE(LEFT(B216,2)),VALUE(MID(B216,4,2))),
        DATEVALUE(B216)
      )
    )
  ),
"INVALID_DATE")</f>
        <v>45368</v>
      </c>
      <c r="AA216" s="2">
        <f>IFERROR(
  IF(ISNUMBER(C216),C216,
    IF(ISNUMBER(SEARCH("-",C216)*1),
      IF(LEN(LEFT(C216,FIND("-",C216)-1))=4,
        DATE(VALUE(LEFT(C216,4)),VALUE(MID(C216,6,2)),VALUE(RIGHT(C216,2))),
        DATE(VALUE(RIGHT(C216,4)),VALUE(MID(C216,4,2)),VALUE(LEFT(C216,2)))
      ),
      IF(ISNUMBER(SEARCH("/",C216)*1),
        DATE(VALUE(RIGHT(C216,4)),VALUE(LEFT(C216,2)),VALUE(MID(C216,4,2))),
        DATEVALUE(C216)
      )
    )
  ),
"INVALID_DATE")</f>
        <v>45374</v>
      </c>
      <c r="AB216">
        <f>AA216-Z216</f>
        <v>6</v>
      </c>
      <c r="AC216" t="str">
        <f>TEXT(Z216,"mmmm")</f>
        <v>March</v>
      </c>
      <c r="AD216">
        <f>YEAR(Z216)</f>
        <v>2024</v>
      </c>
      <c r="AE216" t="str">
        <f t="shared" si="11"/>
        <v>OK</v>
      </c>
    </row>
    <row r="217" spans="1:31">
      <c r="A217" t="s">
        <v>1156</v>
      </c>
      <c r="B217" t="s">
        <v>1157</v>
      </c>
      <c r="C217" t="s">
        <v>214</v>
      </c>
      <c r="D217" t="s">
        <v>1158</v>
      </c>
      <c r="E217" t="s">
        <v>47</v>
      </c>
      <c r="F217" t="s">
        <v>33</v>
      </c>
      <c r="G217" t="s">
        <v>80</v>
      </c>
      <c r="H217" t="s">
        <v>91</v>
      </c>
      <c r="I217" t="s">
        <v>92</v>
      </c>
      <c r="J217" t="s">
        <v>37</v>
      </c>
      <c r="K217" t="s">
        <v>38</v>
      </c>
      <c r="L217" t="s">
        <v>1159</v>
      </c>
      <c r="M217" t="s">
        <v>63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41</v>
      </c>
      <c r="U217" t="s">
        <v>42</v>
      </c>
      <c r="V217">
        <f>O217*(1-P217)*N217</f>
        <v>19214.400000000001</v>
      </c>
      <c r="W217">
        <f t="shared" si="9"/>
        <v>8298.3900000000012</v>
      </c>
      <c r="X217">
        <f t="shared" si="10"/>
        <v>0.43188389957531848</v>
      </c>
      <c r="Y217" t="s">
        <v>4120</v>
      </c>
      <c r="Z217" s="2">
        <f>IFERROR(
  IF(ISNUMBER(B217),B217,
    IF(ISNUMBER(SEARCH("-",B217)*1),
      IF(LEN(LEFT(B217,FIND("-",B217)-1))=4,
        DATE(VALUE(LEFT(B217,4)),VALUE(MID(B217,6,2)),VALUE(RIGHT(B217,2))),
        DATE(VALUE(RIGHT(B217,4)),VALUE(MID(B217,4,2)),VALUE(LEFT(B217,2)))
      ),
      IF(ISNUMBER(SEARCH("/",B217)*1),
        DATE(VALUE(RIGHT(B217,4)),VALUE(LEFT(B217,2)),VALUE(MID(B217,4,2))),
        DATEVALUE(B217)
      )
    )
  ),
"INVALID_DATE")</f>
        <v>45352</v>
      </c>
      <c r="AA217" s="2">
        <f>IFERROR(
  IF(ISNUMBER(C217),C217,
    IF(ISNUMBER(SEARCH("-",C217)*1),
      IF(LEN(LEFT(C217,FIND("-",C217)-1))=4,
        DATE(VALUE(LEFT(C217,4)),VALUE(MID(C217,6,2)),VALUE(RIGHT(C217,2))),
        DATE(VALUE(RIGHT(C217,4)),VALUE(MID(C217,4,2)),VALUE(LEFT(C217,2)))
      ),
      IF(ISNUMBER(SEARCH("/",C217)*1),
        DATE(VALUE(RIGHT(C217,4)),VALUE(LEFT(C217,2)),VALUE(MID(C217,4,2))),
        DATEVALUE(C217)
      )
    )
  ),
"INVALID_DATE")</f>
        <v>45355</v>
      </c>
      <c r="AB217">
        <f>AA217-Z217</f>
        <v>3</v>
      </c>
      <c r="AC217" t="str">
        <f>TEXT(Z217,"mmmm")</f>
        <v>March</v>
      </c>
      <c r="AD217">
        <f>YEAR(Z217)</f>
        <v>2024</v>
      </c>
      <c r="AE217" t="str">
        <f t="shared" si="11"/>
        <v>OK</v>
      </c>
    </row>
    <row r="218" spans="1:31">
      <c r="A218" t="s">
        <v>1160</v>
      </c>
      <c r="B218" t="s">
        <v>97</v>
      </c>
      <c r="C218" t="s">
        <v>1161</v>
      </c>
      <c r="D218" t="s">
        <v>1162</v>
      </c>
      <c r="E218" t="s">
        <v>60</v>
      </c>
      <c r="F218" t="s">
        <v>33</v>
      </c>
      <c r="G218" t="s">
        <v>80</v>
      </c>
      <c r="H218" t="s">
        <v>242</v>
      </c>
      <c r="I218" t="s">
        <v>243</v>
      </c>
      <c r="J218" t="s">
        <v>52</v>
      </c>
      <c r="K218" t="s">
        <v>53</v>
      </c>
      <c r="L218" t="s">
        <v>1163</v>
      </c>
      <c r="M218" t="s">
        <v>74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207</v>
      </c>
      <c r="U218" t="s">
        <v>132</v>
      </c>
      <c r="V218">
        <f>O218*(1-P218)*N218</f>
        <v>11039.22</v>
      </c>
      <c r="W218">
        <f t="shared" si="9"/>
        <v>3396.3099999999995</v>
      </c>
      <c r="X218">
        <f t="shared" si="10"/>
        <v>0.30765851210502193</v>
      </c>
      <c r="Y218" t="s">
        <v>4120</v>
      </c>
      <c r="Z218" s="2">
        <f>IFERROR(
  IF(ISNUMBER(B218),B218,
    IF(ISNUMBER(SEARCH("-",B218)*1),
      IF(LEN(LEFT(B218,FIND("-",B218)-1))=4,
        DATE(VALUE(LEFT(B218,4)),VALUE(MID(B218,6,2)),VALUE(RIGHT(B218,2))),
        DATE(VALUE(RIGHT(B218,4)),VALUE(MID(B218,4,2)),VALUE(LEFT(B218,2)))
      ),
      IF(ISNUMBER(SEARCH("/",B218)*1),
        DATE(VALUE(RIGHT(B218,4)),VALUE(LEFT(B218,2)),VALUE(MID(B218,4,2))),
        DATEVALUE(B218)
      )
    )
  ),
"INVALID_DATE")</f>
        <v>45757</v>
      </c>
      <c r="AA218" s="2">
        <f>IFERROR(
  IF(ISNUMBER(C218),C218,
    IF(ISNUMBER(SEARCH("-",C218)*1),
      IF(LEN(LEFT(C218,FIND("-",C218)-1))=4,
        DATE(VALUE(LEFT(C218,4)),VALUE(MID(C218,6,2)),VALUE(RIGHT(C218,2))),
        DATE(VALUE(RIGHT(C218,4)),VALUE(MID(C218,4,2)),VALUE(LEFT(C218,2)))
      ),
      IF(ISNUMBER(SEARCH("/",C218)*1),
        DATE(VALUE(RIGHT(C218,4)),VALUE(LEFT(C218,2)),VALUE(MID(C218,4,2))),
        DATEVALUE(C218)
      )
    )
  ),
"INVALID_DATE")</f>
        <v>45762</v>
      </c>
      <c r="AB218">
        <f>AA218-Z218</f>
        <v>5</v>
      </c>
      <c r="AC218" t="str">
        <f>TEXT(Z218,"mmmm")</f>
        <v>April</v>
      </c>
      <c r="AD218">
        <f>YEAR(Z218)</f>
        <v>2025</v>
      </c>
      <c r="AE218" t="str">
        <f t="shared" si="11"/>
        <v>OK</v>
      </c>
    </row>
    <row r="219" spans="1:31">
      <c r="A219" t="s">
        <v>1164</v>
      </c>
      <c r="B219" t="s">
        <v>1165</v>
      </c>
      <c r="C219" t="s">
        <v>1166</v>
      </c>
      <c r="D219" t="s">
        <v>1167</v>
      </c>
      <c r="E219" t="s">
        <v>114</v>
      </c>
      <c r="F219" t="s">
        <v>33</v>
      </c>
      <c r="G219" t="s">
        <v>49</v>
      </c>
      <c r="H219" t="s">
        <v>50</v>
      </c>
      <c r="I219" t="s">
        <v>51</v>
      </c>
      <c r="J219" t="s">
        <v>52</v>
      </c>
      <c r="K219" t="s">
        <v>211</v>
      </c>
      <c r="L219" t="s">
        <v>1168</v>
      </c>
      <c r="M219" t="s">
        <v>40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131</v>
      </c>
      <c r="U219" t="s">
        <v>85</v>
      </c>
      <c r="V219">
        <f>O219*(1-P219)*N219</f>
        <v>4595.76</v>
      </c>
      <c r="W219">
        <f t="shared" si="9"/>
        <v>1198.96</v>
      </c>
      <c r="X219">
        <f t="shared" si="10"/>
        <v>0.26088394520166414</v>
      </c>
      <c r="Y219" t="s">
        <v>4120</v>
      </c>
      <c r="Z219" s="2">
        <f>IFERROR(
  IF(ISNUMBER(B219),B219,
    IF(ISNUMBER(SEARCH("-",B219)*1),
      IF(LEN(LEFT(B219,FIND("-",B219)-1))=4,
        DATE(VALUE(LEFT(B219,4)),VALUE(MID(B219,6,2)),VALUE(RIGHT(B219,2))),
        DATE(VALUE(RIGHT(B219,4)),VALUE(MID(B219,4,2)),VALUE(LEFT(B219,2)))
      ),
      IF(ISNUMBER(SEARCH("/",B219)*1),
        DATE(VALUE(RIGHT(B219,4)),VALUE(LEFT(B219,2)),VALUE(MID(B219,4,2))),
        DATEVALUE(B219)
      )
    )
  ),
"INVALID_DATE")</f>
        <v>45748</v>
      </c>
      <c r="AA219" s="2">
        <f>IFERROR(
  IF(ISNUMBER(C219),C219,
    IF(ISNUMBER(SEARCH("-",C219)*1),
      IF(LEN(LEFT(C219,FIND("-",C219)-1))=4,
        DATE(VALUE(LEFT(C219,4)),VALUE(MID(C219,6,2)),VALUE(RIGHT(C219,2))),
        DATE(VALUE(RIGHT(C219,4)),VALUE(MID(C219,4,2)),VALUE(LEFT(C219,2)))
      ),
      IF(ISNUMBER(SEARCH("/",C219)*1),
        DATE(VALUE(RIGHT(C219,4)),VALUE(LEFT(C219,2)),VALUE(MID(C219,4,2))),
        DATEVALUE(C219)
      )
    )
  ),
"INVALID_DATE")</f>
        <v>45755</v>
      </c>
      <c r="AB219">
        <f>AA219-Z219</f>
        <v>7</v>
      </c>
      <c r="AC219" t="str">
        <f>TEXT(Z219,"mmmm")</f>
        <v>April</v>
      </c>
      <c r="AD219">
        <f>YEAR(Z219)</f>
        <v>2025</v>
      </c>
      <c r="AE219" t="str">
        <f t="shared" si="11"/>
        <v>OK</v>
      </c>
    </row>
    <row r="220" spans="1:31">
      <c r="A220" t="s">
        <v>1169</v>
      </c>
      <c r="B220" t="s">
        <v>1170</v>
      </c>
      <c r="C220" t="s">
        <v>1171</v>
      </c>
      <c r="D220" t="s">
        <v>1172</v>
      </c>
      <c r="E220" t="s">
        <v>149</v>
      </c>
      <c r="F220" t="s">
        <v>115</v>
      </c>
      <c r="G220" t="s">
        <v>80</v>
      </c>
      <c r="H220" t="s">
        <v>242</v>
      </c>
      <c r="I220" t="s">
        <v>243</v>
      </c>
      <c r="J220" t="s">
        <v>52</v>
      </c>
      <c r="K220" t="s">
        <v>211</v>
      </c>
      <c r="L220" t="s">
        <v>1173</v>
      </c>
      <c r="M220" t="s">
        <v>74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41</v>
      </c>
      <c r="U220" t="s">
        <v>42</v>
      </c>
      <c r="V220">
        <f>O220*(1-P220)*N220</f>
        <v>1291.3999999999999</v>
      </c>
      <c r="W220">
        <f t="shared" si="9"/>
        <v>534.46999999999991</v>
      </c>
      <c r="X220">
        <f t="shared" si="10"/>
        <v>0.41386866966083319</v>
      </c>
      <c r="Y220" t="s">
        <v>4120</v>
      </c>
      <c r="Z220" s="2">
        <f>IFERROR(
  IF(ISNUMBER(B220),B220,
    IF(ISNUMBER(SEARCH("-",B220)*1),
      IF(LEN(LEFT(B220,FIND("-",B220)-1))=4,
        DATE(VALUE(LEFT(B220,4)),VALUE(MID(B220,6,2)),VALUE(RIGHT(B220,2))),
        DATE(VALUE(RIGHT(B220,4)),VALUE(MID(B220,4,2)),VALUE(LEFT(B220,2)))
      ),
      IF(ISNUMBER(SEARCH("/",B220)*1),
        DATE(VALUE(RIGHT(B220,4)),VALUE(LEFT(B220,2)),VALUE(MID(B220,4,2))),
        DATEVALUE(B220)
      )
    )
  ),
"INVALID_DATE")</f>
        <v>45714</v>
      </c>
      <c r="AA220" s="2">
        <f>IFERROR(
  IF(ISNUMBER(C220),C220,
    IF(ISNUMBER(SEARCH("-",C220)*1),
      IF(LEN(LEFT(C220,FIND("-",C220)-1))=4,
        DATE(VALUE(LEFT(C220,4)),VALUE(MID(C220,6,2)),VALUE(RIGHT(C220,2))),
        DATE(VALUE(RIGHT(C220,4)),VALUE(MID(C220,4,2)),VALUE(LEFT(C220,2)))
      ),
      IF(ISNUMBER(SEARCH("/",C220)*1),
        DATE(VALUE(RIGHT(C220,4)),VALUE(LEFT(C220,2)),VALUE(MID(C220,4,2))),
        DATEVALUE(C220)
      )
    )
  ),
"INVALID_DATE")</f>
        <v>45715</v>
      </c>
      <c r="AB220">
        <f>AA220-Z220</f>
        <v>1</v>
      </c>
      <c r="AC220" t="str">
        <f>TEXT(Z220,"mmmm")</f>
        <v>February</v>
      </c>
      <c r="AD220">
        <f>YEAR(Z220)</f>
        <v>2025</v>
      </c>
      <c r="AE220" t="str">
        <f t="shared" si="11"/>
        <v>OK</v>
      </c>
    </row>
    <row r="221" spans="1:31">
      <c r="A221" t="s">
        <v>1174</v>
      </c>
      <c r="B221" t="s">
        <v>692</v>
      </c>
      <c r="C221" t="s">
        <v>1175</v>
      </c>
      <c r="D221" t="s">
        <v>1176</v>
      </c>
      <c r="E221" t="s">
        <v>155</v>
      </c>
      <c r="F221" t="s">
        <v>33</v>
      </c>
      <c r="G221" t="s">
        <v>49</v>
      </c>
      <c r="H221" t="s">
        <v>193</v>
      </c>
      <c r="I221" t="s">
        <v>194</v>
      </c>
      <c r="J221" t="s">
        <v>93</v>
      </c>
      <c r="K221" t="s">
        <v>390</v>
      </c>
      <c r="L221" t="s">
        <v>1177</v>
      </c>
      <c r="M221" t="s">
        <v>63</v>
      </c>
      <c r="N221">
        <v>2</v>
      </c>
      <c r="O221">
        <v>121.49</v>
      </c>
      <c r="P221" t="s">
        <v>1178</v>
      </c>
      <c r="Q221">
        <v>242.98</v>
      </c>
      <c r="R221">
        <v>161.41999999999999</v>
      </c>
      <c r="S221">
        <v>81.56</v>
      </c>
      <c r="T221" t="s">
        <v>41</v>
      </c>
      <c r="U221" t="s">
        <v>42</v>
      </c>
      <c r="V221">
        <f>O221*(1-P221)*N221</f>
        <v>36.447000000000003</v>
      </c>
      <c r="W221">
        <f t="shared" si="9"/>
        <v>-124.97299999999998</v>
      </c>
      <c r="X221">
        <f t="shared" si="10"/>
        <v>0.33566548687134745</v>
      </c>
      <c r="Y221" t="str">
        <f>_xlfn.TEXTJOIN(", ",TRUE,IF(G221="Unknown","Missing Region",""),IF(M221="Unknown","Missing Ship Mode",""),IF(P221&lt;0,"Negative Discount",""),IF(P221&gt;0.7,"High Discount",""),IF(C221&lt;B221,"Ship Before Order",""))</f>
        <v>High Discount, Ship Before Order</v>
      </c>
      <c r="Z221" s="2">
        <f>IFERROR(
  IF(ISNUMBER(B221),B221,
    IF(ISNUMBER(SEARCH("-",B221)*1),
      IF(LEN(LEFT(B221,FIND("-",B221)-1))=4,
        DATE(VALUE(LEFT(B221,4)),VALUE(MID(B221,6,2)),VALUE(RIGHT(B221,2))),
        DATE(VALUE(RIGHT(B221,4)),VALUE(MID(B221,4,2)),VALUE(LEFT(B221,2)))
      ),
      IF(ISNUMBER(SEARCH("/",B221)*1),
        DATE(VALUE(RIGHT(B221,4)),VALUE(LEFT(B221,2)),VALUE(MID(B221,4,2))),
        DATEVALUE(B221)
      )
    )
  ),
"INVALID_DATE")</f>
        <v>45461</v>
      </c>
      <c r="AA221" s="2">
        <f>IFERROR(
  IF(ISNUMBER(C221),C221,
    IF(ISNUMBER(SEARCH("-",C221)*1),
      IF(LEN(LEFT(C221,FIND("-",C221)-1))=4,
        DATE(VALUE(LEFT(C221,4)),VALUE(MID(C221,6,2)),VALUE(RIGHT(C221,2))),
        DATE(VALUE(RIGHT(C221,4)),VALUE(MID(C221,4,2)),VALUE(LEFT(C221,2)))
      ),
      IF(ISNUMBER(SEARCH("/",C221)*1),
        DATE(VALUE(RIGHT(C221,4)),VALUE(LEFT(C221,2)),VALUE(MID(C221,4,2))),
        DATEVALUE(C221)
      )
    )
  ),
"INVALID_DATE")</f>
        <v>45462</v>
      </c>
      <c r="AB221">
        <f>AA221-Z221</f>
        <v>1</v>
      </c>
      <c r="AC221" t="str">
        <f>TEXT(Z221,"mmmm")</f>
        <v>June</v>
      </c>
      <c r="AD221">
        <f>YEAR(Z221)</f>
        <v>2024</v>
      </c>
      <c r="AE221" t="str">
        <f t="shared" si="11"/>
        <v>OK</v>
      </c>
    </row>
    <row r="222" spans="1:31">
      <c r="A222" t="s">
        <v>1179</v>
      </c>
      <c r="B222" t="s">
        <v>1180</v>
      </c>
      <c r="C222" t="s">
        <v>1180</v>
      </c>
      <c r="D222" t="s">
        <v>1181</v>
      </c>
      <c r="E222" t="s">
        <v>175</v>
      </c>
      <c r="F222" t="s">
        <v>33</v>
      </c>
      <c r="G222" t="s">
        <v>69</v>
      </c>
      <c r="H222" t="s">
        <v>249</v>
      </c>
      <c r="I222" t="s">
        <v>250</v>
      </c>
      <c r="J222" t="s">
        <v>37</v>
      </c>
      <c r="K222" t="s">
        <v>163</v>
      </c>
      <c r="L222" t="s">
        <v>1182</v>
      </c>
      <c r="M222" t="s">
        <v>63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131</v>
      </c>
      <c r="U222" t="s">
        <v>85</v>
      </c>
      <c r="V222">
        <f>O222*(1-P222)*N222</f>
        <v>9554.5779999999995</v>
      </c>
      <c r="W222">
        <f t="shared" si="9"/>
        <v>3486.1079999999993</v>
      </c>
      <c r="X222">
        <f t="shared" si="10"/>
        <v>0.36486271505393225</v>
      </c>
      <c r="Y222" t="s">
        <v>4120</v>
      </c>
      <c r="Z222" s="2">
        <f>IFERROR(
  IF(ISNUMBER(B222),B222,
    IF(ISNUMBER(SEARCH("-",B222)*1),
      IF(LEN(LEFT(B222,FIND("-",B222)-1))=4,
        DATE(VALUE(LEFT(B222,4)),VALUE(MID(B222,6,2)),VALUE(RIGHT(B222,2))),
        DATE(VALUE(RIGHT(B222,4)),VALUE(MID(B222,4,2)),VALUE(LEFT(B222,2)))
      ),
      IF(ISNUMBER(SEARCH("/",B222)*1),
        DATE(VALUE(RIGHT(B222,4)),VALUE(LEFT(B222,2)),VALUE(MID(B222,4,2))),
        DATEVALUE(B222)
      )
    )
  ),
"INVALID_DATE")</f>
        <v>45538</v>
      </c>
      <c r="AA222" s="2">
        <f>IFERROR(
  IF(ISNUMBER(C222),C222,
    IF(ISNUMBER(SEARCH("-",C222)*1),
      IF(LEN(LEFT(C222,FIND("-",C222)-1))=4,
        DATE(VALUE(LEFT(C222,4)),VALUE(MID(C222,6,2)),VALUE(RIGHT(C222,2))),
        DATE(VALUE(RIGHT(C222,4)),VALUE(MID(C222,4,2)),VALUE(LEFT(C222,2)))
      ),
      IF(ISNUMBER(SEARCH("/",C222)*1),
        DATE(VALUE(RIGHT(C222,4)),VALUE(LEFT(C222,2)),VALUE(MID(C222,4,2))),
        DATEVALUE(C222)
      )
    )
  ),
"INVALID_DATE")</f>
        <v>45538</v>
      </c>
      <c r="AB222">
        <f>AA222-Z222</f>
        <v>0</v>
      </c>
      <c r="AC222" t="str">
        <f>TEXT(Z222,"mmmm")</f>
        <v>September</v>
      </c>
      <c r="AD222">
        <f>YEAR(Z222)</f>
        <v>2024</v>
      </c>
      <c r="AE222" t="str">
        <f t="shared" si="11"/>
        <v>OK</v>
      </c>
    </row>
    <row r="223" spans="1:31">
      <c r="A223" t="s">
        <v>1183</v>
      </c>
      <c r="B223" t="s">
        <v>1184</v>
      </c>
      <c r="C223" t="s">
        <v>1185</v>
      </c>
      <c r="D223" t="s">
        <v>1186</v>
      </c>
      <c r="E223" t="s">
        <v>47</v>
      </c>
      <c r="F223" t="s">
        <v>115</v>
      </c>
      <c r="G223" t="s">
        <v>69</v>
      </c>
      <c r="H223" t="s">
        <v>236</v>
      </c>
      <c r="I223" t="s">
        <v>237</v>
      </c>
      <c r="J223" t="s">
        <v>52</v>
      </c>
      <c r="K223" t="s">
        <v>83</v>
      </c>
      <c r="L223" t="s">
        <v>1187</v>
      </c>
      <c r="M223" t="s">
        <v>55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41</v>
      </c>
      <c r="U223" t="s">
        <v>42</v>
      </c>
      <c r="V223">
        <f>O223*(1-P223)*N223</f>
        <v>4900.8959999999997</v>
      </c>
      <c r="W223">
        <f t="shared" si="9"/>
        <v>1348.2059999999997</v>
      </c>
      <c r="X223">
        <f t="shared" si="10"/>
        <v>0.27509437042175927</v>
      </c>
      <c r="Y223" t="s">
        <v>4120</v>
      </c>
      <c r="Z223" s="2">
        <f>IFERROR(
  IF(ISNUMBER(B223),B223,
    IF(ISNUMBER(SEARCH("-",B223)*1),
      IF(LEN(LEFT(B223,FIND("-",B223)-1))=4,
        DATE(VALUE(LEFT(B223,4)),VALUE(MID(B223,6,2)),VALUE(RIGHT(B223,2))),
        DATE(VALUE(RIGHT(B223,4)),VALUE(MID(B223,4,2)),VALUE(LEFT(B223,2)))
      ),
      IF(ISNUMBER(SEARCH("/",B223)*1),
        DATE(VALUE(RIGHT(B223,4)),VALUE(LEFT(B223,2)),VALUE(MID(B223,4,2))),
        DATEVALUE(B223)
      )
    )
  ),
"INVALID_DATE")</f>
        <v>45669</v>
      </c>
      <c r="AA223" s="2">
        <f>IFERROR(
  IF(ISNUMBER(C223),C223,
    IF(ISNUMBER(SEARCH("-",C223)*1),
      IF(LEN(LEFT(C223,FIND("-",C223)-1))=4,
        DATE(VALUE(LEFT(C223,4)),VALUE(MID(C223,6,2)),VALUE(RIGHT(C223,2))),
        DATE(VALUE(RIGHT(C223,4)),VALUE(MID(C223,4,2)),VALUE(LEFT(C223,2)))
      ),
      IF(ISNUMBER(SEARCH("/",C223)*1),
        DATE(VALUE(RIGHT(C223,4)),VALUE(LEFT(C223,2)),VALUE(MID(C223,4,2))),
        DATEVALUE(C223)
      )
    )
  ),
"INVALID_DATE")</f>
        <v>45672</v>
      </c>
      <c r="AB223">
        <f>AA223-Z223</f>
        <v>3</v>
      </c>
      <c r="AC223" t="str">
        <f>TEXT(Z223,"mmmm")</f>
        <v>January</v>
      </c>
      <c r="AD223">
        <f>YEAR(Z223)</f>
        <v>2025</v>
      </c>
      <c r="AE223" t="str">
        <f t="shared" si="11"/>
        <v>OK</v>
      </c>
    </row>
    <row r="224" spans="1:31">
      <c r="A224" t="s">
        <v>1188</v>
      </c>
      <c r="B224" t="s">
        <v>1189</v>
      </c>
      <c r="C224" t="s">
        <v>1021</v>
      </c>
      <c r="D224" t="s">
        <v>1190</v>
      </c>
      <c r="E224" t="s">
        <v>90</v>
      </c>
      <c r="F224" t="s">
        <v>48</v>
      </c>
      <c r="G224" t="s">
        <v>80</v>
      </c>
      <c r="H224" t="s">
        <v>256</v>
      </c>
      <c r="I224" t="s">
        <v>257</v>
      </c>
      <c r="J224" t="s">
        <v>37</v>
      </c>
      <c r="K224" t="s">
        <v>163</v>
      </c>
      <c r="L224" t="s">
        <v>1191</v>
      </c>
      <c r="M224" t="s">
        <v>63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41</v>
      </c>
      <c r="U224" t="s">
        <v>42</v>
      </c>
      <c r="V224">
        <f>O224*(1-P224)*N224</f>
        <v>25848.54</v>
      </c>
      <c r="W224">
        <f t="shared" si="9"/>
        <v>8119.4500000000007</v>
      </c>
      <c r="X224">
        <f t="shared" si="10"/>
        <v>0.31411638723115504</v>
      </c>
      <c r="Y224" t="str">
        <f>_xlfn.TEXTJOIN(", ",TRUE,IF(G224="Unknown","Missing Region",""),IF(M224="Unknown","Missing Ship Mode",""),IF(P224&lt;0,"Negative Discount",""),IF(P224&gt;0.7,"High Discount",""),IF(C224&lt;B224,"Ship Before Order",""))</f>
        <v>Ship Before Order</v>
      </c>
      <c r="Z224" s="2">
        <f>IFERROR(
  IF(ISNUMBER(B224),B224,
    IF(ISNUMBER(SEARCH("-",B224)*1),
      IF(LEN(LEFT(B224,FIND("-",B224)-1))=4,
        DATE(VALUE(LEFT(B224,4)),VALUE(MID(B224,6,2)),VALUE(RIGHT(B224,2))),
        DATE(VALUE(RIGHT(B224,4)),VALUE(MID(B224,4,2)),VALUE(LEFT(B224,2)))
      ),
      IF(ISNUMBER(SEARCH("/",B224)*1),
        DATE(VALUE(RIGHT(B224,4)),VALUE(LEFT(B224,2)),VALUE(MID(B224,4,2))),
        DATEVALUE(B224)
      )
    )
  ),
"INVALID_DATE")</f>
        <v>45776</v>
      </c>
      <c r="AA224" s="2">
        <f>IFERROR(
  IF(ISNUMBER(C224),C224,
    IF(ISNUMBER(SEARCH("-",C224)*1),
      IF(LEN(LEFT(C224,FIND("-",C224)-1))=4,
        DATE(VALUE(LEFT(C224,4)),VALUE(MID(C224,6,2)),VALUE(RIGHT(C224,2))),
        DATE(VALUE(RIGHT(C224,4)),VALUE(MID(C224,4,2)),VALUE(LEFT(C224,2)))
      ),
      IF(ISNUMBER(SEARCH("/",C224)*1),
        DATE(VALUE(RIGHT(C224,4)),VALUE(LEFT(C224,2)),VALUE(MID(C224,4,2))),
        DATEVALUE(C224)
      )
    )
  ),
"INVALID_DATE")</f>
        <v>45779</v>
      </c>
      <c r="AB224">
        <f>AA224-Z224</f>
        <v>3</v>
      </c>
      <c r="AC224" t="str">
        <f>TEXT(Z224,"mmmm")</f>
        <v>April</v>
      </c>
      <c r="AD224">
        <f>YEAR(Z224)</f>
        <v>2025</v>
      </c>
      <c r="AE224" t="str">
        <f t="shared" si="11"/>
        <v>OK</v>
      </c>
    </row>
    <row r="225" spans="1:31">
      <c r="A225" t="s">
        <v>1192</v>
      </c>
      <c r="B225" t="s">
        <v>1193</v>
      </c>
      <c r="C225" t="s">
        <v>1194</v>
      </c>
      <c r="D225" t="s">
        <v>1195</v>
      </c>
      <c r="E225" t="s">
        <v>47</v>
      </c>
      <c r="F225" t="s">
        <v>115</v>
      </c>
      <c r="G225" t="s">
        <v>80</v>
      </c>
      <c r="H225" t="s">
        <v>81</v>
      </c>
      <c r="I225" t="s">
        <v>82</v>
      </c>
      <c r="J225" t="s">
        <v>52</v>
      </c>
      <c r="K225" t="s">
        <v>72</v>
      </c>
      <c r="L225" t="s">
        <v>1196</v>
      </c>
      <c r="M225" t="s">
        <v>63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144</v>
      </c>
      <c r="U225" t="s">
        <v>132</v>
      </c>
      <c r="V225">
        <f>O225*(1-P225)*N225</f>
        <v>1176.72</v>
      </c>
      <c r="W225">
        <f t="shared" si="9"/>
        <v>522.39</v>
      </c>
      <c r="X225">
        <f t="shared" si="10"/>
        <v>0.44393738527432181</v>
      </c>
      <c r="Y225" t="str">
        <f>_xlfn.TEXTJOIN(", ",TRUE,IF(G225="Unknown","Missing Region",""),IF(M225="Unknown","Missing Ship Mode",""),IF(P225&lt;0,"Negative Discount",""),IF(P225&gt;0.7,"High Discount",""),IF(C225&lt;B225,"Ship Before Order",""))</f>
        <v>Ship Before Order</v>
      </c>
      <c r="Z225" s="2">
        <f>IFERROR(
  IF(ISNUMBER(B225),B225,
    IF(ISNUMBER(SEARCH("-",B225)*1),
      IF(LEN(LEFT(B225,FIND("-",B225)-1))=4,
        DATE(VALUE(LEFT(B225,4)),VALUE(MID(B225,6,2)),VALUE(RIGHT(B225,2))),
        DATE(VALUE(RIGHT(B225,4)),VALUE(MID(B225,4,2)),VALUE(LEFT(B225,2)))
      ),
      IF(ISNUMBER(SEARCH("/",B225)*1),
        DATE(VALUE(RIGHT(B225,4)),VALUE(LEFT(B225,2)),VALUE(MID(B225,4,2))),
        DATEVALUE(B225)
      )
    )
  ),
"INVALID_DATE")</f>
        <v>45707</v>
      </c>
      <c r="AA225" s="2">
        <f>IFERROR(
  IF(ISNUMBER(C225),C225,
    IF(ISNUMBER(SEARCH("-",C225)*1),
      IF(LEN(LEFT(C225,FIND("-",C225)-1))=4,
        DATE(VALUE(LEFT(C225,4)),VALUE(MID(C225,6,2)),VALUE(RIGHT(C225,2))),
        DATE(VALUE(RIGHT(C225,4)),VALUE(MID(C225,4,2)),VALUE(LEFT(C225,2)))
      ),
      IF(ISNUMBER(SEARCH("/",C225)*1),
        DATE(VALUE(RIGHT(C225,4)),VALUE(LEFT(C225,2)),VALUE(MID(C225,4,2))),
        DATEVALUE(C225)
      )
    )
  ),
"INVALID_DATE")</f>
        <v>45714</v>
      </c>
      <c r="AB225">
        <f>AA225-Z225</f>
        <v>7</v>
      </c>
      <c r="AC225" t="str">
        <f>TEXT(Z225,"mmmm")</f>
        <v>February</v>
      </c>
      <c r="AD225">
        <f>YEAR(Z225)</f>
        <v>2025</v>
      </c>
      <c r="AE225" t="str">
        <f t="shared" si="11"/>
        <v>OK</v>
      </c>
    </row>
    <row r="226" spans="1:31">
      <c r="A226" t="s">
        <v>1197</v>
      </c>
      <c r="B226" t="s">
        <v>1198</v>
      </c>
      <c r="C226" t="s">
        <v>1199</v>
      </c>
      <c r="D226" t="s">
        <v>1200</v>
      </c>
      <c r="E226" t="s">
        <v>60</v>
      </c>
      <c r="F226" t="s">
        <v>48</v>
      </c>
      <c r="G226" t="s">
        <v>34</v>
      </c>
      <c r="H226" t="s">
        <v>161</v>
      </c>
      <c r="I226" t="s">
        <v>162</v>
      </c>
      <c r="J226" t="s">
        <v>52</v>
      </c>
      <c r="K226" t="s">
        <v>72</v>
      </c>
      <c r="L226" t="s">
        <v>1201</v>
      </c>
      <c r="M226" t="s">
        <v>74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41</v>
      </c>
      <c r="U226" t="s">
        <v>85</v>
      </c>
      <c r="V226">
        <f>O226*(1-P226)*N226</f>
        <v>11833.92</v>
      </c>
      <c r="W226">
        <f t="shared" si="9"/>
        <v>5151</v>
      </c>
      <c r="X226">
        <f t="shared" si="10"/>
        <v>0.43527419485681834</v>
      </c>
      <c r="Y226" t="str">
        <f>_xlfn.TEXTJOIN(", ",TRUE,IF(G226="Unknown","Missing Region",""),IF(M226="Unknown","Missing Ship Mode",""),IF(P226&lt;0,"Negative Discount",""),IF(P226&gt;0.7,"High Discount",""),IF(C226&lt;B226,"Ship Before Order",""))</f>
        <v>Ship Before Order</v>
      </c>
      <c r="Z226" s="2">
        <f>IFERROR(
  IF(ISNUMBER(B226),B226,
    IF(ISNUMBER(SEARCH("-",B226)*1),
      IF(LEN(LEFT(B226,FIND("-",B226)-1))=4,
        DATE(VALUE(LEFT(B226,4)),VALUE(MID(B226,6,2)),VALUE(RIGHT(B226,2))),
        DATE(VALUE(RIGHT(B226,4)),VALUE(MID(B226,4,2)),VALUE(LEFT(B226,2)))
      ),
      IF(ISNUMBER(SEARCH("/",B226)*1),
        DATE(VALUE(RIGHT(B226,4)),VALUE(LEFT(B226,2)),VALUE(MID(B226,4,2))),
        DATEVALUE(B226)
      )
    )
  ),
"INVALID_DATE")</f>
        <v>45932</v>
      </c>
      <c r="AA226" s="2">
        <f>IFERROR(
  IF(ISNUMBER(C226),C226,
    IF(ISNUMBER(SEARCH("-",C226)*1),
      IF(LEN(LEFT(C226,FIND("-",C226)-1))=4,
        DATE(VALUE(LEFT(C226,4)),VALUE(MID(C226,6,2)),VALUE(RIGHT(C226,2))),
        DATE(VALUE(RIGHT(C226,4)),VALUE(MID(C226,4,2)),VALUE(LEFT(C226,2)))
      ),
      IF(ISNUMBER(SEARCH("/",C226)*1),
        DATE(VALUE(RIGHT(C226,4)),VALUE(LEFT(C226,2)),VALUE(MID(C226,4,2))),
        DATEVALUE(C226)
      )
    )
  ),
"INVALID_DATE")</f>
        <v>45938</v>
      </c>
      <c r="AB226">
        <f>AA226-Z226</f>
        <v>6</v>
      </c>
      <c r="AC226" t="str">
        <f>TEXT(Z226,"mmmm")</f>
        <v>October</v>
      </c>
      <c r="AD226">
        <f>YEAR(Z226)</f>
        <v>2025</v>
      </c>
      <c r="AE226" t="str">
        <f t="shared" si="11"/>
        <v>OK</v>
      </c>
    </row>
    <row r="227" spans="1:31">
      <c r="A227" t="s">
        <v>1202</v>
      </c>
      <c r="B227" t="s">
        <v>1203</v>
      </c>
      <c r="C227" t="s">
        <v>1204</v>
      </c>
      <c r="D227" t="s">
        <v>1205</v>
      </c>
      <c r="E227" t="s">
        <v>47</v>
      </c>
      <c r="F227" t="s">
        <v>115</v>
      </c>
      <c r="G227" t="s">
        <v>80</v>
      </c>
      <c r="H227" t="s">
        <v>256</v>
      </c>
      <c r="I227" t="s">
        <v>257</v>
      </c>
      <c r="J227" t="s">
        <v>93</v>
      </c>
      <c r="K227" t="s">
        <v>230</v>
      </c>
      <c r="L227" t="s">
        <v>1206</v>
      </c>
      <c r="M227" t="s">
        <v>74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41</v>
      </c>
      <c r="U227" t="s">
        <v>42</v>
      </c>
      <c r="V227">
        <f>O227*(1-P227)*N227</f>
        <v>5265.5969999999998</v>
      </c>
      <c r="W227">
        <f t="shared" si="9"/>
        <v>972.48700000000008</v>
      </c>
      <c r="X227">
        <f t="shared" si="10"/>
        <v>0.14956890003038589</v>
      </c>
      <c r="Y227" t="s">
        <v>4120</v>
      </c>
      <c r="Z227" s="2">
        <f>IFERROR(
  IF(ISNUMBER(B227),B227,
    IF(ISNUMBER(SEARCH("-",B227)*1),
      IF(LEN(LEFT(B227,FIND("-",B227)-1))=4,
        DATE(VALUE(LEFT(B227,4)),VALUE(MID(B227,6,2)),VALUE(RIGHT(B227,2))),
        DATE(VALUE(RIGHT(B227,4)),VALUE(MID(B227,4,2)),VALUE(LEFT(B227,2)))
      ),
      IF(ISNUMBER(SEARCH("/",B227)*1),
        DATE(VALUE(RIGHT(B227,4)),VALUE(LEFT(B227,2)),VALUE(MID(B227,4,2))),
        DATEVALUE(B227)
      )
    )
  ),
"INVALID_DATE")</f>
        <v>45537</v>
      </c>
      <c r="AA227" s="2">
        <f>IFERROR(
  IF(ISNUMBER(C227),C227,
    IF(ISNUMBER(SEARCH("-",C227)*1),
      IF(LEN(LEFT(C227,FIND("-",C227)-1))=4,
        DATE(VALUE(LEFT(C227,4)),VALUE(MID(C227,6,2)),VALUE(RIGHT(C227,2))),
        DATE(VALUE(RIGHT(C227,4)),VALUE(MID(C227,4,2)),VALUE(LEFT(C227,2)))
      ),
      IF(ISNUMBER(SEARCH("/",C227)*1),
        DATE(VALUE(RIGHT(C227,4)),VALUE(LEFT(C227,2)),VALUE(MID(C227,4,2))),
        DATEVALUE(C227)
      )
    )
  ),
"INVALID_DATE")</f>
        <v>45545</v>
      </c>
      <c r="AB227">
        <f>AA227-Z227</f>
        <v>8</v>
      </c>
      <c r="AC227" t="str">
        <f>TEXT(Z227,"mmmm")</f>
        <v>September</v>
      </c>
      <c r="AD227">
        <f>YEAR(Z227)</f>
        <v>2024</v>
      </c>
      <c r="AE227" t="str">
        <f t="shared" si="11"/>
        <v>OK</v>
      </c>
    </row>
    <row r="228" spans="1:31">
      <c r="A228" t="s">
        <v>1207</v>
      </c>
      <c r="B228" t="s">
        <v>1208</v>
      </c>
      <c r="C228" t="s">
        <v>1161</v>
      </c>
      <c r="D228" t="s">
        <v>1209</v>
      </c>
      <c r="E228" t="s">
        <v>217</v>
      </c>
      <c r="F228" t="s">
        <v>122</v>
      </c>
      <c r="G228" t="s">
        <v>279</v>
      </c>
      <c r="H228" t="s">
        <v>249</v>
      </c>
      <c r="I228" t="s">
        <v>250</v>
      </c>
      <c r="J228" t="s">
        <v>93</v>
      </c>
      <c r="K228" t="s">
        <v>101</v>
      </c>
      <c r="L228" t="s">
        <v>1210</v>
      </c>
      <c r="M228" t="s">
        <v>55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41</v>
      </c>
      <c r="U228" t="s">
        <v>42</v>
      </c>
      <c r="V228">
        <f>O228*(1-P228)*N228</f>
        <v>1987.443</v>
      </c>
      <c r="W228">
        <f t="shared" si="9"/>
        <v>877.21299999999997</v>
      </c>
      <c r="X228">
        <f t="shared" si="10"/>
        <v>0.44137684659662685</v>
      </c>
      <c r="Y228" t="str">
        <f>_xlfn.TEXTJOIN(", ",TRUE,IF(G228="Unknown","Missing Region",""),IF(M228="Unknown","Missing Ship Mode",""),IF(P228&lt;0,"Negative Discount",""),IF(P228&gt;0.7,"High Discount",""),IF(C228&lt;B228,"Ship Before Order",""))</f>
        <v>Missing Region</v>
      </c>
      <c r="Z228" s="2">
        <f>IFERROR(
  IF(ISNUMBER(B228),B228,
    IF(ISNUMBER(SEARCH("-",B228)*1),
      IF(LEN(LEFT(B228,FIND("-",B228)-1))=4,
        DATE(VALUE(LEFT(B228,4)),VALUE(MID(B228,6,2)),VALUE(RIGHT(B228,2))),
        DATE(VALUE(RIGHT(B228,4)),VALUE(MID(B228,4,2)),VALUE(LEFT(B228,2)))
      ),
      IF(ISNUMBER(SEARCH("/",B228)*1),
        DATE(VALUE(RIGHT(B228,4)),VALUE(LEFT(B228,2)),VALUE(MID(B228,4,2))),
        DATEVALUE(B228)
      )
    )
  ),
"INVALID_DATE")</f>
        <v>45757</v>
      </c>
      <c r="AA228" s="2">
        <f>IFERROR(
  IF(ISNUMBER(C228),C228,
    IF(ISNUMBER(SEARCH("-",C228)*1),
      IF(LEN(LEFT(C228,FIND("-",C228)-1))=4,
        DATE(VALUE(LEFT(C228,4)),VALUE(MID(C228,6,2)),VALUE(RIGHT(C228,2))),
        DATE(VALUE(RIGHT(C228,4)),VALUE(MID(C228,4,2)),VALUE(LEFT(C228,2)))
      ),
      IF(ISNUMBER(SEARCH("/",C228)*1),
        DATE(VALUE(RIGHT(C228,4)),VALUE(LEFT(C228,2)),VALUE(MID(C228,4,2))),
        DATEVALUE(C228)
      )
    )
  ),
"INVALID_DATE")</f>
        <v>45762</v>
      </c>
      <c r="AB228">
        <f>AA228-Z228</f>
        <v>5</v>
      </c>
      <c r="AC228" t="str">
        <f>TEXT(Z228,"mmmm")</f>
        <v>April</v>
      </c>
      <c r="AD228">
        <f>YEAR(Z228)</f>
        <v>2025</v>
      </c>
      <c r="AE228" t="str">
        <f t="shared" si="11"/>
        <v>OK</v>
      </c>
    </row>
    <row r="229" spans="1:31">
      <c r="A229" t="s">
        <v>1211</v>
      </c>
      <c r="B229" t="s">
        <v>1212</v>
      </c>
      <c r="C229" t="s">
        <v>1213</v>
      </c>
      <c r="D229" t="s">
        <v>1214</v>
      </c>
      <c r="E229" t="s">
        <v>79</v>
      </c>
      <c r="F229" t="s">
        <v>1215</v>
      </c>
      <c r="G229" t="s">
        <v>80</v>
      </c>
      <c r="H229" t="s">
        <v>256</v>
      </c>
      <c r="I229" t="s">
        <v>257</v>
      </c>
      <c r="J229" t="s">
        <v>37</v>
      </c>
      <c r="K229" t="s">
        <v>205</v>
      </c>
      <c r="L229" t="s">
        <v>1216</v>
      </c>
      <c r="M229" t="s">
        <v>63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41</v>
      </c>
      <c r="U229" t="s">
        <v>42</v>
      </c>
      <c r="V229">
        <f>O229*(1-P229)*N229</f>
        <v>1473.2624999999998</v>
      </c>
      <c r="W229">
        <f t="shared" si="9"/>
        <v>573.4024999999998</v>
      </c>
      <c r="X229">
        <f t="shared" si="10"/>
        <v>0.38920489255121293</v>
      </c>
      <c r="Y229" t="str">
        <f>_xlfn.TEXTJOIN(", ",TRUE,IF(G229="Unknown","Missing Region",""),IF(M229="Unknown","Missing Ship Mode",""),IF(P229&lt;0,"Negative Discount",""),IF(P229&gt;0.7,"High Discount",""),IF(C229&lt;B229,"Ship Before Order",""))</f>
        <v>Ship Before Order</v>
      </c>
      <c r="Z229" s="2">
        <f>IFERROR(
  IF(ISNUMBER(B229),B229,
    IF(ISNUMBER(SEARCH("-",B229)*1),
      IF(LEN(LEFT(B229,FIND("-",B229)-1))=4,
        DATE(VALUE(LEFT(B229,4)),VALUE(MID(B229,6,2)),VALUE(RIGHT(B229,2))),
        DATE(VALUE(RIGHT(B229,4)),VALUE(MID(B229,4,2)),VALUE(LEFT(B229,2)))
      ),
      IF(ISNUMBER(SEARCH("/",B229)*1),
        DATE(VALUE(RIGHT(B229,4)),VALUE(LEFT(B229,2)),VALUE(MID(B229,4,2))),
        DATEVALUE(B229)
      )
    )
  ),
"INVALID_DATE")</f>
        <v>45478</v>
      </c>
      <c r="AA229" s="2">
        <f>IFERROR(
  IF(ISNUMBER(C229),C229,
    IF(ISNUMBER(SEARCH("-",C229)*1),
      IF(LEN(LEFT(C229,FIND("-",C229)-1))=4,
        DATE(VALUE(LEFT(C229,4)),VALUE(MID(C229,6,2)),VALUE(RIGHT(C229,2))),
        DATE(VALUE(RIGHT(C229,4)),VALUE(MID(C229,4,2)),VALUE(LEFT(C229,2)))
      ),
      IF(ISNUMBER(SEARCH("/",C229)*1),
        DATE(VALUE(RIGHT(C229,4)),VALUE(LEFT(C229,2)),VALUE(MID(C229,4,2))),
        DATEVALUE(C229)
      )
    )
  ),
"INVALID_DATE")</f>
        <v>45485</v>
      </c>
      <c r="AB229">
        <f>AA229-Z229</f>
        <v>7</v>
      </c>
      <c r="AC229" t="str">
        <f>TEXT(Z229,"mmmm")</f>
        <v>July</v>
      </c>
      <c r="AD229">
        <f>YEAR(Z229)</f>
        <v>2024</v>
      </c>
      <c r="AE229" t="str">
        <f t="shared" si="11"/>
        <v>OK</v>
      </c>
    </row>
    <row r="230" spans="1:31">
      <c r="A230" t="s">
        <v>1217</v>
      </c>
      <c r="B230" t="s">
        <v>1218</v>
      </c>
      <c r="C230" t="s">
        <v>1219</v>
      </c>
      <c r="D230" t="s">
        <v>1220</v>
      </c>
      <c r="E230" t="s">
        <v>32</v>
      </c>
      <c r="F230" t="s">
        <v>48</v>
      </c>
      <c r="G230" t="s">
        <v>69</v>
      </c>
      <c r="H230" t="s">
        <v>70</v>
      </c>
      <c r="I230" t="s">
        <v>71</v>
      </c>
      <c r="J230" t="s">
        <v>37</v>
      </c>
      <c r="K230" t="s">
        <v>116</v>
      </c>
      <c r="L230" t="s">
        <v>1221</v>
      </c>
      <c r="M230" t="s">
        <v>40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41</v>
      </c>
      <c r="U230" t="s">
        <v>42</v>
      </c>
      <c r="V230">
        <f>O230*(1-P230)*N230</f>
        <v>2715.2145</v>
      </c>
      <c r="W230">
        <f t="shared" si="9"/>
        <v>1163.6645000000001</v>
      </c>
      <c r="X230">
        <f t="shared" si="10"/>
        <v>0.4285709024348025</v>
      </c>
      <c r="Y230" t="s">
        <v>4120</v>
      </c>
      <c r="Z230" s="2">
        <f>IFERROR(
  IF(ISNUMBER(B230),B230,
    IF(ISNUMBER(SEARCH("-",B230)*1),
      IF(LEN(LEFT(B230,FIND("-",B230)-1))=4,
        DATE(VALUE(LEFT(B230,4)),VALUE(MID(B230,6,2)),VALUE(RIGHT(B230,2))),
        DATE(VALUE(RIGHT(B230,4)),VALUE(MID(B230,4,2)),VALUE(LEFT(B230,2)))
      ),
      IF(ISNUMBER(SEARCH("/",B230)*1),
        DATE(VALUE(RIGHT(B230,4)),VALUE(LEFT(B230,2)),VALUE(MID(B230,4,2))),
        DATEVALUE(B230)
      )
    )
  ),
"INVALID_DATE")</f>
        <v>45406</v>
      </c>
      <c r="AA230" s="2">
        <f>IFERROR(
  IF(ISNUMBER(C230),C230,
    IF(ISNUMBER(SEARCH("-",C230)*1),
      IF(LEN(LEFT(C230,FIND("-",C230)-1))=4,
        DATE(VALUE(LEFT(C230,4)),VALUE(MID(C230,6,2)),VALUE(RIGHT(C230,2))),
        DATE(VALUE(RIGHT(C230,4)),VALUE(MID(C230,4,2)),VALUE(LEFT(C230,2)))
      ),
      IF(ISNUMBER(SEARCH("/",C230)*1),
        DATE(VALUE(RIGHT(C230,4)),VALUE(LEFT(C230,2)),VALUE(MID(C230,4,2))),
        DATEVALUE(C230)
      )
    )
  ),
"INVALID_DATE")</f>
        <v>45410</v>
      </c>
      <c r="AB230">
        <f>AA230-Z230</f>
        <v>4</v>
      </c>
      <c r="AC230" t="str">
        <f>TEXT(Z230,"mmmm")</f>
        <v>April</v>
      </c>
      <c r="AD230">
        <f>YEAR(Z230)</f>
        <v>2024</v>
      </c>
      <c r="AE230" t="str">
        <f t="shared" si="11"/>
        <v>OK</v>
      </c>
    </row>
    <row r="231" spans="1:31">
      <c r="A231" t="s">
        <v>1222</v>
      </c>
      <c r="B231" t="s">
        <v>1223</v>
      </c>
      <c r="C231" t="s">
        <v>1224</v>
      </c>
      <c r="D231" t="s">
        <v>1225</v>
      </c>
      <c r="E231" t="s">
        <v>187</v>
      </c>
      <c r="F231" t="s">
        <v>33</v>
      </c>
      <c r="G231" t="s">
        <v>69</v>
      </c>
      <c r="H231" t="s">
        <v>70</v>
      </c>
      <c r="I231" t="s">
        <v>71</v>
      </c>
      <c r="J231" t="s">
        <v>52</v>
      </c>
      <c r="K231" t="s">
        <v>211</v>
      </c>
      <c r="L231" t="s">
        <v>1226</v>
      </c>
      <c r="M231" t="s">
        <v>63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131</v>
      </c>
      <c r="U231" t="s">
        <v>132</v>
      </c>
      <c r="V231">
        <f>O231*(1-P231)*N231</f>
        <v>8658.69</v>
      </c>
      <c r="W231">
        <f t="shared" si="9"/>
        <v>3122.7500000000009</v>
      </c>
      <c r="X231">
        <f t="shared" si="10"/>
        <v>0.36064924370776641</v>
      </c>
      <c r="Y231" t="str">
        <f>_xlfn.TEXTJOIN(", ",TRUE,IF(G231="Unknown","Missing Region",""),IF(M231="Unknown","Missing Ship Mode",""),IF(P231&lt;0,"Negative Discount",""),IF(P231&gt;0.7,"High Discount",""),IF(C231&lt;B231,"Ship Before Order",""))</f>
        <v>Ship Before Order</v>
      </c>
      <c r="Z231" s="2">
        <f>IFERROR(
  IF(ISNUMBER(B231),B231,
    IF(ISNUMBER(SEARCH("-",B231)*1),
      IF(LEN(LEFT(B231,FIND("-",B231)-1))=4,
        DATE(VALUE(LEFT(B231,4)),VALUE(MID(B231,6,2)),VALUE(RIGHT(B231,2))),
        DATE(VALUE(RIGHT(B231,4)),VALUE(MID(B231,4,2)),VALUE(LEFT(B231,2)))
      ),
      IF(ISNUMBER(SEARCH("/",B231)*1),
        DATE(VALUE(RIGHT(B231,4)),VALUE(LEFT(B231,2)),VALUE(MID(B231,4,2))),
        DATEVALUE(B231)
      )
    )
  ),
"INVALID_DATE")</f>
        <v>45836</v>
      </c>
      <c r="AA231" s="2">
        <f>IFERROR(
  IF(ISNUMBER(C231),C231,
    IF(ISNUMBER(SEARCH("-",C231)*1),
      IF(LEN(LEFT(C231,FIND("-",C231)-1))=4,
        DATE(VALUE(LEFT(C231,4)),VALUE(MID(C231,6,2)),VALUE(RIGHT(C231,2))),
        DATE(VALUE(RIGHT(C231,4)),VALUE(MID(C231,4,2)),VALUE(LEFT(C231,2)))
      ),
      IF(ISNUMBER(SEARCH("/",C231)*1),
        DATE(VALUE(RIGHT(C231,4)),VALUE(LEFT(C231,2)),VALUE(MID(C231,4,2))),
        DATEVALUE(C231)
      )
    )
  ),
"INVALID_DATE")</f>
        <v>45842</v>
      </c>
      <c r="AB231">
        <f>AA231-Z231</f>
        <v>6</v>
      </c>
      <c r="AC231" t="str">
        <f>TEXT(Z231,"mmmm")</f>
        <v>June</v>
      </c>
      <c r="AD231">
        <f>YEAR(Z231)</f>
        <v>2025</v>
      </c>
      <c r="AE231" t="str">
        <f t="shared" si="11"/>
        <v>OK</v>
      </c>
    </row>
    <row r="232" spans="1:31">
      <c r="A232" t="s">
        <v>1227</v>
      </c>
      <c r="B232" t="s">
        <v>88</v>
      </c>
      <c r="C232" t="s">
        <v>1228</v>
      </c>
      <c r="D232" t="s">
        <v>1229</v>
      </c>
      <c r="E232" t="s">
        <v>100</v>
      </c>
      <c r="F232" t="s">
        <v>48</v>
      </c>
      <c r="G232" t="s">
        <v>34</v>
      </c>
      <c r="H232" t="s">
        <v>35</v>
      </c>
      <c r="I232" t="s">
        <v>36</v>
      </c>
      <c r="J232" t="s">
        <v>37</v>
      </c>
      <c r="K232" t="s">
        <v>38</v>
      </c>
      <c r="L232" t="s">
        <v>1230</v>
      </c>
      <c r="M232" t="s">
        <v>74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41</v>
      </c>
      <c r="U232" t="s">
        <v>42</v>
      </c>
      <c r="V232">
        <f>O232*(1-P232)*N232</f>
        <v>11090.376</v>
      </c>
      <c r="W232">
        <f t="shared" si="9"/>
        <v>2249.4259999999995</v>
      </c>
      <c r="X232">
        <f t="shared" si="10"/>
        <v>0.20282713486823717</v>
      </c>
      <c r="Y232" t="str">
        <f>_xlfn.TEXTJOIN(", ",TRUE,IF(G232="Unknown","Missing Region",""),IF(M232="Unknown","Missing Ship Mode",""),IF(P232&lt;0,"Negative Discount",""),IF(P232&gt;0.7,"High Discount",""),IF(C232&lt;B232,"Ship Before Order",""))</f>
        <v>Ship Before Order</v>
      </c>
      <c r="Z232" s="2">
        <f>IFERROR(
  IF(ISNUMBER(B232),B232,
    IF(ISNUMBER(SEARCH("-",B232)*1),
      IF(LEN(LEFT(B232,FIND("-",B232)-1))=4,
        DATE(VALUE(LEFT(B232,4)),VALUE(MID(B232,6,2)),VALUE(RIGHT(B232,2))),
        DATE(VALUE(RIGHT(B232,4)),VALUE(MID(B232,4,2)),VALUE(LEFT(B232,2)))
      ),
      IF(ISNUMBER(SEARCH("/",B232)*1),
        DATE(VALUE(RIGHT(B232,4)),VALUE(LEFT(B232,2)),VALUE(MID(B232,4,2))),
        DATEVALUE(B232)
      )
    )
  ),
"INVALID_DATE")</f>
        <v>45440</v>
      </c>
      <c r="AA232" s="2">
        <f>IFERROR(
  IF(ISNUMBER(C232),C232,
    IF(ISNUMBER(SEARCH("-",C232)*1),
      IF(LEN(LEFT(C232,FIND("-",C232)-1))=4,
        DATE(VALUE(LEFT(C232,4)),VALUE(MID(C232,6,2)),VALUE(RIGHT(C232,2))),
        DATE(VALUE(RIGHT(C232,4)),VALUE(MID(C232,4,2)),VALUE(LEFT(C232,2)))
      ),
      IF(ISNUMBER(SEARCH("/",C232)*1),
        DATE(VALUE(RIGHT(C232,4)),VALUE(LEFT(C232,2)),VALUE(MID(C232,4,2))),
        DATEVALUE(C232)
      )
    )
  ),
"INVALID_DATE")</f>
        <v>45446</v>
      </c>
      <c r="AB232">
        <f>AA232-Z232</f>
        <v>6</v>
      </c>
      <c r="AC232" t="str">
        <f>TEXT(Z232,"mmmm")</f>
        <v>May</v>
      </c>
      <c r="AD232">
        <f>YEAR(Z232)</f>
        <v>2024</v>
      </c>
      <c r="AE232" t="str">
        <f t="shared" si="11"/>
        <v>OK</v>
      </c>
    </row>
    <row r="233" spans="1:31">
      <c r="A233" t="s">
        <v>1231</v>
      </c>
      <c r="B233" t="s">
        <v>1232</v>
      </c>
      <c r="C233" t="s">
        <v>1233</v>
      </c>
      <c r="D233" t="s">
        <v>1234</v>
      </c>
      <c r="E233" t="s">
        <v>79</v>
      </c>
      <c r="F233" t="s">
        <v>115</v>
      </c>
      <c r="G233" t="s">
        <v>34</v>
      </c>
      <c r="H233" t="s">
        <v>35</v>
      </c>
      <c r="I233" t="s">
        <v>36</v>
      </c>
      <c r="J233" t="s">
        <v>1235</v>
      </c>
      <c r="K233" t="s">
        <v>116</v>
      </c>
      <c r="L233" t="s">
        <v>1236</v>
      </c>
      <c r="M233" t="s">
        <v>63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131</v>
      </c>
      <c r="U233" t="s">
        <v>85</v>
      </c>
      <c r="V233">
        <f>O233*(1-P233)*N233</f>
        <v>11462.745000000001</v>
      </c>
      <c r="W233">
        <f t="shared" si="9"/>
        <v>4299.2050000000008</v>
      </c>
      <c r="X233">
        <f t="shared" si="10"/>
        <v>0.37505866834631163</v>
      </c>
      <c r="Y233" t="str">
        <f>_xlfn.TEXTJOIN(", ",TRUE,IF(G233="Unknown","Missing Region",""),IF(M233="Unknown","Missing Ship Mode",""),IF(P233&lt;0,"Negative Discount",""),IF(P233&gt;0.7,"High Discount",""),IF(C233&lt;B233,"Ship Before Order",""))</f>
        <v>Ship Before Order</v>
      </c>
      <c r="Z233" s="2">
        <f>IFERROR(
  IF(ISNUMBER(B233),B233,
    IF(ISNUMBER(SEARCH("-",B233)*1),
      IF(LEN(LEFT(B233,FIND("-",B233)-1))=4,
        DATE(VALUE(LEFT(B233,4)),VALUE(MID(B233,6,2)),VALUE(RIGHT(B233,2))),
        DATE(VALUE(RIGHT(B233,4)),VALUE(MID(B233,4,2)),VALUE(LEFT(B233,2)))
      ),
      IF(ISNUMBER(SEARCH("/",B233)*1),
        DATE(VALUE(RIGHT(B233,4)),VALUE(LEFT(B233,2)),VALUE(MID(B233,4,2))),
        DATEVALUE(B233)
      )
    )
  ),
"INVALID_DATE")</f>
        <v>45414</v>
      </c>
      <c r="AA233" s="2">
        <f>IFERROR(
  IF(ISNUMBER(C233),C233,
    IF(ISNUMBER(SEARCH("-",C233)*1),
      IF(LEN(LEFT(C233,FIND("-",C233)-1))=4,
        DATE(VALUE(LEFT(C233,4)),VALUE(MID(C233,6,2)),VALUE(RIGHT(C233,2))),
        DATE(VALUE(RIGHT(C233,4)),VALUE(MID(C233,4,2)),VALUE(LEFT(C233,2)))
      ),
      IF(ISNUMBER(SEARCH("/",C233)*1),
        DATE(VALUE(RIGHT(C233,4)),VALUE(LEFT(C233,2)),VALUE(MID(C233,4,2))),
        DATEVALUE(C233)
      )
    )
  ),
"INVALID_DATE")</f>
        <v>45414</v>
      </c>
      <c r="AB233">
        <f>AA233-Z233</f>
        <v>0</v>
      </c>
      <c r="AC233" t="str">
        <f>TEXT(Z233,"mmmm")</f>
        <v>May</v>
      </c>
      <c r="AD233">
        <f>YEAR(Z233)</f>
        <v>2024</v>
      </c>
      <c r="AE233" t="str">
        <f t="shared" si="11"/>
        <v>OK</v>
      </c>
    </row>
    <row r="234" spans="1:31">
      <c r="A234" t="s">
        <v>1237</v>
      </c>
      <c r="B234" t="s">
        <v>1238</v>
      </c>
      <c r="C234" t="s">
        <v>1239</v>
      </c>
      <c r="D234" t="s">
        <v>1240</v>
      </c>
      <c r="E234" t="s">
        <v>155</v>
      </c>
      <c r="F234" t="s">
        <v>33</v>
      </c>
      <c r="G234" t="s">
        <v>69</v>
      </c>
      <c r="H234" t="s">
        <v>107</v>
      </c>
      <c r="I234" t="s">
        <v>108</v>
      </c>
      <c r="J234" t="s">
        <v>93</v>
      </c>
      <c r="K234" t="s">
        <v>230</v>
      </c>
      <c r="L234" t="s">
        <v>1241</v>
      </c>
      <c r="M234" t="s">
        <v>74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41</v>
      </c>
      <c r="U234" t="s">
        <v>42</v>
      </c>
      <c r="V234">
        <f>O234*(1-P234)*N234</f>
        <v>670.11</v>
      </c>
      <c r="W234">
        <f t="shared" si="9"/>
        <v>110.53999999999996</v>
      </c>
      <c r="X234">
        <f t="shared" si="10"/>
        <v>0.16495799197146738</v>
      </c>
      <c r="Y234" t="s">
        <v>4120</v>
      </c>
      <c r="Z234" s="2">
        <f>IFERROR(
  IF(ISNUMBER(B234),B234,
    IF(ISNUMBER(SEARCH("-",B234)*1),
      IF(LEN(LEFT(B234,FIND("-",B234)-1))=4,
        DATE(VALUE(LEFT(B234,4)),VALUE(MID(B234,6,2)),VALUE(RIGHT(B234,2))),
        DATE(VALUE(RIGHT(B234,4)),VALUE(MID(B234,4,2)),VALUE(LEFT(B234,2)))
      ),
      IF(ISNUMBER(SEARCH("/",B234)*1),
        DATE(VALUE(RIGHT(B234,4)),VALUE(LEFT(B234,2)),VALUE(MID(B234,4,2))),
        DATEVALUE(B234)
      )
    )
  ),
"INVALID_DATE")</f>
        <v>45812</v>
      </c>
      <c r="AA234" s="2">
        <f>IFERROR(
  IF(ISNUMBER(C234),C234,
    IF(ISNUMBER(SEARCH("-",C234)*1),
      IF(LEN(LEFT(C234,FIND("-",C234)-1))=4,
        DATE(VALUE(LEFT(C234,4)),VALUE(MID(C234,6,2)),VALUE(RIGHT(C234,2))),
        DATE(VALUE(RIGHT(C234,4)),VALUE(MID(C234,4,2)),VALUE(LEFT(C234,2)))
      ),
      IF(ISNUMBER(SEARCH("/",C234)*1),
        DATE(VALUE(RIGHT(C234,4)),VALUE(LEFT(C234,2)),VALUE(MID(C234,4,2))),
        DATEVALUE(C234)
      )
    )
  ),
"INVALID_DATE")</f>
        <v>45818</v>
      </c>
      <c r="AB234">
        <f>AA234-Z234</f>
        <v>6</v>
      </c>
      <c r="AC234" t="str">
        <f>TEXT(Z234,"mmmm")</f>
        <v>June</v>
      </c>
      <c r="AD234">
        <f>YEAR(Z234)</f>
        <v>2025</v>
      </c>
      <c r="AE234" t="str">
        <f t="shared" si="11"/>
        <v>OK</v>
      </c>
    </row>
    <row r="235" spans="1:31">
      <c r="A235" t="s">
        <v>1242</v>
      </c>
      <c r="B235" t="s">
        <v>1243</v>
      </c>
      <c r="C235" t="s">
        <v>1244</v>
      </c>
      <c r="D235" t="s">
        <v>1245</v>
      </c>
      <c r="E235" t="s">
        <v>90</v>
      </c>
      <c r="F235" t="s">
        <v>115</v>
      </c>
      <c r="G235" t="s">
        <v>69</v>
      </c>
      <c r="H235" t="s">
        <v>236</v>
      </c>
      <c r="I235" t="s">
        <v>237</v>
      </c>
      <c r="J235" t="s">
        <v>52</v>
      </c>
      <c r="K235" t="s">
        <v>211</v>
      </c>
      <c r="L235" t="s">
        <v>1246</v>
      </c>
      <c r="M235" t="s">
        <v>279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41</v>
      </c>
      <c r="U235" t="s">
        <v>42</v>
      </c>
      <c r="V235">
        <f>O235*(1-P235)*N235</f>
        <v>31236.720000000001</v>
      </c>
      <c r="W235">
        <f t="shared" si="9"/>
        <v>4859.0200000000004</v>
      </c>
      <c r="X235">
        <f t="shared" si="10"/>
        <v>0.15555474454424154</v>
      </c>
      <c r="Y235" t="str">
        <f>_xlfn.TEXTJOIN(", ",TRUE,IF(G235="Unknown","Missing Region",""),IF(M235="Unknown","Missing Ship Mode",""),IF(P235&lt;0,"Negative Discount",""),IF(P235&gt;0.7,"High Discount",""),IF(C235&lt;B235,"Ship Before Order",""))</f>
        <v>Missing Ship Mode, Ship Before Order</v>
      </c>
      <c r="Z235" s="2">
        <f>IFERROR(
  IF(ISNUMBER(B235),B235,
    IF(ISNUMBER(SEARCH("-",B235)*1),
      IF(LEN(LEFT(B235,FIND("-",B235)-1))=4,
        DATE(VALUE(LEFT(B235,4)),VALUE(MID(B235,6,2)),VALUE(RIGHT(B235,2))),
        DATE(VALUE(RIGHT(B235,4)),VALUE(MID(B235,4,2)),VALUE(LEFT(B235,2)))
      ),
      IF(ISNUMBER(SEARCH("/",B235)*1),
        DATE(VALUE(RIGHT(B235,4)),VALUE(LEFT(B235,2)),VALUE(MID(B235,4,2))),
        DATEVALUE(B235)
      )
    )
  ),
"INVALID_DATE")</f>
        <v>45579</v>
      </c>
      <c r="AA235" s="2">
        <f>IFERROR(
  IF(ISNUMBER(C235),C235,
    IF(ISNUMBER(SEARCH("-",C235)*1),
      IF(LEN(LEFT(C235,FIND("-",C235)-1))=4,
        DATE(VALUE(LEFT(C235,4)),VALUE(MID(C235,6,2)),VALUE(RIGHT(C235,2))),
        DATE(VALUE(RIGHT(C235,4)),VALUE(MID(C235,4,2)),VALUE(LEFT(C235,2)))
      ),
      IF(ISNUMBER(SEARCH("/",C235)*1),
        DATE(VALUE(RIGHT(C235,4)),VALUE(LEFT(C235,2)),VALUE(MID(C235,4,2))),
        DATEVALUE(C235)
      )
    )
  ),
"INVALID_DATE")</f>
        <v>45579</v>
      </c>
      <c r="AB235">
        <f>AA235-Z235</f>
        <v>0</v>
      </c>
      <c r="AC235" t="str">
        <f>TEXT(Z235,"mmmm")</f>
        <v>October</v>
      </c>
      <c r="AD235">
        <f>YEAR(Z235)</f>
        <v>2024</v>
      </c>
      <c r="AE235" t="str">
        <f t="shared" si="11"/>
        <v>OK</v>
      </c>
    </row>
    <row r="236" spans="1:31">
      <c r="A236" t="s">
        <v>1247</v>
      </c>
      <c r="B236" t="s">
        <v>1248</v>
      </c>
      <c r="C236" t="s">
        <v>1249</v>
      </c>
      <c r="D236" t="s">
        <v>1250</v>
      </c>
      <c r="E236" t="s">
        <v>374</v>
      </c>
      <c r="F236" t="s">
        <v>122</v>
      </c>
      <c r="G236" t="s">
        <v>34</v>
      </c>
      <c r="H236" t="s">
        <v>514</v>
      </c>
      <c r="I236" t="s">
        <v>515</v>
      </c>
      <c r="J236" t="s">
        <v>52</v>
      </c>
      <c r="K236" t="s">
        <v>72</v>
      </c>
      <c r="L236" t="s">
        <v>1251</v>
      </c>
      <c r="M236" t="s">
        <v>63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41</v>
      </c>
      <c r="U236" t="s">
        <v>42</v>
      </c>
      <c r="V236">
        <f>O236*(1-P236)*N236</f>
        <v>10964.241</v>
      </c>
      <c r="W236">
        <f t="shared" si="9"/>
        <v>1701.7710000000006</v>
      </c>
      <c r="X236">
        <f t="shared" si="10"/>
        <v>0.15521094029317126</v>
      </c>
      <c r="Y236" t="str">
        <f>_xlfn.TEXTJOIN(", ",TRUE,IF(G236="Unknown","Missing Region",""),IF(M236="Unknown","Missing Ship Mode",""),IF(P236&lt;0,"Negative Discount",""),IF(P236&gt;0.7,"High Discount",""),IF(C236&lt;B236,"Ship Before Order",""))</f>
        <v>Ship Before Order</v>
      </c>
      <c r="Z236" s="2">
        <f>IFERROR(
  IF(ISNUMBER(B236),B236,
    IF(ISNUMBER(SEARCH("-",B236)*1),
      IF(LEN(LEFT(B236,FIND("-",B236)-1))=4,
        DATE(VALUE(LEFT(B236,4)),VALUE(MID(B236,6,2)),VALUE(RIGHT(B236,2))),
        DATE(VALUE(RIGHT(B236,4)),VALUE(MID(B236,4,2)),VALUE(LEFT(B236,2)))
      ),
      IF(ISNUMBER(SEARCH("/",B236)*1),
        DATE(VALUE(RIGHT(B236,4)),VALUE(LEFT(B236,2)),VALUE(MID(B236,4,2))),
        DATEVALUE(B236)
      )
    )
  ),
"INVALID_DATE")</f>
        <v>45537</v>
      </c>
      <c r="AA236" s="2">
        <f>IFERROR(
  IF(ISNUMBER(C236),C236,
    IF(ISNUMBER(SEARCH("-",C236)*1),
      IF(LEN(LEFT(C236,FIND("-",C236)-1))=4,
        DATE(VALUE(LEFT(C236,4)),VALUE(MID(C236,6,2)),VALUE(RIGHT(C236,2))),
        DATE(VALUE(RIGHT(C236,4)),VALUE(MID(C236,4,2)),VALUE(LEFT(C236,2)))
      ),
      IF(ISNUMBER(SEARCH("/",C236)*1),
        DATE(VALUE(RIGHT(C236,4)),VALUE(LEFT(C236,2)),VALUE(MID(C236,4,2))),
        DATEVALUE(C236)
      )
    )
  ),
"INVALID_DATE")</f>
        <v>45538</v>
      </c>
      <c r="AB236">
        <f>AA236-Z236</f>
        <v>1</v>
      </c>
      <c r="AC236" t="str">
        <f>TEXT(Z236,"mmmm")</f>
        <v>September</v>
      </c>
      <c r="AD236">
        <f>YEAR(Z236)</f>
        <v>2024</v>
      </c>
      <c r="AE236" t="str">
        <f t="shared" si="11"/>
        <v>OK</v>
      </c>
    </row>
    <row r="237" spans="1:31">
      <c r="A237" t="s">
        <v>1252</v>
      </c>
      <c r="B237" t="s">
        <v>1253</v>
      </c>
      <c r="C237" t="s">
        <v>1254</v>
      </c>
      <c r="D237" t="s">
        <v>1255</v>
      </c>
      <c r="E237" t="s">
        <v>155</v>
      </c>
      <c r="F237" t="s">
        <v>48</v>
      </c>
      <c r="G237" t="s">
        <v>80</v>
      </c>
      <c r="H237" t="s">
        <v>35</v>
      </c>
      <c r="I237" t="s">
        <v>142</v>
      </c>
      <c r="J237" t="s">
        <v>37</v>
      </c>
      <c r="K237" t="s">
        <v>163</v>
      </c>
      <c r="L237" t="s">
        <v>1256</v>
      </c>
      <c r="M237" t="s">
        <v>74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41</v>
      </c>
      <c r="U237" t="s">
        <v>42</v>
      </c>
      <c r="V237">
        <f>O237*(1-P237)*N237</f>
        <v>15226.352999999999</v>
      </c>
      <c r="W237">
        <f t="shared" si="9"/>
        <v>4081.0729999999985</v>
      </c>
      <c r="X237">
        <f t="shared" si="10"/>
        <v>0.26802680878871166</v>
      </c>
      <c r="Y237" t="s">
        <v>4120</v>
      </c>
      <c r="Z237" s="2">
        <f>IFERROR(
  IF(ISNUMBER(B237),B237,
    IF(ISNUMBER(SEARCH("-",B237)*1),
      IF(LEN(LEFT(B237,FIND("-",B237)-1))=4,
        DATE(VALUE(LEFT(B237,4)),VALUE(MID(B237,6,2)),VALUE(RIGHT(B237,2))),
        DATE(VALUE(RIGHT(B237,4)),VALUE(MID(B237,4,2)),VALUE(LEFT(B237,2)))
      ),
      IF(ISNUMBER(SEARCH("/",B237)*1),
        DATE(VALUE(RIGHT(B237,4)),VALUE(LEFT(B237,2)),VALUE(MID(B237,4,2))),
        DATEVALUE(B237)
      )
    )
  ),
"INVALID_DATE")</f>
        <v>45598</v>
      </c>
      <c r="AA237" s="2">
        <f>IFERROR(
  IF(ISNUMBER(C237),C237,
    IF(ISNUMBER(SEARCH("-",C237)*1),
      IF(LEN(LEFT(C237,FIND("-",C237)-1))=4,
        DATE(VALUE(LEFT(C237,4)),VALUE(MID(C237,6,2)),VALUE(RIGHT(C237,2))),
        DATE(VALUE(RIGHT(C237,4)),VALUE(MID(C237,4,2)),VALUE(LEFT(C237,2)))
      ),
      IF(ISNUMBER(SEARCH("/",C237)*1),
        DATE(VALUE(RIGHT(C237,4)),VALUE(LEFT(C237,2)),VALUE(MID(C237,4,2))),
        DATEVALUE(C237)
      )
    )
  ),
"INVALID_DATE")</f>
        <v>45599</v>
      </c>
      <c r="AB237">
        <f>AA237-Z237</f>
        <v>1</v>
      </c>
      <c r="AC237" t="str">
        <f>TEXT(Z237,"mmmm")</f>
        <v>November</v>
      </c>
      <c r="AD237">
        <f>YEAR(Z237)</f>
        <v>2024</v>
      </c>
      <c r="AE237" t="str">
        <f t="shared" si="11"/>
        <v>OK</v>
      </c>
    </row>
    <row r="238" spans="1:31">
      <c r="A238" t="s">
        <v>1257</v>
      </c>
      <c r="B238" t="s">
        <v>1244</v>
      </c>
      <c r="C238" t="s">
        <v>1258</v>
      </c>
      <c r="D238" t="s">
        <v>1259</v>
      </c>
      <c r="E238" t="s">
        <v>149</v>
      </c>
      <c r="F238" t="s">
        <v>115</v>
      </c>
      <c r="G238" t="s">
        <v>34</v>
      </c>
      <c r="H238" t="s">
        <v>181</v>
      </c>
      <c r="I238" t="s">
        <v>182</v>
      </c>
      <c r="J238" t="s">
        <v>52</v>
      </c>
      <c r="K238" t="s">
        <v>211</v>
      </c>
      <c r="L238" t="s">
        <v>1260</v>
      </c>
      <c r="M238" t="s">
        <v>63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41</v>
      </c>
      <c r="U238" t="s">
        <v>42</v>
      </c>
      <c r="V238">
        <f>O238*(1-P238)*N238</f>
        <v>24376.68</v>
      </c>
      <c r="W238">
        <f t="shared" si="9"/>
        <v>5843.2900000000009</v>
      </c>
      <c r="X238">
        <f t="shared" si="10"/>
        <v>0.23970819652224995</v>
      </c>
      <c r="Y238" t="s">
        <v>4120</v>
      </c>
      <c r="Z238" s="2">
        <f>IFERROR(
  IF(ISNUMBER(B238),B238,
    IF(ISNUMBER(SEARCH("-",B238)*1),
      IF(LEN(LEFT(B238,FIND("-",B238)-1))=4,
        DATE(VALUE(LEFT(B238,4)),VALUE(MID(B238,6,2)),VALUE(RIGHT(B238,2))),
        DATE(VALUE(RIGHT(B238,4)),VALUE(MID(B238,4,2)),VALUE(LEFT(B238,2)))
      ),
      IF(ISNUMBER(SEARCH("/",B238)*1),
        DATE(VALUE(RIGHT(B238,4)),VALUE(LEFT(B238,2)),VALUE(MID(B238,4,2))),
        DATEVALUE(B238)
      )
    )
  ),
"INVALID_DATE")</f>
        <v>45579</v>
      </c>
      <c r="AA238" s="2">
        <f>IFERROR(
  IF(ISNUMBER(C238),C238,
    IF(ISNUMBER(SEARCH("-",C238)*1),
      IF(LEN(LEFT(C238,FIND("-",C238)-1))=4,
        DATE(VALUE(LEFT(C238,4)),VALUE(MID(C238,6,2)),VALUE(RIGHT(C238,2))),
        DATE(VALUE(RIGHT(C238,4)),VALUE(MID(C238,4,2)),VALUE(LEFT(C238,2)))
      ),
      IF(ISNUMBER(SEARCH("/",C238)*1),
        DATE(VALUE(RIGHT(C238,4)),VALUE(LEFT(C238,2)),VALUE(MID(C238,4,2))),
        DATEVALUE(C238)
      )
    )
  ),
"INVALID_DATE")</f>
        <v>45586</v>
      </c>
      <c r="AB238">
        <f>AA238-Z238</f>
        <v>7</v>
      </c>
      <c r="AC238" t="str">
        <f>TEXT(Z238,"mmmm")</f>
        <v>October</v>
      </c>
      <c r="AD238">
        <f>YEAR(Z238)</f>
        <v>2024</v>
      </c>
      <c r="AE238" t="str">
        <f t="shared" si="11"/>
        <v>OK</v>
      </c>
    </row>
    <row r="239" spans="1:31">
      <c r="A239" t="s">
        <v>1261</v>
      </c>
      <c r="B239" t="s">
        <v>1262</v>
      </c>
      <c r="C239" t="s">
        <v>1262</v>
      </c>
      <c r="D239" t="s">
        <v>1263</v>
      </c>
      <c r="E239" t="s">
        <v>47</v>
      </c>
      <c r="F239" t="s">
        <v>33</v>
      </c>
      <c r="G239" t="s">
        <v>34</v>
      </c>
      <c r="H239" t="s">
        <v>331</v>
      </c>
      <c r="I239" t="s">
        <v>332</v>
      </c>
      <c r="J239" t="s">
        <v>93</v>
      </c>
      <c r="K239" t="s">
        <v>101</v>
      </c>
      <c r="L239" t="s">
        <v>1264</v>
      </c>
      <c r="M239" t="s">
        <v>74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41</v>
      </c>
      <c r="U239" t="s">
        <v>42</v>
      </c>
      <c r="V239">
        <f>O239*(1-P239)*N239</f>
        <v>20972.7</v>
      </c>
      <c r="W239">
        <f t="shared" si="9"/>
        <v>7467.8200000000015</v>
      </c>
      <c r="X239">
        <f t="shared" si="10"/>
        <v>0.35607337157352176</v>
      </c>
      <c r="Y239" t="s">
        <v>4120</v>
      </c>
      <c r="Z239" s="2">
        <f>IFERROR(
  IF(ISNUMBER(B239),B239,
    IF(ISNUMBER(SEARCH("-",B239)*1),
      IF(LEN(LEFT(B239,FIND("-",B239)-1))=4,
        DATE(VALUE(LEFT(B239,4)),VALUE(MID(B239,6,2)),VALUE(RIGHT(B239,2))),
        DATE(VALUE(RIGHT(B239,4)),VALUE(MID(B239,4,2)),VALUE(LEFT(B239,2)))
      ),
      IF(ISNUMBER(SEARCH("/",B239)*1),
        DATE(VALUE(RIGHT(B239,4)),VALUE(LEFT(B239,2)),VALUE(MID(B239,4,2))),
        DATEVALUE(B239)
      )
    )
  ),
"INVALID_DATE")</f>
        <v>45531</v>
      </c>
      <c r="AA239" s="2">
        <f>IFERROR(
  IF(ISNUMBER(C239),C239,
    IF(ISNUMBER(SEARCH("-",C239)*1),
      IF(LEN(LEFT(C239,FIND("-",C239)-1))=4,
        DATE(VALUE(LEFT(C239,4)),VALUE(MID(C239,6,2)),VALUE(RIGHT(C239,2))),
        DATE(VALUE(RIGHT(C239,4)),VALUE(MID(C239,4,2)),VALUE(LEFT(C239,2)))
      ),
      IF(ISNUMBER(SEARCH("/",C239)*1),
        DATE(VALUE(RIGHT(C239,4)),VALUE(LEFT(C239,2)),VALUE(MID(C239,4,2))),
        DATEVALUE(C239)
      )
    )
  ),
"INVALID_DATE")</f>
        <v>45531</v>
      </c>
      <c r="AB239">
        <f>AA239-Z239</f>
        <v>0</v>
      </c>
      <c r="AC239" t="str">
        <f>TEXT(Z239,"mmmm")</f>
        <v>August</v>
      </c>
      <c r="AD239">
        <f>YEAR(Z239)</f>
        <v>2024</v>
      </c>
      <c r="AE239" t="str">
        <f t="shared" si="11"/>
        <v>OK</v>
      </c>
    </row>
    <row r="240" spans="1:31">
      <c r="A240" t="s">
        <v>1265</v>
      </c>
      <c r="B240" t="s">
        <v>1266</v>
      </c>
      <c r="C240" t="s">
        <v>1267</v>
      </c>
      <c r="D240" t="s">
        <v>1268</v>
      </c>
      <c r="E240" t="s">
        <v>68</v>
      </c>
      <c r="F240" t="s">
        <v>33</v>
      </c>
      <c r="G240" t="s">
        <v>69</v>
      </c>
      <c r="H240" t="s">
        <v>107</v>
      </c>
      <c r="I240" t="s">
        <v>108</v>
      </c>
      <c r="J240" t="s">
        <v>37</v>
      </c>
      <c r="K240" t="s">
        <v>163</v>
      </c>
      <c r="L240" t="s">
        <v>1269</v>
      </c>
      <c r="M240" t="s">
        <v>63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41</v>
      </c>
      <c r="U240" t="s">
        <v>42</v>
      </c>
      <c r="V240">
        <f>O240*(1-P240)*N240</f>
        <v>12615.907499999999</v>
      </c>
      <c r="W240">
        <f t="shared" si="9"/>
        <v>-6222.8425000000007</v>
      </c>
      <c r="X240">
        <f t="shared" si="10"/>
        <v>0.29266925437736868</v>
      </c>
      <c r="Y240" t="s">
        <v>4120</v>
      </c>
      <c r="Z240" s="2">
        <f>IFERROR(
  IF(ISNUMBER(B240),B240,
    IF(ISNUMBER(SEARCH("-",B240)*1),
      IF(LEN(LEFT(B240,FIND("-",B240)-1))=4,
        DATE(VALUE(LEFT(B240,4)),VALUE(MID(B240,6,2)),VALUE(RIGHT(B240,2))),
        DATE(VALUE(RIGHT(B240,4)),VALUE(MID(B240,4,2)),VALUE(LEFT(B240,2)))
      ),
      IF(ISNUMBER(SEARCH("/",B240)*1),
        DATE(VALUE(RIGHT(B240,4)),VALUE(LEFT(B240,2)),VALUE(MID(B240,4,2))),
        DATEVALUE(B240)
      )
    )
  ),
"INVALID_DATE")</f>
        <v>45303</v>
      </c>
      <c r="AA240" s="2">
        <f>IFERROR(
  IF(ISNUMBER(C240),C240,
    IF(ISNUMBER(SEARCH("-",C240)*1),
      IF(LEN(LEFT(C240,FIND("-",C240)-1))=4,
        DATE(VALUE(LEFT(C240,4)),VALUE(MID(C240,6,2)),VALUE(RIGHT(C240,2))),
        DATE(VALUE(RIGHT(C240,4)),VALUE(MID(C240,4,2)),VALUE(LEFT(C240,2)))
      ),
      IF(ISNUMBER(SEARCH("/",C240)*1),
        DATE(VALUE(RIGHT(C240,4)),VALUE(LEFT(C240,2)),VALUE(MID(C240,4,2))),
        DATEVALUE(C240)
      )
    )
  ),
"INVALID_DATE")</f>
        <v>45308</v>
      </c>
      <c r="AB240">
        <f>AA240-Z240</f>
        <v>5</v>
      </c>
      <c r="AC240" t="str">
        <f>TEXT(Z240,"mmmm")</f>
        <v>January</v>
      </c>
      <c r="AD240">
        <f>YEAR(Z240)</f>
        <v>2024</v>
      </c>
      <c r="AE240" t="str">
        <f t="shared" si="11"/>
        <v>OK</v>
      </c>
    </row>
    <row r="241" spans="1:31">
      <c r="A241" t="s">
        <v>1270</v>
      </c>
      <c r="B241" t="s">
        <v>1271</v>
      </c>
      <c r="C241" t="s">
        <v>1142</v>
      </c>
      <c r="D241" t="s">
        <v>1272</v>
      </c>
      <c r="E241" t="s">
        <v>374</v>
      </c>
      <c r="F241" t="s">
        <v>115</v>
      </c>
      <c r="G241" t="s">
        <v>69</v>
      </c>
      <c r="H241" t="s">
        <v>236</v>
      </c>
      <c r="I241" t="s">
        <v>237</v>
      </c>
      <c r="J241" t="s">
        <v>93</v>
      </c>
      <c r="K241" t="s">
        <v>390</v>
      </c>
      <c r="L241" t="s">
        <v>1273</v>
      </c>
      <c r="M241" t="s">
        <v>63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41</v>
      </c>
      <c r="U241" t="s">
        <v>42</v>
      </c>
      <c r="V241">
        <f>O241*(1-P241)*N241</f>
        <v>3136.096</v>
      </c>
      <c r="W241">
        <f t="shared" si="9"/>
        <v>856.60600000000022</v>
      </c>
      <c r="X241">
        <f t="shared" si="10"/>
        <v>0.2731449889990753</v>
      </c>
      <c r="Y241" t="str">
        <f>_xlfn.TEXTJOIN(", ",TRUE,IF(G241="Unknown","Missing Region",""),IF(M241="Unknown","Missing Ship Mode",""),IF(P241&lt;0,"Negative Discount",""),IF(P241&gt;0.7,"High Discount",""),IF(C241&lt;B241,"Ship Before Order",""))</f>
        <v>Ship Before Order</v>
      </c>
      <c r="Z241" s="2">
        <f>IFERROR(
  IF(ISNUMBER(B241),B241,
    IF(ISNUMBER(SEARCH("-",B241)*1),
      IF(LEN(LEFT(B241,FIND("-",B241)-1))=4,
        DATE(VALUE(LEFT(B241,4)),VALUE(MID(B241,6,2)),VALUE(RIGHT(B241,2))),
        DATE(VALUE(RIGHT(B241,4)),VALUE(MID(B241,4,2)),VALUE(LEFT(B241,2)))
      ),
      IF(ISNUMBER(SEARCH("/",B241)*1),
        DATE(VALUE(RIGHT(B241,4)),VALUE(LEFT(B241,2)),VALUE(MID(B241,4,2))),
        DATEVALUE(B241)
      )
    )
  ),
"INVALID_DATE")</f>
        <v>45556</v>
      </c>
      <c r="AA241" s="2">
        <f>IFERROR(
  IF(ISNUMBER(C241),C241,
    IF(ISNUMBER(SEARCH("-",C241)*1),
      IF(LEN(LEFT(C241,FIND("-",C241)-1))=4,
        DATE(VALUE(LEFT(C241,4)),VALUE(MID(C241,6,2)),VALUE(RIGHT(C241,2))),
        DATE(VALUE(RIGHT(C241,4)),VALUE(MID(C241,4,2)),VALUE(LEFT(C241,2)))
      ),
      IF(ISNUMBER(SEARCH("/",C241)*1),
        DATE(VALUE(RIGHT(C241,4)),VALUE(LEFT(C241,2)),VALUE(MID(C241,4,2))),
        DATEVALUE(C241)
      )
    )
  ),
"INVALID_DATE")</f>
        <v>45556</v>
      </c>
      <c r="AB241">
        <f>AA241-Z241</f>
        <v>0</v>
      </c>
      <c r="AC241" t="str">
        <f>TEXT(Z241,"mmmm")</f>
        <v>September</v>
      </c>
      <c r="AD241">
        <f>YEAR(Z241)</f>
        <v>2024</v>
      </c>
      <c r="AE241" t="str">
        <f t="shared" si="11"/>
        <v>OK</v>
      </c>
    </row>
    <row r="242" spans="1:31">
      <c r="A242" t="s">
        <v>1274</v>
      </c>
      <c r="B242" t="s">
        <v>1275</v>
      </c>
      <c r="C242" t="s">
        <v>832</v>
      </c>
      <c r="D242" t="s">
        <v>1276</v>
      </c>
      <c r="E242" t="s">
        <v>169</v>
      </c>
      <c r="F242" t="s">
        <v>115</v>
      </c>
      <c r="G242" t="s">
        <v>69</v>
      </c>
      <c r="H242" t="s">
        <v>70</v>
      </c>
      <c r="I242" t="s">
        <v>71</v>
      </c>
      <c r="J242" t="s">
        <v>37</v>
      </c>
      <c r="K242" t="s">
        <v>205</v>
      </c>
      <c r="L242" t="s">
        <v>1277</v>
      </c>
      <c r="M242" t="s">
        <v>63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41</v>
      </c>
      <c r="U242" t="s">
        <v>42</v>
      </c>
      <c r="V242">
        <f>O242*(1-P242)*N242</f>
        <v>20835.899999999998</v>
      </c>
      <c r="W242">
        <f t="shared" si="9"/>
        <v>6907.7099999999973</v>
      </c>
      <c r="X242">
        <f t="shared" si="10"/>
        <v>0.33152923559817427</v>
      </c>
      <c r="Y242" t="s">
        <v>4120</v>
      </c>
      <c r="Z242" s="2">
        <f>IFERROR(
  IF(ISNUMBER(B242),B242,
    IF(ISNUMBER(SEARCH("-",B242)*1),
      IF(LEN(LEFT(B242,FIND("-",B242)-1))=4,
        DATE(VALUE(LEFT(B242,4)),VALUE(MID(B242,6,2)),VALUE(RIGHT(B242,2))),
        DATE(VALUE(RIGHT(B242,4)),VALUE(MID(B242,4,2)),VALUE(LEFT(B242,2)))
      ),
      IF(ISNUMBER(SEARCH("/",B242)*1),
        DATE(VALUE(RIGHT(B242,4)),VALUE(LEFT(B242,2)),VALUE(MID(B242,4,2))),
        DATEVALUE(B242)
      )
    )
  ),
"INVALID_DATE")</f>
        <v>45643</v>
      </c>
      <c r="AA242" s="2">
        <f>IFERROR(
  IF(ISNUMBER(C242),C242,
    IF(ISNUMBER(SEARCH("-",C242)*1),
      IF(LEN(LEFT(C242,FIND("-",C242)-1))=4,
        DATE(VALUE(LEFT(C242,4)),VALUE(MID(C242,6,2)),VALUE(RIGHT(C242,2))),
        DATE(VALUE(RIGHT(C242,4)),VALUE(MID(C242,4,2)),VALUE(LEFT(C242,2)))
      ),
      IF(ISNUMBER(SEARCH("/",C242)*1),
        DATE(VALUE(RIGHT(C242,4)),VALUE(LEFT(C242,2)),VALUE(MID(C242,4,2))),
        DATEVALUE(C242)
      )
    )
  ),
"INVALID_DATE")</f>
        <v>45649</v>
      </c>
      <c r="AB242">
        <f>AA242-Z242</f>
        <v>6</v>
      </c>
      <c r="AC242" t="str">
        <f>TEXT(Z242,"mmmm")</f>
        <v>December</v>
      </c>
      <c r="AD242">
        <f>YEAR(Z242)</f>
        <v>2024</v>
      </c>
      <c r="AE242" t="str">
        <f t="shared" si="11"/>
        <v>OK</v>
      </c>
    </row>
    <row r="243" spans="1:31">
      <c r="A243" t="s">
        <v>1278</v>
      </c>
      <c r="B243" t="s">
        <v>1279</v>
      </c>
      <c r="C243" t="s">
        <v>1280</v>
      </c>
      <c r="D243" t="s">
        <v>1281</v>
      </c>
      <c r="E243" t="s">
        <v>175</v>
      </c>
      <c r="F243" t="s">
        <v>115</v>
      </c>
      <c r="G243" t="s">
        <v>34</v>
      </c>
      <c r="H243" t="s">
        <v>331</v>
      </c>
      <c r="I243" t="s">
        <v>332</v>
      </c>
      <c r="J243" t="s">
        <v>37</v>
      </c>
      <c r="K243" t="s">
        <v>163</v>
      </c>
      <c r="L243" t="s">
        <v>1282</v>
      </c>
      <c r="M243" t="s">
        <v>74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144</v>
      </c>
      <c r="U243" t="s">
        <v>132</v>
      </c>
      <c r="V243">
        <f>O243*(1-P243)*N243</f>
        <v>1212.9000000000001</v>
      </c>
      <c r="W243">
        <f t="shared" si="9"/>
        <v>522.38000000000011</v>
      </c>
      <c r="X243">
        <f t="shared" si="10"/>
        <v>0.43068678374144609</v>
      </c>
      <c r="Y243" t="str">
        <f>_xlfn.TEXTJOIN(", ",TRUE,IF(G243="Unknown","Missing Region",""),IF(M243="Unknown","Missing Ship Mode",""),IF(P243&lt;0,"Negative Discount",""),IF(P243&gt;0.7,"High Discount",""),IF(C243&lt;B243,"Ship Before Order",""))</f>
        <v>Ship Before Order</v>
      </c>
      <c r="Z243" s="2">
        <f>IFERROR(
  IF(ISNUMBER(B243),B243,
    IF(ISNUMBER(SEARCH("-",B243)*1),
      IF(LEN(LEFT(B243,FIND("-",B243)-1))=4,
        DATE(VALUE(LEFT(B243,4)),VALUE(MID(B243,6,2)),VALUE(RIGHT(B243,2))),
        DATE(VALUE(RIGHT(B243,4)),VALUE(MID(B243,4,2)),VALUE(LEFT(B243,2)))
      ),
      IF(ISNUMBER(SEARCH("/",B243)*1),
        DATE(VALUE(RIGHT(B243,4)),VALUE(LEFT(B243,2)),VALUE(MID(B243,4,2))),
        DATEVALUE(B243)
      )
    )
  ),
"INVALID_DATE")</f>
        <v>45844</v>
      </c>
      <c r="AA243" s="2">
        <f>IFERROR(
  IF(ISNUMBER(C243),C243,
    IF(ISNUMBER(SEARCH("-",C243)*1),
      IF(LEN(LEFT(C243,FIND("-",C243)-1))=4,
        DATE(VALUE(LEFT(C243,4)),VALUE(MID(C243,6,2)),VALUE(RIGHT(C243,2))),
        DATE(VALUE(RIGHT(C243,4)),VALUE(MID(C243,4,2)),VALUE(LEFT(C243,2)))
      ),
      IF(ISNUMBER(SEARCH("/",C243)*1),
        DATE(VALUE(RIGHT(C243,4)),VALUE(LEFT(C243,2)),VALUE(MID(C243,4,2))),
        DATEVALUE(C243)
      )
    )
  ),
"INVALID_DATE")</f>
        <v>45844</v>
      </c>
      <c r="AB243">
        <f>AA243-Z243</f>
        <v>0</v>
      </c>
      <c r="AC243" t="str">
        <f>TEXT(Z243,"mmmm")</f>
        <v>July</v>
      </c>
      <c r="AD243">
        <f>YEAR(Z243)</f>
        <v>2025</v>
      </c>
      <c r="AE243" t="str">
        <f t="shared" si="11"/>
        <v>OK</v>
      </c>
    </row>
    <row r="244" spans="1:31">
      <c r="A244" t="s">
        <v>1283</v>
      </c>
      <c r="B244" t="s">
        <v>1284</v>
      </c>
      <c r="C244" t="s">
        <v>1285</v>
      </c>
      <c r="D244" t="s">
        <v>1286</v>
      </c>
      <c r="E244" t="s">
        <v>68</v>
      </c>
      <c r="F244" t="s">
        <v>33</v>
      </c>
      <c r="G244" t="s">
        <v>34</v>
      </c>
      <c r="H244" t="s">
        <v>181</v>
      </c>
      <c r="I244" t="s">
        <v>182</v>
      </c>
      <c r="J244" t="s">
        <v>37</v>
      </c>
      <c r="K244" t="s">
        <v>61</v>
      </c>
      <c r="L244" t="s">
        <v>1287</v>
      </c>
      <c r="M244" t="s">
        <v>40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41</v>
      </c>
      <c r="U244" t="s">
        <v>42</v>
      </c>
      <c r="V244">
        <f>O244*(1-P244)*N244</f>
        <v>5697.8339999999998</v>
      </c>
      <c r="W244">
        <f t="shared" si="9"/>
        <v>1446.3339999999998</v>
      </c>
      <c r="X244">
        <f t="shared" si="10"/>
        <v>0.2538387421176132</v>
      </c>
      <c r="Y244" t="s">
        <v>4120</v>
      </c>
      <c r="Z244" s="2">
        <f>IFERROR(
  IF(ISNUMBER(B244),B244,
    IF(ISNUMBER(SEARCH("-",B244)*1),
      IF(LEN(LEFT(B244,FIND("-",B244)-1))=4,
        DATE(VALUE(LEFT(B244,4)),VALUE(MID(B244,6,2)),VALUE(RIGHT(B244,2))),
        DATE(VALUE(RIGHT(B244,4)),VALUE(MID(B244,4,2)),VALUE(LEFT(B244,2)))
      ),
      IF(ISNUMBER(SEARCH("/",B244)*1),
        DATE(VALUE(RIGHT(B244,4)),VALUE(LEFT(B244,2)),VALUE(MID(B244,4,2))),
        DATEVALUE(B244)
      )
    )
  ),
"INVALID_DATE")</f>
        <v>45695</v>
      </c>
      <c r="AA244" s="2">
        <f>IFERROR(
  IF(ISNUMBER(C244),C244,
    IF(ISNUMBER(SEARCH("-",C244)*1),
      IF(LEN(LEFT(C244,FIND("-",C244)-1))=4,
        DATE(VALUE(LEFT(C244,4)),VALUE(MID(C244,6,2)),VALUE(RIGHT(C244,2))),
        DATE(VALUE(RIGHT(C244,4)),VALUE(MID(C244,4,2)),VALUE(LEFT(C244,2)))
      ),
      IF(ISNUMBER(SEARCH("/",C244)*1),
        DATE(VALUE(RIGHT(C244,4)),VALUE(LEFT(C244,2)),VALUE(MID(C244,4,2))),
        DATEVALUE(C244)
      )
    )
  ),
"INVALID_DATE")</f>
        <v>45695</v>
      </c>
      <c r="AB244">
        <f>AA244-Z244</f>
        <v>0</v>
      </c>
      <c r="AC244" t="str">
        <f>TEXT(Z244,"mmmm")</f>
        <v>February</v>
      </c>
      <c r="AD244">
        <f>YEAR(Z244)</f>
        <v>2025</v>
      </c>
      <c r="AE244" t="str">
        <f t="shared" si="11"/>
        <v>OK</v>
      </c>
    </row>
    <row r="245" spans="1:31">
      <c r="A245" t="s">
        <v>1288</v>
      </c>
      <c r="B245" t="s">
        <v>291</v>
      </c>
      <c r="C245" t="s">
        <v>1289</v>
      </c>
      <c r="D245" t="s">
        <v>1290</v>
      </c>
      <c r="E245" t="s">
        <v>175</v>
      </c>
      <c r="F245" t="s">
        <v>48</v>
      </c>
      <c r="G245" t="s">
        <v>279</v>
      </c>
      <c r="H245" t="s">
        <v>91</v>
      </c>
      <c r="I245" t="s">
        <v>92</v>
      </c>
      <c r="J245" t="s">
        <v>93</v>
      </c>
      <c r="K245" t="s">
        <v>94</v>
      </c>
      <c r="L245" t="s">
        <v>1291</v>
      </c>
      <c r="M245" t="s">
        <v>63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41</v>
      </c>
      <c r="U245" t="s">
        <v>1034</v>
      </c>
      <c r="V245">
        <f>O245*(1-P245)*N245</f>
        <v>4049.5140000000001</v>
      </c>
      <c r="W245">
        <f t="shared" si="9"/>
        <v>1540.3140000000003</v>
      </c>
      <c r="X245">
        <f t="shared" si="10"/>
        <v>0.38036947680089689</v>
      </c>
      <c r="Y245" t="str">
        <f>_xlfn.TEXTJOIN(", ",TRUE,IF(G245="Unknown","Missing Region",""),IF(M245="Unknown","Missing Ship Mode",""),IF(P245&lt;0,"Negative Discount",""),IF(P245&gt;0.7,"High Discount",""),IF(C245&lt;B245,"Ship Before Order",""))</f>
        <v>Missing Region, Ship Before Order</v>
      </c>
      <c r="Z245" s="2">
        <f>IFERROR(
  IF(ISNUMBER(B245),B245,
    IF(ISNUMBER(SEARCH("-",B245)*1),
      IF(LEN(LEFT(B245,FIND("-",B245)-1))=4,
        DATE(VALUE(LEFT(B245,4)),VALUE(MID(B245,6,2)),VALUE(RIGHT(B245,2))),
        DATE(VALUE(RIGHT(B245,4)),VALUE(MID(B245,4,2)),VALUE(LEFT(B245,2)))
      ),
      IF(ISNUMBER(SEARCH("/",B245)*1),
        DATE(VALUE(RIGHT(B245,4)),VALUE(LEFT(B245,2)),VALUE(MID(B245,4,2))),
        DATEVALUE(B245)
      )
    )
  ),
"INVALID_DATE")</f>
        <v>45867</v>
      </c>
      <c r="AA245" s="2">
        <f>IFERROR(
  IF(ISNUMBER(C245),C245,
    IF(ISNUMBER(SEARCH("-",C245)*1),
      IF(LEN(LEFT(C245,FIND("-",C245)-1))=4,
        DATE(VALUE(LEFT(C245,4)),VALUE(MID(C245,6,2)),VALUE(RIGHT(C245,2))),
        DATE(VALUE(RIGHT(C245,4)),VALUE(MID(C245,4,2)),VALUE(LEFT(C245,2)))
      ),
      IF(ISNUMBER(SEARCH("/",C245)*1),
        DATE(VALUE(RIGHT(C245,4)),VALUE(LEFT(C245,2)),VALUE(MID(C245,4,2))),
        DATEVALUE(C245)
      )
    )
  ),
"INVALID_DATE")</f>
        <v>45871</v>
      </c>
      <c r="AB245">
        <f>AA245-Z245</f>
        <v>4</v>
      </c>
      <c r="AC245" t="str">
        <f>TEXT(Z245,"mmmm")</f>
        <v>July</v>
      </c>
      <c r="AD245">
        <f>YEAR(Z245)</f>
        <v>2025</v>
      </c>
      <c r="AE245" t="str">
        <f t="shared" si="11"/>
        <v>OK</v>
      </c>
    </row>
    <row r="246" spans="1:31">
      <c r="A246" t="s">
        <v>1292</v>
      </c>
      <c r="B246" t="s">
        <v>644</v>
      </c>
      <c r="C246" t="s">
        <v>1293</v>
      </c>
      <c r="D246" t="s">
        <v>1294</v>
      </c>
      <c r="E246" t="s">
        <v>100</v>
      </c>
      <c r="F246" t="s">
        <v>33</v>
      </c>
      <c r="G246" t="s">
        <v>69</v>
      </c>
      <c r="H246" t="s">
        <v>70</v>
      </c>
      <c r="I246" t="s">
        <v>71</v>
      </c>
      <c r="J246" t="s">
        <v>52</v>
      </c>
      <c r="K246" t="s">
        <v>211</v>
      </c>
      <c r="L246" t="s">
        <v>1295</v>
      </c>
      <c r="M246" t="s">
        <v>55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41</v>
      </c>
      <c r="U246" t="s">
        <v>42</v>
      </c>
      <c r="V246">
        <f>O246*(1-P246)*N246</f>
        <v>6131.34</v>
      </c>
      <c r="W246">
        <f t="shared" si="9"/>
        <v>2070.46</v>
      </c>
      <c r="X246">
        <f t="shared" si="10"/>
        <v>0.33768474754295147</v>
      </c>
      <c r="Y246" t="s">
        <v>4120</v>
      </c>
      <c r="Z246" s="2">
        <f>IFERROR(
  IF(ISNUMBER(B246),B246,
    IF(ISNUMBER(SEARCH("-",B246)*1),
      IF(LEN(LEFT(B246,FIND("-",B246)-1))=4,
        DATE(VALUE(LEFT(B246,4)),VALUE(MID(B246,6,2)),VALUE(RIGHT(B246,2))),
        DATE(VALUE(RIGHT(B246,4)),VALUE(MID(B246,4,2)),VALUE(LEFT(B246,2)))
      ),
      IF(ISNUMBER(SEARCH("/",B246)*1),
        DATE(VALUE(RIGHT(B246,4)),VALUE(LEFT(B246,2)),VALUE(MID(B246,4,2))),
        DATEVALUE(B246)
      )
    )
  ),
"INVALID_DATE")</f>
        <v>45527</v>
      </c>
      <c r="AA246" s="2">
        <f>IFERROR(
  IF(ISNUMBER(C246),C246,
    IF(ISNUMBER(SEARCH("-",C246)*1),
      IF(LEN(LEFT(C246,FIND("-",C246)-1))=4,
        DATE(VALUE(LEFT(C246,4)),VALUE(MID(C246,6,2)),VALUE(RIGHT(C246,2))),
        DATE(VALUE(RIGHT(C246,4)),VALUE(MID(C246,4,2)),VALUE(LEFT(C246,2)))
      ),
      IF(ISNUMBER(SEARCH("/",C246)*1),
        DATE(VALUE(RIGHT(C246,4)),VALUE(LEFT(C246,2)),VALUE(MID(C246,4,2))),
        DATEVALUE(C246)
      )
    )
  ),
"INVALID_DATE")</f>
        <v>45528</v>
      </c>
      <c r="AB246">
        <f>AA246-Z246</f>
        <v>1</v>
      </c>
      <c r="AC246" t="str">
        <f>TEXT(Z246,"mmmm")</f>
        <v>August</v>
      </c>
      <c r="AD246">
        <f>YEAR(Z246)</f>
        <v>2024</v>
      </c>
      <c r="AE246" t="str">
        <f t="shared" si="11"/>
        <v>OK</v>
      </c>
    </row>
    <row r="247" spans="1:31">
      <c r="A247" t="s">
        <v>1296</v>
      </c>
      <c r="B247" t="s">
        <v>652</v>
      </c>
      <c r="C247" t="s">
        <v>880</v>
      </c>
      <c r="D247" t="s">
        <v>1297</v>
      </c>
      <c r="E247" t="s">
        <v>100</v>
      </c>
      <c r="F247" t="s">
        <v>122</v>
      </c>
      <c r="G247" t="s">
        <v>69</v>
      </c>
      <c r="H247" t="s">
        <v>249</v>
      </c>
      <c r="I247" t="s">
        <v>250</v>
      </c>
      <c r="J247" t="s">
        <v>1298</v>
      </c>
      <c r="K247" t="s">
        <v>83</v>
      </c>
      <c r="L247" t="s">
        <v>1299</v>
      </c>
      <c r="M247" t="s">
        <v>40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41</v>
      </c>
      <c r="U247" t="s">
        <v>42</v>
      </c>
      <c r="V247">
        <f>O247*(1-P247)*N247</f>
        <v>9827.7899999999991</v>
      </c>
      <c r="W247">
        <f t="shared" si="9"/>
        <v>4349.5099999999993</v>
      </c>
      <c r="X247">
        <f t="shared" si="10"/>
        <v>0.44257254174132737</v>
      </c>
      <c r="Y247" t="s">
        <v>4120</v>
      </c>
      <c r="Z247" s="2">
        <f>IFERROR(
  IF(ISNUMBER(B247),B247,
    IF(ISNUMBER(SEARCH("-",B247)*1),
      IF(LEN(LEFT(B247,FIND("-",B247)-1))=4,
        DATE(VALUE(LEFT(B247,4)),VALUE(MID(B247,6,2)),VALUE(RIGHT(B247,2))),
        DATE(VALUE(RIGHT(B247,4)),VALUE(MID(B247,4,2)),VALUE(LEFT(B247,2)))
      ),
      IF(ISNUMBER(SEARCH("/",B247)*1),
        DATE(VALUE(RIGHT(B247,4)),VALUE(LEFT(B247,2)),VALUE(MID(B247,4,2))),
        DATEVALUE(B247)
      )
    )
  ),
"INVALID_DATE")</f>
        <v>45583</v>
      </c>
      <c r="AA247" s="2">
        <f>IFERROR(
  IF(ISNUMBER(C247),C247,
    IF(ISNUMBER(SEARCH("-",C247)*1),
      IF(LEN(LEFT(C247,FIND("-",C247)-1))=4,
        DATE(VALUE(LEFT(C247,4)),VALUE(MID(C247,6,2)),VALUE(RIGHT(C247,2))),
        DATE(VALUE(RIGHT(C247,4)),VALUE(MID(C247,4,2)),VALUE(LEFT(C247,2)))
      ),
      IF(ISNUMBER(SEARCH("/",C247)*1),
        DATE(VALUE(RIGHT(C247,4)),VALUE(LEFT(C247,2)),VALUE(MID(C247,4,2))),
        DATEVALUE(C247)
      )
    )
  ),
"INVALID_DATE")</f>
        <v>45589</v>
      </c>
      <c r="AB247">
        <f>AA247-Z247</f>
        <v>6</v>
      </c>
      <c r="AC247" t="str">
        <f>TEXT(Z247,"mmmm")</f>
        <v>October</v>
      </c>
      <c r="AD247">
        <f>YEAR(Z247)</f>
        <v>2024</v>
      </c>
      <c r="AE247" t="str">
        <f t="shared" si="11"/>
        <v>OK</v>
      </c>
    </row>
    <row r="248" spans="1:31">
      <c r="A248" t="s">
        <v>1300</v>
      </c>
      <c r="B248" t="s">
        <v>1301</v>
      </c>
      <c r="C248" t="s">
        <v>1302</v>
      </c>
      <c r="D248" t="s">
        <v>1303</v>
      </c>
      <c r="E248" t="s">
        <v>79</v>
      </c>
      <c r="F248" t="s">
        <v>115</v>
      </c>
      <c r="G248" t="s">
        <v>34</v>
      </c>
      <c r="H248" t="s">
        <v>161</v>
      </c>
      <c r="I248" t="s">
        <v>162</v>
      </c>
      <c r="J248" t="s">
        <v>93</v>
      </c>
      <c r="K248" t="s">
        <v>390</v>
      </c>
      <c r="L248" t="s">
        <v>1304</v>
      </c>
      <c r="M248" t="s">
        <v>55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131</v>
      </c>
      <c r="U248" t="s">
        <v>85</v>
      </c>
      <c r="V248">
        <f>O248*(1-P248)*N248</f>
        <v>521.88749999999993</v>
      </c>
      <c r="W248">
        <f t="shared" si="9"/>
        <v>77.36749999999995</v>
      </c>
      <c r="X248">
        <f t="shared" si="10"/>
        <v>0.14824963114832629</v>
      </c>
      <c r="Y248" t="s">
        <v>4120</v>
      </c>
      <c r="Z248" s="2">
        <f>IFERROR(
  IF(ISNUMBER(B248),B248,
    IF(ISNUMBER(SEARCH("-",B248)*1),
      IF(LEN(LEFT(B248,FIND("-",B248)-1))=4,
        DATE(VALUE(LEFT(B248,4)),VALUE(MID(B248,6,2)),VALUE(RIGHT(B248,2))),
        DATE(VALUE(RIGHT(B248,4)),VALUE(MID(B248,4,2)),VALUE(LEFT(B248,2)))
      ),
      IF(ISNUMBER(SEARCH("/",B248)*1),
        DATE(VALUE(RIGHT(B248,4)),VALUE(LEFT(B248,2)),VALUE(MID(B248,4,2))),
        DATEVALUE(B248)
      )
    )
  ),
"INVALID_DATE")</f>
        <v>45416</v>
      </c>
      <c r="AA248" s="2">
        <f>IFERROR(
  IF(ISNUMBER(C248),C248,
    IF(ISNUMBER(SEARCH("-",C248)*1),
      IF(LEN(LEFT(C248,FIND("-",C248)-1))=4,
        DATE(VALUE(LEFT(C248,4)),VALUE(MID(C248,6,2)),VALUE(RIGHT(C248,2))),
        DATE(VALUE(RIGHT(C248,4)),VALUE(MID(C248,4,2)),VALUE(LEFT(C248,2)))
      ),
      IF(ISNUMBER(SEARCH("/",C248)*1),
        DATE(VALUE(RIGHT(C248,4)),VALUE(LEFT(C248,2)),VALUE(MID(C248,4,2))),
        DATEVALUE(C248)
      )
    )
  ),
"INVALID_DATE")</f>
        <v>45421</v>
      </c>
      <c r="AB248">
        <f>AA248-Z248</f>
        <v>5</v>
      </c>
      <c r="AC248" t="str">
        <f>TEXT(Z248,"mmmm")</f>
        <v>May</v>
      </c>
      <c r="AD248">
        <f>YEAR(Z248)</f>
        <v>2024</v>
      </c>
      <c r="AE248" t="str">
        <f t="shared" si="11"/>
        <v>OK</v>
      </c>
    </row>
    <row r="249" spans="1:31">
      <c r="A249" t="s">
        <v>1305</v>
      </c>
      <c r="B249" t="s">
        <v>1306</v>
      </c>
      <c r="C249" t="s">
        <v>1307</v>
      </c>
      <c r="D249" t="s">
        <v>1308</v>
      </c>
      <c r="E249" t="s">
        <v>155</v>
      </c>
      <c r="F249" t="s">
        <v>115</v>
      </c>
      <c r="G249" t="s">
        <v>34</v>
      </c>
      <c r="H249" t="s">
        <v>35</v>
      </c>
      <c r="I249" t="s">
        <v>36</v>
      </c>
      <c r="J249" t="s">
        <v>93</v>
      </c>
      <c r="K249" t="s">
        <v>94</v>
      </c>
      <c r="L249" t="s">
        <v>1309</v>
      </c>
      <c r="M249" t="s">
        <v>40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41</v>
      </c>
      <c r="U249" t="s">
        <v>42</v>
      </c>
      <c r="V249">
        <f>O249*(1-P249)*N249</f>
        <v>14960.400000000001</v>
      </c>
      <c r="W249">
        <f t="shared" si="9"/>
        <v>2459.5600000000013</v>
      </c>
      <c r="X249">
        <f t="shared" si="10"/>
        <v>0.16440469506162936</v>
      </c>
      <c r="Y249" t="str">
        <f>_xlfn.TEXTJOIN(", ",TRUE,IF(G249="Unknown","Missing Region",""),IF(M249="Unknown","Missing Ship Mode",""),IF(P249&lt;0,"Negative Discount",""),IF(P249&gt;0.7,"High Discount",""),IF(C249&lt;B249,"Ship Before Order",""))</f>
        <v>Ship Before Order</v>
      </c>
      <c r="Z249" s="2">
        <f>IFERROR(
  IF(ISNUMBER(B249),B249,
    IF(ISNUMBER(SEARCH("-",B249)*1),
      IF(LEN(LEFT(B249,FIND("-",B249)-1))=4,
        DATE(VALUE(LEFT(B249,4)),VALUE(MID(B249,6,2)),VALUE(RIGHT(B249,2))),
        DATE(VALUE(RIGHT(B249,4)),VALUE(MID(B249,4,2)),VALUE(LEFT(B249,2)))
      ),
      IF(ISNUMBER(SEARCH("/",B249)*1),
        DATE(VALUE(RIGHT(B249,4)),VALUE(LEFT(B249,2)),VALUE(MID(B249,4,2))),
        DATEVALUE(B249)
      )
    )
  ),
"INVALID_DATE")</f>
        <v>45498</v>
      </c>
      <c r="AA249" s="2">
        <f>IFERROR(
  IF(ISNUMBER(C249),C249,
    IF(ISNUMBER(SEARCH("-",C249)*1),
      IF(LEN(LEFT(C249,FIND("-",C249)-1))=4,
        DATE(VALUE(LEFT(C249,4)),VALUE(MID(C249,6,2)),VALUE(RIGHT(C249,2))),
        DATE(VALUE(RIGHT(C249,4)),VALUE(MID(C249,4,2)),VALUE(LEFT(C249,2)))
      ),
      IF(ISNUMBER(SEARCH("/",C249)*1),
        DATE(VALUE(RIGHT(C249,4)),VALUE(LEFT(C249,2)),VALUE(MID(C249,4,2))),
        DATEVALUE(C249)
      )
    )
  ),
"INVALID_DATE")</f>
        <v>45505</v>
      </c>
      <c r="AB249">
        <f>AA249-Z249</f>
        <v>7</v>
      </c>
      <c r="AC249" t="str">
        <f>TEXT(Z249,"mmmm")</f>
        <v>July</v>
      </c>
      <c r="AD249">
        <f>YEAR(Z249)</f>
        <v>2024</v>
      </c>
      <c r="AE249" t="str">
        <f t="shared" si="11"/>
        <v>OK</v>
      </c>
    </row>
    <row r="250" spans="1:31">
      <c r="A250" t="s">
        <v>1310</v>
      </c>
      <c r="B250" t="s">
        <v>1311</v>
      </c>
      <c r="C250" t="s">
        <v>586</v>
      </c>
      <c r="D250" t="s">
        <v>1312</v>
      </c>
      <c r="E250" t="s">
        <v>187</v>
      </c>
      <c r="F250" t="s">
        <v>122</v>
      </c>
      <c r="G250" t="s">
        <v>49</v>
      </c>
      <c r="H250" t="s">
        <v>50</v>
      </c>
      <c r="I250" t="s">
        <v>51</v>
      </c>
      <c r="J250" t="s">
        <v>37</v>
      </c>
      <c r="K250" t="s">
        <v>116</v>
      </c>
      <c r="L250" t="s">
        <v>1313</v>
      </c>
      <c r="M250" t="s">
        <v>40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41</v>
      </c>
      <c r="U250" t="s">
        <v>42</v>
      </c>
      <c r="V250">
        <f>O250*(1-P250)*N250</f>
        <v>6027.5114999999996</v>
      </c>
      <c r="W250">
        <f t="shared" si="9"/>
        <v>1143.6914999999999</v>
      </c>
      <c r="X250">
        <f t="shared" si="10"/>
        <v>0.1897450190874839</v>
      </c>
      <c r="Y250" t="s">
        <v>4120</v>
      </c>
      <c r="Z250" s="2">
        <f>IFERROR(
  IF(ISNUMBER(B250),B250,
    IF(ISNUMBER(SEARCH("-",B250)*1),
      IF(LEN(LEFT(B250,FIND("-",B250)-1))=4,
        DATE(VALUE(LEFT(B250,4)),VALUE(MID(B250,6,2)),VALUE(RIGHT(B250,2))),
        DATE(VALUE(RIGHT(B250,4)),VALUE(MID(B250,4,2)),VALUE(LEFT(B250,2)))
      ),
      IF(ISNUMBER(SEARCH("/",B250)*1),
        DATE(VALUE(RIGHT(B250,4)),VALUE(LEFT(B250,2)),VALUE(MID(B250,4,2))),
        DATEVALUE(B250)
      )
    )
  ),
"INVALID_DATE")</f>
        <v>45445</v>
      </c>
      <c r="AA250" s="2">
        <f>IFERROR(
  IF(ISNUMBER(C250),C250,
    IF(ISNUMBER(SEARCH("-",C250)*1),
      IF(LEN(LEFT(C250,FIND("-",C250)-1))=4,
        DATE(VALUE(LEFT(C250,4)),VALUE(MID(C250,6,2)),VALUE(RIGHT(C250,2))),
        DATE(VALUE(RIGHT(C250,4)),VALUE(MID(C250,4,2)),VALUE(LEFT(C250,2)))
      ),
      IF(ISNUMBER(SEARCH("/",C250)*1),
        DATE(VALUE(RIGHT(C250,4)),VALUE(LEFT(C250,2)),VALUE(MID(C250,4,2))),
        DATEVALUE(C250)
      )
    )
  ),
"INVALID_DATE")</f>
        <v>45450</v>
      </c>
      <c r="AB250">
        <f>AA250-Z250</f>
        <v>5</v>
      </c>
      <c r="AC250" t="str">
        <f>TEXT(Z250,"mmmm")</f>
        <v>June</v>
      </c>
      <c r="AD250">
        <f>YEAR(Z250)</f>
        <v>2024</v>
      </c>
      <c r="AE250" t="str">
        <f t="shared" si="11"/>
        <v>OK</v>
      </c>
    </row>
    <row r="251" spans="1:31">
      <c r="A251" t="s">
        <v>1314</v>
      </c>
      <c r="B251" t="s">
        <v>828</v>
      </c>
      <c r="C251" t="s">
        <v>1315</v>
      </c>
      <c r="D251" t="s">
        <v>1316</v>
      </c>
      <c r="E251" t="s">
        <v>47</v>
      </c>
      <c r="F251" t="s">
        <v>115</v>
      </c>
      <c r="G251" t="s">
        <v>34</v>
      </c>
      <c r="H251" t="s">
        <v>35</v>
      </c>
      <c r="I251" t="s">
        <v>36</v>
      </c>
      <c r="J251" t="s">
        <v>52</v>
      </c>
      <c r="K251" t="s">
        <v>72</v>
      </c>
      <c r="L251" t="s">
        <v>1317</v>
      </c>
      <c r="M251" t="s">
        <v>63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41</v>
      </c>
      <c r="U251" t="s">
        <v>42</v>
      </c>
      <c r="V251">
        <f>O251*(1-P251)*N251</f>
        <v>8928.9279999999999</v>
      </c>
      <c r="W251">
        <f t="shared" si="9"/>
        <v>3294.5479999999998</v>
      </c>
      <c r="X251">
        <f t="shared" si="10"/>
        <v>0.36897478197275596</v>
      </c>
      <c r="Y251" t="s">
        <v>4120</v>
      </c>
      <c r="Z251" s="2">
        <f>IFERROR(
  IF(ISNUMBER(B251),B251,
    IF(ISNUMBER(SEARCH("-",B251)*1),
      IF(LEN(LEFT(B251,FIND("-",B251)-1))=4,
        DATE(VALUE(LEFT(B251,4)),VALUE(MID(B251,6,2)),VALUE(RIGHT(B251,2))),
        DATE(VALUE(RIGHT(B251,4)),VALUE(MID(B251,4,2)),VALUE(LEFT(B251,2)))
      ),
      IF(ISNUMBER(SEARCH("/",B251)*1),
        DATE(VALUE(RIGHT(B251,4)),VALUE(LEFT(B251,2)),VALUE(MID(B251,4,2))),
        DATEVALUE(B251)
      )
    )
  ),
"INVALID_DATE")</f>
        <v>45870</v>
      </c>
      <c r="AA251" s="2">
        <f>IFERROR(
  IF(ISNUMBER(C251),C251,
    IF(ISNUMBER(SEARCH("-",C251)*1),
      IF(LEN(LEFT(C251,FIND("-",C251)-1))=4,
        DATE(VALUE(LEFT(C251,4)),VALUE(MID(C251,6,2)),VALUE(RIGHT(C251,2))),
        DATE(VALUE(RIGHT(C251,4)),VALUE(MID(C251,4,2)),VALUE(LEFT(C251,2)))
      ),
      IF(ISNUMBER(SEARCH("/",C251)*1),
        DATE(VALUE(RIGHT(C251,4)),VALUE(LEFT(C251,2)),VALUE(MID(C251,4,2))),
        DATEVALUE(C251)
      )
    )
  ),
"INVALID_DATE")</f>
        <v>45871</v>
      </c>
      <c r="AB251">
        <f>AA251-Z251</f>
        <v>1</v>
      </c>
      <c r="AC251" t="str">
        <f>TEXT(Z251,"mmmm")</f>
        <v>August</v>
      </c>
      <c r="AD251">
        <f>YEAR(Z251)</f>
        <v>2025</v>
      </c>
      <c r="AE251" t="str">
        <f t="shared" si="11"/>
        <v>OK</v>
      </c>
    </row>
    <row r="252" spans="1:31">
      <c r="A252" t="s">
        <v>1318</v>
      </c>
      <c r="B252" t="s">
        <v>1319</v>
      </c>
      <c r="C252" t="s">
        <v>1320</v>
      </c>
      <c r="D252" t="s">
        <v>1321</v>
      </c>
      <c r="E252" t="s">
        <v>68</v>
      </c>
      <c r="F252" t="s">
        <v>48</v>
      </c>
      <c r="G252" t="s">
        <v>49</v>
      </c>
      <c r="H252" t="s">
        <v>128</v>
      </c>
      <c r="I252" t="s">
        <v>129</v>
      </c>
      <c r="J252" t="s">
        <v>52</v>
      </c>
      <c r="K252" t="s">
        <v>72</v>
      </c>
      <c r="L252" t="s">
        <v>1322</v>
      </c>
      <c r="M252" t="s">
        <v>74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144</v>
      </c>
      <c r="U252" t="s">
        <v>132</v>
      </c>
      <c r="V252">
        <f>O252*(1-P252)*N252</f>
        <v>14338.904999999999</v>
      </c>
      <c r="W252">
        <f t="shared" si="9"/>
        <v>2441.2549999999992</v>
      </c>
      <c r="X252">
        <f t="shared" si="10"/>
        <v>0.17025364567714399</v>
      </c>
      <c r="Y252" t="s">
        <v>4120</v>
      </c>
      <c r="Z252" s="2">
        <f>IFERROR(
  IF(ISNUMBER(B252),B252,
    IF(ISNUMBER(SEARCH("-",B252)*1),
      IF(LEN(LEFT(B252,FIND("-",B252)-1))=4,
        DATE(VALUE(LEFT(B252,4)),VALUE(MID(B252,6,2)),VALUE(RIGHT(B252,2))),
        DATE(VALUE(RIGHT(B252,4)),VALUE(MID(B252,4,2)),VALUE(LEFT(B252,2)))
      ),
      IF(ISNUMBER(SEARCH("/",B252)*1),
        DATE(VALUE(RIGHT(B252,4)),VALUE(LEFT(B252,2)),VALUE(MID(B252,4,2))),
        DATEVALUE(B252)
      )
    )
  ),
"INVALID_DATE")</f>
        <v>45343</v>
      </c>
      <c r="AA252" s="2">
        <f>IFERROR(
  IF(ISNUMBER(C252),C252,
    IF(ISNUMBER(SEARCH("-",C252)*1),
      IF(LEN(LEFT(C252,FIND("-",C252)-1))=4,
        DATE(VALUE(LEFT(C252,4)),VALUE(MID(C252,6,2)),VALUE(RIGHT(C252,2))),
        DATE(VALUE(RIGHT(C252,4)),VALUE(MID(C252,4,2)),VALUE(LEFT(C252,2)))
      ),
      IF(ISNUMBER(SEARCH("/",C252)*1),
        DATE(VALUE(RIGHT(C252,4)),VALUE(LEFT(C252,2)),VALUE(MID(C252,4,2))),
        DATEVALUE(C252)
      )
    )
  ),
"INVALID_DATE")</f>
        <v>45349</v>
      </c>
      <c r="AB252">
        <f>AA252-Z252</f>
        <v>6</v>
      </c>
      <c r="AC252" t="str">
        <f>TEXT(Z252,"mmmm")</f>
        <v>February</v>
      </c>
      <c r="AD252">
        <f>YEAR(Z252)</f>
        <v>2024</v>
      </c>
      <c r="AE252" t="str">
        <f t="shared" si="11"/>
        <v>OK</v>
      </c>
    </row>
    <row r="253" spans="1:31">
      <c r="A253" t="s">
        <v>1323</v>
      </c>
      <c r="B253" t="s">
        <v>1324</v>
      </c>
      <c r="C253" t="s">
        <v>97</v>
      </c>
      <c r="D253" t="s">
        <v>1325</v>
      </c>
      <c r="E253" t="s">
        <v>79</v>
      </c>
      <c r="F253" t="s">
        <v>115</v>
      </c>
      <c r="G253" t="s">
        <v>80</v>
      </c>
      <c r="H253" t="s">
        <v>242</v>
      </c>
      <c r="I253" t="s">
        <v>243</v>
      </c>
      <c r="J253" t="s">
        <v>52</v>
      </c>
      <c r="K253" t="s">
        <v>53</v>
      </c>
      <c r="L253" t="s">
        <v>1326</v>
      </c>
      <c r="M253" t="s">
        <v>40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41</v>
      </c>
      <c r="U253" t="s">
        <v>42</v>
      </c>
      <c r="V253">
        <f>O253*(1-P253)*N253</f>
        <v>6132.96</v>
      </c>
      <c r="W253">
        <f t="shared" si="9"/>
        <v>1251.8599999999997</v>
      </c>
      <c r="X253">
        <f t="shared" si="10"/>
        <v>0.20412003339333698</v>
      </c>
      <c r="Y253" t="str">
        <f>_xlfn.TEXTJOIN(", ",TRUE,IF(G253="Unknown","Missing Region",""),IF(M253="Unknown","Missing Ship Mode",""),IF(P253&lt;0,"Negative Discount",""),IF(P253&gt;0.7,"High Discount",""),IF(C253&lt;B253,"Ship Before Order",""))</f>
        <v>Ship Before Order</v>
      </c>
      <c r="Z253" s="2">
        <f>IFERROR(
  IF(ISNUMBER(B253),B253,
    IF(ISNUMBER(SEARCH("-",B253)*1),
      IF(LEN(LEFT(B253,FIND("-",B253)-1))=4,
        DATE(VALUE(LEFT(B253,4)),VALUE(MID(B253,6,2)),VALUE(RIGHT(B253,2))),
        DATE(VALUE(RIGHT(B253,4)),VALUE(MID(B253,4,2)),VALUE(LEFT(B253,2)))
      ),
      IF(ISNUMBER(SEARCH("/",B253)*1),
        DATE(VALUE(RIGHT(B253,4)),VALUE(LEFT(B253,2)),VALUE(MID(B253,4,2))),
        DATEVALUE(B253)
      )
    )
  ),
"INVALID_DATE")</f>
        <v>45753</v>
      </c>
      <c r="AA253" s="2">
        <f>IFERROR(
  IF(ISNUMBER(C253),C253,
    IF(ISNUMBER(SEARCH("-",C253)*1),
      IF(LEN(LEFT(C253,FIND("-",C253)-1))=4,
        DATE(VALUE(LEFT(C253,4)),VALUE(MID(C253,6,2)),VALUE(RIGHT(C253,2))),
        DATE(VALUE(RIGHT(C253,4)),VALUE(MID(C253,4,2)),VALUE(LEFT(C253,2)))
      ),
      IF(ISNUMBER(SEARCH("/",C253)*1),
        DATE(VALUE(RIGHT(C253,4)),VALUE(LEFT(C253,2)),VALUE(MID(C253,4,2))),
        DATEVALUE(C253)
      )
    )
  ),
"INVALID_DATE")</f>
        <v>45757</v>
      </c>
      <c r="AB253">
        <f>AA253-Z253</f>
        <v>4</v>
      </c>
      <c r="AC253" t="str">
        <f>TEXT(Z253,"mmmm")</f>
        <v>April</v>
      </c>
      <c r="AD253">
        <f>YEAR(Z253)</f>
        <v>2025</v>
      </c>
      <c r="AE253" t="str">
        <f t="shared" si="11"/>
        <v>OK</v>
      </c>
    </row>
    <row r="254" spans="1:31">
      <c r="A254" t="s">
        <v>1327</v>
      </c>
      <c r="B254" t="s">
        <v>1328</v>
      </c>
      <c r="C254" t="s">
        <v>1223</v>
      </c>
      <c r="D254" t="s">
        <v>1329</v>
      </c>
      <c r="E254" t="s">
        <v>68</v>
      </c>
      <c r="F254" t="s">
        <v>115</v>
      </c>
      <c r="G254" t="s">
        <v>34</v>
      </c>
      <c r="H254" t="s">
        <v>331</v>
      </c>
      <c r="I254" t="s">
        <v>332</v>
      </c>
      <c r="J254" t="s">
        <v>37</v>
      </c>
      <c r="K254" t="s">
        <v>163</v>
      </c>
      <c r="L254" t="s">
        <v>1330</v>
      </c>
      <c r="M254" t="s">
        <v>63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144</v>
      </c>
      <c r="U254" t="s">
        <v>132</v>
      </c>
      <c r="V254">
        <f>O254*(1-P254)*N254</f>
        <v>2329.4720000000002</v>
      </c>
      <c r="W254">
        <f t="shared" si="9"/>
        <v>725.85200000000032</v>
      </c>
      <c r="X254">
        <f t="shared" si="10"/>
        <v>0.31159448286520114</v>
      </c>
      <c r="Y254" t="str">
        <f>_xlfn.TEXTJOIN(", ",TRUE,IF(G254="Unknown","Missing Region",""),IF(M254="Unknown","Missing Ship Mode",""),IF(P254&lt;0,"Negative Discount",""),IF(P254&gt;0.7,"High Discount",""),IF(C254&lt;B254,"Ship Before Order",""))</f>
        <v>Ship Before Order</v>
      </c>
      <c r="Z254" s="2">
        <f>IFERROR(
  IF(ISNUMBER(B254),B254,
    IF(ISNUMBER(SEARCH("-",B254)*1),
      IF(LEN(LEFT(B254,FIND("-",B254)-1))=4,
        DATE(VALUE(LEFT(B254,4)),VALUE(MID(B254,6,2)),VALUE(RIGHT(B254,2))),
        DATE(VALUE(RIGHT(B254,4)),VALUE(MID(B254,4,2)),VALUE(LEFT(B254,2)))
      ),
      IF(ISNUMBER(SEARCH("/",B254)*1),
        DATE(VALUE(RIGHT(B254,4)),VALUE(LEFT(B254,2)),VALUE(MID(B254,4,2))),
        DATEVALUE(B254)
      )
    )
  ),
"INVALID_DATE")</f>
        <v>45833</v>
      </c>
      <c r="AA254" s="2">
        <f>IFERROR(
  IF(ISNUMBER(C254),C254,
    IF(ISNUMBER(SEARCH("-",C254)*1),
      IF(LEN(LEFT(C254,FIND("-",C254)-1))=4,
        DATE(VALUE(LEFT(C254,4)),VALUE(MID(C254,6,2)),VALUE(RIGHT(C254,2))),
        DATE(VALUE(RIGHT(C254,4)),VALUE(MID(C254,4,2)),VALUE(LEFT(C254,2)))
      ),
      IF(ISNUMBER(SEARCH("/",C254)*1),
        DATE(VALUE(RIGHT(C254,4)),VALUE(LEFT(C254,2)),VALUE(MID(C254,4,2))),
        DATEVALUE(C254)
      )
    )
  ),
"INVALID_DATE")</f>
        <v>45836</v>
      </c>
      <c r="AB254">
        <f>AA254-Z254</f>
        <v>3</v>
      </c>
      <c r="AC254" t="str">
        <f>TEXT(Z254,"mmmm")</f>
        <v>June</v>
      </c>
      <c r="AD254">
        <f>YEAR(Z254)</f>
        <v>2025</v>
      </c>
      <c r="AE254" t="str">
        <f t="shared" si="11"/>
        <v>OK</v>
      </c>
    </row>
    <row r="255" spans="1:31">
      <c r="A255" t="s">
        <v>1331</v>
      </c>
      <c r="B255" t="s">
        <v>1332</v>
      </c>
      <c r="C255" t="s">
        <v>1333</v>
      </c>
      <c r="D255" t="s">
        <v>1334</v>
      </c>
      <c r="E255" t="s">
        <v>149</v>
      </c>
      <c r="F255" t="s">
        <v>48</v>
      </c>
      <c r="G255" t="s">
        <v>34</v>
      </c>
      <c r="H255" t="s">
        <v>35</v>
      </c>
      <c r="I255" t="s">
        <v>36</v>
      </c>
      <c r="J255" t="s">
        <v>93</v>
      </c>
      <c r="K255" t="s">
        <v>230</v>
      </c>
      <c r="L255" t="s">
        <v>1335</v>
      </c>
      <c r="M255" t="s">
        <v>55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131</v>
      </c>
      <c r="U255" t="s">
        <v>85</v>
      </c>
      <c r="V255">
        <f>O255*(1-P255)*N255</f>
        <v>4746.9030000000002</v>
      </c>
      <c r="W255">
        <f t="shared" si="9"/>
        <v>1921.5230000000001</v>
      </c>
      <c r="X255">
        <f t="shared" si="10"/>
        <v>0.31028460679601427</v>
      </c>
      <c r="Y255" t="str">
        <f>_xlfn.TEXTJOIN(", ",TRUE,IF(G255="Unknown","Missing Region",""),IF(M255="Unknown","Missing Ship Mode",""),IF(P255&lt;0,"Negative Discount",""),IF(P255&gt;0.7,"High Discount",""),IF(C255&lt;B255,"Ship Before Order",""))</f>
        <v>Ship Before Order</v>
      </c>
      <c r="Z255" s="2">
        <f>IFERROR(
  IF(ISNUMBER(B255),B255,
    IF(ISNUMBER(SEARCH("-",B255)*1),
      IF(LEN(LEFT(B255,FIND("-",B255)-1))=4,
        DATE(VALUE(LEFT(B255,4)),VALUE(MID(B255,6,2)),VALUE(RIGHT(B255,2))),
        DATE(VALUE(RIGHT(B255,4)),VALUE(MID(B255,4,2)),VALUE(LEFT(B255,2)))
      ),
      IF(ISNUMBER(SEARCH("/",B255)*1),
        DATE(VALUE(RIGHT(B255,4)),VALUE(LEFT(B255,2)),VALUE(MID(B255,4,2))),
        DATEVALUE(B255)
      )
    )
  ),
"INVALID_DATE")</f>
        <v>45547</v>
      </c>
      <c r="AA255" s="2">
        <f>IFERROR(
  IF(ISNUMBER(C255),C255,
    IF(ISNUMBER(SEARCH("-",C255)*1),
      IF(LEN(LEFT(C255,FIND("-",C255)-1))=4,
        DATE(VALUE(LEFT(C255,4)),VALUE(MID(C255,6,2)),VALUE(RIGHT(C255,2))),
        DATE(VALUE(RIGHT(C255,4)),VALUE(MID(C255,4,2)),VALUE(LEFT(C255,2)))
      ),
      IF(ISNUMBER(SEARCH("/",C255)*1),
        DATE(VALUE(RIGHT(C255,4)),VALUE(LEFT(C255,2)),VALUE(MID(C255,4,2))),
        DATEVALUE(C255)
      )
    )
  ),
"INVALID_DATE")</f>
        <v>45548</v>
      </c>
      <c r="AB255">
        <f>AA255-Z255</f>
        <v>1</v>
      </c>
      <c r="AC255" t="str">
        <f>TEXT(Z255,"mmmm")</f>
        <v>September</v>
      </c>
      <c r="AD255">
        <f>YEAR(Z255)</f>
        <v>2024</v>
      </c>
      <c r="AE255" t="str">
        <f t="shared" si="11"/>
        <v>OK</v>
      </c>
    </row>
    <row r="256" spans="1:31">
      <c r="A256" t="s">
        <v>1336</v>
      </c>
      <c r="B256" t="s">
        <v>1337</v>
      </c>
      <c r="C256" t="s">
        <v>1338</v>
      </c>
      <c r="D256" t="s">
        <v>1339</v>
      </c>
      <c r="E256" t="s">
        <v>79</v>
      </c>
      <c r="F256" t="s">
        <v>33</v>
      </c>
      <c r="G256" t="s">
        <v>80</v>
      </c>
      <c r="H256" t="s">
        <v>91</v>
      </c>
      <c r="I256" t="s">
        <v>92</v>
      </c>
      <c r="J256" t="s">
        <v>93</v>
      </c>
      <c r="K256" t="s">
        <v>94</v>
      </c>
      <c r="L256" t="s">
        <v>1340</v>
      </c>
      <c r="M256" t="s">
        <v>55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41</v>
      </c>
      <c r="U256" t="s">
        <v>132</v>
      </c>
      <c r="V256">
        <f>O256*(1-P256)*N256</f>
        <v>5603.08</v>
      </c>
      <c r="W256">
        <f t="shared" si="9"/>
        <v>2470.56</v>
      </c>
      <c r="X256">
        <f t="shared" si="10"/>
        <v>0.44092891766671188</v>
      </c>
      <c r="Y256" t="s">
        <v>4120</v>
      </c>
      <c r="Z256" s="2">
        <f>IFERROR(
  IF(ISNUMBER(B256),B256,
    IF(ISNUMBER(SEARCH("-",B256)*1),
      IF(LEN(LEFT(B256,FIND("-",B256)-1))=4,
        DATE(VALUE(LEFT(B256,4)),VALUE(MID(B256,6,2)),VALUE(RIGHT(B256,2))),
        DATE(VALUE(RIGHT(B256,4)),VALUE(MID(B256,4,2)),VALUE(LEFT(B256,2)))
      ),
      IF(ISNUMBER(SEARCH("/",B256)*1),
        DATE(VALUE(RIGHT(B256,4)),VALUE(LEFT(B256,2)),VALUE(MID(B256,4,2))),
        DATEVALUE(B256)
      )
    )
  ),
"INVALID_DATE")</f>
        <v>45658</v>
      </c>
      <c r="AA256" s="2">
        <f>IFERROR(
  IF(ISNUMBER(C256),C256,
    IF(ISNUMBER(SEARCH("-",C256)*1),
      IF(LEN(LEFT(C256,FIND("-",C256)-1))=4,
        DATE(VALUE(LEFT(C256,4)),VALUE(MID(C256,6,2)),VALUE(RIGHT(C256,2))),
        DATE(VALUE(RIGHT(C256,4)),VALUE(MID(C256,4,2)),VALUE(LEFT(C256,2)))
      ),
      IF(ISNUMBER(SEARCH("/",C256)*1),
        DATE(VALUE(RIGHT(C256,4)),VALUE(LEFT(C256,2)),VALUE(MID(C256,4,2))),
        DATEVALUE(C256)
      )
    )
  ),
"INVALID_DATE")</f>
        <v>45660</v>
      </c>
      <c r="AB256">
        <f>AA256-Z256</f>
        <v>2</v>
      </c>
      <c r="AC256" t="str">
        <f>TEXT(Z256,"mmmm")</f>
        <v>January</v>
      </c>
      <c r="AD256">
        <f>YEAR(Z256)</f>
        <v>2025</v>
      </c>
      <c r="AE256" t="str">
        <f t="shared" si="11"/>
        <v>OK</v>
      </c>
    </row>
    <row r="257" spans="1:31">
      <c r="A257" t="s">
        <v>1341</v>
      </c>
      <c r="B257" t="s">
        <v>1342</v>
      </c>
      <c r="C257" t="s">
        <v>1343</v>
      </c>
      <c r="D257" t="s">
        <v>1344</v>
      </c>
      <c r="E257" t="s">
        <v>60</v>
      </c>
      <c r="F257" t="s">
        <v>115</v>
      </c>
      <c r="G257" t="s">
        <v>80</v>
      </c>
      <c r="H257" t="s">
        <v>81</v>
      </c>
      <c r="I257" t="s">
        <v>82</v>
      </c>
      <c r="J257" t="s">
        <v>93</v>
      </c>
      <c r="K257" t="s">
        <v>230</v>
      </c>
      <c r="L257" t="s">
        <v>1345</v>
      </c>
      <c r="M257" t="s">
        <v>63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41</v>
      </c>
      <c r="U257" t="s">
        <v>42</v>
      </c>
      <c r="V257">
        <f>O257*(1-P257)*N257</f>
        <v>12810</v>
      </c>
      <c r="W257">
        <f t="shared" si="9"/>
        <v>3475.8799999999992</v>
      </c>
      <c r="X257">
        <f t="shared" si="10"/>
        <v>0.27134113973458235</v>
      </c>
      <c r="Y257" t="str">
        <f>_xlfn.TEXTJOIN(", ",TRUE,IF(G257="Unknown","Missing Region",""),IF(M257="Unknown","Missing Ship Mode",""),IF(P257&lt;0,"Negative Discount",""),IF(P257&gt;0.7,"High Discount",""),IF(C257&lt;B257,"Ship Before Order",""))</f>
        <v>Ship Before Order</v>
      </c>
      <c r="Z257" s="2">
        <f>IFERROR(
  IF(ISNUMBER(B257),B257,
    IF(ISNUMBER(SEARCH("-",B257)*1),
      IF(LEN(LEFT(B257,FIND("-",B257)-1))=4,
        DATE(VALUE(LEFT(B257,4)),VALUE(MID(B257,6,2)),VALUE(RIGHT(B257,2))),
        DATE(VALUE(RIGHT(B257,4)),VALUE(MID(B257,4,2)),VALUE(LEFT(B257,2)))
      ),
      IF(ISNUMBER(SEARCH("/",B257)*1),
        DATE(VALUE(RIGHT(B257,4)),VALUE(LEFT(B257,2)),VALUE(MID(B257,4,2))),
        DATEVALUE(B257)
      )
    )
  ),
"INVALID_DATE")</f>
        <v>45692</v>
      </c>
      <c r="AA257" s="2">
        <f>IFERROR(
  IF(ISNUMBER(C257),C257,
    IF(ISNUMBER(SEARCH("-",C257)*1),
      IF(LEN(LEFT(C257,FIND("-",C257)-1))=4,
        DATE(VALUE(LEFT(C257,4)),VALUE(MID(C257,6,2)),VALUE(RIGHT(C257,2))),
        DATE(VALUE(RIGHT(C257,4)),VALUE(MID(C257,4,2)),VALUE(LEFT(C257,2)))
      ),
      IF(ISNUMBER(SEARCH("/",C257)*1),
        DATE(VALUE(RIGHT(C257,4)),VALUE(LEFT(C257,2)),VALUE(MID(C257,4,2))),
        DATEVALUE(C257)
      )
    )
  ),
"INVALID_DATE")</f>
        <v>45698</v>
      </c>
      <c r="AB257">
        <f>AA257-Z257</f>
        <v>6</v>
      </c>
      <c r="AC257" t="str">
        <f>TEXT(Z257,"mmmm")</f>
        <v>February</v>
      </c>
      <c r="AD257">
        <f>YEAR(Z257)</f>
        <v>2025</v>
      </c>
      <c r="AE257" t="str">
        <f t="shared" si="11"/>
        <v>OK</v>
      </c>
    </row>
    <row r="258" spans="1:31">
      <c r="A258" t="s">
        <v>1346</v>
      </c>
      <c r="B258" t="s">
        <v>1347</v>
      </c>
      <c r="C258" t="s">
        <v>491</v>
      </c>
      <c r="D258" t="s">
        <v>1348</v>
      </c>
      <c r="E258" t="s">
        <v>79</v>
      </c>
      <c r="F258" t="s">
        <v>33</v>
      </c>
      <c r="G258" t="s">
        <v>49</v>
      </c>
      <c r="H258" t="s">
        <v>128</v>
      </c>
      <c r="I258" t="s">
        <v>129</v>
      </c>
      <c r="J258" t="s">
        <v>52</v>
      </c>
      <c r="K258" t="s">
        <v>53</v>
      </c>
      <c r="L258" t="s">
        <v>1349</v>
      </c>
      <c r="M258" t="s">
        <v>63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41</v>
      </c>
      <c r="U258" t="s">
        <v>42</v>
      </c>
      <c r="V258">
        <f>O258*(1-P258)*N258</f>
        <v>19328.215499999998</v>
      </c>
      <c r="W258">
        <f t="shared" si="9"/>
        <v>7288.7154999999984</v>
      </c>
      <c r="X258">
        <f t="shared" si="10"/>
        <v>0.37710249572904281</v>
      </c>
      <c r="Y258" t="str">
        <f>_xlfn.TEXTJOIN(", ",TRUE,IF(G258="Unknown","Missing Region",""),IF(M258="Unknown","Missing Ship Mode",""),IF(P258&lt;0,"Negative Discount",""),IF(P258&gt;0.7,"High Discount",""),IF(C258&lt;B258,"Ship Before Order",""))</f>
        <v>Ship Before Order</v>
      </c>
      <c r="Z258" s="2">
        <f>IFERROR(
  IF(ISNUMBER(B258),B258,
    IF(ISNUMBER(SEARCH("-",B258)*1),
      IF(LEN(LEFT(B258,FIND("-",B258)-1))=4,
        DATE(VALUE(LEFT(B258,4)),VALUE(MID(B258,6,2)),VALUE(RIGHT(B258,2))),
        DATE(VALUE(RIGHT(B258,4)),VALUE(MID(B258,4,2)),VALUE(LEFT(B258,2)))
      ),
      IF(ISNUMBER(SEARCH("/",B258)*1),
        DATE(VALUE(RIGHT(B258,4)),VALUE(LEFT(B258,2)),VALUE(MID(B258,4,2))),
        DATEVALUE(B258)
      )
    )
  ),
"INVALID_DATE")</f>
        <v>45601</v>
      </c>
      <c r="AA258" s="2">
        <f>IFERROR(
  IF(ISNUMBER(C258),C258,
    IF(ISNUMBER(SEARCH("-",C258)*1),
      IF(LEN(LEFT(C258,FIND("-",C258)-1))=4,
        DATE(VALUE(LEFT(C258,4)),VALUE(MID(C258,6,2)),VALUE(RIGHT(C258,2))),
        DATE(VALUE(RIGHT(C258,4)),VALUE(MID(C258,4,2)),VALUE(LEFT(C258,2)))
      ),
      IF(ISNUMBER(SEARCH("/",C258)*1),
        DATE(VALUE(RIGHT(C258,4)),VALUE(LEFT(C258,2)),VALUE(MID(C258,4,2))),
        DATEVALUE(C258)
      )
    )
  ),
"INVALID_DATE")</f>
        <v>45599</v>
      </c>
      <c r="AB258">
        <f>AA258-Z258</f>
        <v>-2</v>
      </c>
      <c r="AC258" t="str">
        <f>TEXT(Z258,"mmmm")</f>
        <v>November</v>
      </c>
      <c r="AD258">
        <f>YEAR(Z258)</f>
        <v>2024</v>
      </c>
      <c r="AE258" t="str">
        <f t="shared" si="11"/>
        <v>Ship Before Order</v>
      </c>
    </row>
    <row r="259" spans="1:31">
      <c r="A259" t="s">
        <v>1350</v>
      </c>
      <c r="B259" t="s">
        <v>1351</v>
      </c>
      <c r="C259" t="s">
        <v>1352</v>
      </c>
      <c r="D259" t="s">
        <v>1353</v>
      </c>
      <c r="E259" t="s">
        <v>217</v>
      </c>
      <c r="F259" t="s">
        <v>115</v>
      </c>
      <c r="G259" t="s">
        <v>69</v>
      </c>
      <c r="H259" t="s">
        <v>236</v>
      </c>
      <c r="I259" t="s">
        <v>237</v>
      </c>
      <c r="J259" t="s">
        <v>93</v>
      </c>
      <c r="K259" t="s">
        <v>94</v>
      </c>
      <c r="L259" t="s">
        <v>1354</v>
      </c>
      <c r="M259" t="s">
        <v>40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41</v>
      </c>
      <c r="U259" t="s">
        <v>85</v>
      </c>
      <c r="V259">
        <f>O259*(1-P259)*N259</f>
        <v>6474.54</v>
      </c>
      <c r="W259">
        <f t="shared" ref="W259:W322" si="12">V259-R259</f>
        <v>1378.63</v>
      </c>
      <c r="X259">
        <f t="shared" ref="X259:X322" si="13">S259/Q259</f>
        <v>0.21293095725719513</v>
      </c>
      <c r="Y259" t="s">
        <v>4120</v>
      </c>
      <c r="Z259" s="2">
        <f>IFERROR(
  IF(ISNUMBER(B259),B259,
    IF(ISNUMBER(SEARCH("-",B259)*1),
      IF(LEN(LEFT(B259,FIND("-",B259)-1))=4,
        DATE(VALUE(LEFT(B259,4)),VALUE(MID(B259,6,2)),VALUE(RIGHT(B259,2))),
        DATE(VALUE(RIGHT(B259,4)),VALUE(MID(B259,4,2)),VALUE(LEFT(B259,2)))
      ),
      IF(ISNUMBER(SEARCH("/",B259)*1),
        DATE(VALUE(RIGHT(B259,4)),VALUE(LEFT(B259,2)),VALUE(MID(B259,4,2))),
        DATEVALUE(B259)
      )
    )
  ),
"INVALID_DATE")</f>
        <v>45878</v>
      </c>
      <c r="AA259" s="2">
        <f>IFERROR(
  IF(ISNUMBER(C259),C259,
    IF(ISNUMBER(SEARCH("-",C259)*1),
      IF(LEN(LEFT(C259,FIND("-",C259)-1))=4,
        DATE(VALUE(LEFT(C259,4)),VALUE(MID(C259,6,2)),VALUE(RIGHT(C259,2))),
        DATE(VALUE(RIGHT(C259,4)),VALUE(MID(C259,4,2)),VALUE(LEFT(C259,2)))
      ),
      IF(ISNUMBER(SEARCH("/",C259)*1),
        DATE(VALUE(RIGHT(C259,4)),VALUE(LEFT(C259,2)),VALUE(MID(C259,4,2))),
        DATEVALUE(C259)
      )
    )
  ),
"INVALID_DATE")</f>
        <v>45881</v>
      </c>
      <c r="AB259">
        <f>AA259-Z259</f>
        <v>3</v>
      </c>
      <c r="AC259" t="str">
        <f>TEXT(Z259,"mmmm")</f>
        <v>August</v>
      </c>
      <c r="AD259">
        <f>YEAR(Z259)</f>
        <v>2025</v>
      </c>
      <c r="AE259" t="str">
        <f t="shared" ref="AE259:AE322" si="14">IF(OR(Z259="INVALID_DATE",AA259="INVALID_DATE"),"Invalid Date",IF(AA259&lt;Z259,"Ship Before Order","OK"))</f>
        <v>OK</v>
      </c>
    </row>
    <row r="260" spans="1:31">
      <c r="A260" t="s">
        <v>1355</v>
      </c>
      <c r="B260" t="s">
        <v>833</v>
      </c>
      <c r="C260" t="s">
        <v>1356</v>
      </c>
      <c r="D260" t="s">
        <v>1357</v>
      </c>
      <c r="E260" t="s">
        <v>175</v>
      </c>
      <c r="F260" t="s">
        <v>115</v>
      </c>
      <c r="G260" t="s">
        <v>69</v>
      </c>
      <c r="H260" t="s">
        <v>347</v>
      </c>
      <c r="I260" t="s">
        <v>348</v>
      </c>
      <c r="J260" t="s">
        <v>52</v>
      </c>
      <c r="K260" t="s">
        <v>53</v>
      </c>
      <c r="L260" t="s">
        <v>1358</v>
      </c>
      <c r="M260" t="s">
        <v>55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41</v>
      </c>
      <c r="U260" t="s">
        <v>42</v>
      </c>
      <c r="V260">
        <f>O260*(1-P260)*N260</f>
        <v>5580.1050000000005</v>
      </c>
      <c r="W260">
        <f t="shared" si="12"/>
        <v>1273.0950000000003</v>
      </c>
      <c r="X260">
        <f t="shared" si="13"/>
        <v>0.22814962429056057</v>
      </c>
      <c r="Y260" t="s">
        <v>4120</v>
      </c>
      <c r="Z260" s="2">
        <f>IFERROR(
  IF(ISNUMBER(B260),B260,
    IF(ISNUMBER(SEARCH("-",B260)*1),
      IF(LEN(LEFT(B260,FIND("-",B260)-1))=4,
        DATE(VALUE(LEFT(B260,4)),VALUE(MID(B260,6,2)),VALUE(RIGHT(B260,2))),
        DATE(VALUE(RIGHT(B260,4)),VALUE(MID(B260,4,2)),VALUE(LEFT(B260,2)))
      ),
      IF(ISNUMBER(SEARCH("/",B260)*1),
        DATE(VALUE(RIGHT(B260,4)),VALUE(LEFT(B260,2)),VALUE(MID(B260,4,2))),
        DATEVALUE(B260)
      )
    )
  ),
"INVALID_DATE")</f>
        <v>45656</v>
      </c>
      <c r="AA260" s="2">
        <f>IFERROR(
  IF(ISNUMBER(C260),C260,
    IF(ISNUMBER(SEARCH("-",C260)*1),
      IF(LEN(LEFT(C260,FIND("-",C260)-1))=4,
        DATE(VALUE(LEFT(C260,4)),VALUE(MID(C260,6,2)),VALUE(RIGHT(C260,2))),
        DATE(VALUE(RIGHT(C260,4)),VALUE(MID(C260,4,2)),VALUE(LEFT(C260,2)))
      ),
      IF(ISNUMBER(SEARCH("/",C260)*1),
        DATE(VALUE(RIGHT(C260,4)),VALUE(LEFT(C260,2)),VALUE(MID(C260,4,2))),
        DATEVALUE(C260)
      )
    )
  ),
"INVALID_DATE")</f>
        <v>45661</v>
      </c>
      <c r="AB260">
        <f>AA260-Z260</f>
        <v>5</v>
      </c>
      <c r="AC260" t="str">
        <f>TEXT(Z260,"mmmm")</f>
        <v>December</v>
      </c>
      <c r="AD260">
        <f>YEAR(Z260)</f>
        <v>2024</v>
      </c>
      <c r="AE260" t="str">
        <f t="shared" si="14"/>
        <v>OK</v>
      </c>
    </row>
    <row r="261" spans="1:31">
      <c r="A261" t="s">
        <v>1359</v>
      </c>
      <c r="B261" t="s">
        <v>1360</v>
      </c>
      <c r="C261" t="s">
        <v>1361</v>
      </c>
      <c r="D261" t="s">
        <v>1362</v>
      </c>
      <c r="E261" t="s">
        <v>100</v>
      </c>
      <c r="F261" t="s">
        <v>33</v>
      </c>
      <c r="G261" t="s">
        <v>69</v>
      </c>
      <c r="H261" t="s">
        <v>347</v>
      </c>
      <c r="I261" t="s">
        <v>348</v>
      </c>
      <c r="J261" t="s">
        <v>93</v>
      </c>
      <c r="K261" t="s">
        <v>390</v>
      </c>
      <c r="L261" t="s">
        <v>1363</v>
      </c>
      <c r="M261" t="s">
        <v>74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41</v>
      </c>
      <c r="U261" t="s">
        <v>42</v>
      </c>
      <c r="V261">
        <f>O261*(1-P261)*N261</f>
        <v>18265.088</v>
      </c>
      <c r="W261">
        <f t="shared" si="12"/>
        <v>7827.9480000000003</v>
      </c>
      <c r="X261">
        <f t="shared" si="13"/>
        <v>0.42857440067363478</v>
      </c>
      <c r="Y261" t="s">
        <v>4120</v>
      </c>
      <c r="Z261" s="2">
        <f>IFERROR(
  IF(ISNUMBER(B261),B261,
    IF(ISNUMBER(SEARCH("-",B261)*1),
      IF(LEN(LEFT(B261,FIND("-",B261)-1))=4,
        DATE(VALUE(LEFT(B261,4)),VALUE(MID(B261,6,2)),VALUE(RIGHT(B261,2))),
        DATE(VALUE(RIGHT(B261,4)),VALUE(MID(B261,4,2)),VALUE(LEFT(B261,2)))
      ),
      IF(ISNUMBER(SEARCH("/",B261)*1),
        DATE(VALUE(RIGHT(B261,4)),VALUE(LEFT(B261,2)),VALUE(MID(B261,4,2))),
        DATEVALUE(B261)
      )
    )
  ),
"INVALID_DATE")</f>
        <v>45464</v>
      </c>
      <c r="AA261" s="2">
        <f>IFERROR(
  IF(ISNUMBER(C261),C261,
    IF(ISNUMBER(SEARCH("-",C261)*1),
      IF(LEN(LEFT(C261,FIND("-",C261)-1))=4,
        DATE(VALUE(LEFT(C261,4)),VALUE(MID(C261,6,2)),VALUE(RIGHT(C261,2))),
        DATE(VALUE(RIGHT(C261,4)),VALUE(MID(C261,4,2)),VALUE(LEFT(C261,2)))
      ),
      IF(ISNUMBER(SEARCH("/",C261)*1),
        DATE(VALUE(RIGHT(C261,4)),VALUE(LEFT(C261,2)),VALUE(MID(C261,4,2))),
        DATEVALUE(C261)
      )
    )
  ),
"INVALID_DATE")</f>
        <v>45472</v>
      </c>
      <c r="AB261">
        <f>AA261-Z261</f>
        <v>8</v>
      </c>
      <c r="AC261" t="str">
        <f>TEXT(Z261,"mmmm")</f>
        <v>June</v>
      </c>
      <c r="AD261">
        <f>YEAR(Z261)</f>
        <v>2024</v>
      </c>
      <c r="AE261" t="str">
        <f t="shared" si="14"/>
        <v>OK</v>
      </c>
    </row>
    <row r="262" spans="1:31">
      <c r="A262" t="s">
        <v>1364</v>
      </c>
      <c r="B262" t="s">
        <v>1365</v>
      </c>
      <c r="C262" t="s">
        <v>1366</v>
      </c>
      <c r="D262" t="s">
        <v>1367</v>
      </c>
      <c r="E262" t="s">
        <v>114</v>
      </c>
      <c r="F262" t="s">
        <v>115</v>
      </c>
      <c r="G262" t="s">
        <v>49</v>
      </c>
      <c r="H262" t="s">
        <v>128</v>
      </c>
      <c r="I262" t="s">
        <v>129</v>
      </c>
      <c r="J262" t="s">
        <v>37</v>
      </c>
      <c r="K262" t="s">
        <v>205</v>
      </c>
      <c r="L262" t="s">
        <v>1368</v>
      </c>
      <c r="M262" t="s">
        <v>55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207</v>
      </c>
      <c r="U262" t="s">
        <v>132</v>
      </c>
      <c r="V262">
        <f>O262*(1-P262)*N262</f>
        <v>15209.880000000001</v>
      </c>
      <c r="W262">
        <f t="shared" si="12"/>
        <v>4318.7300000000014</v>
      </c>
      <c r="X262">
        <f t="shared" si="13"/>
        <v>0.28394241111698448</v>
      </c>
      <c r="Y262" t="str">
        <f>_xlfn.TEXTJOIN(", ",TRUE,IF(G262="Unknown","Missing Region",""),IF(M262="Unknown","Missing Ship Mode",""),IF(P262&lt;0,"Negative Discount",""),IF(P262&gt;0.7,"High Discount",""),IF(C262&lt;B262,"Ship Before Order",""))</f>
        <v>Ship Before Order</v>
      </c>
      <c r="Z262" s="2">
        <f>IFERROR(
  IF(ISNUMBER(B262),B262,
    IF(ISNUMBER(SEARCH("-",B262)*1),
      IF(LEN(LEFT(B262,FIND("-",B262)-1))=4,
        DATE(VALUE(LEFT(B262,4)),VALUE(MID(B262,6,2)),VALUE(RIGHT(B262,2))),
        DATE(VALUE(RIGHT(B262,4)),VALUE(MID(B262,4,2)),VALUE(LEFT(B262,2)))
      ),
      IF(ISNUMBER(SEARCH("/",B262)*1),
        DATE(VALUE(RIGHT(B262,4)),VALUE(LEFT(B262,2)),VALUE(MID(B262,4,2))),
        DATEVALUE(B262)
      )
    )
  ),
"INVALID_DATE")</f>
        <v>45923</v>
      </c>
      <c r="AA262" s="2">
        <f>IFERROR(
  IF(ISNUMBER(C262),C262,
    IF(ISNUMBER(SEARCH("-",C262)*1),
      IF(LEN(LEFT(C262,FIND("-",C262)-1))=4,
        DATE(VALUE(LEFT(C262,4)),VALUE(MID(C262,6,2)),VALUE(RIGHT(C262,2))),
        DATE(VALUE(RIGHT(C262,4)),VALUE(MID(C262,4,2)),VALUE(LEFT(C262,2)))
      ),
      IF(ISNUMBER(SEARCH("/",C262)*1),
        DATE(VALUE(RIGHT(C262,4)),VALUE(LEFT(C262,2)),VALUE(MID(C262,4,2))),
        DATEVALUE(C262)
      )
    )
  ),
"INVALID_DATE")</f>
        <v>45927</v>
      </c>
      <c r="AB262">
        <f>AA262-Z262</f>
        <v>4</v>
      </c>
      <c r="AC262" t="str">
        <f>TEXT(Z262,"mmmm")</f>
        <v>September</v>
      </c>
      <c r="AD262">
        <f>YEAR(Z262)</f>
        <v>2025</v>
      </c>
      <c r="AE262" t="str">
        <f t="shared" si="14"/>
        <v>OK</v>
      </c>
    </row>
    <row r="263" spans="1:31">
      <c r="A263" t="s">
        <v>1369</v>
      </c>
      <c r="B263" t="s">
        <v>1370</v>
      </c>
      <c r="C263" t="s">
        <v>1371</v>
      </c>
      <c r="D263" t="s">
        <v>1372</v>
      </c>
      <c r="E263" t="s">
        <v>175</v>
      </c>
      <c r="F263" t="s">
        <v>115</v>
      </c>
      <c r="G263" t="s">
        <v>34</v>
      </c>
      <c r="H263" t="s">
        <v>35</v>
      </c>
      <c r="I263" t="s">
        <v>36</v>
      </c>
      <c r="J263" t="s">
        <v>37</v>
      </c>
      <c r="K263" t="s">
        <v>116</v>
      </c>
      <c r="L263" t="s">
        <v>1373</v>
      </c>
      <c r="M263" t="s">
        <v>74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207</v>
      </c>
      <c r="U263" t="s">
        <v>85</v>
      </c>
      <c r="V263">
        <f>O263*(1-P263)*N263</f>
        <v>1648.1760000000002</v>
      </c>
      <c r="W263">
        <f t="shared" si="12"/>
        <v>660.26600000000019</v>
      </c>
      <c r="X263">
        <f t="shared" si="13"/>
        <v>0.40060551638777314</v>
      </c>
      <c r="Y263" t="s">
        <v>4120</v>
      </c>
      <c r="Z263" s="2">
        <f>IFERROR(
  IF(ISNUMBER(B263),B263,
    IF(ISNUMBER(SEARCH("-",B263)*1),
      IF(LEN(LEFT(B263,FIND("-",B263)-1))=4,
        DATE(VALUE(LEFT(B263,4)),VALUE(MID(B263,6,2)),VALUE(RIGHT(B263,2))),
        DATE(VALUE(RIGHT(B263,4)),VALUE(MID(B263,4,2)),VALUE(LEFT(B263,2)))
      ),
      IF(ISNUMBER(SEARCH("/",B263)*1),
        DATE(VALUE(RIGHT(B263,4)),VALUE(LEFT(B263,2)),VALUE(MID(B263,4,2))),
        DATEVALUE(B263)
      )
    )
  ),
"INVALID_DATE")</f>
        <v>45826</v>
      </c>
      <c r="AA263" s="2">
        <f>IFERROR(
  IF(ISNUMBER(C263),C263,
    IF(ISNUMBER(SEARCH("-",C263)*1),
      IF(LEN(LEFT(C263,FIND("-",C263)-1))=4,
        DATE(VALUE(LEFT(C263,4)),VALUE(MID(C263,6,2)),VALUE(RIGHT(C263,2))),
        DATE(VALUE(RIGHT(C263,4)),VALUE(MID(C263,4,2)),VALUE(LEFT(C263,2)))
      ),
      IF(ISNUMBER(SEARCH("/",C263)*1),
        DATE(VALUE(RIGHT(C263,4)),VALUE(LEFT(C263,2)),VALUE(MID(C263,4,2))),
        DATEVALUE(C263)
      )
    )
  ),
"INVALID_DATE")</f>
        <v>45832</v>
      </c>
      <c r="AB263">
        <f>AA263-Z263</f>
        <v>6</v>
      </c>
      <c r="AC263" t="str">
        <f>TEXT(Z263,"mmmm")</f>
        <v>June</v>
      </c>
      <c r="AD263">
        <f>YEAR(Z263)</f>
        <v>2025</v>
      </c>
      <c r="AE263" t="str">
        <f t="shared" si="14"/>
        <v>OK</v>
      </c>
    </row>
    <row r="264" spans="1:31">
      <c r="A264" t="s">
        <v>1374</v>
      </c>
      <c r="B264" t="s">
        <v>1375</v>
      </c>
      <c r="C264" t="s">
        <v>1376</v>
      </c>
      <c r="D264" t="s">
        <v>958</v>
      </c>
      <c r="E264" t="s">
        <v>68</v>
      </c>
      <c r="F264" t="s">
        <v>48</v>
      </c>
      <c r="G264" t="s">
        <v>34</v>
      </c>
      <c r="H264" t="s">
        <v>514</v>
      </c>
      <c r="I264" t="s">
        <v>515</v>
      </c>
      <c r="J264" t="s">
        <v>93</v>
      </c>
      <c r="K264" t="s">
        <v>230</v>
      </c>
      <c r="L264" t="s">
        <v>1377</v>
      </c>
      <c r="M264" t="s">
        <v>55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144</v>
      </c>
      <c r="U264" t="s">
        <v>132</v>
      </c>
      <c r="V264">
        <f>O264*(1-P264)*N264</f>
        <v>13399.44</v>
      </c>
      <c r="W264">
        <f t="shared" si="12"/>
        <v>4818.09</v>
      </c>
      <c r="X264">
        <f t="shared" si="13"/>
        <v>0.3595739821962709</v>
      </c>
      <c r="Y264" t="str">
        <f>_xlfn.TEXTJOIN(", ",TRUE,IF(G264="Unknown","Missing Region",""),IF(M264="Unknown","Missing Ship Mode",""),IF(P264&lt;0,"Negative Discount",""),IF(P264&gt;0.7,"High Discount",""),IF(C264&lt;B264,"Ship Before Order",""))</f>
        <v>Ship Before Order</v>
      </c>
      <c r="Z264" s="2">
        <f>IFERROR(
  IF(ISNUMBER(B264),B264,
    IF(ISNUMBER(SEARCH("-",B264)*1),
      IF(LEN(LEFT(B264,FIND("-",B264)-1))=4,
        DATE(VALUE(LEFT(B264,4)),VALUE(MID(B264,6,2)),VALUE(RIGHT(B264,2))),
        DATE(VALUE(RIGHT(B264,4)),VALUE(MID(B264,4,2)),VALUE(LEFT(B264,2)))
      ),
      IF(ISNUMBER(SEARCH("/",B264)*1),
        DATE(VALUE(RIGHT(B264,4)),VALUE(LEFT(B264,2)),VALUE(MID(B264,4,2))),
        DATEVALUE(B264)
      )
    )
  ),
"INVALID_DATE")</f>
        <v>45803</v>
      </c>
      <c r="AA264" s="2">
        <f>IFERROR(
  IF(ISNUMBER(C264),C264,
    IF(ISNUMBER(SEARCH("-",C264)*1),
      IF(LEN(LEFT(C264,FIND("-",C264)-1))=4,
        DATE(VALUE(LEFT(C264,4)),VALUE(MID(C264,6,2)),VALUE(RIGHT(C264,2))),
        DATE(VALUE(RIGHT(C264,4)),VALUE(MID(C264,4,2)),VALUE(LEFT(C264,2)))
      ),
      IF(ISNUMBER(SEARCH("/",C264)*1),
        DATE(VALUE(RIGHT(C264,4)),VALUE(LEFT(C264,2)),VALUE(MID(C264,4,2))),
        DATEVALUE(C264)
      )
    )
  ),
"INVALID_DATE")</f>
        <v>45809</v>
      </c>
      <c r="AB264">
        <f>AA264-Z264</f>
        <v>6</v>
      </c>
      <c r="AC264" t="str">
        <f>TEXT(Z264,"mmmm")</f>
        <v>May</v>
      </c>
      <c r="AD264">
        <f>YEAR(Z264)</f>
        <v>2025</v>
      </c>
      <c r="AE264" t="str">
        <f t="shared" si="14"/>
        <v>OK</v>
      </c>
    </row>
    <row r="265" spans="1:31">
      <c r="A265" t="s">
        <v>1378</v>
      </c>
      <c r="B265" t="s">
        <v>1379</v>
      </c>
      <c r="C265" t="s">
        <v>952</v>
      </c>
      <c r="D265" t="s">
        <v>1380</v>
      </c>
      <c r="E265" t="s">
        <v>187</v>
      </c>
      <c r="F265" t="s">
        <v>48</v>
      </c>
      <c r="G265" t="s">
        <v>34</v>
      </c>
      <c r="H265" t="s">
        <v>514</v>
      </c>
      <c r="I265" t="s">
        <v>515</v>
      </c>
      <c r="J265" t="s">
        <v>37</v>
      </c>
      <c r="K265" t="s">
        <v>205</v>
      </c>
      <c r="L265" t="s">
        <v>1381</v>
      </c>
      <c r="M265" t="s">
        <v>40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144</v>
      </c>
      <c r="U265" t="s">
        <v>132</v>
      </c>
      <c r="V265">
        <f>O265*(1-P265)*N265</f>
        <v>32743.845000000001</v>
      </c>
      <c r="W265">
        <f t="shared" si="12"/>
        <v>10291.795000000002</v>
      </c>
      <c r="X265">
        <f t="shared" si="13"/>
        <v>0.31431224926581613</v>
      </c>
      <c r="Y265" t="s">
        <v>4120</v>
      </c>
      <c r="Z265" s="2">
        <f>IFERROR(
  IF(ISNUMBER(B265),B265,
    IF(ISNUMBER(SEARCH("-",B265)*1),
      IF(LEN(LEFT(B265,FIND("-",B265)-1))=4,
        DATE(VALUE(LEFT(B265,4)),VALUE(MID(B265,6,2)),VALUE(RIGHT(B265,2))),
        DATE(VALUE(RIGHT(B265,4)),VALUE(MID(B265,4,2)),VALUE(LEFT(B265,2)))
      ),
      IF(ISNUMBER(SEARCH("/",B265)*1),
        DATE(VALUE(RIGHT(B265,4)),VALUE(LEFT(B265,2)),VALUE(MID(B265,4,2))),
        DATEVALUE(B265)
      )
    )
  ),
"INVALID_DATE")</f>
        <v>45875</v>
      </c>
      <c r="AA265" s="2">
        <f>IFERROR(
  IF(ISNUMBER(C265),C265,
    IF(ISNUMBER(SEARCH("-",C265)*1),
      IF(LEN(LEFT(C265,FIND("-",C265)-1))=4,
        DATE(VALUE(LEFT(C265,4)),VALUE(MID(C265,6,2)),VALUE(RIGHT(C265,2))),
        DATE(VALUE(RIGHT(C265,4)),VALUE(MID(C265,4,2)),VALUE(LEFT(C265,2)))
      ),
      IF(ISNUMBER(SEARCH("/",C265)*1),
        DATE(VALUE(RIGHT(C265,4)),VALUE(LEFT(C265,2)),VALUE(MID(C265,4,2))),
        DATEVALUE(C265)
      )
    )
  ),
"INVALID_DATE")</f>
        <v>45879</v>
      </c>
      <c r="AB265">
        <f>AA265-Z265</f>
        <v>4</v>
      </c>
      <c r="AC265" t="str">
        <f>TEXT(Z265,"mmmm")</f>
        <v>August</v>
      </c>
      <c r="AD265">
        <f>YEAR(Z265)</f>
        <v>2025</v>
      </c>
      <c r="AE265" t="str">
        <f t="shared" si="14"/>
        <v>OK</v>
      </c>
    </row>
    <row r="266" spans="1:31">
      <c r="A266" t="s">
        <v>1382</v>
      </c>
      <c r="B266" t="s">
        <v>1383</v>
      </c>
      <c r="C266" t="s">
        <v>1384</v>
      </c>
      <c r="D266" t="s">
        <v>1385</v>
      </c>
      <c r="E266" t="s">
        <v>217</v>
      </c>
      <c r="F266" t="s">
        <v>48</v>
      </c>
      <c r="G266" t="s">
        <v>49</v>
      </c>
      <c r="H266" t="s">
        <v>193</v>
      </c>
      <c r="I266" t="s">
        <v>194</v>
      </c>
      <c r="J266" t="s">
        <v>93</v>
      </c>
      <c r="K266" t="s">
        <v>101</v>
      </c>
      <c r="L266" t="s">
        <v>1386</v>
      </c>
      <c r="M266" t="s">
        <v>74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41</v>
      </c>
      <c r="U266" t="s">
        <v>42</v>
      </c>
      <c r="V266">
        <f>O266*(1-P266)*N266</f>
        <v>6012.28</v>
      </c>
      <c r="W266">
        <f t="shared" si="12"/>
        <v>2084.64</v>
      </c>
      <c r="X266">
        <f t="shared" si="13"/>
        <v>0.34673035853286938</v>
      </c>
      <c r="Y266" t="str">
        <f>_xlfn.TEXTJOIN(", ",TRUE,IF(G266="Unknown","Missing Region",""),IF(M266="Unknown","Missing Ship Mode",""),IF(P266&lt;0,"Negative Discount",""),IF(P266&gt;0.7,"High Discount",""),IF(C266&lt;B266,"Ship Before Order",""))</f>
        <v>Ship Before Order</v>
      </c>
      <c r="Z266" s="2">
        <f>IFERROR(
  IF(ISNUMBER(B266),B266,
    IF(ISNUMBER(SEARCH("-",B266)*1),
      IF(LEN(LEFT(B266,FIND("-",B266)-1))=4,
        DATE(VALUE(LEFT(B266,4)),VALUE(MID(B266,6,2)),VALUE(RIGHT(B266,2))),
        DATE(VALUE(RIGHT(B266,4)),VALUE(MID(B266,4,2)),VALUE(LEFT(B266,2)))
      ),
      IF(ISNUMBER(SEARCH("/",B266)*1),
        DATE(VALUE(RIGHT(B266,4)),VALUE(LEFT(B266,2)),VALUE(MID(B266,4,2))),
        DATEVALUE(B266)
      )
    )
  ),
"INVALID_DATE")</f>
        <v>45428</v>
      </c>
      <c r="AA266" s="2">
        <f>IFERROR(
  IF(ISNUMBER(C266),C266,
    IF(ISNUMBER(SEARCH("-",C266)*1),
      IF(LEN(LEFT(C266,FIND("-",C266)-1))=4,
        DATE(VALUE(LEFT(C266,4)),VALUE(MID(C266,6,2)),VALUE(RIGHT(C266,2))),
        DATE(VALUE(RIGHT(C266,4)),VALUE(MID(C266,4,2)),VALUE(LEFT(C266,2)))
      ),
      IF(ISNUMBER(SEARCH("/",C266)*1),
        DATE(VALUE(RIGHT(C266,4)),VALUE(LEFT(C266,2)),VALUE(MID(C266,4,2))),
        DATEVALUE(C266)
      )
    )
  ),
"INVALID_DATE")</f>
        <v>45433</v>
      </c>
      <c r="AB266">
        <f>AA266-Z266</f>
        <v>5</v>
      </c>
      <c r="AC266" t="str">
        <f>TEXT(Z266,"mmmm")</f>
        <v>May</v>
      </c>
      <c r="AD266">
        <f>YEAR(Z266)</f>
        <v>2024</v>
      </c>
      <c r="AE266" t="str">
        <f t="shared" si="14"/>
        <v>OK</v>
      </c>
    </row>
    <row r="267" spans="1:31">
      <c r="A267" t="s">
        <v>1387</v>
      </c>
      <c r="B267" t="s">
        <v>1388</v>
      </c>
      <c r="C267" t="s">
        <v>919</v>
      </c>
      <c r="D267" t="s">
        <v>1389</v>
      </c>
      <c r="E267" t="s">
        <v>149</v>
      </c>
      <c r="F267" t="s">
        <v>115</v>
      </c>
      <c r="G267" t="s">
        <v>49</v>
      </c>
      <c r="H267" t="s">
        <v>193</v>
      </c>
      <c r="I267" t="s">
        <v>194</v>
      </c>
      <c r="J267" t="s">
        <v>52</v>
      </c>
      <c r="K267" t="s">
        <v>211</v>
      </c>
      <c r="L267" t="s">
        <v>1390</v>
      </c>
      <c r="M267" t="s">
        <v>55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131</v>
      </c>
      <c r="U267" t="s">
        <v>85</v>
      </c>
      <c r="V267">
        <f>O267*(1-P267)*N267</f>
        <v>495.0145</v>
      </c>
      <c r="W267">
        <f t="shared" si="12"/>
        <v>209.8845</v>
      </c>
      <c r="X267">
        <f t="shared" si="13"/>
        <v>0.42399143451647442</v>
      </c>
      <c r="Y267" t="str">
        <f>_xlfn.TEXTJOIN(", ",TRUE,IF(G267="Unknown","Missing Region",""),IF(M267="Unknown","Missing Ship Mode",""),IF(P267&lt;0,"Negative Discount",""),IF(P267&gt;0.7,"High Discount",""),IF(C267&lt;B267,"Ship Before Order",""))</f>
        <v>Ship Before Order</v>
      </c>
      <c r="Z267" s="2">
        <f>IFERROR(
  IF(ISNUMBER(B267),B267,
    IF(ISNUMBER(SEARCH("-",B267)*1),
      IF(LEN(LEFT(B267,FIND("-",B267)-1))=4,
        DATE(VALUE(LEFT(B267,4)),VALUE(MID(B267,6,2)),VALUE(RIGHT(B267,2))),
        DATE(VALUE(RIGHT(B267,4)),VALUE(MID(B267,4,2)),VALUE(LEFT(B267,2)))
      ),
      IF(ISNUMBER(SEARCH("/",B267)*1),
        DATE(VALUE(RIGHT(B267,4)),VALUE(LEFT(B267,2)),VALUE(MID(B267,4,2))),
        DATEVALUE(B267)
      )
    )
  ),
"INVALID_DATE")</f>
        <v>45610</v>
      </c>
      <c r="AA267" s="2">
        <f>IFERROR(
  IF(ISNUMBER(C267),C267,
    IF(ISNUMBER(SEARCH("-",C267)*1),
      IF(LEN(LEFT(C267,FIND("-",C267)-1))=4,
        DATE(VALUE(LEFT(C267,4)),VALUE(MID(C267,6,2)),VALUE(RIGHT(C267,2))),
        DATE(VALUE(RIGHT(C267,4)),VALUE(MID(C267,4,2)),VALUE(LEFT(C267,2)))
      ),
      IF(ISNUMBER(SEARCH("/",C267)*1),
        DATE(VALUE(RIGHT(C267,4)),VALUE(LEFT(C267,2)),VALUE(MID(C267,4,2))),
        DATEVALUE(C267)
      )
    )
  ),
"INVALID_DATE")</f>
        <v>45618</v>
      </c>
      <c r="AB267">
        <f>AA267-Z267</f>
        <v>8</v>
      </c>
      <c r="AC267" t="str">
        <f>TEXT(Z267,"mmmm")</f>
        <v>November</v>
      </c>
      <c r="AD267">
        <f>YEAR(Z267)</f>
        <v>2024</v>
      </c>
      <c r="AE267" t="str">
        <f t="shared" si="14"/>
        <v>OK</v>
      </c>
    </row>
    <row r="268" spans="1:31">
      <c r="A268" t="s">
        <v>1391</v>
      </c>
      <c r="B268" t="s">
        <v>1392</v>
      </c>
      <c r="C268" t="s">
        <v>1393</v>
      </c>
      <c r="D268" t="s">
        <v>1394</v>
      </c>
      <c r="E268" t="s">
        <v>100</v>
      </c>
      <c r="F268" t="s">
        <v>122</v>
      </c>
      <c r="G268" t="s">
        <v>80</v>
      </c>
      <c r="H268" t="s">
        <v>81</v>
      </c>
      <c r="I268" t="s">
        <v>82</v>
      </c>
      <c r="J268" t="s">
        <v>37</v>
      </c>
      <c r="K268" t="s">
        <v>163</v>
      </c>
      <c r="L268" t="s">
        <v>1395</v>
      </c>
      <c r="M268" t="s">
        <v>40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41</v>
      </c>
      <c r="U268" t="s">
        <v>42</v>
      </c>
      <c r="V268">
        <f>O268*(1-P268)*N268</f>
        <v>13017.72</v>
      </c>
      <c r="W268">
        <f t="shared" si="12"/>
        <v>2847.1499999999996</v>
      </c>
      <c r="X268">
        <f t="shared" si="13"/>
        <v>0.21871341525244054</v>
      </c>
      <c r="Y268" t="s">
        <v>4120</v>
      </c>
      <c r="Z268" s="2">
        <f>IFERROR(
  IF(ISNUMBER(B268),B268,
    IF(ISNUMBER(SEARCH("-",B268)*1),
      IF(LEN(LEFT(B268,FIND("-",B268)-1))=4,
        DATE(VALUE(LEFT(B268,4)),VALUE(MID(B268,6,2)),VALUE(RIGHT(B268,2))),
        DATE(VALUE(RIGHT(B268,4)),VALUE(MID(B268,4,2)),VALUE(LEFT(B268,2)))
      ),
      IF(ISNUMBER(SEARCH("/",B268)*1),
        DATE(VALUE(RIGHT(B268,4)),VALUE(LEFT(B268,2)),VALUE(MID(B268,4,2))),
        DATEVALUE(B268)
      )
    )
  ),
"INVALID_DATE")</f>
        <v>45780</v>
      </c>
      <c r="AA268" s="2">
        <f>IFERROR(
  IF(ISNUMBER(C268),C268,
    IF(ISNUMBER(SEARCH("-",C268)*1),
      IF(LEN(LEFT(C268,FIND("-",C268)-1))=4,
        DATE(VALUE(LEFT(C268,4)),VALUE(MID(C268,6,2)),VALUE(RIGHT(C268,2))),
        DATE(VALUE(RIGHT(C268,4)),VALUE(MID(C268,4,2)),VALUE(LEFT(C268,2)))
      ),
      IF(ISNUMBER(SEARCH("/",C268)*1),
        DATE(VALUE(RIGHT(C268,4)),VALUE(LEFT(C268,2)),VALUE(MID(C268,4,2))),
        DATEVALUE(C268)
      )
    )
  ),
"INVALID_DATE")</f>
        <v>45787</v>
      </c>
      <c r="AB268">
        <f>AA268-Z268</f>
        <v>7</v>
      </c>
      <c r="AC268" t="str">
        <f>TEXT(Z268,"mmmm")</f>
        <v>May</v>
      </c>
      <c r="AD268">
        <f>YEAR(Z268)</f>
        <v>2025</v>
      </c>
      <c r="AE268" t="str">
        <f t="shared" si="14"/>
        <v>OK</v>
      </c>
    </row>
    <row r="269" spans="1:31">
      <c r="A269" t="s">
        <v>1396</v>
      </c>
      <c r="B269" t="s">
        <v>1026</v>
      </c>
      <c r="C269" t="s">
        <v>1397</v>
      </c>
      <c r="D269" t="s">
        <v>1398</v>
      </c>
      <c r="E269" t="s">
        <v>217</v>
      </c>
      <c r="F269" t="s">
        <v>115</v>
      </c>
      <c r="G269" t="s">
        <v>49</v>
      </c>
      <c r="H269" t="s">
        <v>319</v>
      </c>
      <c r="I269" t="s">
        <v>320</v>
      </c>
      <c r="J269" t="s">
        <v>52</v>
      </c>
      <c r="K269" t="s">
        <v>72</v>
      </c>
      <c r="L269" t="s">
        <v>1399</v>
      </c>
      <c r="M269" t="s">
        <v>63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41</v>
      </c>
      <c r="U269" t="s">
        <v>42</v>
      </c>
      <c r="V269">
        <f>O269*(1-P269)*N269</f>
        <v>785.40000000000009</v>
      </c>
      <c r="W269">
        <f t="shared" si="12"/>
        <v>228.18000000000006</v>
      </c>
      <c r="X269">
        <f t="shared" si="13"/>
        <v>0.29052711993888464</v>
      </c>
      <c r="Y269" t="str">
        <f>_xlfn.TEXTJOIN(", ",TRUE,IF(G269="Unknown","Missing Region",""),IF(M269="Unknown","Missing Ship Mode",""),IF(P269&lt;0,"Negative Discount",""),IF(P269&gt;0.7,"High Discount",""),IF(C269&lt;B269,"Ship Before Order",""))</f>
        <v>Ship Before Order</v>
      </c>
      <c r="Z269" s="2">
        <f>IFERROR(
  IF(ISNUMBER(B269),B269,
    IF(ISNUMBER(SEARCH("-",B269)*1),
      IF(LEN(LEFT(B269,FIND("-",B269)-1))=4,
        DATE(VALUE(LEFT(B269,4)),VALUE(MID(B269,6,2)),VALUE(RIGHT(B269,2))),
        DATE(VALUE(RIGHT(B269,4)),VALUE(MID(B269,4,2)),VALUE(LEFT(B269,2)))
      ),
      IF(ISNUMBER(SEARCH("/",B269)*1),
        DATE(VALUE(RIGHT(B269,4)),VALUE(LEFT(B269,2)),VALUE(MID(B269,4,2))),
        DATEVALUE(B269)
      )
    )
  ),
"INVALID_DATE")</f>
        <v>45805</v>
      </c>
      <c r="AA269" s="2">
        <f>IFERROR(
  IF(ISNUMBER(C269),C269,
    IF(ISNUMBER(SEARCH("-",C269)*1),
      IF(LEN(LEFT(C269,FIND("-",C269)-1))=4,
        DATE(VALUE(LEFT(C269,4)),VALUE(MID(C269,6,2)),VALUE(RIGHT(C269,2))),
        DATE(VALUE(RIGHT(C269,4)),VALUE(MID(C269,4,2)),VALUE(LEFT(C269,2)))
      ),
      IF(ISNUMBER(SEARCH("/",C269)*1),
        DATE(VALUE(RIGHT(C269,4)),VALUE(LEFT(C269,2)),VALUE(MID(C269,4,2))),
        DATEVALUE(C269)
      )
    )
  ),
"INVALID_DATE")</f>
        <v>45812</v>
      </c>
      <c r="AB269">
        <f>AA269-Z269</f>
        <v>7</v>
      </c>
      <c r="AC269" t="str">
        <f>TEXT(Z269,"mmmm")</f>
        <v>May</v>
      </c>
      <c r="AD269">
        <f>YEAR(Z269)</f>
        <v>2025</v>
      </c>
      <c r="AE269" t="str">
        <f t="shared" si="14"/>
        <v>OK</v>
      </c>
    </row>
    <row r="270" spans="1:31">
      <c r="A270" t="s">
        <v>1400</v>
      </c>
      <c r="B270" t="s">
        <v>1401</v>
      </c>
      <c r="C270" t="s">
        <v>1401</v>
      </c>
      <c r="D270" t="s">
        <v>1402</v>
      </c>
      <c r="E270" t="s">
        <v>169</v>
      </c>
      <c r="F270" t="s">
        <v>122</v>
      </c>
      <c r="G270" t="s">
        <v>34</v>
      </c>
      <c r="H270" t="s">
        <v>161</v>
      </c>
      <c r="I270" t="s">
        <v>162</v>
      </c>
      <c r="J270" t="s">
        <v>93</v>
      </c>
      <c r="K270" t="s">
        <v>94</v>
      </c>
      <c r="L270" t="s">
        <v>1403</v>
      </c>
      <c r="M270" t="s">
        <v>63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41</v>
      </c>
      <c r="U270" t="s">
        <v>42</v>
      </c>
      <c r="V270">
        <f>O270*(1-P270)*N270</f>
        <v>3319.05</v>
      </c>
      <c r="W270">
        <f t="shared" si="12"/>
        <v>1194.4500000000003</v>
      </c>
      <c r="X270">
        <f t="shared" si="13"/>
        <v>0.35987707325891444</v>
      </c>
      <c r="Y270" t="s">
        <v>4120</v>
      </c>
      <c r="Z270" s="2">
        <f>IFERROR(
  IF(ISNUMBER(B270),B270,
    IF(ISNUMBER(SEARCH("-",B270)*1),
      IF(LEN(LEFT(B270,FIND("-",B270)-1))=4,
        DATE(VALUE(LEFT(B270,4)),VALUE(MID(B270,6,2)),VALUE(RIGHT(B270,2))),
        DATE(VALUE(RIGHT(B270,4)),VALUE(MID(B270,4,2)),VALUE(LEFT(B270,2)))
      ),
      IF(ISNUMBER(SEARCH("/",B270)*1),
        DATE(VALUE(RIGHT(B270,4)),VALUE(LEFT(B270,2)),VALUE(MID(B270,4,2))),
        DATEVALUE(B270)
      )
    )
  ),
"INVALID_DATE")</f>
        <v>45886</v>
      </c>
      <c r="AA270" s="2">
        <f>IFERROR(
  IF(ISNUMBER(C270),C270,
    IF(ISNUMBER(SEARCH("-",C270)*1),
      IF(LEN(LEFT(C270,FIND("-",C270)-1))=4,
        DATE(VALUE(LEFT(C270,4)),VALUE(MID(C270,6,2)),VALUE(RIGHT(C270,2))),
        DATE(VALUE(RIGHT(C270,4)),VALUE(MID(C270,4,2)),VALUE(LEFT(C270,2)))
      ),
      IF(ISNUMBER(SEARCH("/",C270)*1),
        DATE(VALUE(RIGHT(C270,4)),VALUE(LEFT(C270,2)),VALUE(MID(C270,4,2))),
        DATEVALUE(C270)
      )
    )
  ),
"INVALID_DATE")</f>
        <v>45886</v>
      </c>
      <c r="AB270">
        <f>AA270-Z270</f>
        <v>0</v>
      </c>
      <c r="AC270" t="str">
        <f>TEXT(Z270,"mmmm")</f>
        <v>August</v>
      </c>
      <c r="AD270">
        <f>YEAR(Z270)</f>
        <v>2025</v>
      </c>
      <c r="AE270" t="str">
        <f t="shared" si="14"/>
        <v>OK</v>
      </c>
    </row>
    <row r="271" spans="1:31">
      <c r="A271" t="s">
        <v>1404</v>
      </c>
      <c r="B271" t="s">
        <v>1343</v>
      </c>
      <c r="C271" t="s">
        <v>1405</v>
      </c>
      <c r="D271" t="s">
        <v>1406</v>
      </c>
      <c r="E271" t="s">
        <v>155</v>
      </c>
      <c r="F271" t="s">
        <v>48</v>
      </c>
      <c r="G271" t="s">
        <v>80</v>
      </c>
      <c r="H271" t="s">
        <v>35</v>
      </c>
      <c r="I271" t="s">
        <v>142</v>
      </c>
      <c r="J271" t="s">
        <v>52</v>
      </c>
      <c r="K271" t="s">
        <v>53</v>
      </c>
      <c r="L271" t="s">
        <v>1407</v>
      </c>
      <c r="M271" t="s">
        <v>55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41</v>
      </c>
      <c r="U271" t="s">
        <v>42</v>
      </c>
      <c r="V271">
        <f>O271*(1-P271)*N271</f>
        <v>1925.86</v>
      </c>
      <c r="W271">
        <f t="shared" si="12"/>
        <v>603.9699999999998</v>
      </c>
      <c r="X271">
        <f t="shared" si="13"/>
        <v>0.3136105428224274</v>
      </c>
      <c r="Y271" t="s">
        <v>4120</v>
      </c>
      <c r="Z271" s="2">
        <f>IFERROR(
  IF(ISNUMBER(B271),B271,
    IF(ISNUMBER(SEARCH("-",B271)*1),
      IF(LEN(LEFT(B271,FIND("-",B271)-1))=4,
        DATE(VALUE(LEFT(B271,4)),VALUE(MID(B271,6,2)),VALUE(RIGHT(B271,2))),
        DATE(VALUE(RIGHT(B271,4)),VALUE(MID(B271,4,2)),VALUE(LEFT(B271,2)))
      ),
      IF(ISNUMBER(SEARCH("/",B271)*1),
        DATE(VALUE(RIGHT(B271,4)),VALUE(LEFT(B271,2)),VALUE(MID(B271,4,2))),
        DATEVALUE(B271)
      )
    )
  ),
"INVALID_DATE")</f>
        <v>45698</v>
      </c>
      <c r="AA271" s="2">
        <f>IFERROR(
  IF(ISNUMBER(C271),C271,
    IF(ISNUMBER(SEARCH("-",C271)*1),
      IF(LEN(LEFT(C271,FIND("-",C271)-1))=4,
        DATE(VALUE(LEFT(C271,4)),VALUE(MID(C271,6,2)),VALUE(RIGHT(C271,2))),
        DATE(VALUE(RIGHT(C271,4)),VALUE(MID(C271,4,2)),VALUE(LEFT(C271,2)))
      ),
      IF(ISNUMBER(SEARCH("/",C271)*1),
        DATE(VALUE(RIGHT(C271,4)),VALUE(LEFT(C271,2)),VALUE(MID(C271,4,2))),
        DATEVALUE(C271)
      )
    )
  ),
"INVALID_DATE")</f>
        <v>45700</v>
      </c>
      <c r="AB271">
        <f>AA271-Z271</f>
        <v>2</v>
      </c>
      <c r="AC271" t="str">
        <f>TEXT(Z271,"mmmm")</f>
        <v>February</v>
      </c>
      <c r="AD271">
        <f>YEAR(Z271)</f>
        <v>2025</v>
      </c>
      <c r="AE271" t="str">
        <f t="shared" si="14"/>
        <v>OK</v>
      </c>
    </row>
    <row r="272" spans="1:31">
      <c r="A272" t="s">
        <v>1408</v>
      </c>
      <c r="B272" t="s">
        <v>1266</v>
      </c>
      <c r="C272" t="s">
        <v>571</v>
      </c>
      <c r="D272" t="s">
        <v>1409</v>
      </c>
      <c r="E272" t="s">
        <v>114</v>
      </c>
      <c r="F272" t="s">
        <v>115</v>
      </c>
      <c r="G272" t="s">
        <v>34</v>
      </c>
      <c r="H272" t="s">
        <v>181</v>
      </c>
      <c r="I272" t="s">
        <v>182</v>
      </c>
      <c r="J272" t="s">
        <v>93</v>
      </c>
      <c r="K272" t="s">
        <v>390</v>
      </c>
      <c r="L272" t="s">
        <v>1410</v>
      </c>
      <c r="M272" t="s">
        <v>55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41</v>
      </c>
      <c r="U272" t="s">
        <v>42</v>
      </c>
      <c r="V272">
        <f>O272*(1-P272)*N272</f>
        <v>2482.3200000000002</v>
      </c>
      <c r="W272">
        <f t="shared" si="12"/>
        <v>962.11000000000013</v>
      </c>
      <c r="X272">
        <f t="shared" si="13"/>
        <v>0.38758500112797706</v>
      </c>
      <c r="Y272" t="s">
        <v>4120</v>
      </c>
      <c r="Z272" s="2">
        <f>IFERROR(
  IF(ISNUMBER(B272),B272,
    IF(ISNUMBER(SEARCH("-",B272)*1),
      IF(LEN(LEFT(B272,FIND("-",B272)-1))=4,
        DATE(VALUE(LEFT(B272,4)),VALUE(MID(B272,6,2)),VALUE(RIGHT(B272,2))),
        DATE(VALUE(RIGHT(B272,4)),VALUE(MID(B272,4,2)),VALUE(LEFT(B272,2)))
      ),
      IF(ISNUMBER(SEARCH("/",B272)*1),
        DATE(VALUE(RIGHT(B272,4)),VALUE(LEFT(B272,2)),VALUE(MID(B272,4,2))),
        DATEVALUE(B272)
      )
    )
  ),
"INVALID_DATE")</f>
        <v>45303</v>
      </c>
      <c r="AA272" s="2">
        <f>IFERROR(
  IF(ISNUMBER(C272),C272,
    IF(ISNUMBER(SEARCH("-",C272)*1),
      IF(LEN(LEFT(C272,FIND("-",C272)-1))=4,
        DATE(VALUE(LEFT(C272,4)),VALUE(MID(C272,6,2)),VALUE(RIGHT(C272,2))),
        DATE(VALUE(RIGHT(C272,4)),VALUE(MID(C272,4,2)),VALUE(LEFT(C272,2)))
      ),
      IF(ISNUMBER(SEARCH("/",C272)*1),
        DATE(VALUE(RIGHT(C272,4)),VALUE(LEFT(C272,2)),VALUE(MID(C272,4,2))),
        DATEVALUE(C272)
      )
    )
  ),
"INVALID_DATE")</f>
        <v>45304</v>
      </c>
      <c r="AB272">
        <f>AA272-Z272</f>
        <v>1</v>
      </c>
      <c r="AC272" t="str">
        <f>TEXT(Z272,"mmmm")</f>
        <v>January</v>
      </c>
      <c r="AD272">
        <f>YEAR(Z272)</f>
        <v>2024</v>
      </c>
      <c r="AE272" t="str">
        <f t="shared" si="14"/>
        <v>OK</v>
      </c>
    </row>
    <row r="273" spans="1:31">
      <c r="A273" t="s">
        <v>1411</v>
      </c>
      <c r="B273" t="s">
        <v>1412</v>
      </c>
      <c r="C273" t="s">
        <v>1413</v>
      </c>
      <c r="D273" t="s">
        <v>1414</v>
      </c>
      <c r="E273" t="s">
        <v>114</v>
      </c>
      <c r="F273" t="s">
        <v>33</v>
      </c>
      <c r="G273" t="s">
        <v>69</v>
      </c>
      <c r="H273" t="s">
        <v>70</v>
      </c>
      <c r="I273" t="s">
        <v>71</v>
      </c>
      <c r="J273" t="s">
        <v>37</v>
      </c>
      <c r="K273" t="s">
        <v>205</v>
      </c>
      <c r="L273" t="s">
        <v>1415</v>
      </c>
      <c r="M273" t="s">
        <v>74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207</v>
      </c>
      <c r="U273" t="s">
        <v>85</v>
      </c>
      <c r="V273">
        <f>O273*(1-P273)*N273</f>
        <v>11674.25</v>
      </c>
      <c r="W273">
        <f t="shared" si="12"/>
        <v>2053.0599999999995</v>
      </c>
      <c r="X273">
        <f t="shared" si="13"/>
        <v>0.17586226095894811</v>
      </c>
      <c r="Y273" t="s">
        <v>4120</v>
      </c>
      <c r="Z273" s="2">
        <f>IFERROR(
  IF(ISNUMBER(B273),B273,
    IF(ISNUMBER(SEARCH("-",B273)*1),
      IF(LEN(LEFT(B273,FIND("-",B273)-1))=4,
        DATE(VALUE(LEFT(B273,4)),VALUE(MID(B273,6,2)),VALUE(RIGHT(B273,2))),
        DATE(VALUE(RIGHT(B273,4)),VALUE(MID(B273,4,2)),VALUE(LEFT(B273,2)))
      ),
      IF(ISNUMBER(SEARCH("/",B273)*1),
        DATE(VALUE(RIGHT(B273,4)),VALUE(LEFT(B273,2)),VALUE(MID(B273,4,2))),
        DATEVALUE(B273)
      )
    )
  ),
"INVALID_DATE")</f>
        <v>45647</v>
      </c>
      <c r="AA273" s="2">
        <f>IFERROR(
  IF(ISNUMBER(C273),C273,
    IF(ISNUMBER(SEARCH("-",C273)*1),
      IF(LEN(LEFT(C273,FIND("-",C273)-1))=4,
        DATE(VALUE(LEFT(C273,4)),VALUE(MID(C273,6,2)),VALUE(RIGHT(C273,2))),
        DATE(VALUE(RIGHT(C273,4)),VALUE(MID(C273,4,2)),VALUE(LEFT(C273,2)))
      ),
      IF(ISNUMBER(SEARCH("/",C273)*1),
        DATE(VALUE(RIGHT(C273,4)),VALUE(LEFT(C273,2)),VALUE(MID(C273,4,2))),
        DATEVALUE(C273)
      )
    )
  ),
"INVALID_DATE")</f>
        <v>45651</v>
      </c>
      <c r="AB273">
        <f>AA273-Z273</f>
        <v>4</v>
      </c>
      <c r="AC273" t="str">
        <f>TEXT(Z273,"mmmm")</f>
        <v>December</v>
      </c>
      <c r="AD273">
        <f>YEAR(Z273)</f>
        <v>2024</v>
      </c>
      <c r="AE273" t="str">
        <f t="shared" si="14"/>
        <v>OK</v>
      </c>
    </row>
    <row r="274" spans="1:31">
      <c r="A274" t="s">
        <v>1416</v>
      </c>
      <c r="B274" t="s">
        <v>1417</v>
      </c>
      <c r="C274" t="s">
        <v>1418</v>
      </c>
      <c r="D274" t="s">
        <v>1419</v>
      </c>
      <c r="E274" t="s">
        <v>68</v>
      </c>
      <c r="F274" t="s">
        <v>33</v>
      </c>
      <c r="G274" t="s">
        <v>69</v>
      </c>
      <c r="H274" t="s">
        <v>107</v>
      </c>
      <c r="I274" t="s">
        <v>108</v>
      </c>
      <c r="J274" t="s">
        <v>52</v>
      </c>
      <c r="K274" t="s">
        <v>83</v>
      </c>
      <c r="L274" t="s">
        <v>1420</v>
      </c>
      <c r="M274" t="s">
        <v>63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41</v>
      </c>
      <c r="U274" t="s">
        <v>42</v>
      </c>
      <c r="V274">
        <f>O274*(1-P274)*N274</f>
        <v>3510.4230000000002</v>
      </c>
      <c r="W274">
        <f t="shared" si="12"/>
        <v>1318.9230000000002</v>
      </c>
      <c r="X274">
        <f t="shared" si="13"/>
        <v>0.34567943436967657</v>
      </c>
      <c r="Y274" t="s">
        <v>4120</v>
      </c>
      <c r="Z274" s="2">
        <f>IFERROR(
  IF(ISNUMBER(B274),B274,
    IF(ISNUMBER(SEARCH("-",B274)*1),
      IF(LEN(LEFT(B274,FIND("-",B274)-1))=4,
        DATE(VALUE(LEFT(B274,4)),VALUE(MID(B274,6,2)),VALUE(RIGHT(B274,2))),
        DATE(VALUE(RIGHT(B274,4)),VALUE(MID(B274,4,2)),VALUE(LEFT(B274,2)))
      ),
      IF(ISNUMBER(SEARCH("/",B274)*1),
        DATE(VALUE(RIGHT(B274,4)),VALUE(LEFT(B274,2)),VALUE(MID(B274,4,2))),
        DATEVALUE(B274)
      )
    )
  ),
"INVALID_DATE")</f>
        <v>45522</v>
      </c>
      <c r="AA274" s="2">
        <f>IFERROR(
  IF(ISNUMBER(C274),C274,
    IF(ISNUMBER(SEARCH("-",C274)*1),
      IF(LEN(LEFT(C274,FIND("-",C274)-1))=4,
        DATE(VALUE(LEFT(C274,4)),VALUE(MID(C274,6,2)),VALUE(RIGHT(C274,2))),
        DATE(VALUE(RIGHT(C274,4)),VALUE(MID(C274,4,2)),VALUE(LEFT(C274,2)))
      ),
      IF(ISNUMBER(SEARCH("/",C274)*1),
        DATE(VALUE(RIGHT(C274,4)),VALUE(LEFT(C274,2)),VALUE(MID(C274,4,2))),
        DATEVALUE(C274)
      )
    )
  ),
"INVALID_DATE")</f>
        <v>45528</v>
      </c>
      <c r="AB274">
        <f>AA274-Z274</f>
        <v>6</v>
      </c>
      <c r="AC274" t="str">
        <f>TEXT(Z274,"mmmm")</f>
        <v>August</v>
      </c>
      <c r="AD274">
        <f>YEAR(Z274)</f>
        <v>2024</v>
      </c>
      <c r="AE274" t="str">
        <f t="shared" si="14"/>
        <v>OK</v>
      </c>
    </row>
    <row r="275" spans="1:31">
      <c r="A275" t="s">
        <v>1421</v>
      </c>
      <c r="B275" t="s">
        <v>1422</v>
      </c>
      <c r="C275" t="s">
        <v>1423</v>
      </c>
      <c r="D275" t="s">
        <v>1424</v>
      </c>
      <c r="E275" t="s">
        <v>60</v>
      </c>
      <c r="F275" t="s">
        <v>33</v>
      </c>
      <c r="G275" t="s">
        <v>49</v>
      </c>
      <c r="H275" t="s">
        <v>193</v>
      </c>
      <c r="I275" t="s">
        <v>194</v>
      </c>
      <c r="J275" t="s">
        <v>37</v>
      </c>
      <c r="K275" t="s">
        <v>38</v>
      </c>
      <c r="L275" t="s">
        <v>1425</v>
      </c>
      <c r="M275" t="s">
        <v>40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41</v>
      </c>
      <c r="U275" t="s">
        <v>132</v>
      </c>
      <c r="V275">
        <f>O275*(1-P275)*N275</f>
        <v>22694.670000000002</v>
      </c>
      <c r="W275">
        <f t="shared" si="12"/>
        <v>7289.3100000000013</v>
      </c>
      <c r="X275">
        <f t="shared" si="13"/>
        <v>0.32119039404406413</v>
      </c>
      <c r="Y275" t="s">
        <v>4120</v>
      </c>
      <c r="Z275" s="2">
        <f>IFERROR(
  IF(ISNUMBER(B275),B275,
    IF(ISNUMBER(SEARCH("-",B275)*1),
      IF(LEN(LEFT(B275,FIND("-",B275)-1))=4,
        DATE(VALUE(LEFT(B275,4)),VALUE(MID(B275,6,2)),VALUE(RIGHT(B275,2))),
        DATE(VALUE(RIGHT(B275,4)),VALUE(MID(B275,4,2)),VALUE(LEFT(B275,2)))
      ),
      IF(ISNUMBER(SEARCH("/",B275)*1),
        DATE(VALUE(RIGHT(B275,4)),VALUE(LEFT(B275,2)),VALUE(MID(B275,4,2))),
        DATEVALUE(B275)
      )
    )
  ),
"INVALID_DATE")</f>
        <v>45701</v>
      </c>
      <c r="AA275" s="2">
        <f>IFERROR(
  IF(ISNUMBER(C275),C275,
    IF(ISNUMBER(SEARCH("-",C275)*1),
      IF(LEN(LEFT(C275,FIND("-",C275)-1))=4,
        DATE(VALUE(LEFT(C275,4)),VALUE(MID(C275,6,2)),VALUE(RIGHT(C275,2))),
        DATE(VALUE(RIGHT(C275,4)),VALUE(MID(C275,4,2)),VALUE(LEFT(C275,2)))
      ),
      IF(ISNUMBER(SEARCH("/",C275)*1),
        DATE(VALUE(RIGHT(C275,4)),VALUE(LEFT(C275,2)),VALUE(MID(C275,4,2))),
        DATEVALUE(C275)
      )
    )
  ),
"INVALID_DATE")</f>
        <v>45701</v>
      </c>
      <c r="AB275">
        <f>AA275-Z275</f>
        <v>0</v>
      </c>
      <c r="AC275" t="str">
        <f>TEXT(Z275,"mmmm")</f>
        <v>February</v>
      </c>
      <c r="AD275">
        <f>YEAR(Z275)</f>
        <v>2025</v>
      </c>
      <c r="AE275" t="str">
        <f t="shared" si="14"/>
        <v>OK</v>
      </c>
    </row>
    <row r="276" spans="1:31">
      <c r="A276" t="s">
        <v>1426</v>
      </c>
      <c r="B276" t="s">
        <v>1427</v>
      </c>
      <c r="C276" t="s">
        <v>1428</v>
      </c>
      <c r="D276" t="s">
        <v>1429</v>
      </c>
      <c r="E276" t="s">
        <v>187</v>
      </c>
      <c r="F276" t="s">
        <v>33</v>
      </c>
      <c r="G276" t="s">
        <v>69</v>
      </c>
      <c r="H276" t="s">
        <v>249</v>
      </c>
      <c r="I276" t="s">
        <v>250</v>
      </c>
      <c r="J276" t="s">
        <v>93</v>
      </c>
      <c r="K276" t="s">
        <v>101</v>
      </c>
      <c r="L276" t="s">
        <v>1430</v>
      </c>
      <c r="M276" t="s">
        <v>74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207</v>
      </c>
      <c r="U276" t="s">
        <v>132</v>
      </c>
      <c r="V276">
        <f>O276*(1-P276)*N276</f>
        <v>21658.221000000001</v>
      </c>
      <c r="W276">
        <f t="shared" si="12"/>
        <v>6167.5310000000009</v>
      </c>
      <c r="X276">
        <f t="shared" si="13"/>
        <v>0.28476624579489906</v>
      </c>
      <c r="Y276" t="s">
        <v>4120</v>
      </c>
      <c r="Z276" s="2">
        <f>IFERROR(
  IF(ISNUMBER(B276),B276,
    IF(ISNUMBER(SEARCH("-",B276)*1),
      IF(LEN(LEFT(B276,FIND("-",B276)-1))=4,
        DATE(VALUE(LEFT(B276,4)),VALUE(MID(B276,6,2)),VALUE(RIGHT(B276,2))),
        DATE(VALUE(RIGHT(B276,4)),VALUE(MID(B276,4,2)),VALUE(LEFT(B276,2)))
      ),
      IF(ISNUMBER(SEARCH("/",B276)*1),
        DATE(VALUE(RIGHT(B276,4)),VALUE(LEFT(B276,2)),VALUE(MID(B276,4,2))),
        DATEVALUE(B276)
      )
    )
  ),
"INVALID_DATE")</f>
        <v>45389</v>
      </c>
      <c r="AA276" s="2">
        <f>IFERROR(
  IF(ISNUMBER(C276),C276,
    IF(ISNUMBER(SEARCH("-",C276)*1),
      IF(LEN(LEFT(C276,FIND("-",C276)-1))=4,
        DATE(VALUE(LEFT(C276,4)),VALUE(MID(C276,6,2)),VALUE(RIGHT(C276,2))),
        DATE(VALUE(RIGHT(C276,4)),VALUE(MID(C276,4,2)),VALUE(LEFT(C276,2)))
      ),
      IF(ISNUMBER(SEARCH("/",C276)*1),
        DATE(VALUE(RIGHT(C276,4)),VALUE(LEFT(C276,2)),VALUE(MID(C276,4,2))),
        DATEVALUE(C276)
      )
    )
  ),
"INVALID_DATE")</f>
        <v>45396</v>
      </c>
      <c r="AB276">
        <f>AA276-Z276</f>
        <v>7</v>
      </c>
      <c r="AC276" t="str">
        <f>TEXT(Z276,"mmmm")</f>
        <v>April</v>
      </c>
      <c r="AD276">
        <f>YEAR(Z276)</f>
        <v>2024</v>
      </c>
      <c r="AE276" t="str">
        <f t="shared" si="14"/>
        <v>OK</v>
      </c>
    </row>
    <row r="277" spans="1:31">
      <c r="A277" t="s">
        <v>1431</v>
      </c>
      <c r="B277" t="s">
        <v>685</v>
      </c>
      <c r="C277" t="s">
        <v>1432</v>
      </c>
      <c r="D277" t="s">
        <v>1433</v>
      </c>
      <c r="E277" t="s">
        <v>149</v>
      </c>
      <c r="F277" t="s">
        <v>48</v>
      </c>
      <c r="G277" t="s">
        <v>49</v>
      </c>
      <c r="H277" t="s">
        <v>128</v>
      </c>
      <c r="I277" t="s">
        <v>129</v>
      </c>
      <c r="J277" t="s">
        <v>52</v>
      </c>
      <c r="K277" t="s">
        <v>72</v>
      </c>
      <c r="L277" t="s">
        <v>1434</v>
      </c>
      <c r="M277" t="s">
        <v>55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41</v>
      </c>
      <c r="U277" t="s">
        <v>42</v>
      </c>
      <c r="V277">
        <f>O277*(1-P277)*N277</f>
        <v>980.51</v>
      </c>
      <c r="W277">
        <f t="shared" si="12"/>
        <v>319.59000000000003</v>
      </c>
      <c r="X277">
        <f t="shared" si="13"/>
        <v>0.32594262169687199</v>
      </c>
      <c r="Y277" t="str">
        <f>_xlfn.TEXTJOIN(", ",TRUE,IF(G277="Unknown","Missing Region",""),IF(M277="Unknown","Missing Ship Mode",""),IF(P277&lt;0,"Negative Discount",""),IF(P277&gt;0.7,"High Discount",""),IF(C277&lt;B277,"Ship Before Order",""))</f>
        <v>Ship Before Order</v>
      </c>
      <c r="Z277" s="2">
        <f>IFERROR(
  IF(ISNUMBER(B277),B277,
    IF(ISNUMBER(SEARCH("-",B277)*1),
      IF(LEN(LEFT(B277,FIND("-",B277)-1))=4,
        DATE(VALUE(LEFT(B277,4)),VALUE(MID(B277,6,2)),VALUE(RIGHT(B277,2))),
        DATE(VALUE(RIGHT(B277,4)),VALUE(MID(B277,4,2)),VALUE(LEFT(B277,2)))
      ),
      IF(ISNUMBER(SEARCH("/",B277)*1),
        DATE(VALUE(RIGHT(B277,4)),VALUE(LEFT(B277,2)),VALUE(MID(B277,4,2))),
        DATEVALUE(B277)
      )
    )
  ),
"INVALID_DATE")</f>
        <v>45337</v>
      </c>
      <c r="AA277" s="2">
        <f>IFERROR(
  IF(ISNUMBER(C277),C277,
    IF(ISNUMBER(SEARCH("-",C277)*1),
      IF(LEN(LEFT(C277,FIND("-",C277)-1))=4,
        DATE(VALUE(LEFT(C277,4)),VALUE(MID(C277,6,2)),VALUE(RIGHT(C277,2))),
        DATE(VALUE(RIGHT(C277,4)),VALUE(MID(C277,4,2)),VALUE(LEFT(C277,2)))
      ),
      IF(ISNUMBER(SEARCH("/",C277)*1),
        DATE(VALUE(RIGHT(C277,4)),VALUE(LEFT(C277,2)),VALUE(MID(C277,4,2))),
        DATEVALUE(C277)
      )
    )
  ),
"INVALID_DATE")</f>
        <v>45344</v>
      </c>
      <c r="AB277">
        <f>AA277-Z277</f>
        <v>7</v>
      </c>
      <c r="AC277" t="str">
        <f>TEXT(Z277,"mmmm")</f>
        <v>February</v>
      </c>
      <c r="AD277">
        <f>YEAR(Z277)</f>
        <v>2024</v>
      </c>
      <c r="AE277" t="str">
        <f t="shared" si="14"/>
        <v>OK</v>
      </c>
    </row>
    <row r="278" spans="1:31">
      <c r="A278" t="s">
        <v>1435</v>
      </c>
      <c r="B278" t="s">
        <v>1066</v>
      </c>
      <c r="C278" t="s">
        <v>1436</v>
      </c>
      <c r="D278" t="s">
        <v>1437</v>
      </c>
      <c r="E278" t="s">
        <v>169</v>
      </c>
      <c r="F278" t="s">
        <v>48</v>
      </c>
      <c r="G278" t="s">
        <v>279</v>
      </c>
      <c r="H278" t="s">
        <v>223</v>
      </c>
      <c r="I278" t="s">
        <v>224</v>
      </c>
      <c r="J278" t="s">
        <v>52</v>
      </c>
      <c r="K278" t="s">
        <v>83</v>
      </c>
      <c r="L278" t="s">
        <v>1438</v>
      </c>
      <c r="M278" t="s">
        <v>40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41</v>
      </c>
      <c r="U278" t="s">
        <v>42</v>
      </c>
      <c r="V278">
        <f>O278*(1-P278)*N278</f>
        <v>23198.065200000005</v>
      </c>
      <c r="W278">
        <f t="shared" si="12"/>
        <v>14784.535200000004</v>
      </c>
      <c r="X278">
        <f t="shared" si="13"/>
        <v>0.44872293012202291</v>
      </c>
      <c r="Y278" t="str">
        <f>_xlfn.TEXTJOIN(", ",TRUE,IF(G278="Unknown","Missing Region",""),IF(M278="Unknown","Missing Ship Mode",""),IF(P278&lt;0,"Negative Discount",""),IF(P278&gt;0.7,"High Discount",""),IF(C278&lt;B278,"Ship Before Order",""))</f>
        <v>Missing Region, Negative Discount</v>
      </c>
      <c r="Z278" s="2">
        <f>IFERROR(
  IF(ISNUMBER(B278),B278,
    IF(ISNUMBER(SEARCH("-",B278)*1),
      IF(LEN(LEFT(B278,FIND("-",B278)-1))=4,
        DATE(VALUE(LEFT(B278,4)),VALUE(MID(B278,6,2)),VALUE(RIGHT(B278,2))),
        DATE(VALUE(RIGHT(B278,4)),VALUE(MID(B278,4,2)),VALUE(LEFT(B278,2)))
      ),
      IF(ISNUMBER(SEARCH("/",B278)*1),
        DATE(VALUE(RIGHT(B278,4)),VALUE(LEFT(B278,2)),VALUE(MID(B278,4,2))),
        DATEVALUE(B278)
      )
    )
  ),
"INVALID_DATE")</f>
        <v>45313</v>
      </c>
      <c r="AA278" s="2">
        <f>IFERROR(
  IF(ISNUMBER(C278),C278,
    IF(ISNUMBER(SEARCH("-",C278)*1),
      IF(LEN(LEFT(C278,FIND("-",C278)-1))=4,
        DATE(VALUE(LEFT(C278,4)),VALUE(MID(C278,6,2)),VALUE(RIGHT(C278,2))),
        DATE(VALUE(RIGHT(C278,4)),VALUE(MID(C278,4,2)),VALUE(LEFT(C278,2)))
      ),
      IF(ISNUMBER(SEARCH("/",C278)*1),
        DATE(VALUE(RIGHT(C278,4)),VALUE(LEFT(C278,2)),VALUE(MID(C278,4,2))),
        DATEVALUE(C278)
      )
    )
  ),
"INVALID_DATE")</f>
        <v>45314</v>
      </c>
      <c r="AB278">
        <f>AA278-Z278</f>
        <v>1</v>
      </c>
      <c r="AC278" t="str">
        <f>TEXT(Z278,"mmmm")</f>
        <v>January</v>
      </c>
      <c r="AD278">
        <f>YEAR(Z278)</f>
        <v>2024</v>
      </c>
      <c r="AE278" t="str">
        <f t="shared" si="14"/>
        <v>OK</v>
      </c>
    </row>
    <row r="279" spans="1:31">
      <c r="A279" t="s">
        <v>1439</v>
      </c>
      <c r="B279" t="s">
        <v>1440</v>
      </c>
      <c r="C279" t="s">
        <v>1440</v>
      </c>
      <c r="D279" t="s">
        <v>1214</v>
      </c>
      <c r="E279" t="s">
        <v>60</v>
      </c>
      <c r="F279" t="s">
        <v>115</v>
      </c>
      <c r="G279" t="s">
        <v>34</v>
      </c>
      <c r="H279" t="s">
        <v>331</v>
      </c>
      <c r="I279" t="s">
        <v>332</v>
      </c>
      <c r="J279" t="s">
        <v>93</v>
      </c>
      <c r="K279" t="s">
        <v>94</v>
      </c>
      <c r="L279" t="s">
        <v>1441</v>
      </c>
      <c r="M279" t="s">
        <v>40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144</v>
      </c>
      <c r="U279" t="s">
        <v>85</v>
      </c>
      <c r="V279">
        <f>O279*(1-P279)*N279</f>
        <v>1813.6704999999999</v>
      </c>
      <c r="W279">
        <f t="shared" si="12"/>
        <v>811.1004999999999</v>
      </c>
      <c r="X279">
        <f t="shared" si="13"/>
        <v>0.40385582481490145</v>
      </c>
      <c r="Y279" t="s">
        <v>4120</v>
      </c>
      <c r="Z279" s="2">
        <f>IFERROR(
  IF(ISNUMBER(B279),B279,
    IF(ISNUMBER(SEARCH("-",B279)*1),
      IF(LEN(LEFT(B279,FIND("-",B279)-1))=4,
        DATE(VALUE(LEFT(B279,4)),VALUE(MID(B279,6,2)),VALUE(RIGHT(B279,2))),
        DATE(VALUE(RIGHT(B279,4)),VALUE(MID(B279,4,2)),VALUE(LEFT(B279,2)))
      ),
      IF(ISNUMBER(SEARCH("/",B279)*1),
        DATE(VALUE(RIGHT(B279,4)),VALUE(LEFT(B279,2)),VALUE(MID(B279,4,2))),
        DATEVALUE(B279)
      )
    )
  ),
"INVALID_DATE")</f>
        <v>45812</v>
      </c>
      <c r="AA279" s="2">
        <f>IFERROR(
  IF(ISNUMBER(C279),C279,
    IF(ISNUMBER(SEARCH("-",C279)*1),
      IF(LEN(LEFT(C279,FIND("-",C279)-1))=4,
        DATE(VALUE(LEFT(C279,4)),VALUE(MID(C279,6,2)),VALUE(RIGHT(C279,2))),
        DATE(VALUE(RIGHT(C279,4)),VALUE(MID(C279,4,2)),VALUE(LEFT(C279,2)))
      ),
      IF(ISNUMBER(SEARCH("/",C279)*1),
        DATE(VALUE(RIGHT(C279,4)),VALUE(LEFT(C279,2)),VALUE(MID(C279,4,2))),
        DATEVALUE(C279)
      )
    )
  ),
"INVALID_DATE")</f>
        <v>45812</v>
      </c>
      <c r="AB279">
        <f>AA279-Z279</f>
        <v>0</v>
      </c>
      <c r="AC279" t="str">
        <f>TEXT(Z279,"mmmm")</f>
        <v>June</v>
      </c>
      <c r="AD279">
        <f>YEAR(Z279)</f>
        <v>2025</v>
      </c>
      <c r="AE279" t="str">
        <f t="shared" si="14"/>
        <v>OK</v>
      </c>
    </row>
    <row r="280" spans="1:31">
      <c r="A280" t="s">
        <v>1442</v>
      </c>
      <c r="B280" t="s">
        <v>795</v>
      </c>
      <c r="C280" t="s">
        <v>1443</v>
      </c>
      <c r="D280" t="s">
        <v>1444</v>
      </c>
      <c r="E280" t="s">
        <v>149</v>
      </c>
      <c r="F280" t="s">
        <v>48</v>
      </c>
      <c r="G280" t="s">
        <v>34</v>
      </c>
      <c r="H280" t="s">
        <v>514</v>
      </c>
      <c r="I280" t="s">
        <v>515</v>
      </c>
      <c r="J280" t="s">
        <v>93</v>
      </c>
      <c r="K280" t="s">
        <v>94</v>
      </c>
      <c r="L280" t="s">
        <v>1445</v>
      </c>
      <c r="M280" t="s">
        <v>55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41</v>
      </c>
      <c r="U280" t="s">
        <v>132</v>
      </c>
      <c r="V280">
        <f>O280*(1-P280)*N280</f>
        <v>3780.6579999999999</v>
      </c>
      <c r="W280">
        <f t="shared" si="12"/>
        <v>1632.348</v>
      </c>
      <c r="X280">
        <f t="shared" si="13"/>
        <v>0.43176323710674858</v>
      </c>
      <c r="Y280" t="s">
        <v>4120</v>
      </c>
      <c r="Z280" s="2">
        <f>IFERROR(
  IF(ISNUMBER(B280),B280,
    IF(ISNUMBER(SEARCH("-",B280)*1),
      IF(LEN(LEFT(B280,FIND("-",B280)-1))=4,
        DATE(VALUE(LEFT(B280,4)),VALUE(MID(B280,6,2)),VALUE(RIGHT(B280,2))),
        DATE(VALUE(RIGHT(B280,4)),VALUE(MID(B280,4,2)),VALUE(LEFT(B280,2)))
      ),
      IF(ISNUMBER(SEARCH("/",B280)*1),
        DATE(VALUE(RIGHT(B280,4)),VALUE(LEFT(B280,2)),VALUE(MID(B280,4,2))),
        DATEVALUE(B280)
      )
    )
  ),
"INVALID_DATE")</f>
        <v>45723</v>
      </c>
      <c r="AA280" s="2">
        <f>IFERROR(
  IF(ISNUMBER(C280),C280,
    IF(ISNUMBER(SEARCH("-",C280)*1),
      IF(LEN(LEFT(C280,FIND("-",C280)-1))=4,
        DATE(VALUE(LEFT(C280,4)),VALUE(MID(C280,6,2)),VALUE(RIGHT(C280,2))),
        DATE(VALUE(RIGHT(C280,4)),VALUE(MID(C280,4,2)),VALUE(LEFT(C280,2)))
      ),
      IF(ISNUMBER(SEARCH("/",C280)*1),
        DATE(VALUE(RIGHT(C280,4)),VALUE(LEFT(C280,2)),VALUE(MID(C280,4,2))),
        DATEVALUE(C280)
      )
    )
  ),
"INVALID_DATE")</f>
        <v>45730</v>
      </c>
      <c r="AB280">
        <f>AA280-Z280</f>
        <v>7</v>
      </c>
      <c r="AC280" t="str">
        <f>TEXT(Z280,"mmmm")</f>
        <v>March</v>
      </c>
      <c r="AD280">
        <f>YEAR(Z280)</f>
        <v>2025</v>
      </c>
      <c r="AE280" t="str">
        <f t="shared" si="14"/>
        <v>OK</v>
      </c>
    </row>
    <row r="281" spans="1:31">
      <c r="A281" t="s">
        <v>1446</v>
      </c>
      <c r="B281" t="s">
        <v>1447</v>
      </c>
      <c r="C281" t="s">
        <v>1448</v>
      </c>
      <c r="D281" t="s">
        <v>1449</v>
      </c>
      <c r="E281" t="s">
        <v>187</v>
      </c>
      <c r="F281" t="s">
        <v>48</v>
      </c>
      <c r="G281" t="s">
        <v>80</v>
      </c>
      <c r="H281" t="s">
        <v>81</v>
      </c>
      <c r="I281" t="s">
        <v>82</v>
      </c>
      <c r="J281" t="s">
        <v>37</v>
      </c>
      <c r="K281" t="s">
        <v>163</v>
      </c>
      <c r="L281" t="s">
        <v>1450</v>
      </c>
      <c r="M281" t="s">
        <v>63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41</v>
      </c>
      <c r="U281" t="s">
        <v>42</v>
      </c>
      <c r="V281">
        <f>O281*(1-P281)*N281</f>
        <v>4141.1639999999998</v>
      </c>
      <c r="W281">
        <f t="shared" si="12"/>
        <v>1386.9939999999997</v>
      </c>
      <c r="X281">
        <f t="shared" si="13"/>
        <v>0.33492789459958083</v>
      </c>
      <c r="Y281" t="s">
        <v>4120</v>
      </c>
      <c r="Z281" s="2">
        <f>IFERROR(
  IF(ISNUMBER(B281),B281,
    IF(ISNUMBER(SEARCH("-",B281)*1),
      IF(LEN(LEFT(B281,FIND("-",B281)-1))=4,
        DATE(VALUE(LEFT(B281,4)),VALUE(MID(B281,6,2)),VALUE(RIGHT(B281,2))),
        DATE(VALUE(RIGHT(B281,4)),VALUE(MID(B281,4,2)),VALUE(LEFT(B281,2)))
      ),
      IF(ISNUMBER(SEARCH("/",B281)*1),
        DATE(VALUE(RIGHT(B281,4)),VALUE(LEFT(B281,2)),VALUE(MID(B281,4,2))),
        DATEVALUE(B281)
      )
    )
  ),
"INVALID_DATE")</f>
        <v>45391</v>
      </c>
      <c r="AA281" s="2">
        <f>IFERROR(
  IF(ISNUMBER(C281),C281,
    IF(ISNUMBER(SEARCH("-",C281)*1),
      IF(LEN(LEFT(C281,FIND("-",C281)-1))=4,
        DATE(VALUE(LEFT(C281,4)),VALUE(MID(C281,6,2)),VALUE(RIGHT(C281,2))),
        DATE(VALUE(RIGHT(C281,4)),VALUE(MID(C281,4,2)),VALUE(LEFT(C281,2)))
      ),
      IF(ISNUMBER(SEARCH("/",C281)*1),
        DATE(VALUE(RIGHT(C281,4)),VALUE(LEFT(C281,2)),VALUE(MID(C281,4,2))),
        DATEVALUE(C281)
      )
    )
  ),
"INVALID_DATE")</f>
        <v>45392</v>
      </c>
      <c r="AB281">
        <f>AA281-Z281</f>
        <v>1</v>
      </c>
      <c r="AC281" t="str">
        <f>TEXT(Z281,"mmmm")</f>
        <v>April</v>
      </c>
      <c r="AD281">
        <f>YEAR(Z281)</f>
        <v>2024</v>
      </c>
      <c r="AE281" t="str">
        <f t="shared" si="14"/>
        <v>OK</v>
      </c>
    </row>
    <row r="282" spans="1:31">
      <c r="A282" t="s">
        <v>1451</v>
      </c>
      <c r="B282" t="s">
        <v>1452</v>
      </c>
      <c r="C282" t="s">
        <v>1453</v>
      </c>
      <c r="D282" t="s">
        <v>1454</v>
      </c>
      <c r="E282" t="s">
        <v>114</v>
      </c>
      <c r="F282" t="s">
        <v>33</v>
      </c>
      <c r="G282" t="s">
        <v>69</v>
      </c>
      <c r="H282" t="s">
        <v>236</v>
      </c>
      <c r="I282" t="s">
        <v>237</v>
      </c>
      <c r="J282" t="s">
        <v>93</v>
      </c>
      <c r="K282" t="s">
        <v>101</v>
      </c>
      <c r="L282" t="s">
        <v>1455</v>
      </c>
      <c r="M282" t="s">
        <v>74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41</v>
      </c>
      <c r="U282" t="s">
        <v>42</v>
      </c>
      <c r="V282">
        <f>O282*(1-P282)*N282</f>
        <v>8943.0299999999988</v>
      </c>
      <c r="W282">
        <f t="shared" si="12"/>
        <v>3777.6499999999987</v>
      </c>
      <c r="X282">
        <f t="shared" si="13"/>
        <v>0.42241276167026165</v>
      </c>
      <c r="Y282" t="s">
        <v>4120</v>
      </c>
      <c r="Z282" s="2">
        <f>IFERROR(
  IF(ISNUMBER(B282),B282,
    IF(ISNUMBER(SEARCH("-",B282)*1),
      IF(LEN(LEFT(B282,FIND("-",B282)-1))=4,
        DATE(VALUE(LEFT(B282,4)),VALUE(MID(B282,6,2)),VALUE(RIGHT(B282,2))),
        DATE(VALUE(RIGHT(B282,4)),VALUE(MID(B282,4,2)),VALUE(LEFT(B282,2)))
      ),
      IF(ISNUMBER(SEARCH("/",B282)*1),
        DATE(VALUE(RIGHT(B282,4)),VALUE(LEFT(B282,2)),VALUE(MID(B282,4,2))),
        DATEVALUE(B282)
      )
    )
  ),
"INVALID_DATE")</f>
        <v>45649</v>
      </c>
      <c r="AA282" s="2">
        <f>IFERROR(
  IF(ISNUMBER(C282),C282,
    IF(ISNUMBER(SEARCH("-",C282)*1),
      IF(LEN(LEFT(C282,FIND("-",C282)-1))=4,
        DATE(VALUE(LEFT(C282,4)),VALUE(MID(C282,6,2)),VALUE(RIGHT(C282,2))),
        DATE(VALUE(RIGHT(C282,4)),VALUE(MID(C282,4,2)),VALUE(LEFT(C282,2)))
      ),
      IF(ISNUMBER(SEARCH("/",C282)*1),
        DATE(VALUE(RIGHT(C282,4)),VALUE(LEFT(C282,2)),VALUE(MID(C282,4,2))),
        DATEVALUE(C282)
      )
    )
  ),
"INVALID_DATE")</f>
        <v>45652</v>
      </c>
      <c r="AB282">
        <f>AA282-Z282</f>
        <v>3</v>
      </c>
      <c r="AC282" t="str">
        <f>TEXT(Z282,"mmmm")</f>
        <v>December</v>
      </c>
      <c r="AD282">
        <f>YEAR(Z282)</f>
        <v>2024</v>
      </c>
      <c r="AE282" t="str">
        <f t="shared" si="14"/>
        <v>OK</v>
      </c>
    </row>
    <row r="283" spans="1:31">
      <c r="A283" t="s">
        <v>1456</v>
      </c>
      <c r="B283" t="s">
        <v>1457</v>
      </c>
      <c r="C283" t="s">
        <v>1458</v>
      </c>
      <c r="D283" t="s">
        <v>1459</v>
      </c>
      <c r="E283" t="s">
        <v>374</v>
      </c>
      <c r="F283" t="s">
        <v>33</v>
      </c>
      <c r="G283" t="s">
        <v>49</v>
      </c>
      <c r="H283" t="s">
        <v>319</v>
      </c>
      <c r="I283" t="s">
        <v>320</v>
      </c>
      <c r="J283" t="s">
        <v>37</v>
      </c>
      <c r="K283" t="s">
        <v>205</v>
      </c>
      <c r="L283" t="s">
        <v>1460</v>
      </c>
      <c r="M283" t="s">
        <v>40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41</v>
      </c>
      <c r="U283" t="s">
        <v>42</v>
      </c>
      <c r="V283">
        <f>O283*(1-P283)*N283</f>
        <v>16504.224000000002</v>
      </c>
      <c r="W283">
        <f t="shared" si="12"/>
        <v>5241.5140000000029</v>
      </c>
      <c r="X283">
        <f t="shared" si="13"/>
        <v>0.31758604768962118</v>
      </c>
      <c r="Y283" t="str">
        <f>_xlfn.TEXTJOIN(", ",TRUE,IF(G283="Unknown","Missing Region",""),IF(M283="Unknown","Missing Ship Mode",""),IF(P283&lt;0,"Negative Discount",""),IF(P283&gt;0.7,"High Discount",""),IF(C283&lt;B283,"Ship Before Order",""))</f>
        <v>Ship Before Order</v>
      </c>
      <c r="Z283" s="2">
        <f>IFERROR(
  IF(ISNUMBER(B283),B283,
    IF(ISNUMBER(SEARCH("-",B283)*1),
      IF(LEN(LEFT(B283,FIND("-",B283)-1))=4,
        DATE(VALUE(LEFT(B283,4)),VALUE(MID(B283,6,2)),VALUE(RIGHT(B283,2))),
        DATE(VALUE(RIGHT(B283,4)),VALUE(MID(B283,4,2)),VALUE(LEFT(B283,2)))
      ),
      IF(ISNUMBER(SEARCH("/",B283)*1),
        DATE(VALUE(RIGHT(B283,4)),VALUE(LEFT(B283,2)),VALUE(MID(B283,4,2))),
        DATEVALUE(B283)
      )
    )
  ),
"INVALID_DATE")</f>
        <v>45863</v>
      </c>
      <c r="AA283" s="2">
        <f>IFERROR(
  IF(ISNUMBER(C283),C283,
    IF(ISNUMBER(SEARCH("-",C283)*1),
      IF(LEN(LEFT(C283,FIND("-",C283)-1))=4,
        DATE(VALUE(LEFT(C283,4)),VALUE(MID(C283,6,2)),VALUE(RIGHT(C283,2))),
        DATE(VALUE(RIGHT(C283,4)),VALUE(MID(C283,4,2)),VALUE(LEFT(C283,2)))
      ),
      IF(ISNUMBER(SEARCH("/",C283)*1),
        DATE(VALUE(RIGHT(C283,4)),VALUE(LEFT(C283,2)),VALUE(MID(C283,4,2))),
        DATEVALUE(C283)
      )
    )
  ),
"INVALID_DATE")</f>
        <v>45865</v>
      </c>
      <c r="AB283">
        <f>AA283-Z283</f>
        <v>2</v>
      </c>
      <c r="AC283" t="str">
        <f>TEXT(Z283,"mmmm")</f>
        <v>July</v>
      </c>
      <c r="AD283">
        <f>YEAR(Z283)</f>
        <v>2025</v>
      </c>
      <c r="AE283" t="str">
        <f t="shared" si="14"/>
        <v>OK</v>
      </c>
    </row>
    <row r="284" spans="1:31">
      <c r="A284" t="s">
        <v>1461</v>
      </c>
      <c r="B284" t="s">
        <v>1462</v>
      </c>
      <c r="C284" t="s">
        <v>1463</v>
      </c>
      <c r="D284" t="s">
        <v>1464</v>
      </c>
      <c r="E284" t="s">
        <v>32</v>
      </c>
      <c r="F284" t="s">
        <v>122</v>
      </c>
      <c r="G284" t="s">
        <v>49</v>
      </c>
      <c r="H284" t="s">
        <v>223</v>
      </c>
      <c r="I284" t="s">
        <v>224</v>
      </c>
      <c r="J284" t="s">
        <v>52</v>
      </c>
      <c r="K284" t="s">
        <v>53</v>
      </c>
      <c r="L284" t="s">
        <v>1465</v>
      </c>
      <c r="M284" t="s">
        <v>40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41</v>
      </c>
      <c r="U284" t="s">
        <v>42</v>
      </c>
      <c r="V284">
        <f>O284*(1-P284)*N284</f>
        <v>4596</v>
      </c>
      <c r="W284">
        <f t="shared" si="12"/>
        <v>1375.67</v>
      </c>
      <c r="X284">
        <f t="shared" si="13"/>
        <v>0.29931897302001742</v>
      </c>
      <c r="Y284" t="str">
        <f>_xlfn.TEXTJOIN(", ",TRUE,IF(G284="Unknown","Missing Region",""),IF(M284="Unknown","Missing Ship Mode",""),IF(P284&lt;0,"Negative Discount",""),IF(P284&gt;0.7,"High Discount",""),IF(C284&lt;B284,"Ship Before Order",""))</f>
        <v>Ship Before Order</v>
      </c>
      <c r="Z284" s="2">
        <f>IFERROR(
  IF(ISNUMBER(B284),B284,
    IF(ISNUMBER(SEARCH("-",B284)*1),
      IF(LEN(LEFT(B284,FIND("-",B284)-1))=4,
        DATE(VALUE(LEFT(B284,4)),VALUE(MID(B284,6,2)),VALUE(RIGHT(B284,2))),
        DATE(VALUE(RIGHT(B284,4)),VALUE(MID(B284,4,2)),VALUE(LEFT(B284,2)))
      ),
      IF(ISNUMBER(SEARCH("/",B284)*1),
        DATE(VALUE(RIGHT(B284,4)),VALUE(LEFT(B284,2)),VALUE(MID(B284,4,2))),
        DATEVALUE(B284)
      )
    )
  ),
"INVALID_DATE")</f>
        <v>45566</v>
      </c>
      <c r="AA284" s="2">
        <f>IFERROR(
  IF(ISNUMBER(C284),C284,
    IF(ISNUMBER(SEARCH("-",C284)*1),
      IF(LEN(LEFT(C284,FIND("-",C284)-1))=4,
        DATE(VALUE(LEFT(C284,4)),VALUE(MID(C284,6,2)),VALUE(RIGHT(C284,2))),
        DATE(VALUE(RIGHT(C284,4)),VALUE(MID(C284,4,2)),VALUE(LEFT(C284,2)))
      ),
      IF(ISNUMBER(SEARCH("/",C284)*1),
        DATE(VALUE(RIGHT(C284,4)),VALUE(LEFT(C284,2)),VALUE(MID(C284,4,2))),
        DATEVALUE(C284)
      )
    )
  ),
"INVALID_DATE")</f>
        <v>45567</v>
      </c>
      <c r="AB284">
        <f>AA284-Z284</f>
        <v>1</v>
      </c>
      <c r="AC284" t="str">
        <f>TEXT(Z284,"mmmm")</f>
        <v>October</v>
      </c>
      <c r="AD284">
        <f>YEAR(Z284)</f>
        <v>2024</v>
      </c>
      <c r="AE284" t="str">
        <f t="shared" si="14"/>
        <v>OK</v>
      </c>
    </row>
    <row r="285" spans="1:31">
      <c r="A285" t="s">
        <v>1466</v>
      </c>
      <c r="B285" t="s">
        <v>1467</v>
      </c>
      <c r="C285" t="s">
        <v>1468</v>
      </c>
      <c r="D285" t="s">
        <v>1469</v>
      </c>
      <c r="E285" t="s">
        <v>90</v>
      </c>
      <c r="F285" t="s">
        <v>33</v>
      </c>
      <c r="G285" t="s">
        <v>80</v>
      </c>
      <c r="H285" t="s">
        <v>81</v>
      </c>
      <c r="I285" t="s">
        <v>82</v>
      </c>
      <c r="J285" t="s">
        <v>52</v>
      </c>
      <c r="K285" t="s">
        <v>72</v>
      </c>
      <c r="L285" t="s">
        <v>1470</v>
      </c>
      <c r="M285" t="s">
        <v>63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41</v>
      </c>
      <c r="U285" t="s">
        <v>42</v>
      </c>
      <c r="V285">
        <f>O285*(1-P285)*N285</f>
        <v>1814.01</v>
      </c>
      <c r="W285">
        <f t="shared" si="12"/>
        <v>780.54</v>
      </c>
      <c r="X285">
        <f t="shared" si="13"/>
        <v>0.43028428729720342</v>
      </c>
      <c r="Y285" t="s">
        <v>4120</v>
      </c>
      <c r="Z285" s="2">
        <f>IFERROR(
  IF(ISNUMBER(B285),B285,
    IF(ISNUMBER(SEARCH("-",B285)*1),
      IF(LEN(LEFT(B285,FIND("-",B285)-1))=4,
        DATE(VALUE(LEFT(B285,4)),VALUE(MID(B285,6,2)),VALUE(RIGHT(B285,2))),
        DATE(VALUE(RIGHT(B285,4)),VALUE(MID(B285,4,2)),VALUE(LEFT(B285,2)))
      ),
      IF(ISNUMBER(SEARCH("/",B285)*1),
        DATE(VALUE(RIGHT(B285,4)),VALUE(LEFT(B285,2)),VALUE(MID(B285,4,2))),
        DATEVALUE(B285)
      )
    )
  ),
"INVALID_DATE")</f>
        <v>45729</v>
      </c>
      <c r="AA285" s="2">
        <f>IFERROR(
  IF(ISNUMBER(C285),C285,
    IF(ISNUMBER(SEARCH("-",C285)*1),
      IF(LEN(LEFT(C285,FIND("-",C285)-1))=4,
        DATE(VALUE(LEFT(C285,4)),VALUE(MID(C285,6,2)),VALUE(RIGHT(C285,2))),
        DATE(VALUE(RIGHT(C285,4)),VALUE(MID(C285,4,2)),VALUE(LEFT(C285,2)))
      ),
      IF(ISNUMBER(SEARCH("/",C285)*1),
        DATE(VALUE(RIGHT(C285,4)),VALUE(LEFT(C285,2)),VALUE(MID(C285,4,2))),
        DATEVALUE(C285)
      )
    )
  ),
"INVALID_DATE")</f>
        <v>45736</v>
      </c>
      <c r="AB285">
        <f>AA285-Z285</f>
        <v>7</v>
      </c>
      <c r="AC285" t="str">
        <f>TEXT(Z285,"mmmm")</f>
        <v>March</v>
      </c>
      <c r="AD285">
        <f>YEAR(Z285)</f>
        <v>2025</v>
      </c>
      <c r="AE285" t="str">
        <f t="shared" si="14"/>
        <v>OK</v>
      </c>
    </row>
    <row r="286" spans="1:31">
      <c r="A286" t="s">
        <v>1471</v>
      </c>
      <c r="B286" t="s">
        <v>1472</v>
      </c>
      <c r="C286" t="s">
        <v>1473</v>
      </c>
      <c r="D286" t="s">
        <v>1474</v>
      </c>
      <c r="E286" t="s">
        <v>32</v>
      </c>
      <c r="F286" t="s">
        <v>33</v>
      </c>
      <c r="G286" t="s">
        <v>49</v>
      </c>
      <c r="H286" t="s">
        <v>50</v>
      </c>
      <c r="I286" t="s">
        <v>51</v>
      </c>
      <c r="J286" t="s">
        <v>52</v>
      </c>
      <c r="K286" t="s">
        <v>53</v>
      </c>
      <c r="L286" t="s">
        <v>1475</v>
      </c>
      <c r="M286" t="s">
        <v>55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41</v>
      </c>
      <c r="U286" t="s">
        <v>132</v>
      </c>
      <c r="V286">
        <f>O286*(1-P286)*N286</f>
        <v>4730.76</v>
      </c>
      <c r="W286">
        <f t="shared" si="12"/>
        <v>1591.0300000000002</v>
      </c>
      <c r="X286">
        <f t="shared" si="13"/>
        <v>0.3363159407790714</v>
      </c>
      <c r="Y286" t="s">
        <v>4120</v>
      </c>
      <c r="Z286" s="2">
        <f>IFERROR(
  IF(ISNUMBER(B286),B286,
    IF(ISNUMBER(SEARCH("-",B286)*1),
      IF(LEN(LEFT(B286,FIND("-",B286)-1))=4,
        DATE(VALUE(LEFT(B286,4)),VALUE(MID(B286,6,2)),VALUE(RIGHT(B286,2))),
        DATE(VALUE(RIGHT(B286,4)),VALUE(MID(B286,4,2)),VALUE(LEFT(B286,2)))
      ),
      IF(ISNUMBER(SEARCH("/",B286)*1),
        DATE(VALUE(RIGHT(B286,4)),VALUE(LEFT(B286,2)),VALUE(MID(B286,4,2))),
        DATEVALUE(B286)
      )
    )
  ),
"INVALID_DATE")</f>
        <v>45634</v>
      </c>
      <c r="AA286" s="2">
        <f>IFERROR(
  IF(ISNUMBER(C286),C286,
    IF(ISNUMBER(SEARCH("-",C286)*1),
      IF(LEN(LEFT(C286,FIND("-",C286)-1))=4,
        DATE(VALUE(LEFT(C286,4)),VALUE(MID(C286,6,2)),VALUE(RIGHT(C286,2))),
        DATE(VALUE(RIGHT(C286,4)),VALUE(MID(C286,4,2)),VALUE(LEFT(C286,2)))
      ),
      IF(ISNUMBER(SEARCH("/",C286)*1),
        DATE(VALUE(RIGHT(C286,4)),VALUE(LEFT(C286,2)),VALUE(MID(C286,4,2))),
        DATEVALUE(C286)
      )
    )
  ),
"INVALID_DATE")</f>
        <v>45640</v>
      </c>
      <c r="AB286">
        <f>AA286-Z286</f>
        <v>6</v>
      </c>
      <c r="AC286" t="str">
        <f>TEXT(Z286,"mmmm")</f>
        <v>December</v>
      </c>
      <c r="AD286">
        <f>YEAR(Z286)</f>
        <v>2024</v>
      </c>
      <c r="AE286" t="str">
        <f t="shared" si="14"/>
        <v>OK</v>
      </c>
    </row>
    <row r="287" spans="1:31">
      <c r="A287" t="s">
        <v>1476</v>
      </c>
      <c r="B287" t="s">
        <v>1477</v>
      </c>
      <c r="C287" t="s">
        <v>1478</v>
      </c>
      <c r="D287" t="s">
        <v>1479</v>
      </c>
      <c r="E287" t="s">
        <v>100</v>
      </c>
      <c r="F287" t="s">
        <v>122</v>
      </c>
      <c r="G287" t="s">
        <v>34</v>
      </c>
      <c r="H287" t="s">
        <v>35</v>
      </c>
      <c r="I287" t="s">
        <v>36</v>
      </c>
      <c r="J287" t="s">
        <v>37</v>
      </c>
      <c r="K287" t="s">
        <v>163</v>
      </c>
      <c r="L287" t="s">
        <v>1480</v>
      </c>
      <c r="M287" t="s">
        <v>74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41</v>
      </c>
      <c r="U287" t="s">
        <v>42</v>
      </c>
      <c r="V287">
        <f>O287*(1-P287)*N287</f>
        <v>36735.93</v>
      </c>
      <c r="W287">
        <f t="shared" si="12"/>
        <v>5915.09</v>
      </c>
      <c r="X287">
        <f t="shared" si="13"/>
        <v>0.16101647624001897</v>
      </c>
      <c r="Y287" t="s">
        <v>4120</v>
      </c>
      <c r="Z287" s="2">
        <f>IFERROR(
  IF(ISNUMBER(B287),B287,
    IF(ISNUMBER(SEARCH("-",B287)*1),
      IF(LEN(LEFT(B287,FIND("-",B287)-1))=4,
        DATE(VALUE(LEFT(B287,4)),VALUE(MID(B287,6,2)),VALUE(RIGHT(B287,2))),
        DATE(VALUE(RIGHT(B287,4)),VALUE(MID(B287,4,2)),VALUE(LEFT(B287,2)))
      ),
      IF(ISNUMBER(SEARCH("/",B287)*1),
        DATE(VALUE(RIGHT(B287,4)),VALUE(LEFT(B287,2)),VALUE(MID(B287,4,2))),
        DATEVALUE(B287)
      )
    )
  ),
"INVALID_DATE")</f>
        <v>45884</v>
      </c>
      <c r="AA287" s="2">
        <f>IFERROR(
  IF(ISNUMBER(C287),C287,
    IF(ISNUMBER(SEARCH("-",C287)*1),
      IF(LEN(LEFT(C287,FIND("-",C287)-1))=4,
        DATE(VALUE(LEFT(C287,4)),VALUE(MID(C287,6,2)),VALUE(RIGHT(C287,2))),
        DATE(VALUE(RIGHT(C287,4)),VALUE(MID(C287,4,2)),VALUE(LEFT(C287,2)))
      ),
      IF(ISNUMBER(SEARCH("/",C287)*1),
        DATE(VALUE(RIGHT(C287,4)),VALUE(LEFT(C287,2)),VALUE(MID(C287,4,2))),
        DATEVALUE(C287)
      )
    )
  ),
"INVALID_DATE")</f>
        <v>45889</v>
      </c>
      <c r="AB287">
        <f>AA287-Z287</f>
        <v>5</v>
      </c>
      <c r="AC287" t="str">
        <f>TEXT(Z287,"mmmm")</f>
        <v>August</v>
      </c>
      <c r="AD287">
        <f>YEAR(Z287)</f>
        <v>2025</v>
      </c>
      <c r="AE287" t="str">
        <f t="shared" si="14"/>
        <v>OK</v>
      </c>
    </row>
    <row r="288" spans="1:31">
      <c r="A288" t="s">
        <v>1481</v>
      </c>
      <c r="B288" t="s">
        <v>1482</v>
      </c>
      <c r="C288" t="s">
        <v>1483</v>
      </c>
      <c r="D288" t="s">
        <v>1484</v>
      </c>
      <c r="E288" t="s">
        <v>149</v>
      </c>
      <c r="F288" t="s">
        <v>48</v>
      </c>
      <c r="G288" t="s">
        <v>34</v>
      </c>
      <c r="H288" t="s">
        <v>514</v>
      </c>
      <c r="I288" t="s">
        <v>515</v>
      </c>
      <c r="J288" t="s">
        <v>52</v>
      </c>
      <c r="K288" t="s">
        <v>72</v>
      </c>
      <c r="L288" t="s">
        <v>1485</v>
      </c>
      <c r="M288" t="s">
        <v>63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144</v>
      </c>
      <c r="U288" t="s">
        <v>132</v>
      </c>
      <c r="V288">
        <f>O288*(1-P288)*N288</f>
        <v>4421.34</v>
      </c>
      <c r="W288">
        <f t="shared" si="12"/>
        <v>1931.3600000000001</v>
      </c>
      <c r="X288">
        <f t="shared" si="13"/>
        <v>0.43682684435035529</v>
      </c>
      <c r="Y288" t="str">
        <f>_xlfn.TEXTJOIN(", ",TRUE,IF(G288="Unknown","Missing Region",""),IF(M288="Unknown","Missing Ship Mode",""),IF(P288&lt;0,"Negative Discount",""),IF(P288&gt;0.7,"High Discount",""),IF(C288&lt;B288,"Ship Before Order",""))</f>
        <v>Ship Before Order</v>
      </c>
      <c r="Z288" s="2">
        <f>IFERROR(
  IF(ISNUMBER(B288),B288,
    IF(ISNUMBER(SEARCH("-",B288)*1),
      IF(LEN(LEFT(B288,FIND("-",B288)-1))=4,
        DATE(VALUE(LEFT(B288,4)),VALUE(MID(B288,6,2)),VALUE(RIGHT(B288,2))),
        DATE(VALUE(RIGHT(B288,4)),VALUE(MID(B288,4,2)),VALUE(LEFT(B288,2)))
      ),
      IF(ISNUMBER(SEARCH("/",B288)*1),
        DATE(VALUE(RIGHT(B288,4)),VALUE(LEFT(B288,2)),VALUE(MID(B288,4,2))),
        DATEVALUE(B288)
      )
    )
  ),
"INVALID_DATE")</f>
        <v>45350</v>
      </c>
      <c r="AA288" s="2">
        <f>IFERROR(
  IF(ISNUMBER(C288),C288,
    IF(ISNUMBER(SEARCH("-",C288)*1),
      IF(LEN(LEFT(C288,FIND("-",C288)-1))=4,
        DATE(VALUE(LEFT(C288,4)),VALUE(MID(C288,6,2)),VALUE(RIGHT(C288,2))),
        DATE(VALUE(RIGHT(C288,4)),VALUE(MID(C288,4,2)),VALUE(LEFT(C288,2)))
      ),
      IF(ISNUMBER(SEARCH("/",C288)*1),
        DATE(VALUE(RIGHT(C288,4)),VALUE(LEFT(C288,2)),VALUE(MID(C288,4,2))),
        DATEVALUE(C288)
      )
    )
  ),
"INVALID_DATE")</f>
        <v>45353</v>
      </c>
      <c r="AB288">
        <f>AA288-Z288</f>
        <v>3</v>
      </c>
      <c r="AC288" t="str">
        <f>TEXT(Z288,"mmmm")</f>
        <v>February</v>
      </c>
      <c r="AD288">
        <f>YEAR(Z288)</f>
        <v>2024</v>
      </c>
      <c r="AE288" t="str">
        <f t="shared" si="14"/>
        <v>OK</v>
      </c>
    </row>
    <row r="289" spans="1:31">
      <c r="A289" t="s">
        <v>1486</v>
      </c>
      <c r="B289" t="s">
        <v>1487</v>
      </c>
      <c r="C289" t="s">
        <v>1488</v>
      </c>
      <c r="D289" t="s">
        <v>1489</v>
      </c>
      <c r="E289" t="s">
        <v>100</v>
      </c>
      <c r="F289" t="s">
        <v>48</v>
      </c>
      <c r="G289" t="s">
        <v>69</v>
      </c>
      <c r="H289" t="s">
        <v>347</v>
      </c>
      <c r="I289" t="s">
        <v>348</v>
      </c>
      <c r="J289" t="s">
        <v>93</v>
      </c>
      <c r="K289" t="s">
        <v>101</v>
      </c>
      <c r="L289" t="s">
        <v>1490</v>
      </c>
      <c r="M289" t="s">
        <v>74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41</v>
      </c>
      <c r="U289" t="s">
        <v>85</v>
      </c>
      <c r="V289">
        <f>O289*(1-P289)*N289</f>
        <v>6516.9329999999991</v>
      </c>
      <c r="W289">
        <f t="shared" si="12"/>
        <v>2005.3929999999991</v>
      </c>
      <c r="X289">
        <f t="shared" si="13"/>
        <v>0.30772004609532405</v>
      </c>
      <c r="Y289" t="str">
        <f>_xlfn.TEXTJOIN(", ",TRUE,IF(G289="Unknown","Missing Region",""),IF(M289="Unknown","Missing Ship Mode",""),IF(P289&lt;0,"Negative Discount",""),IF(P289&gt;0.7,"High Discount",""),IF(C289&lt;B289,"Ship Before Order",""))</f>
        <v>Ship Before Order</v>
      </c>
      <c r="Z289" s="2">
        <f>IFERROR(
  IF(ISNUMBER(B289),B289,
    IF(ISNUMBER(SEARCH("-",B289)*1),
      IF(LEN(LEFT(B289,FIND("-",B289)-1))=4,
        DATE(VALUE(LEFT(B289,4)),VALUE(MID(B289,6,2)),VALUE(RIGHT(B289,2))),
        DATE(VALUE(RIGHT(B289,4)),VALUE(MID(B289,4,2)),VALUE(LEFT(B289,2)))
      ),
      IF(ISNUMBER(SEARCH("/",B289)*1),
        DATE(VALUE(RIGHT(B289,4)),VALUE(LEFT(B289,2)),VALUE(MID(B289,4,2))),
        DATEVALUE(B289)
      )
    )
  ),
"INVALID_DATE")</f>
        <v>45540</v>
      </c>
      <c r="AA289" s="2">
        <f>IFERROR(
  IF(ISNUMBER(C289),C289,
    IF(ISNUMBER(SEARCH("-",C289)*1),
      IF(LEN(LEFT(C289,FIND("-",C289)-1))=4,
        DATE(VALUE(LEFT(C289,4)),VALUE(MID(C289,6,2)),VALUE(RIGHT(C289,2))),
        DATE(VALUE(RIGHT(C289,4)),VALUE(MID(C289,4,2)),VALUE(LEFT(C289,2)))
      ),
      IF(ISNUMBER(SEARCH("/",C289)*1),
        DATE(VALUE(RIGHT(C289,4)),VALUE(LEFT(C289,2)),VALUE(MID(C289,4,2))),
        DATEVALUE(C289)
      )
    )
  ),
"INVALID_DATE")</f>
        <v>45542</v>
      </c>
      <c r="AB289">
        <f>AA289-Z289</f>
        <v>2</v>
      </c>
      <c r="AC289" t="str">
        <f>TEXT(Z289,"mmmm")</f>
        <v>September</v>
      </c>
      <c r="AD289">
        <f>YEAR(Z289)</f>
        <v>2024</v>
      </c>
      <c r="AE289" t="str">
        <f t="shared" si="14"/>
        <v>OK</v>
      </c>
    </row>
    <row r="290" spans="1:31">
      <c r="A290" t="s">
        <v>1491</v>
      </c>
      <c r="B290" t="s">
        <v>1492</v>
      </c>
      <c r="C290" t="s">
        <v>1492</v>
      </c>
      <c r="D290" t="s">
        <v>1493</v>
      </c>
      <c r="E290" t="s">
        <v>187</v>
      </c>
      <c r="F290" t="s">
        <v>48</v>
      </c>
      <c r="G290" t="s">
        <v>49</v>
      </c>
      <c r="H290" t="s">
        <v>193</v>
      </c>
      <c r="I290" t="s">
        <v>194</v>
      </c>
      <c r="J290" t="s">
        <v>37</v>
      </c>
      <c r="K290" t="s">
        <v>205</v>
      </c>
      <c r="L290" t="s">
        <v>1494</v>
      </c>
      <c r="M290" t="s">
        <v>55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41</v>
      </c>
      <c r="U290" t="s">
        <v>42</v>
      </c>
      <c r="V290">
        <f>O290*(1-P290)*N290</f>
        <v>7411.829999999999</v>
      </c>
      <c r="W290">
        <f t="shared" si="12"/>
        <v>2507.1999999999989</v>
      </c>
      <c r="X290">
        <f t="shared" si="13"/>
        <v>0.33827003587508075</v>
      </c>
      <c r="Y290" t="s">
        <v>4120</v>
      </c>
      <c r="Z290" s="2">
        <f>IFERROR(
  IF(ISNUMBER(B290),B290,
    IF(ISNUMBER(SEARCH("-",B290)*1),
      IF(LEN(LEFT(B290,FIND("-",B290)-1))=4,
        DATE(VALUE(LEFT(B290,4)),VALUE(MID(B290,6,2)),VALUE(RIGHT(B290,2))),
        DATE(VALUE(RIGHT(B290,4)),VALUE(MID(B290,4,2)),VALUE(LEFT(B290,2)))
      ),
      IF(ISNUMBER(SEARCH("/",B290)*1),
        DATE(VALUE(RIGHT(B290,4)),VALUE(LEFT(B290,2)),VALUE(MID(B290,4,2))),
        DATEVALUE(B290)
      )
    )
  ),
"INVALID_DATE")</f>
        <v>45467</v>
      </c>
      <c r="AA290" s="2">
        <f>IFERROR(
  IF(ISNUMBER(C290),C290,
    IF(ISNUMBER(SEARCH("-",C290)*1),
      IF(LEN(LEFT(C290,FIND("-",C290)-1))=4,
        DATE(VALUE(LEFT(C290,4)),VALUE(MID(C290,6,2)),VALUE(RIGHT(C290,2))),
        DATE(VALUE(RIGHT(C290,4)),VALUE(MID(C290,4,2)),VALUE(LEFT(C290,2)))
      ),
      IF(ISNUMBER(SEARCH("/",C290)*1),
        DATE(VALUE(RIGHT(C290,4)),VALUE(LEFT(C290,2)),VALUE(MID(C290,4,2))),
        DATEVALUE(C290)
      )
    )
  ),
"INVALID_DATE")</f>
        <v>45467</v>
      </c>
      <c r="AB290">
        <f>AA290-Z290</f>
        <v>0</v>
      </c>
      <c r="AC290" t="str">
        <f>TEXT(Z290,"mmmm")</f>
        <v>June</v>
      </c>
      <c r="AD290">
        <f>YEAR(Z290)</f>
        <v>2024</v>
      </c>
      <c r="AE290" t="str">
        <f t="shared" si="14"/>
        <v>OK</v>
      </c>
    </row>
    <row r="291" spans="1:31">
      <c r="A291" t="s">
        <v>1495</v>
      </c>
      <c r="B291" t="s">
        <v>261</v>
      </c>
      <c r="C291" t="s">
        <v>657</v>
      </c>
      <c r="D291" t="s">
        <v>1496</v>
      </c>
      <c r="E291" t="s">
        <v>32</v>
      </c>
      <c r="F291" t="s">
        <v>122</v>
      </c>
      <c r="G291" t="s">
        <v>69</v>
      </c>
      <c r="H291" t="s">
        <v>347</v>
      </c>
      <c r="I291" t="s">
        <v>348</v>
      </c>
      <c r="J291" t="s">
        <v>52</v>
      </c>
      <c r="K291" t="s">
        <v>211</v>
      </c>
      <c r="L291" t="s">
        <v>1497</v>
      </c>
      <c r="M291" t="s">
        <v>63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41</v>
      </c>
      <c r="U291" t="s">
        <v>42</v>
      </c>
      <c r="V291">
        <f>O291*(1-P291)*N291</f>
        <v>8258.7109999999993</v>
      </c>
      <c r="W291">
        <f t="shared" si="12"/>
        <v>1239.7409999999991</v>
      </c>
      <c r="X291">
        <f t="shared" si="13"/>
        <v>0.15011303218057059</v>
      </c>
      <c r="Y291" t="str">
        <f>_xlfn.TEXTJOIN(", ",TRUE,IF(G291="Unknown","Missing Region",""),IF(M291="Unknown","Missing Ship Mode",""),IF(P291&lt;0,"Negative Discount",""),IF(P291&gt;0.7,"High Discount",""),IF(C291&lt;B291,"Ship Before Order",""))</f>
        <v>Ship Before Order</v>
      </c>
      <c r="Z291" s="2">
        <f>IFERROR(
  IF(ISNUMBER(B291),B291,
    IF(ISNUMBER(SEARCH("-",B291)*1),
      IF(LEN(LEFT(B291,FIND("-",B291)-1))=4,
        DATE(VALUE(LEFT(B291,4)),VALUE(MID(B291,6,2)),VALUE(RIGHT(B291,2))),
        DATE(VALUE(RIGHT(B291,4)),VALUE(MID(B291,4,2)),VALUE(LEFT(B291,2)))
      ),
      IF(ISNUMBER(SEARCH("/",B291)*1),
        DATE(VALUE(RIGHT(B291,4)),VALUE(LEFT(B291,2)),VALUE(MID(B291,4,2))),
        DATEVALUE(B291)
      )
    )
  ),
"INVALID_DATE")</f>
        <v>45827</v>
      </c>
      <c r="AA291" s="2">
        <f>IFERROR(
  IF(ISNUMBER(C291),C291,
    IF(ISNUMBER(SEARCH("-",C291)*1),
      IF(LEN(LEFT(C291,FIND("-",C291)-1))=4,
        DATE(VALUE(LEFT(C291,4)),VALUE(MID(C291,6,2)),VALUE(RIGHT(C291,2))),
        DATE(VALUE(RIGHT(C291,4)),VALUE(MID(C291,4,2)),VALUE(LEFT(C291,2)))
      ),
      IF(ISNUMBER(SEARCH("/",C291)*1),
        DATE(VALUE(RIGHT(C291,4)),VALUE(LEFT(C291,2)),VALUE(MID(C291,4,2))),
        DATEVALUE(C291)
      )
    )
  ),
"INVALID_DATE")</f>
        <v>45835</v>
      </c>
      <c r="AB291">
        <f>AA291-Z291</f>
        <v>8</v>
      </c>
      <c r="AC291" t="str">
        <f>TEXT(Z291,"mmmm")</f>
        <v>June</v>
      </c>
      <c r="AD291">
        <f>YEAR(Z291)</f>
        <v>2025</v>
      </c>
      <c r="AE291" t="str">
        <f t="shared" si="14"/>
        <v>OK</v>
      </c>
    </row>
    <row r="292" spans="1:31">
      <c r="A292" t="s">
        <v>1498</v>
      </c>
      <c r="B292" t="s">
        <v>1499</v>
      </c>
      <c r="C292" t="s">
        <v>1500</v>
      </c>
      <c r="D292" t="s">
        <v>1501</v>
      </c>
      <c r="E292" t="s">
        <v>217</v>
      </c>
      <c r="F292" t="s">
        <v>122</v>
      </c>
      <c r="G292" t="s">
        <v>49</v>
      </c>
      <c r="H292" t="s">
        <v>319</v>
      </c>
      <c r="I292" t="s">
        <v>320</v>
      </c>
      <c r="J292" t="s">
        <v>52</v>
      </c>
      <c r="K292" t="s">
        <v>53</v>
      </c>
      <c r="L292" t="s">
        <v>1502</v>
      </c>
      <c r="M292" t="s">
        <v>74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41</v>
      </c>
      <c r="U292" t="s">
        <v>42</v>
      </c>
      <c r="V292">
        <f>O292*(1-P292)*N292</f>
        <v>1658.3670000000002</v>
      </c>
      <c r="W292">
        <f t="shared" si="12"/>
        <v>687.24700000000018</v>
      </c>
      <c r="X292">
        <f t="shared" si="13"/>
        <v>0.41441294765341874</v>
      </c>
      <c r="Y292" t="str">
        <f>_xlfn.TEXTJOIN(", ",TRUE,IF(G292="Unknown","Missing Region",""),IF(M292="Unknown","Missing Ship Mode",""),IF(P292&lt;0,"Negative Discount",""),IF(P292&gt;0.7,"High Discount",""),IF(C292&lt;B292,"Ship Before Order",""))</f>
        <v>Ship Before Order</v>
      </c>
      <c r="Z292" s="2">
        <f>IFERROR(
  IF(ISNUMBER(B292),B292,
    IF(ISNUMBER(SEARCH("-",B292)*1),
      IF(LEN(LEFT(B292,FIND("-",B292)-1))=4,
        DATE(VALUE(LEFT(B292,4)),VALUE(MID(B292,6,2)),VALUE(RIGHT(B292,2))),
        DATE(VALUE(RIGHT(B292,4)),VALUE(MID(B292,4,2)),VALUE(LEFT(B292,2)))
      ),
      IF(ISNUMBER(SEARCH("/",B292)*1),
        DATE(VALUE(RIGHT(B292,4)),VALUE(LEFT(B292,2)),VALUE(MID(B292,4,2))),
        DATEVALUE(B292)
      )
    )
  ),
"INVALID_DATE")</f>
        <v>45891</v>
      </c>
      <c r="AA292" s="2">
        <f>IFERROR(
  IF(ISNUMBER(C292),C292,
    IF(ISNUMBER(SEARCH("-",C292)*1),
      IF(LEN(LEFT(C292,FIND("-",C292)-1))=4,
        DATE(VALUE(LEFT(C292,4)),VALUE(MID(C292,6,2)),VALUE(RIGHT(C292,2))),
        DATE(VALUE(RIGHT(C292,4)),VALUE(MID(C292,4,2)),VALUE(LEFT(C292,2)))
      ),
      IF(ISNUMBER(SEARCH("/",C292)*1),
        DATE(VALUE(RIGHT(C292,4)),VALUE(LEFT(C292,2)),VALUE(MID(C292,4,2))),
        DATEVALUE(C292)
      )
    )
  ),
"INVALID_DATE")</f>
        <v>45895</v>
      </c>
      <c r="AB292">
        <f>AA292-Z292</f>
        <v>4</v>
      </c>
      <c r="AC292" t="str">
        <f>TEXT(Z292,"mmmm")</f>
        <v>August</v>
      </c>
      <c r="AD292">
        <f>YEAR(Z292)</f>
        <v>2025</v>
      </c>
      <c r="AE292" t="str">
        <f t="shared" si="14"/>
        <v>OK</v>
      </c>
    </row>
    <row r="293" spans="1:31">
      <c r="A293" t="s">
        <v>1503</v>
      </c>
      <c r="B293" t="s">
        <v>1504</v>
      </c>
      <c r="C293" t="s">
        <v>1505</v>
      </c>
      <c r="D293" t="s">
        <v>1506</v>
      </c>
      <c r="E293" t="s">
        <v>149</v>
      </c>
      <c r="F293" t="s">
        <v>122</v>
      </c>
      <c r="G293" t="s">
        <v>34</v>
      </c>
      <c r="H293" t="s">
        <v>35</v>
      </c>
      <c r="I293" t="s">
        <v>36</v>
      </c>
      <c r="J293" t="s">
        <v>37</v>
      </c>
      <c r="K293" t="s">
        <v>205</v>
      </c>
      <c r="L293" t="s">
        <v>1507</v>
      </c>
      <c r="M293" t="s">
        <v>74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41</v>
      </c>
      <c r="U293" t="s">
        <v>42</v>
      </c>
      <c r="V293">
        <f>O293*(1-P293)*N293</f>
        <v>9685.98</v>
      </c>
      <c r="W293">
        <f t="shared" si="12"/>
        <v>1955.9399999999996</v>
      </c>
      <c r="X293">
        <f t="shared" si="13"/>
        <v>0.20193516815025431</v>
      </c>
      <c r="Y293" t="s">
        <v>4120</v>
      </c>
      <c r="Z293" s="2">
        <f>IFERROR(
  IF(ISNUMBER(B293),B293,
    IF(ISNUMBER(SEARCH("-",B293)*1),
      IF(LEN(LEFT(B293,FIND("-",B293)-1))=4,
        DATE(VALUE(LEFT(B293,4)),VALUE(MID(B293,6,2)),VALUE(RIGHT(B293,2))),
        DATE(VALUE(RIGHT(B293,4)),VALUE(MID(B293,4,2)),VALUE(LEFT(B293,2)))
      ),
      IF(ISNUMBER(SEARCH("/",B293)*1),
        DATE(VALUE(RIGHT(B293,4)),VALUE(LEFT(B293,2)),VALUE(MID(B293,4,2))),
        DATEVALUE(B293)
      )
    )
  ),
"INVALID_DATE")</f>
        <v>45387</v>
      </c>
      <c r="AA293" s="2">
        <f>IFERROR(
  IF(ISNUMBER(C293),C293,
    IF(ISNUMBER(SEARCH("-",C293)*1),
      IF(LEN(LEFT(C293,FIND("-",C293)-1))=4,
        DATE(VALUE(LEFT(C293,4)),VALUE(MID(C293,6,2)),VALUE(RIGHT(C293,2))),
        DATE(VALUE(RIGHT(C293,4)),VALUE(MID(C293,4,2)),VALUE(LEFT(C293,2)))
      ),
      IF(ISNUMBER(SEARCH("/",C293)*1),
        DATE(VALUE(RIGHT(C293,4)),VALUE(LEFT(C293,2)),VALUE(MID(C293,4,2))),
        DATEVALUE(C293)
      )
    )
  ),
"INVALID_DATE")</f>
        <v>45392</v>
      </c>
      <c r="AB293">
        <f>AA293-Z293</f>
        <v>5</v>
      </c>
      <c r="AC293" t="str">
        <f>TEXT(Z293,"mmmm")</f>
        <v>April</v>
      </c>
      <c r="AD293">
        <f>YEAR(Z293)</f>
        <v>2024</v>
      </c>
      <c r="AE293" t="str">
        <f t="shared" si="14"/>
        <v>OK</v>
      </c>
    </row>
    <row r="294" spans="1:31">
      <c r="A294" t="s">
        <v>1508</v>
      </c>
      <c r="B294" t="s">
        <v>1509</v>
      </c>
      <c r="C294" t="s">
        <v>1510</v>
      </c>
      <c r="D294" t="s">
        <v>1511</v>
      </c>
      <c r="E294" t="s">
        <v>374</v>
      </c>
      <c r="F294" t="s">
        <v>122</v>
      </c>
      <c r="G294" t="s">
        <v>34</v>
      </c>
      <c r="H294" t="s">
        <v>331</v>
      </c>
      <c r="I294" t="s">
        <v>332</v>
      </c>
      <c r="J294" t="s">
        <v>37</v>
      </c>
      <c r="K294" t="s">
        <v>61</v>
      </c>
      <c r="L294" t="s">
        <v>1512</v>
      </c>
      <c r="M294" t="s">
        <v>55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144</v>
      </c>
      <c r="U294" t="s">
        <v>85</v>
      </c>
      <c r="V294">
        <f>O294*(1-P294)*N294</f>
        <v>33740.549999999996</v>
      </c>
      <c r="W294">
        <f t="shared" si="12"/>
        <v>9118.6599999999962</v>
      </c>
      <c r="X294">
        <f t="shared" si="13"/>
        <v>0.27025819081194585</v>
      </c>
      <c r="Y294" t="str">
        <f>_xlfn.TEXTJOIN(", ",TRUE,IF(G294="Unknown","Missing Region",""),IF(M294="Unknown","Missing Ship Mode",""),IF(P294&lt;0,"Negative Discount",""),IF(P294&gt;0.7,"High Discount",""),IF(C294&lt;B294,"Ship Before Order",""))</f>
        <v>Ship Before Order</v>
      </c>
      <c r="Z294" s="2">
        <f>IFERROR(
  IF(ISNUMBER(B294),B294,
    IF(ISNUMBER(SEARCH("-",B294)*1),
      IF(LEN(LEFT(B294,FIND("-",B294)-1))=4,
        DATE(VALUE(LEFT(B294,4)),VALUE(MID(B294,6,2)),VALUE(RIGHT(B294,2))),
        DATE(VALUE(RIGHT(B294,4)),VALUE(MID(B294,4,2)),VALUE(LEFT(B294,2)))
      ),
      IF(ISNUMBER(SEARCH("/",B294)*1),
        DATE(VALUE(RIGHT(B294,4)),VALUE(LEFT(B294,2)),VALUE(MID(B294,4,2))),
        DATEVALUE(B294)
      )
    )
  ),
"INVALID_DATE")</f>
        <v>45716</v>
      </c>
      <c r="AA294" s="2">
        <f>IFERROR(
  IF(ISNUMBER(C294),C294,
    IF(ISNUMBER(SEARCH("-",C294)*1),
      IF(LEN(LEFT(C294,FIND("-",C294)-1))=4,
        DATE(VALUE(LEFT(C294,4)),VALUE(MID(C294,6,2)),VALUE(RIGHT(C294,2))),
        DATE(VALUE(RIGHT(C294,4)),VALUE(MID(C294,4,2)),VALUE(LEFT(C294,2)))
      ),
      IF(ISNUMBER(SEARCH("/",C294)*1),
        DATE(VALUE(RIGHT(C294,4)),VALUE(LEFT(C294,2)),VALUE(MID(C294,4,2))),
        DATEVALUE(C294)
      )
    )
  ),
"INVALID_DATE")</f>
        <v>45719</v>
      </c>
      <c r="AB294">
        <f>AA294-Z294</f>
        <v>3</v>
      </c>
      <c r="AC294" t="str">
        <f>TEXT(Z294,"mmmm")</f>
        <v>February</v>
      </c>
      <c r="AD294">
        <f>YEAR(Z294)</f>
        <v>2025</v>
      </c>
      <c r="AE294" t="str">
        <f t="shared" si="14"/>
        <v>OK</v>
      </c>
    </row>
    <row r="295" spans="1:31">
      <c r="A295" t="s">
        <v>1513</v>
      </c>
      <c r="B295" t="s">
        <v>1514</v>
      </c>
      <c r="C295" t="s">
        <v>1515</v>
      </c>
      <c r="D295" t="s">
        <v>1516</v>
      </c>
      <c r="E295" t="s">
        <v>68</v>
      </c>
      <c r="F295" t="s">
        <v>122</v>
      </c>
      <c r="G295" t="s">
        <v>69</v>
      </c>
      <c r="H295" t="s">
        <v>70</v>
      </c>
      <c r="I295" t="s">
        <v>71</v>
      </c>
      <c r="J295" t="s">
        <v>93</v>
      </c>
      <c r="K295" t="s">
        <v>230</v>
      </c>
      <c r="L295" t="s">
        <v>1517</v>
      </c>
      <c r="M295" t="s">
        <v>63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41</v>
      </c>
      <c r="U295" t="s">
        <v>42</v>
      </c>
      <c r="V295">
        <f>O295*(1-P295)*N295</f>
        <v>3081.0569999999998</v>
      </c>
      <c r="W295">
        <f t="shared" si="12"/>
        <v>-3459.9830000000002</v>
      </c>
      <c r="X295">
        <f t="shared" si="13"/>
        <v>0.21784746145760961</v>
      </c>
      <c r="Y295" t="s">
        <v>4120</v>
      </c>
      <c r="Z295" s="2">
        <f>IFERROR(
  IF(ISNUMBER(B295),B295,
    IF(ISNUMBER(SEARCH("-",B295)*1),
      IF(LEN(LEFT(B295,FIND("-",B295)-1))=4,
        DATE(VALUE(LEFT(B295,4)),VALUE(MID(B295,6,2)),VALUE(RIGHT(B295,2))),
        DATE(VALUE(RIGHT(B295,4)),VALUE(MID(B295,4,2)),VALUE(LEFT(B295,2)))
      ),
      IF(ISNUMBER(SEARCH("/",B295)*1),
        DATE(VALUE(RIGHT(B295,4)),VALUE(LEFT(B295,2)),VALUE(MID(B295,4,2))),
        DATEVALUE(B295)
      )
    )
  ),
"INVALID_DATE")</f>
        <v>45358</v>
      </c>
      <c r="AA295" s="2">
        <f>IFERROR(
  IF(ISNUMBER(C295),C295,
    IF(ISNUMBER(SEARCH("-",C295)*1),
      IF(LEN(LEFT(C295,FIND("-",C295)-1))=4,
        DATE(VALUE(LEFT(C295,4)),VALUE(MID(C295,6,2)),VALUE(RIGHT(C295,2))),
        DATE(VALUE(RIGHT(C295,4)),VALUE(MID(C295,4,2)),VALUE(LEFT(C295,2)))
      ),
      IF(ISNUMBER(SEARCH("/",C295)*1),
        DATE(VALUE(RIGHT(C295,4)),VALUE(LEFT(C295,2)),VALUE(MID(C295,4,2))),
        DATEVALUE(C295)
      )
    )
  ),
"INVALID_DATE")</f>
        <v>45362</v>
      </c>
      <c r="AB295">
        <f>AA295-Z295</f>
        <v>4</v>
      </c>
      <c r="AC295" t="str">
        <f>TEXT(Z295,"mmmm")</f>
        <v>March</v>
      </c>
      <c r="AD295">
        <f>YEAR(Z295)</f>
        <v>2024</v>
      </c>
      <c r="AE295" t="str">
        <f t="shared" si="14"/>
        <v>OK</v>
      </c>
    </row>
    <row r="296" spans="1:31">
      <c r="A296" t="s">
        <v>1518</v>
      </c>
      <c r="B296" t="s">
        <v>1519</v>
      </c>
      <c r="C296" t="s">
        <v>1520</v>
      </c>
      <c r="D296" t="s">
        <v>1521</v>
      </c>
      <c r="E296" t="s">
        <v>149</v>
      </c>
      <c r="F296" t="s">
        <v>33</v>
      </c>
      <c r="G296" t="s">
        <v>49</v>
      </c>
      <c r="H296" t="s">
        <v>50</v>
      </c>
      <c r="I296" t="s">
        <v>51</v>
      </c>
      <c r="J296" t="s">
        <v>93</v>
      </c>
      <c r="K296" t="s">
        <v>230</v>
      </c>
      <c r="L296" t="s">
        <v>1522</v>
      </c>
      <c r="M296" t="s">
        <v>40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41</v>
      </c>
      <c r="U296" t="s">
        <v>132</v>
      </c>
      <c r="V296">
        <f>O296*(1-P296)*N296</f>
        <v>18716.985000000001</v>
      </c>
      <c r="W296">
        <f t="shared" si="12"/>
        <v>6434.5550000000003</v>
      </c>
      <c r="X296">
        <f t="shared" si="13"/>
        <v>0.34378177260339404</v>
      </c>
      <c r="Y296" t="str">
        <f>_xlfn.TEXTJOIN(", ",TRUE,IF(G296="Unknown","Missing Region",""),IF(M296="Unknown","Missing Ship Mode",""),IF(P296&lt;0,"Negative Discount",""),IF(P296&gt;0.7,"High Discount",""),IF(C296&lt;B296,"Ship Before Order",""))</f>
        <v>Ship Before Order</v>
      </c>
      <c r="Z296" s="2">
        <f>IFERROR(
  IF(ISNUMBER(B296),B296,
    IF(ISNUMBER(SEARCH("-",B296)*1),
      IF(LEN(LEFT(B296,FIND("-",B296)-1))=4,
        DATE(VALUE(LEFT(B296,4)),VALUE(MID(B296,6,2)),VALUE(RIGHT(B296,2))),
        DATE(VALUE(RIGHT(B296,4)),VALUE(MID(B296,4,2)),VALUE(LEFT(B296,2)))
      ),
      IF(ISNUMBER(SEARCH("/",B296)*1),
        DATE(VALUE(RIGHT(B296,4)),VALUE(LEFT(B296,2)),VALUE(MID(B296,4,2))),
        DATEVALUE(B296)
      )
    )
  ),
"INVALID_DATE")</f>
        <v>45854</v>
      </c>
      <c r="AA296" s="2">
        <f>IFERROR(
  IF(ISNUMBER(C296),C296,
    IF(ISNUMBER(SEARCH("-",C296)*1),
      IF(LEN(LEFT(C296,FIND("-",C296)-1))=4,
        DATE(VALUE(LEFT(C296,4)),VALUE(MID(C296,6,2)),VALUE(RIGHT(C296,2))),
        DATE(VALUE(RIGHT(C296,4)),VALUE(MID(C296,4,2)),VALUE(LEFT(C296,2)))
      ),
      IF(ISNUMBER(SEARCH("/",C296)*1),
        DATE(VALUE(RIGHT(C296,4)),VALUE(LEFT(C296,2)),VALUE(MID(C296,4,2))),
        DATEVALUE(C296)
      )
    )
  ),
"INVALID_DATE")</f>
        <v>45860</v>
      </c>
      <c r="AB296">
        <f>AA296-Z296</f>
        <v>6</v>
      </c>
      <c r="AC296" t="str">
        <f>TEXT(Z296,"mmmm")</f>
        <v>July</v>
      </c>
      <c r="AD296">
        <f>YEAR(Z296)</f>
        <v>2025</v>
      </c>
      <c r="AE296" t="str">
        <f t="shared" si="14"/>
        <v>OK</v>
      </c>
    </row>
    <row r="297" spans="1:31">
      <c r="A297" t="s">
        <v>1523</v>
      </c>
      <c r="B297" t="s">
        <v>1524</v>
      </c>
      <c r="C297" t="s">
        <v>1525</v>
      </c>
      <c r="D297" t="s">
        <v>1526</v>
      </c>
      <c r="E297" t="s">
        <v>114</v>
      </c>
      <c r="F297" t="s">
        <v>48</v>
      </c>
      <c r="G297" t="s">
        <v>49</v>
      </c>
      <c r="H297" t="s">
        <v>223</v>
      </c>
      <c r="I297" t="s">
        <v>224</v>
      </c>
      <c r="J297" t="s">
        <v>37</v>
      </c>
      <c r="K297" t="s">
        <v>205</v>
      </c>
      <c r="L297" t="s">
        <v>1527</v>
      </c>
      <c r="M297" t="s">
        <v>74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41</v>
      </c>
      <c r="U297" t="s">
        <v>42</v>
      </c>
      <c r="V297">
        <f>O297*(1-P297)*N297</f>
        <v>9385.3350000000009</v>
      </c>
      <c r="W297">
        <f t="shared" si="12"/>
        <v>3556.795000000001</v>
      </c>
      <c r="X297">
        <f t="shared" si="13"/>
        <v>0.37897401692426702</v>
      </c>
      <c r="Y297" t="s">
        <v>4120</v>
      </c>
      <c r="Z297" s="2">
        <f>IFERROR(
  IF(ISNUMBER(B297),B297,
    IF(ISNUMBER(SEARCH("-",B297)*1),
      IF(LEN(LEFT(B297,FIND("-",B297)-1))=4,
        DATE(VALUE(LEFT(B297,4)),VALUE(MID(B297,6,2)),VALUE(RIGHT(B297,2))),
        DATE(VALUE(RIGHT(B297,4)),VALUE(MID(B297,4,2)),VALUE(LEFT(B297,2)))
      ),
      IF(ISNUMBER(SEARCH("/",B297)*1),
        DATE(VALUE(RIGHT(B297,4)),VALUE(LEFT(B297,2)),VALUE(MID(B297,4,2))),
        DATEVALUE(B297)
      )
    )
  ),
"INVALID_DATE")</f>
        <v>45833</v>
      </c>
      <c r="AA297" s="2">
        <f>IFERROR(
  IF(ISNUMBER(C297),C297,
    IF(ISNUMBER(SEARCH("-",C297)*1),
      IF(LEN(LEFT(C297,FIND("-",C297)-1))=4,
        DATE(VALUE(LEFT(C297,4)),VALUE(MID(C297,6,2)),VALUE(RIGHT(C297,2))),
        DATE(VALUE(RIGHT(C297,4)),VALUE(MID(C297,4,2)),VALUE(LEFT(C297,2)))
      ),
      IF(ISNUMBER(SEARCH("/",C297)*1),
        DATE(VALUE(RIGHT(C297,4)),VALUE(LEFT(C297,2)),VALUE(MID(C297,4,2))),
        DATEVALUE(C297)
      )
    )
  ),
"INVALID_DATE")</f>
        <v>45836</v>
      </c>
      <c r="AB297">
        <f>AA297-Z297</f>
        <v>3</v>
      </c>
      <c r="AC297" t="str">
        <f>TEXT(Z297,"mmmm")</f>
        <v>June</v>
      </c>
      <c r="AD297">
        <f>YEAR(Z297)</f>
        <v>2025</v>
      </c>
      <c r="AE297" t="str">
        <f t="shared" si="14"/>
        <v>OK</v>
      </c>
    </row>
    <row r="298" spans="1:31">
      <c r="A298" t="s">
        <v>1528</v>
      </c>
      <c r="B298" t="s">
        <v>1529</v>
      </c>
      <c r="C298" t="s">
        <v>1530</v>
      </c>
      <c r="D298" t="s">
        <v>1531</v>
      </c>
      <c r="E298" t="s">
        <v>114</v>
      </c>
      <c r="F298" t="s">
        <v>122</v>
      </c>
      <c r="G298" t="s">
        <v>34</v>
      </c>
      <c r="H298" t="s">
        <v>331</v>
      </c>
      <c r="I298" t="s">
        <v>332</v>
      </c>
      <c r="J298" t="s">
        <v>52</v>
      </c>
      <c r="K298" t="s">
        <v>72</v>
      </c>
      <c r="L298" t="s">
        <v>1532</v>
      </c>
      <c r="M298" t="s">
        <v>55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41</v>
      </c>
      <c r="U298" t="s">
        <v>42</v>
      </c>
      <c r="V298">
        <f>O298*(1-P298)*N298</f>
        <v>17826.590999999997</v>
      </c>
      <c r="W298">
        <f t="shared" si="12"/>
        <v>6971.2409999999963</v>
      </c>
      <c r="X298">
        <f t="shared" si="13"/>
        <v>0.39105852549478054</v>
      </c>
      <c r="Y298" t="str">
        <f>_xlfn.TEXTJOIN(", ",TRUE,IF(G298="Unknown","Missing Region",""),IF(M298="Unknown","Missing Ship Mode",""),IF(P298&lt;0,"Negative Discount",""),IF(P298&gt;0.7,"High Discount",""),IF(C298&lt;B298,"Ship Before Order",""))</f>
        <v>Ship Before Order</v>
      </c>
      <c r="Z298" s="2">
        <f>IFERROR(
  IF(ISNUMBER(B298),B298,
    IF(ISNUMBER(SEARCH("-",B298)*1),
      IF(LEN(LEFT(B298,FIND("-",B298)-1))=4,
        DATE(VALUE(LEFT(B298,4)),VALUE(MID(B298,6,2)),VALUE(RIGHT(B298,2))),
        DATE(VALUE(RIGHT(B298,4)),VALUE(MID(B298,4,2)),VALUE(LEFT(B298,2)))
      ),
      IF(ISNUMBER(SEARCH("/",B298)*1),
        DATE(VALUE(RIGHT(B298,4)),VALUE(LEFT(B298,2)),VALUE(MID(B298,4,2))),
        DATEVALUE(B298)
      )
    )
  ),
"INVALID_DATE")</f>
        <v>45801</v>
      </c>
      <c r="AA298" s="2">
        <f>IFERROR(
  IF(ISNUMBER(C298),C298,
    IF(ISNUMBER(SEARCH("-",C298)*1),
      IF(LEN(LEFT(C298,FIND("-",C298)-1))=4,
        DATE(VALUE(LEFT(C298,4)),VALUE(MID(C298,6,2)),VALUE(RIGHT(C298,2))),
        DATE(VALUE(RIGHT(C298,4)),VALUE(MID(C298,4,2)),VALUE(LEFT(C298,2)))
      ),
      IF(ISNUMBER(SEARCH("/",C298)*1),
        DATE(VALUE(RIGHT(C298,4)),VALUE(LEFT(C298,2)),VALUE(MID(C298,4,2))),
        DATEVALUE(C298)
      )
    )
  ),
"INVALID_DATE")</f>
        <v>45803</v>
      </c>
      <c r="AB298">
        <f>AA298-Z298</f>
        <v>2</v>
      </c>
      <c r="AC298" t="str">
        <f>TEXT(Z298,"mmmm")</f>
        <v>May</v>
      </c>
      <c r="AD298">
        <f>YEAR(Z298)</f>
        <v>2025</v>
      </c>
      <c r="AE298" t="str">
        <f t="shared" si="14"/>
        <v>OK</v>
      </c>
    </row>
    <row r="299" spans="1:31">
      <c r="A299" t="s">
        <v>1533</v>
      </c>
      <c r="B299" t="s">
        <v>1534</v>
      </c>
      <c r="C299" t="s">
        <v>1535</v>
      </c>
      <c r="D299" t="s">
        <v>1536</v>
      </c>
      <c r="E299" t="s">
        <v>175</v>
      </c>
      <c r="F299" t="s">
        <v>115</v>
      </c>
      <c r="G299" t="s">
        <v>69</v>
      </c>
      <c r="H299" t="s">
        <v>347</v>
      </c>
      <c r="I299" t="s">
        <v>348</v>
      </c>
      <c r="J299" t="s">
        <v>93</v>
      </c>
      <c r="K299" t="s">
        <v>101</v>
      </c>
      <c r="L299" t="s">
        <v>1537</v>
      </c>
      <c r="M299" t="s">
        <v>55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41</v>
      </c>
      <c r="U299" t="s">
        <v>42</v>
      </c>
      <c r="V299">
        <f>O299*(1-P299)*N299</f>
        <v>5966.5920000000006</v>
      </c>
      <c r="W299">
        <f t="shared" si="12"/>
        <v>1971.8720000000008</v>
      </c>
      <c r="X299">
        <f t="shared" si="13"/>
        <v>0.33048525204513801</v>
      </c>
      <c r="Y299" t="str">
        <f>_xlfn.TEXTJOIN(", ",TRUE,IF(G299="Unknown","Missing Region",""),IF(M299="Unknown","Missing Ship Mode",""),IF(P299&lt;0,"Negative Discount",""),IF(P299&gt;0.7,"High Discount",""),IF(C299&lt;B299,"Ship Before Order",""))</f>
        <v>Ship Before Order</v>
      </c>
      <c r="Z299" s="2">
        <f>IFERROR(
  IF(ISNUMBER(B299),B299,
    IF(ISNUMBER(SEARCH("-",B299)*1),
      IF(LEN(LEFT(B299,FIND("-",B299)-1))=4,
        DATE(VALUE(LEFT(B299,4)),VALUE(MID(B299,6,2)),VALUE(RIGHT(B299,2))),
        DATE(VALUE(RIGHT(B299,4)),VALUE(MID(B299,4,2)),VALUE(LEFT(B299,2)))
      ),
      IF(ISNUMBER(SEARCH("/",B299)*1),
        DATE(VALUE(RIGHT(B299,4)),VALUE(LEFT(B299,2)),VALUE(MID(B299,4,2))),
        DATEVALUE(B299)
      )
    )
  ),
"INVALID_DATE")</f>
        <v>45594</v>
      </c>
      <c r="AA299" s="2">
        <f>IFERROR(
  IF(ISNUMBER(C299),C299,
    IF(ISNUMBER(SEARCH("-",C299)*1),
      IF(LEN(LEFT(C299,FIND("-",C299)-1))=4,
        DATE(VALUE(LEFT(C299,4)),VALUE(MID(C299,6,2)),VALUE(RIGHT(C299,2))),
        DATE(VALUE(RIGHT(C299,4)),VALUE(MID(C299,4,2)),VALUE(LEFT(C299,2)))
      ),
      IF(ISNUMBER(SEARCH("/",C299)*1),
        DATE(VALUE(RIGHT(C299,4)),VALUE(LEFT(C299,2)),VALUE(MID(C299,4,2))),
        DATEVALUE(C299)
      )
    )
  ),
"INVALID_DATE")</f>
        <v>45602</v>
      </c>
      <c r="AB299">
        <f>AA299-Z299</f>
        <v>8</v>
      </c>
      <c r="AC299" t="str">
        <f>TEXT(Z299,"mmmm")</f>
        <v>October</v>
      </c>
      <c r="AD299">
        <f>YEAR(Z299)</f>
        <v>2024</v>
      </c>
      <c r="AE299" t="str">
        <f t="shared" si="14"/>
        <v>OK</v>
      </c>
    </row>
    <row r="300" spans="1:31">
      <c r="A300" t="s">
        <v>1538</v>
      </c>
      <c r="B300" t="s">
        <v>1539</v>
      </c>
      <c r="C300" t="s">
        <v>1540</v>
      </c>
      <c r="D300" t="s">
        <v>1541</v>
      </c>
      <c r="E300" t="s">
        <v>60</v>
      </c>
      <c r="F300" t="s">
        <v>33</v>
      </c>
      <c r="G300" t="s">
        <v>69</v>
      </c>
      <c r="H300" t="s">
        <v>249</v>
      </c>
      <c r="I300" t="s">
        <v>250</v>
      </c>
      <c r="J300" t="s">
        <v>93</v>
      </c>
      <c r="K300" t="s">
        <v>101</v>
      </c>
      <c r="L300" t="s">
        <v>1542</v>
      </c>
      <c r="M300" t="s">
        <v>63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207</v>
      </c>
      <c r="U300" t="s">
        <v>132</v>
      </c>
      <c r="V300">
        <f>O300*(1-P300)*N300</f>
        <v>1951.5440000000003</v>
      </c>
      <c r="W300">
        <f t="shared" si="12"/>
        <v>341.59400000000028</v>
      </c>
      <c r="X300">
        <f t="shared" si="13"/>
        <v>0.17503612531641677</v>
      </c>
      <c r="Y300" t="str">
        <f>_xlfn.TEXTJOIN(", ",TRUE,IF(G300="Unknown","Missing Region",""),IF(M300="Unknown","Missing Ship Mode",""),IF(P300&lt;0,"Negative Discount",""),IF(P300&gt;0.7,"High Discount",""),IF(C300&lt;B300,"Ship Before Order",""))</f>
        <v>Ship Before Order</v>
      </c>
      <c r="Z300" s="2">
        <f>IFERROR(
  IF(ISNUMBER(B300),B300,
    IF(ISNUMBER(SEARCH("-",B300)*1),
      IF(LEN(LEFT(B300,FIND("-",B300)-1))=4,
        DATE(VALUE(LEFT(B300,4)),VALUE(MID(B300,6,2)),VALUE(RIGHT(B300,2))),
        DATE(VALUE(RIGHT(B300,4)),VALUE(MID(B300,4,2)),VALUE(LEFT(B300,2)))
      ),
      IF(ISNUMBER(SEARCH("/",B300)*1),
        DATE(VALUE(RIGHT(B300,4)),VALUE(LEFT(B300,2)),VALUE(MID(B300,4,2))),
        DATEVALUE(B300)
      )
    )
  ),
"INVALID_DATE")</f>
        <v>45680</v>
      </c>
      <c r="AA300" s="2">
        <f>IFERROR(
  IF(ISNUMBER(C300),C300,
    IF(ISNUMBER(SEARCH("-",C300)*1),
      IF(LEN(LEFT(C300,FIND("-",C300)-1))=4,
        DATE(VALUE(LEFT(C300,4)),VALUE(MID(C300,6,2)),VALUE(RIGHT(C300,2))),
        DATE(VALUE(RIGHT(C300,4)),VALUE(MID(C300,4,2)),VALUE(LEFT(C300,2)))
      ),
      IF(ISNUMBER(SEARCH("/",C300)*1),
        DATE(VALUE(RIGHT(C300,4)),VALUE(LEFT(C300,2)),VALUE(MID(C300,4,2))),
        DATEVALUE(C300)
      )
    )
  ),
"INVALID_DATE")</f>
        <v>45683</v>
      </c>
      <c r="AB300">
        <f>AA300-Z300</f>
        <v>3</v>
      </c>
      <c r="AC300" t="str">
        <f>TEXT(Z300,"mmmm")</f>
        <v>January</v>
      </c>
      <c r="AD300">
        <f>YEAR(Z300)</f>
        <v>2025</v>
      </c>
      <c r="AE300" t="str">
        <f t="shared" si="14"/>
        <v>OK</v>
      </c>
    </row>
    <row r="301" spans="1:31">
      <c r="A301" t="s">
        <v>1543</v>
      </c>
      <c r="B301" t="s">
        <v>1535</v>
      </c>
      <c r="C301" t="s">
        <v>1544</v>
      </c>
      <c r="D301" t="s">
        <v>1545</v>
      </c>
      <c r="E301" t="s">
        <v>155</v>
      </c>
      <c r="F301" t="s">
        <v>48</v>
      </c>
      <c r="G301" t="s">
        <v>80</v>
      </c>
      <c r="H301" t="s">
        <v>242</v>
      </c>
      <c r="I301" t="s">
        <v>243</v>
      </c>
      <c r="J301" t="s">
        <v>93</v>
      </c>
      <c r="K301" t="s">
        <v>94</v>
      </c>
      <c r="L301" t="s">
        <v>1546</v>
      </c>
      <c r="M301" t="s">
        <v>74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41</v>
      </c>
      <c r="U301" t="s">
        <v>42</v>
      </c>
      <c r="V301">
        <f>O301*(1-P301)*N301</f>
        <v>10830.014999999999</v>
      </c>
      <c r="W301">
        <f t="shared" si="12"/>
        <v>3774.704999999999</v>
      </c>
      <c r="X301">
        <f t="shared" si="13"/>
        <v>0.3485413692680161</v>
      </c>
      <c r="Y301" t="s">
        <v>4120</v>
      </c>
      <c r="Z301" s="2">
        <f>IFERROR(
  IF(ISNUMBER(B301),B301,
    IF(ISNUMBER(SEARCH("-",B301)*1),
      IF(LEN(LEFT(B301,FIND("-",B301)-1))=4,
        DATE(VALUE(LEFT(B301,4)),VALUE(MID(B301,6,2)),VALUE(RIGHT(B301,2))),
        DATE(VALUE(RIGHT(B301,4)),VALUE(MID(B301,4,2)),VALUE(LEFT(B301,2)))
      ),
      IF(ISNUMBER(SEARCH("/",B301)*1),
        DATE(VALUE(RIGHT(B301,4)),VALUE(LEFT(B301,2)),VALUE(MID(B301,4,2))),
        DATEVALUE(B301)
      )
    )
  ),
"INVALID_DATE")</f>
        <v>45602</v>
      </c>
      <c r="AA301" s="2">
        <f>IFERROR(
  IF(ISNUMBER(C301),C301,
    IF(ISNUMBER(SEARCH("-",C301)*1),
      IF(LEN(LEFT(C301,FIND("-",C301)-1))=4,
        DATE(VALUE(LEFT(C301,4)),VALUE(MID(C301,6,2)),VALUE(RIGHT(C301,2))),
        DATE(VALUE(RIGHT(C301,4)),VALUE(MID(C301,4,2)),VALUE(LEFT(C301,2)))
      ),
      IF(ISNUMBER(SEARCH("/",C301)*1),
        DATE(VALUE(RIGHT(C301,4)),VALUE(LEFT(C301,2)),VALUE(MID(C301,4,2))),
        DATEVALUE(C301)
      )
    )
  ),
"INVALID_DATE")</f>
        <v>45608</v>
      </c>
      <c r="AB301">
        <f>AA301-Z301</f>
        <v>6</v>
      </c>
      <c r="AC301" t="str">
        <f>TEXT(Z301,"mmmm")</f>
        <v>November</v>
      </c>
      <c r="AD301">
        <f>YEAR(Z301)</f>
        <v>2024</v>
      </c>
      <c r="AE301" t="str">
        <f t="shared" si="14"/>
        <v>OK</v>
      </c>
    </row>
    <row r="302" spans="1:31">
      <c r="A302" t="s">
        <v>1547</v>
      </c>
      <c r="B302" t="s">
        <v>1548</v>
      </c>
      <c r="C302" t="s">
        <v>1549</v>
      </c>
      <c r="D302" t="s">
        <v>1550</v>
      </c>
      <c r="E302" t="s">
        <v>217</v>
      </c>
      <c r="F302" t="s">
        <v>48</v>
      </c>
      <c r="G302" t="s">
        <v>34</v>
      </c>
      <c r="H302" t="s">
        <v>161</v>
      </c>
      <c r="I302" t="s">
        <v>162</v>
      </c>
      <c r="J302" t="s">
        <v>93</v>
      </c>
      <c r="K302" t="s">
        <v>94</v>
      </c>
      <c r="L302" t="s">
        <v>1551</v>
      </c>
      <c r="M302" t="s">
        <v>40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41</v>
      </c>
      <c r="U302" t="s">
        <v>42</v>
      </c>
      <c r="V302">
        <f>O302*(1-P302)*N302</f>
        <v>31539.294000000002</v>
      </c>
      <c r="W302">
        <f t="shared" si="12"/>
        <v>9439.1540000000023</v>
      </c>
      <c r="X302">
        <f t="shared" si="13"/>
        <v>0.29928226031721067</v>
      </c>
      <c r="Y302" t="str">
        <f>_xlfn.TEXTJOIN(", ",TRUE,IF(G302="Unknown","Missing Region",""),IF(M302="Unknown","Missing Ship Mode",""),IF(P302&lt;0,"Negative Discount",""),IF(P302&gt;0.7,"High Discount",""),IF(C302&lt;B302,"Ship Before Order",""))</f>
        <v>Ship Before Order</v>
      </c>
      <c r="Z302" s="2">
        <f>IFERROR(
  IF(ISNUMBER(B302),B302,
    IF(ISNUMBER(SEARCH("-",B302)*1),
      IF(LEN(LEFT(B302,FIND("-",B302)-1))=4,
        DATE(VALUE(LEFT(B302,4)),VALUE(MID(B302,6,2)),VALUE(RIGHT(B302,2))),
        DATE(VALUE(RIGHT(B302,4)),VALUE(MID(B302,4,2)),VALUE(LEFT(B302,2)))
      ),
      IF(ISNUMBER(SEARCH("/",B302)*1),
        DATE(VALUE(RIGHT(B302,4)),VALUE(LEFT(B302,2)),VALUE(MID(B302,4,2))),
        DATEVALUE(B302)
      )
    )
  ),
"INVALID_DATE")</f>
        <v>45397</v>
      </c>
      <c r="AA302" s="2">
        <f>IFERROR(
  IF(ISNUMBER(C302),C302,
    IF(ISNUMBER(SEARCH("-",C302)*1),
      IF(LEN(LEFT(C302,FIND("-",C302)-1))=4,
        DATE(VALUE(LEFT(C302,4)),VALUE(MID(C302,6,2)),VALUE(RIGHT(C302,2))),
        DATE(VALUE(RIGHT(C302,4)),VALUE(MID(C302,4,2)),VALUE(LEFT(C302,2)))
      ),
      IF(ISNUMBER(SEARCH("/",C302)*1),
        DATE(VALUE(RIGHT(C302,4)),VALUE(LEFT(C302,2)),VALUE(MID(C302,4,2))),
        DATEVALUE(C302)
      )
    )
  ),
"INVALID_DATE")</f>
        <v>45405</v>
      </c>
      <c r="AB302">
        <f>AA302-Z302</f>
        <v>8</v>
      </c>
      <c r="AC302" t="str">
        <f>TEXT(Z302,"mmmm")</f>
        <v>April</v>
      </c>
      <c r="AD302">
        <f>YEAR(Z302)</f>
        <v>2024</v>
      </c>
      <c r="AE302" t="str">
        <f t="shared" si="14"/>
        <v>OK</v>
      </c>
    </row>
    <row r="303" spans="1:31">
      <c r="A303" t="s">
        <v>1552</v>
      </c>
      <c r="B303" t="s">
        <v>1026</v>
      </c>
      <c r="C303" t="s">
        <v>1553</v>
      </c>
      <c r="D303" t="s">
        <v>1554</v>
      </c>
      <c r="E303" t="s">
        <v>60</v>
      </c>
      <c r="F303" t="s">
        <v>122</v>
      </c>
      <c r="G303" t="s">
        <v>49</v>
      </c>
      <c r="H303" t="s">
        <v>193</v>
      </c>
      <c r="I303" t="s">
        <v>194</v>
      </c>
      <c r="J303" t="s">
        <v>93</v>
      </c>
      <c r="K303" t="s">
        <v>230</v>
      </c>
      <c r="L303" t="s">
        <v>1555</v>
      </c>
      <c r="M303" t="s">
        <v>55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41</v>
      </c>
      <c r="U303" t="s">
        <v>42</v>
      </c>
      <c r="V303">
        <f>O303*(1-P303)*N303</f>
        <v>6285.6179999999995</v>
      </c>
      <c r="W303">
        <f t="shared" si="12"/>
        <v>2580.2379999999994</v>
      </c>
      <c r="X303">
        <f t="shared" si="13"/>
        <v>0.41049888475599861</v>
      </c>
      <c r="Y303" t="str">
        <f>_xlfn.TEXTJOIN(", ",TRUE,IF(G303="Unknown","Missing Region",""),IF(M303="Unknown","Missing Ship Mode",""),IF(P303&lt;0,"Negative Discount",""),IF(P303&gt;0.7,"High Discount",""),IF(C303&lt;B303,"Ship Before Order",""))</f>
        <v>Ship Before Order</v>
      </c>
      <c r="Z303" s="2">
        <f>IFERROR(
  IF(ISNUMBER(B303),B303,
    IF(ISNUMBER(SEARCH("-",B303)*1),
      IF(LEN(LEFT(B303,FIND("-",B303)-1))=4,
        DATE(VALUE(LEFT(B303,4)),VALUE(MID(B303,6,2)),VALUE(RIGHT(B303,2))),
        DATE(VALUE(RIGHT(B303,4)),VALUE(MID(B303,4,2)),VALUE(LEFT(B303,2)))
      ),
      IF(ISNUMBER(SEARCH("/",B303)*1),
        DATE(VALUE(RIGHT(B303,4)),VALUE(LEFT(B303,2)),VALUE(MID(B303,4,2))),
        DATEVALUE(B303)
      )
    )
  ),
"INVALID_DATE")</f>
        <v>45805</v>
      </c>
      <c r="AA303" s="2">
        <f>IFERROR(
  IF(ISNUMBER(C303),C303,
    IF(ISNUMBER(SEARCH("-",C303)*1),
      IF(LEN(LEFT(C303,FIND("-",C303)-1))=4,
        DATE(VALUE(LEFT(C303,4)),VALUE(MID(C303,6,2)),VALUE(RIGHT(C303,2))),
        DATE(VALUE(RIGHT(C303,4)),VALUE(MID(C303,4,2)),VALUE(LEFT(C303,2)))
      ),
      IF(ISNUMBER(SEARCH("/",C303)*1),
        DATE(VALUE(RIGHT(C303,4)),VALUE(LEFT(C303,2)),VALUE(MID(C303,4,2))),
        DATEVALUE(C303)
      )
    )
  ),
"INVALID_DATE")</f>
        <v>45809</v>
      </c>
      <c r="AB303">
        <f>AA303-Z303</f>
        <v>4</v>
      </c>
      <c r="AC303" t="str">
        <f>TEXT(Z303,"mmmm")</f>
        <v>May</v>
      </c>
      <c r="AD303">
        <f>YEAR(Z303)</f>
        <v>2025</v>
      </c>
      <c r="AE303" t="str">
        <f t="shared" si="14"/>
        <v>OK</v>
      </c>
    </row>
    <row r="304" spans="1:31">
      <c r="A304" t="s">
        <v>1556</v>
      </c>
      <c r="B304" t="s">
        <v>1397</v>
      </c>
      <c r="C304" t="s">
        <v>1557</v>
      </c>
      <c r="D304" t="s">
        <v>1558</v>
      </c>
      <c r="E304" t="s">
        <v>100</v>
      </c>
      <c r="F304" t="s">
        <v>33</v>
      </c>
      <c r="G304" t="s">
        <v>80</v>
      </c>
      <c r="H304" t="s">
        <v>256</v>
      </c>
      <c r="I304" t="s">
        <v>257</v>
      </c>
      <c r="J304" t="s">
        <v>926</v>
      </c>
      <c r="K304" t="s">
        <v>163</v>
      </c>
      <c r="L304" t="s">
        <v>1559</v>
      </c>
      <c r="M304" t="s">
        <v>55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41</v>
      </c>
      <c r="U304" t="s">
        <v>42</v>
      </c>
      <c r="V304">
        <f>O304*(1-P304)*N304</f>
        <v>4054.92</v>
      </c>
      <c r="W304">
        <f t="shared" si="12"/>
        <v>1630.0900000000001</v>
      </c>
      <c r="X304">
        <f t="shared" si="13"/>
        <v>0.4020029988261174</v>
      </c>
      <c r="Y304" t="s">
        <v>4120</v>
      </c>
      <c r="Z304" s="2">
        <f>IFERROR(
  IF(ISNUMBER(B304),B304,
    IF(ISNUMBER(SEARCH("-",B304)*1),
      IF(LEN(LEFT(B304,FIND("-",B304)-1))=4,
        DATE(VALUE(LEFT(B304,4)),VALUE(MID(B304,6,2)),VALUE(RIGHT(B304,2))),
        DATE(VALUE(RIGHT(B304,4)),VALUE(MID(B304,4,2)),VALUE(LEFT(B304,2)))
      ),
      IF(ISNUMBER(SEARCH("/",B304)*1),
        DATE(VALUE(RIGHT(B304,4)),VALUE(LEFT(B304,2)),VALUE(MID(B304,4,2))),
        DATEVALUE(B304)
      )
    )
  ),
"INVALID_DATE")</f>
        <v>45812</v>
      </c>
      <c r="AA304" s="2">
        <f>IFERROR(
  IF(ISNUMBER(C304),C304,
    IF(ISNUMBER(SEARCH("-",C304)*1),
      IF(LEN(LEFT(C304,FIND("-",C304)-1))=4,
        DATE(VALUE(LEFT(C304,4)),VALUE(MID(C304,6,2)),VALUE(RIGHT(C304,2))),
        DATE(VALUE(RIGHT(C304,4)),VALUE(MID(C304,4,2)),VALUE(LEFT(C304,2)))
      ),
      IF(ISNUMBER(SEARCH("/",C304)*1),
        DATE(VALUE(RIGHT(C304,4)),VALUE(LEFT(C304,2)),VALUE(MID(C304,4,2))),
        DATEVALUE(C304)
      )
    )
  ),
"INVALID_DATE")</f>
        <v>45820</v>
      </c>
      <c r="AB304">
        <f>AA304-Z304</f>
        <v>8</v>
      </c>
      <c r="AC304" t="str">
        <f>TEXT(Z304,"mmmm")</f>
        <v>June</v>
      </c>
      <c r="AD304">
        <f>YEAR(Z304)</f>
        <v>2025</v>
      </c>
      <c r="AE304" t="str">
        <f t="shared" si="14"/>
        <v>OK</v>
      </c>
    </row>
    <row r="305" spans="1:31">
      <c r="A305" t="s">
        <v>1560</v>
      </c>
      <c r="B305" t="s">
        <v>1561</v>
      </c>
      <c r="C305" t="s">
        <v>1051</v>
      </c>
      <c r="D305" t="s">
        <v>1562</v>
      </c>
      <c r="E305" t="s">
        <v>217</v>
      </c>
      <c r="F305" t="s">
        <v>122</v>
      </c>
      <c r="G305" t="s">
        <v>80</v>
      </c>
      <c r="H305" t="s">
        <v>242</v>
      </c>
      <c r="I305" t="s">
        <v>243</v>
      </c>
      <c r="J305" t="s">
        <v>52</v>
      </c>
      <c r="K305" t="s">
        <v>83</v>
      </c>
      <c r="L305" t="s">
        <v>1563</v>
      </c>
      <c r="M305" t="s">
        <v>74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144</v>
      </c>
      <c r="U305" t="s">
        <v>132</v>
      </c>
      <c r="V305">
        <f>O305*(1-P305)*N305</f>
        <v>2363.652</v>
      </c>
      <c r="W305">
        <f t="shared" si="12"/>
        <v>487.55200000000013</v>
      </c>
      <c r="X305">
        <f t="shared" si="13"/>
        <v>0.20626996382713175</v>
      </c>
      <c r="Y305" t="s">
        <v>4120</v>
      </c>
      <c r="Z305" s="2">
        <f>IFERROR(
  IF(ISNUMBER(B305),B305,
    IF(ISNUMBER(SEARCH("-",B305)*1),
      IF(LEN(LEFT(B305,FIND("-",B305)-1))=4,
        DATE(VALUE(LEFT(B305,4)),VALUE(MID(B305,6,2)),VALUE(RIGHT(B305,2))),
        DATE(VALUE(RIGHT(B305,4)),VALUE(MID(B305,4,2)),VALUE(LEFT(B305,2)))
      ),
      IF(ISNUMBER(SEARCH("/",B305)*1),
        DATE(VALUE(RIGHT(B305,4)),VALUE(LEFT(B305,2)),VALUE(MID(B305,4,2))),
        DATEVALUE(B305)
      )
    )
  ),
"INVALID_DATE")</f>
        <v>45466</v>
      </c>
      <c r="AA305" s="2">
        <f>IFERROR(
  IF(ISNUMBER(C305),C305,
    IF(ISNUMBER(SEARCH("-",C305)*1),
      IF(LEN(LEFT(C305,FIND("-",C305)-1))=4,
        DATE(VALUE(LEFT(C305,4)),VALUE(MID(C305,6,2)),VALUE(RIGHT(C305,2))),
        DATE(VALUE(RIGHT(C305,4)),VALUE(MID(C305,4,2)),VALUE(LEFT(C305,2)))
      ),
      IF(ISNUMBER(SEARCH("/",C305)*1),
        DATE(VALUE(RIGHT(C305,4)),VALUE(LEFT(C305,2)),VALUE(MID(C305,4,2))),
        DATEVALUE(C305)
      )
    )
  ),
"INVALID_DATE")</f>
        <v>45471</v>
      </c>
      <c r="AB305">
        <f>AA305-Z305</f>
        <v>5</v>
      </c>
      <c r="AC305" t="str">
        <f>TEXT(Z305,"mmmm")</f>
        <v>June</v>
      </c>
      <c r="AD305">
        <f>YEAR(Z305)</f>
        <v>2024</v>
      </c>
      <c r="AE305" t="str">
        <f t="shared" si="14"/>
        <v>OK</v>
      </c>
    </row>
    <row r="306" spans="1:31">
      <c r="A306" t="s">
        <v>1564</v>
      </c>
      <c r="B306" t="s">
        <v>1565</v>
      </c>
      <c r="C306" t="s">
        <v>1566</v>
      </c>
      <c r="D306" t="s">
        <v>1567</v>
      </c>
      <c r="E306" t="s">
        <v>32</v>
      </c>
      <c r="F306" t="s">
        <v>33</v>
      </c>
      <c r="G306" t="s">
        <v>34</v>
      </c>
      <c r="H306" t="s">
        <v>161</v>
      </c>
      <c r="I306" t="s">
        <v>162</v>
      </c>
      <c r="J306" t="s">
        <v>52</v>
      </c>
      <c r="K306" t="s">
        <v>72</v>
      </c>
      <c r="L306" t="s">
        <v>1568</v>
      </c>
      <c r="M306" t="s">
        <v>74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41</v>
      </c>
      <c r="U306" t="s">
        <v>42</v>
      </c>
      <c r="V306">
        <f>O306*(1-P306)*N306</f>
        <v>12976.470000000001</v>
      </c>
      <c r="W306">
        <f t="shared" si="12"/>
        <v>2956.4900000000016</v>
      </c>
      <c r="X306">
        <f t="shared" si="13"/>
        <v>0.2278346884784537</v>
      </c>
      <c r="Y306" t="s">
        <v>4120</v>
      </c>
      <c r="Z306" s="2">
        <f>IFERROR(
  IF(ISNUMBER(B306),B306,
    IF(ISNUMBER(SEARCH("-",B306)*1),
      IF(LEN(LEFT(B306,FIND("-",B306)-1))=4,
        DATE(VALUE(LEFT(B306,4)),VALUE(MID(B306,6,2)),VALUE(RIGHT(B306,2))),
        DATE(VALUE(RIGHT(B306,4)),VALUE(MID(B306,4,2)),VALUE(LEFT(B306,2)))
      ),
      IF(ISNUMBER(SEARCH("/",B306)*1),
        DATE(VALUE(RIGHT(B306,4)),VALUE(LEFT(B306,2)),VALUE(MID(B306,4,2))),
        DATEVALUE(B306)
      )
    )
  ),
"INVALID_DATE")</f>
        <v>45357</v>
      </c>
      <c r="AA306" s="2">
        <f>IFERROR(
  IF(ISNUMBER(C306),C306,
    IF(ISNUMBER(SEARCH("-",C306)*1),
      IF(LEN(LEFT(C306,FIND("-",C306)-1))=4,
        DATE(VALUE(LEFT(C306,4)),VALUE(MID(C306,6,2)),VALUE(RIGHT(C306,2))),
        DATE(VALUE(RIGHT(C306,4)),VALUE(MID(C306,4,2)),VALUE(LEFT(C306,2)))
      ),
      IF(ISNUMBER(SEARCH("/",C306)*1),
        DATE(VALUE(RIGHT(C306,4)),VALUE(LEFT(C306,2)),VALUE(MID(C306,4,2))),
        DATEVALUE(C306)
      )
    )
  ),
"INVALID_DATE")</f>
        <v>45364</v>
      </c>
      <c r="AB306">
        <f>AA306-Z306</f>
        <v>7</v>
      </c>
      <c r="AC306" t="str">
        <f>TEXT(Z306,"mmmm")</f>
        <v>March</v>
      </c>
      <c r="AD306">
        <f>YEAR(Z306)</f>
        <v>2024</v>
      </c>
      <c r="AE306" t="str">
        <f t="shared" si="14"/>
        <v>OK</v>
      </c>
    </row>
    <row r="307" spans="1:31">
      <c r="A307" t="s">
        <v>1569</v>
      </c>
      <c r="B307" t="s">
        <v>1570</v>
      </c>
      <c r="C307" t="s">
        <v>1233</v>
      </c>
      <c r="D307" t="s">
        <v>1571</v>
      </c>
      <c r="E307" t="s">
        <v>79</v>
      </c>
      <c r="F307" t="s">
        <v>33</v>
      </c>
      <c r="G307" t="s">
        <v>49</v>
      </c>
      <c r="H307" t="s">
        <v>223</v>
      </c>
      <c r="I307" t="s">
        <v>224</v>
      </c>
      <c r="J307" t="s">
        <v>52</v>
      </c>
      <c r="K307" t="s">
        <v>83</v>
      </c>
      <c r="L307" t="s">
        <v>1572</v>
      </c>
      <c r="M307" t="s">
        <v>63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41</v>
      </c>
      <c r="U307" t="s">
        <v>85</v>
      </c>
      <c r="V307">
        <f>O307*(1-P307)*N307</f>
        <v>7480.9080000000004</v>
      </c>
      <c r="W307">
        <f t="shared" si="12"/>
        <v>-2371.0019999999995</v>
      </c>
      <c r="X307">
        <f t="shared" si="13"/>
        <v>0.25922091163579686</v>
      </c>
      <c r="Y307" t="s">
        <v>4120</v>
      </c>
      <c r="Z307" s="2">
        <f>IFERROR(
  IF(ISNUMBER(B307),B307,
    IF(ISNUMBER(SEARCH("-",B307)*1),
      IF(LEN(LEFT(B307,FIND("-",B307)-1))=4,
        DATE(VALUE(LEFT(B307,4)),VALUE(MID(B307,6,2)),VALUE(RIGHT(B307,2))),
        DATE(VALUE(RIGHT(B307,4)),VALUE(MID(B307,4,2)),VALUE(LEFT(B307,2)))
      ),
      IF(ISNUMBER(SEARCH("/",B307)*1),
        DATE(VALUE(RIGHT(B307,4)),VALUE(LEFT(B307,2)),VALUE(MID(B307,4,2))),
        DATEVALUE(B307)
      )
    )
  ),
"INVALID_DATE")</f>
        <v>45413</v>
      </c>
      <c r="AA307" s="2">
        <f>IFERROR(
  IF(ISNUMBER(C307),C307,
    IF(ISNUMBER(SEARCH("-",C307)*1),
      IF(LEN(LEFT(C307,FIND("-",C307)-1))=4,
        DATE(VALUE(LEFT(C307,4)),VALUE(MID(C307,6,2)),VALUE(RIGHT(C307,2))),
        DATE(VALUE(RIGHT(C307,4)),VALUE(MID(C307,4,2)),VALUE(LEFT(C307,2)))
      ),
      IF(ISNUMBER(SEARCH("/",C307)*1),
        DATE(VALUE(RIGHT(C307,4)),VALUE(LEFT(C307,2)),VALUE(MID(C307,4,2))),
        DATEVALUE(C307)
      )
    )
  ),
"INVALID_DATE")</f>
        <v>45414</v>
      </c>
      <c r="AB307">
        <f>AA307-Z307</f>
        <v>1</v>
      </c>
      <c r="AC307" t="str">
        <f>TEXT(Z307,"mmmm")</f>
        <v>May</v>
      </c>
      <c r="AD307">
        <f>YEAR(Z307)</f>
        <v>2024</v>
      </c>
      <c r="AE307" t="str">
        <f t="shared" si="14"/>
        <v>OK</v>
      </c>
    </row>
    <row r="308" spans="1:31">
      <c r="A308" t="s">
        <v>1573</v>
      </c>
      <c r="B308" t="s">
        <v>1574</v>
      </c>
      <c r="C308" t="s">
        <v>104</v>
      </c>
      <c r="D308" t="s">
        <v>1575</v>
      </c>
      <c r="E308" t="s">
        <v>169</v>
      </c>
      <c r="F308" t="s">
        <v>33</v>
      </c>
      <c r="G308" t="s">
        <v>34</v>
      </c>
      <c r="H308" t="s">
        <v>35</v>
      </c>
      <c r="I308" t="s">
        <v>36</v>
      </c>
      <c r="J308" t="s">
        <v>93</v>
      </c>
      <c r="K308" t="s">
        <v>230</v>
      </c>
      <c r="L308" t="s">
        <v>1576</v>
      </c>
      <c r="M308" t="s">
        <v>40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41</v>
      </c>
      <c r="U308" t="s">
        <v>42</v>
      </c>
      <c r="V308">
        <f>O308*(1-P308)*N308</f>
        <v>14692.44</v>
      </c>
      <c r="W308">
        <f t="shared" si="12"/>
        <v>4610.25</v>
      </c>
      <c r="X308">
        <f t="shared" si="13"/>
        <v>0.31378382351740075</v>
      </c>
      <c r="Y308" t="s">
        <v>4120</v>
      </c>
      <c r="Z308" s="2">
        <f>IFERROR(
  IF(ISNUMBER(B308),B308,
    IF(ISNUMBER(SEARCH("-",B308)*1),
      IF(LEN(LEFT(B308,FIND("-",B308)-1))=4,
        DATE(VALUE(LEFT(B308,4)),VALUE(MID(B308,6,2)),VALUE(RIGHT(B308,2))),
        DATE(VALUE(RIGHT(B308,4)),VALUE(MID(B308,4,2)),VALUE(LEFT(B308,2)))
      ),
      IF(ISNUMBER(SEARCH("/",B308)*1),
        DATE(VALUE(RIGHT(B308,4)),VALUE(LEFT(B308,2)),VALUE(MID(B308,4,2))),
        DATEVALUE(B308)
      )
    )
  ),
"INVALID_DATE")</f>
        <v>45708</v>
      </c>
      <c r="AA308" s="2">
        <f>IFERROR(
  IF(ISNUMBER(C308),C308,
    IF(ISNUMBER(SEARCH("-",C308)*1),
      IF(LEN(LEFT(C308,FIND("-",C308)-1))=4,
        DATE(VALUE(LEFT(C308,4)),VALUE(MID(C308,6,2)),VALUE(RIGHT(C308,2))),
        DATE(VALUE(RIGHT(C308,4)),VALUE(MID(C308,4,2)),VALUE(LEFT(C308,2)))
      ),
      IF(ISNUMBER(SEARCH("/",C308)*1),
        DATE(VALUE(RIGHT(C308,4)),VALUE(LEFT(C308,2)),VALUE(MID(C308,4,2))),
        DATEVALUE(C308)
      )
    )
  ),
"INVALID_DATE")</f>
        <v>45711</v>
      </c>
      <c r="AB308">
        <f>AA308-Z308</f>
        <v>3</v>
      </c>
      <c r="AC308" t="str">
        <f>TEXT(Z308,"mmmm")</f>
        <v>February</v>
      </c>
      <c r="AD308">
        <f>YEAR(Z308)</f>
        <v>2025</v>
      </c>
      <c r="AE308" t="str">
        <f t="shared" si="14"/>
        <v>OK</v>
      </c>
    </row>
    <row r="309" spans="1:31">
      <c r="A309" t="s">
        <v>1577</v>
      </c>
      <c r="B309" t="s">
        <v>1578</v>
      </c>
      <c r="C309" t="s">
        <v>1579</v>
      </c>
      <c r="D309" t="s">
        <v>1580</v>
      </c>
      <c r="E309" t="s">
        <v>79</v>
      </c>
      <c r="F309" t="s">
        <v>115</v>
      </c>
      <c r="G309" t="s">
        <v>34</v>
      </c>
      <c r="H309" t="s">
        <v>181</v>
      </c>
      <c r="I309" t="s">
        <v>182</v>
      </c>
      <c r="J309" t="s">
        <v>52</v>
      </c>
      <c r="K309" t="s">
        <v>53</v>
      </c>
      <c r="L309" t="s">
        <v>1581</v>
      </c>
      <c r="M309" t="s">
        <v>63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1582</v>
      </c>
      <c r="U309" t="s">
        <v>85</v>
      </c>
      <c r="V309">
        <f>O309*(1-P309)*N309</f>
        <v>29469.888000000003</v>
      </c>
      <c r="W309">
        <f t="shared" si="12"/>
        <v>10534.378000000004</v>
      </c>
      <c r="X309">
        <f t="shared" si="13"/>
        <v>0.35746248119690976</v>
      </c>
      <c r="Y309" t="str">
        <f>_xlfn.TEXTJOIN(", ",TRUE,IF(G309="Unknown","Missing Region",""),IF(M309="Unknown","Missing Ship Mode",""),IF(P309&lt;0,"Negative Discount",""),IF(P309&gt;0.7,"High Discount",""),IF(C309&lt;B309,"Ship Before Order",""))</f>
        <v>Ship Before Order</v>
      </c>
      <c r="Z309" s="2">
        <f>IFERROR(
  IF(ISNUMBER(B309),B309,
    IF(ISNUMBER(SEARCH("-",B309)*1),
      IF(LEN(LEFT(B309,FIND("-",B309)-1))=4,
        DATE(VALUE(LEFT(B309,4)),VALUE(MID(B309,6,2)),VALUE(RIGHT(B309,2))),
        DATE(VALUE(RIGHT(B309,4)),VALUE(MID(B309,4,2)),VALUE(LEFT(B309,2)))
      ),
      IF(ISNUMBER(SEARCH("/",B309)*1),
        DATE(VALUE(RIGHT(B309,4)),VALUE(LEFT(B309,2)),VALUE(MID(B309,4,2))),
        DATEVALUE(B309)
      )
    )
  ),
"INVALID_DATE")</f>
        <v>45850</v>
      </c>
      <c r="AA309" s="2">
        <f>IFERROR(
  IF(ISNUMBER(C309),C309,
    IF(ISNUMBER(SEARCH("-",C309)*1),
      IF(LEN(LEFT(C309,FIND("-",C309)-1))=4,
        DATE(VALUE(LEFT(C309,4)),VALUE(MID(C309,6,2)),VALUE(RIGHT(C309,2))),
        DATE(VALUE(RIGHT(C309,4)),VALUE(MID(C309,4,2)),VALUE(LEFT(C309,2)))
      ),
      IF(ISNUMBER(SEARCH("/",C309)*1),
        DATE(VALUE(RIGHT(C309,4)),VALUE(LEFT(C309,2)),VALUE(MID(C309,4,2))),
        DATEVALUE(C309)
      )
    )
  ),
"INVALID_DATE")</f>
        <v>45857</v>
      </c>
      <c r="AB309">
        <f>AA309-Z309</f>
        <v>7</v>
      </c>
      <c r="AC309" t="str">
        <f>TEXT(Z309,"mmmm")</f>
        <v>July</v>
      </c>
      <c r="AD309">
        <f>YEAR(Z309)</f>
        <v>2025</v>
      </c>
      <c r="AE309" t="str">
        <f t="shared" si="14"/>
        <v>OK</v>
      </c>
    </row>
    <row r="310" spans="1:31">
      <c r="A310" t="s">
        <v>1583</v>
      </c>
      <c r="B310" t="s">
        <v>1584</v>
      </c>
      <c r="C310" t="s">
        <v>1585</v>
      </c>
      <c r="D310" t="s">
        <v>1586</v>
      </c>
      <c r="E310" t="s">
        <v>187</v>
      </c>
      <c r="F310" t="s">
        <v>33</v>
      </c>
      <c r="G310" t="s">
        <v>34</v>
      </c>
      <c r="H310" t="s">
        <v>35</v>
      </c>
      <c r="I310" t="s">
        <v>36</v>
      </c>
      <c r="J310" t="s">
        <v>52</v>
      </c>
      <c r="K310" t="s">
        <v>53</v>
      </c>
      <c r="L310" t="s">
        <v>1587</v>
      </c>
      <c r="M310" t="s">
        <v>63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41</v>
      </c>
      <c r="U310" t="s">
        <v>42</v>
      </c>
      <c r="V310">
        <f>O310*(1-P310)*N310</f>
        <v>2341.0240000000003</v>
      </c>
      <c r="W310">
        <f t="shared" si="12"/>
        <v>775.53400000000033</v>
      </c>
      <c r="X310">
        <f t="shared" si="13"/>
        <v>0.33127867339877487</v>
      </c>
      <c r="Y310" t="s">
        <v>4120</v>
      </c>
      <c r="Z310" s="2">
        <f>IFERROR(
  IF(ISNUMBER(B310),B310,
    IF(ISNUMBER(SEARCH("-",B310)*1),
      IF(LEN(LEFT(B310,FIND("-",B310)-1))=4,
        DATE(VALUE(LEFT(B310,4)),VALUE(MID(B310,6,2)),VALUE(RIGHT(B310,2))),
        DATE(VALUE(RIGHT(B310,4)),VALUE(MID(B310,4,2)),VALUE(LEFT(B310,2)))
      ),
      IF(ISNUMBER(SEARCH("/",B310)*1),
        DATE(VALUE(RIGHT(B310,4)),VALUE(LEFT(B310,2)),VALUE(MID(B310,4,2))),
        DATEVALUE(B310)
      )
    )
  ),
"INVALID_DATE")</f>
        <v>45821</v>
      </c>
      <c r="AA310" s="2">
        <f>IFERROR(
  IF(ISNUMBER(C310),C310,
    IF(ISNUMBER(SEARCH("-",C310)*1),
      IF(LEN(LEFT(C310,FIND("-",C310)-1))=4,
        DATE(VALUE(LEFT(C310,4)),VALUE(MID(C310,6,2)),VALUE(RIGHT(C310,2))),
        DATE(VALUE(RIGHT(C310,4)),VALUE(MID(C310,4,2)),VALUE(LEFT(C310,2)))
      ),
      IF(ISNUMBER(SEARCH("/",C310)*1),
        DATE(VALUE(RIGHT(C310,4)),VALUE(LEFT(C310,2)),VALUE(MID(C310,4,2))),
        DATEVALUE(C310)
      )
    )
  ),
"INVALID_DATE")</f>
        <v>45827</v>
      </c>
      <c r="AB310">
        <f>AA310-Z310</f>
        <v>6</v>
      </c>
      <c r="AC310" t="str">
        <f>TEXT(Z310,"mmmm")</f>
        <v>June</v>
      </c>
      <c r="AD310">
        <f>YEAR(Z310)</f>
        <v>2025</v>
      </c>
      <c r="AE310" t="str">
        <f t="shared" si="14"/>
        <v>OK</v>
      </c>
    </row>
    <row r="311" spans="1:31">
      <c r="A311" t="s">
        <v>1588</v>
      </c>
      <c r="B311" t="s">
        <v>1589</v>
      </c>
      <c r="C311" t="s">
        <v>134</v>
      </c>
      <c r="D311" t="s">
        <v>1590</v>
      </c>
      <c r="E311" t="s">
        <v>79</v>
      </c>
      <c r="F311" t="s">
        <v>33</v>
      </c>
      <c r="G311" t="s">
        <v>69</v>
      </c>
      <c r="H311" t="s">
        <v>347</v>
      </c>
      <c r="I311" t="s">
        <v>348</v>
      </c>
      <c r="J311" t="s">
        <v>52</v>
      </c>
      <c r="K311" t="s">
        <v>53</v>
      </c>
      <c r="L311" t="s">
        <v>1591</v>
      </c>
      <c r="M311" t="s">
        <v>63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41</v>
      </c>
      <c r="U311" t="s">
        <v>85</v>
      </c>
      <c r="V311">
        <f>O311*(1-P311)*N311</f>
        <v>12982.599000000002</v>
      </c>
      <c r="W311">
        <f t="shared" si="12"/>
        <v>5736.2390000000023</v>
      </c>
      <c r="X311">
        <f t="shared" si="13"/>
        <v>0.44184061744180669</v>
      </c>
      <c r="Y311" t="s">
        <v>4120</v>
      </c>
      <c r="Z311" s="2">
        <f>IFERROR(
  IF(ISNUMBER(B311),B311,
    IF(ISNUMBER(SEARCH("-",B311)*1),
      IF(LEN(LEFT(B311,FIND("-",B311)-1))=4,
        DATE(VALUE(LEFT(B311,4)),VALUE(MID(B311,6,2)),VALUE(RIGHT(B311,2))),
        DATE(VALUE(RIGHT(B311,4)),VALUE(MID(B311,4,2)),VALUE(LEFT(B311,2)))
      ),
      IF(ISNUMBER(SEARCH("/",B311)*1),
        DATE(VALUE(RIGHT(B311,4)),VALUE(LEFT(B311,2)),VALUE(MID(B311,4,2))),
        DATEVALUE(B311)
      )
    )
  ),
"INVALID_DATE")</f>
        <v>45493</v>
      </c>
      <c r="AA311" s="2">
        <f>IFERROR(
  IF(ISNUMBER(C311),C311,
    IF(ISNUMBER(SEARCH("-",C311)*1),
      IF(LEN(LEFT(C311,FIND("-",C311)-1))=4,
        DATE(VALUE(LEFT(C311,4)),VALUE(MID(C311,6,2)),VALUE(RIGHT(C311,2))),
        DATE(VALUE(RIGHT(C311,4)),VALUE(MID(C311,4,2)),VALUE(LEFT(C311,2)))
      ),
      IF(ISNUMBER(SEARCH("/",C311)*1),
        DATE(VALUE(RIGHT(C311,4)),VALUE(LEFT(C311,2)),VALUE(MID(C311,4,2))),
        DATEVALUE(C311)
      )
    )
  ),
"INVALID_DATE")</f>
        <v>45495</v>
      </c>
      <c r="AB311">
        <f>AA311-Z311</f>
        <v>2</v>
      </c>
      <c r="AC311" t="str">
        <f>TEXT(Z311,"mmmm")</f>
        <v>July</v>
      </c>
      <c r="AD311">
        <f>YEAR(Z311)</f>
        <v>2024</v>
      </c>
      <c r="AE311" t="str">
        <f t="shared" si="14"/>
        <v>OK</v>
      </c>
    </row>
    <row r="312" spans="1:31">
      <c r="A312" t="s">
        <v>1592</v>
      </c>
      <c r="B312" t="s">
        <v>1593</v>
      </c>
      <c r="C312" t="s">
        <v>1594</v>
      </c>
      <c r="D312" t="s">
        <v>1595</v>
      </c>
      <c r="E312" t="s">
        <v>187</v>
      </c>
      <c r="F312" t="s">
        <v>48</v>
      </c>
      <c r="G312" t="s">
        <v>69</v>
      </c>
      <c r="H312" t="s">
        <v>347</v>
      </c>
      <c r="I312" t="s">
        <v>348</v>
      </c>
      <c r="J312" t="s">
        <v>93</v>
      </c>
      <c r="K312" t="s">
        <v>390</v>
      </c>
      <c r="L312" t="s">
        <v>1596</v>
      </c>
      <c r="M312" t="s">
        <v>63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41</v>
      </c>
      <c r="U312" t="s">
        <v>42</v>
      </c>
      <c r="V312">
        <f>O312*(1-P312)*N312</f>
        <v>16274</v>
      </c>
      <c r="W312">
        <f t="shared" si="12"/>
        <v>6849.75</v>
      </c>
      <c r="X312">
        <f t="shared" si="13"/>
        <v>0.42090143787636719</v>
      </c>
      <c r="Y312" t="s">
        <v>4120</v>
      </c>
      <c r="Z312" s="2">
        <f>IFERROR(
  IF(ISNUMBER(B312),B312,
    IF(ISNUMBER(SEARCH("-",B312)*1),
      IF(LEN(LEFT(B312,FIND("-",B312)-1))=4,
        DATE(VALUE(LEFT(B312,4)),VALUE(MID(B312,6,2)),VALUE(RIGHT(B312,2))),
        DATE(VALUE(RIGHT(B312,4)),VALUE(MID(B312,4,2)),VALUE(LEFT(B312,2)))
      ),
      IF(ISNUMBER(SEARCH("/",B312)*1),
        DATE(VALUE(RIGHT(B312,4)),VALUE(LEFT(B312,2)),VALUE(MID(B312,4,2))),
        DATEVALUE(B312)
      )
    )
  ),
"INVALID_DATE")</f>
        <v>45477</v>
      </c>
      <c r="AA312" s="2">
        <f>IFERROR(
  IF(ISNUMBER(C312),C312,
    IF(ISNUMBER(SEARCH("-",C312)*1),
      IF(LEN(LEFT(C312,FIND("-",C312)-1))=4,
        DATE(VALUE(LEFT(C312,4)),VALUE(MID(C312,6,2)),VALUE(RIGHT(C312,2))),
        DATE(VALUE(RIGHT(C312,4)),VALUE(MID(C312,4,2)),VALUE(LEFT(C312,2)))
      ),
      IF(ISNUMBER(SEARCH("/",C312)*1),
        DATE(VALUE(RIGHT(C312,4)),VALUE(LEFT(C312,2)),VALUE(MID(C312,4,2))),
        DATEVALUE(C312)
      )
    )
  ),
"INVALID_DATE")</f>
        <v>45481</v>
      </c>
      <c r="AB312">
        <f>AA312-Z312</f>
        <v>4</v>
      </c>
      <c r="AC312" t="str">
        <f>TEXT(Z312,"mmmm")</f>
        <v>July</v>
      </c>
      <c r="AD312">
        <f>YEAR(Z312)</f>
        <v>2024</v>
      </c>
      <c r="AE312" t="str">
        <f t="shared" si="14"/>
        <v>OK</v>
      </c>
    </row>
    <row r="313" spans="1:31">
      <c r="A313" t="s">
        <v>1597</v>
      </c>
      <c r="B313" t="s">
        <v>1598</v>
      </c>
      <c r="C313" t="s">
        <v>956</v>
      </c>
      <c r="D313" t="s">
        <v>1599</v>
      </c>
      <c r="E313" t="s">
        <v>47</v>
      </c>
      <c r="F313" t="s">
        <v>115</v>
      </c>
      <c r="G313" t="s">
        <v>69</v>
      </c>
      <c r="H313" t="s">
        <v>236</v>
      </c>
      <c r="I313" t="s">
        <v>237</v>
      </c>
      <c r="J313" t="s">
        <v>37</v>
      </c>
      <c r="K313" t="s">
        <v>205</v>
      </c>
      <c r="L313" t="s">
        <v>1600</v>
      </c>
      <c r="M313" t="s">
        <v>40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41</v>
      </c>
      <c r="U313" t="s">
        <v>42</v>
      </c>
      <c r="V313">
        <f>O313*(1-P313)*N313</f>
        <v>2493.1799999999998</v>
      </c>
      <c r="W313">
        <f t="shared" si="12"/>
        <v>729.17999999999984</v>
      </c>
      <c r="X313">
        <f t="shared" si="13"/>
        <v>0.29246985777200202</v>
      </c>
      <c r="Y313" t="str">
        <f>_xlfn.TEXTJOIN(", ",TRUE,IF(G313="Unknown","Missing Region",""),IF(M313="Unknown","Missing Ship Mode",""),IF(P313&lt;0,"Negative Discount",""),IF(P313&gt;0.7,"High Discount",""),IF(C313&lt;B313,"Ship Before Order",""))</f>
        <v>Ship Before Order</v>
      </c>
      <c r="Z313" s="2">
        <f>IFERROR(
  IF(ISNUMBER(B313),B313,
    IF(ISNUMBER(SEARCH("-",B313)*1),
      IF(LEN(LEFT(B313,FIND("-",B313)-1))=4,
        DATE(VALUE(LEFT(B313,4)),VALUE(MID(B313,6,2)),VALUE(RIGHT(B313,2))),
        DATE(VALUE(RIGHT(B313,4)),VALUE(MID(B313,4,2)),VALUE(LEFT(B313,2)))
      ),
      IF(ISNUMBER(SEARCH("/",B313)*1),
        DATE(VALUE(RIGHT(B313,4)),VALUE(LEFT(B313,2)),VALUE(MID(B313,4,2))),
        DATEVALUE(B313)
      )
    )
  ),
"INVALID_DATE")</f>
        <v>45409</v>
      </c>
      <c r="AA313" s="2">
        <f>IFERROR(
  IF(ISNUMBER(C313),C313,
    IF(ISNUMBER(SEARCH("-",C313)*1),
      IF(LEN(LEFT(C313,FIND("-",C313)-1))=4,
        DATE(VALUE(LEFT(C313,4)),VALUE(MID(C313,6,2)),VALUE(RIGHT(C313,2))),
        DATE(VALUE(RIGHT(C313,4)),VALUE(MID(C313,4,2)),VALUE(LEFT(C313,2)))
      ),
      IF(ISNUMBER(SEARCH("/",C313)*1),
        DATE(VALUE(RIGHT(C313,4)),VALUE(LEFT(C313,2)),VALUE(MID(C313,4,2))),
        DATEVALUE(C313)
      )
    )
  ),
"INVALID_DATE")</f>
        <v>45414</v>
      </c>
      <c r="AB313">
        <f>AA313-Z313</f>
        <v>5</v>
      </c>
      <c r="AC313" t="str">
        <f>TEXT(Z313,"mmmm")</f>
        <v>April</v>
      </c>
      <c r="AD313">
        <f>YEAR(Z313)</f>
        <v>2024</v>
      </c>
      <c r="AE313" t="str">
        <f t="shared" si="14"/>
        <v>OK</v>
      </c>
    </row>
    <row r="314" spans="1:31">
      <c r="A314" t="s">
        <v>1601</v>
      </c>
      <c r="B314" t="s">
        <v>1602</v>
      </c>
      <c r="C314" t="s">
        <v>524</v>
      </c>
      <c r="D314" t="s">
        <v>1603</v>
      </c>
      <c r="E314" t="s">
        <v>32</v>
      </c>
      <c r="F314" t="s">
        <v>48</v>
      </c>
      <c r="G314" t="s">
        <v>49</v>
      </c>
      <c r="H314" t="s">
        <v>223</v>
      </c>
      <c r="I314" t="s">
        <v>224</v>
      </c>
      <c r="J314" t="s">
        <v>93</v>
      </c>
      <c r="K314" t="s">
        <v>230</v>
      </c>
      <c r="L314" t="s">
        <v>1604</v>
      </c>
      <c r="M314" t="s">
        <v>74</v>
      </c>
      <c r="N314">
        <v>8</v>
      </c>
      <c r="O314">
        <v>2614.7399999999998</v>
      </c>
      <c r="P314">
        <v>0</v>
      </c>
      <c r="Q314">
        <v>15688.44</v>
      </c>
      <c r="R314">
        <v>10047.33</v>
      </c>
      <c r="S314">
        <v>5641.11</v>
      </c>
      <c r="T314" t="s">
        <v>41</v>
      </c>
      <c r="U314" t="s">
        <v>85</v>
      </c>
      <c r="V314">
        <f>O314*(1-P314)*N314</f>
        <v>20917.919999999998</v>
      </c>
      <c r="W314">
        <f t="shared" si="12"/>
        <v>10870.589999999998</v>
      </c>
      <c r="X314">
        <f t="shared" si="13"/>
        <v>0.35957112370637229</v>
      </c>
      <c r="Y314" t="str">
        <f>_xlfn.TEXTJOIN(", ",TRUE,IF(G314="Unknown","Missing Region",""),IF(M314="Unknown","Missing Ship Mode",""),IF(P314&lt;0,"Negative Discount",""),IF(P314&gt;0.7,"High Discount",""),IF(C314&lt;B314,"Ship Before Order",""))</f>
        <v>Ship Before Order</v>
      </c>
      <c r="Z314" s="2">
        <f>IFERROR(
  IF(ISNUMBER(B314),B314,
    IF(ISNUMBER(SEARCH("-",B314)*1),
      IF(LEN(LEFT(B314,FIND("-",B314)-1))=4,
        DATE(VALUE(LEFT(B314,4)),VALUE(MID(B314,6,2)),VALUE(RIGHT(B314,2))),
        DATE(VALUE(RIGHT(B314,4)),VALUE(MID(B314,4,2)),VALUE(LEFT(B314,2)))
      ),
      IF(ISNUMBER(SEARCH("/",B314)*1),
        DATE(VALUE(RIGHT(B314,4)),VALUE(LEFT(B314,2)),VALUE(MID(B314,4,2))),
        DATEVALUE(B314)
      )
    )
  ),
"INVALID_DATE")</f>
        <v>45504</v>
      </c>
      <c r="AA314" s="2">
        <f>IFERROR(
  IF(ISNUMBER(C314),C314,
    IF(ISNUMBER(SEARCH("-",C314)*1),
      IF(LEN(LEFT(C314,FIND("-",C314)-1))=4,
        DATE(VALUE(LEFT(C314,4)),VALUE(MID(C314,6,2)),VALUE(RIGHT(C314,2))),
        DATE(VALUE(RIGHT(C314,4)),VALUE(MID(C314,4,2)),VALUE(LEFT(C314,2)))
      ),
      IF(ISNUMBER(SEARCH("/",C314)*1),
        DATE(VALUE(RIGHT(C314,4)),VALUE(LEFT(C314,2)),VALUE(MID(C314,4,2))),
        DATEVALUE(C314)
      )
    )
  ),
"INVALID_DATE")</f>
        <v>45508</v>
      </c>
      <c r="AB314">
        <f>AA314-Z314</f>
        <v>4</v>
      </c>
      <c r="AC314" t="str">
        <f>TEXT(Z314,"mmmm")</f>
        <v>July</v>
      </c>
      <c r="AD314">
        <f>YEAR(Z314)</f>
        <v>2024</v>
      </c>
      <c r="AE314" t="str">
        <f t="shared" si="14"/>
        <v>OK</v>
      </c>
    </row>
    <row r="315" spans="1:31">
      <c r="A315" t="s">
        <v>1605</v>
      </c>
      <c r="B315" t="s">
        <v>1606</v>
      </c>
      <c r="C315" t="s">
        <v>1607</v>
      </c>
      <c r="D315" t="s">
        <v>1608</v>
      </c>
      <c r="E315" t="s">
        <v>155</v>
      </c>
      <c r="F315" t="s">
        <v>115</v>
      </c>
      <c r="G315" t="s">
        <v>34</v>
      </c>
      <c r="H315" t="s">
        <v>181</v>
      </c>
      <c r="I315" t="s">
        <v>182</v>
      </c>
      <c r="J315" t="s">
        <v>93</v>
      </c>
      <c r="K315" t="s">
        <v>230</v>
      </c>
      <c r="L315" t="s">
        <v>1609</v>
      </c>
      <c r="M315" t="s">
        <v>63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131</v>
      </c>
      <c r="U315" t="s">
        <v>85</v>
      </c>
      <c r="V315">
        <f>O315*(1-P315)*N315</f>
        <v>12488.579999999998</v>
      </c>
      <c r="W315">
        <f t="shared" si="12"/>
        <v>1771.1799999999985</v>
      </c>
      <c r="X315">
        <f t="shared" si="13"/>
        <v>0.14182397037933858</v>
      </c>
      <c r="Y315" t="s">
        <v>4120</v>
      </c>
      <c r="Z315" s="2">
        <f>IFERROR(
  IF(ISNUMBER(B315),B315,
    IF(ISNUMBER(SEARCH("-",B315)*1),
      IF(LEN(LEFT(B315,FIND("-",B315)-1))=4,
        DATE(VALUE(LEFT(B315,4)),VALUE(MID(B315,6,2)),VALUE(RIGHT(B315,2))),
        DATE(VALUE(RIGHT(B315,4)),VALUE(MID(B315,4,2)),VALUE(LEFT(B315,2)))
      ),
      IF(ISNUMBER(SEARCH("/",B315)*1),
        DATE(VALUE(RIGHT(B315,4)),VALUE(LEFT(B315,2)),VALUE(MID(B315,4,2))),
        DATEVALUE(B315)
      )
    )
  ),
"INVALID_DATE")</f>
        <v>45807</v>
      </c>
      <c r="AA315" s="2">
        <f>IFERROR(
  IF(ISNUMBER(C315),C315,
    IF(ISNUMBER(SEARCH("-",C315)*1),
      IF(LEN(LEFT(C315,FIND("-",C315)-1))=4,
        DATE(VALUE(LEFT(C315,4)),VALUE(MID(C315,6,2)),VALUE(RIGHT(C315,2))),
        DATE(VALUE(RIGHT(C315,4)),VALUE(MID(C315,4,2)),VALUE(LEFT(C315,2)))
      ),
      IF(ISNUMBER(SEARCH("/",C315)*1),
        DATE(VALUE(RIGHT(C315,4)),VALUE(LEFT(C315,2)),VALUE(MID(C315,4,2))),
        DATEVALUE(C315)
      )
    )
  ),
"INVALID_DATE")</f>
        <v>45808</v>
      </c>
      <c r="AB315">
        <f>AA315-Z315</f>
        <v>1</v>
      </c>
      <c r="AC315" t="str">
        <f>TEXT(Z315,"mmmm")</f>
        <v>May</v>
      </c>
      <c r="AD315">
        <f>YEAR(Z315)</f>
        <v>2025</v>
      </c>
      <c r="AE315" t="str">
        <f t="shared" si="14"/>
        <v>OK</v>
      </c>
    </row>
    <row r="316" spans="1:31">
      <c r="A316" t="s">
        <v>1610</v>
      </c>
      <c r="B316" t="s">
        <v>1112</v>
      </c>
      <c r="C316" t="s">
        <v>125</v>
      </c>
      <c r="D316" t="s">
        <v>1611</v>
      </c>
      <c r="E316" t="s">
        <v>60</v>
      </c>
      <c r="F316" t="s">
        <v>115</v>
      </c>
      <c r="G316" t="s">
        <v>80</v>
      </c>
      <c r="H316" t="s">
        <v>91</v>
      </c>
      <c r="I316" t="s">
        <v>92</v>
      </c>
      <c r="J316" t="s">
        <v>37</v>
      </c>
      <c r="K316" t="s">
        <v>116</v>
      </c>
      <c r="L316" t="s">
        <v>1612</v>
      </c>
      <c r="M316" t="s">
        <v>74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207</v>
      </c>
      <c r="U316" t="s">
        <v>132</v>
      </c>
      <c r="V316">
        <f>O316*(1-P316)*N316</f>
        <v>6485.3639999999996</v>
      </c>
      <c r="W316">
        <f t="shared" si="12"/>
        <v>1109.1939999999995</v>
      </c>
      <c r="X316">
        <f t="shared" si="13"/>
        <v>0.17102982717998694</v>
      </c>
      <c r="Y316" t="s">
        <v>4120</v>
      </c>
      <c r="Z316" s="2">
        <f>IFERROR(
  IF(ISNUMBER(B316),B316,
    IF(ISNUMBER(SEARCH("-",B316)*1),
      IF(LEN(LEFT(B316,FIND("-",B316)-1))=4,
        DATE(VALUE(LEFT(B316,4)),VALUE(MID(B316,6,2)),VALUE(RIGHT(B316,2))),
        DATE(VALUE(RIGHT(B316,4)),VALUE(MID(B316,4,2)),VALUE(LEFT(B316,2)))
      ),
      IF(ISNUMBER(SEARCH("/",B316)*1),
        DATE(VALUE(RIGHT(B316,4)),VALUE(LEFT(B316,2)),VALUE(MID(B316,4,2))),
        DATEVALUE(B316)
      )
    )
  ),
"INVALID_DATE")</f>
        <v>45795</v>
      </c>
      <c r="AA316" s="2">
        <f>IFERROR(
  IF(ISNUMBER(C316),C316,
    IF(ISNUMBER(SEARCH("-",C316)*1),
      IF(LEN(LEFT(C316,FIND("-",C316)-1))=4,
        DATE(VALUE(LEFT(C316,4)),VALUE(MID(C316,6,2)),VALUE(RIGHT(C316,2))),
        DATE(VALUE(RIGHT(C316,4)),VALUE(MID(C316,4,2)),VALUE(LEFT(C316,2)))
      ),
      IF(ISNUMBER(SEARCH("/",C316)*1),
        DATE(VALUE(RIGHT(C316,4)),VALUE(LEFT(C316,2)),VALUE(MID(C316,4,2))),
        DATEVALUE(C316)
      )
    )
  ),
"INVALID_DATE")</f>
        <v>45797</v>
      </c>
      <c r="AB316">
        <f>AA316-Z316</f>
        <v>2</v>
      </c>
      <c r="AC316" t="str">
        <f>TEXT(Z316,"mmmm")</f>
        <v>May</v>
      </c>
      <c r="AD316">
        <f>YEAR(Z316)</f>
        <v>2025</v>
      </c>
      <c r="AE316" t="str">
        <f t="shared" si="14"/>
        <v>OK</v>
      </c>
    </row>
    <row r="317" spans="1:31">
      <c r="A317" t="s">
        <v>1613</v>
      </c>
      <c r="B317" t="s">
        <v>1614</v>
      </c>
      <c r="C317" t="s">
        <v>1615</v>
      </c>
      <c r="D317" t="s">
        <v>1616</v>
      </c>
      <c r="E317" t="s">
        <v>187</v>
      </c>
      <c r="F317" t="s">
        <v>33</v>
      </c>
      <c r="G317" t="s">
        <v>34</v>
      </c>
      <c r="H317" t="s">
        <v>514</v>
      </c>
      <c r="I317" t="s">
        <v>515</v>
      </c>
      <c r="J317" t="s">
        <v>37</v>
      </c>
      <c r="K317" t="s">
        <v>38</v>
      </c>
      <c r="L317" t="s">
        <v>1617</v>
      </c>
      <c r="M317" t="s">
        <v>74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144</v>
      </c>
      <c r="U317" t="s">
        <v>132</v>
      </c>
      <c r="V317">
        <f>O317*(1-P317)*N317</f>
        <v>29500.920000000002</v>
      </c>
      <c r="W317">
        <f t="shared" si="12"/>
        <v>11511.240000000002</v>
      </c>
      <c r="X317">
        <f t="shared" si="13"/>
        <v>0.39019935649464493</v>
      </c>
      <c r="Y317" t="s">
        <v>4120</v>
      </c>
      <c r="Z317" s="2">
        <f>IFERROR(
  IF(ISNUMBER(B317),B317,
    IF(ISNUMBER(SEARCH("-",B317)*1),
      IF(LEN(LEFT(B317,FIND("-",B317)-1))=4,
        DATE(VALUE(LEFT(B317,4)),VALUE(MID(B317,6,2)),VALUE(RIGHT(B317,2))),
        DATE(VALUE(RIGHT(B317,4)),VALUE(MID(B317,4,2)),VALUE(LEFT(B317,2)))
      ),
      IF(ISNUMBER(SEARCH("/",B317)*1),
        DATE(VALUE(RIGHT(B317,4)),VALUE(LEFT(B317,2)),VALUE(MID(B317,4,2))),
        DATEVALUE(B317)
      )
    )
  ),
"INVALID_DATE")</f>
        <v>45475</v>
      </c>
      <c r="AA317" s="2">
        <f>IFERROR(
  IF(ISNUMBER(C317),C317,
    IF(ISNUMBER(SEARCH("-",C317)*1),
      IF(LEN(LEFT(C317,FIND("-",C317)-1))=4,
        DATE(VALUE(LEFT(C317,4)),VALUE(MID(C317,6,2)),VALUE(RIGHT(C317,2))),
        DATE(VALUE(RIGHT(C317,4)),VALUE(MID(C317,4,2)),VALUE(LEFT(C317,2)))
      ),
      IF(ISNUMBER(SEARCH("/",C317)*1),
        DATE(VALUE(RIGHT(C317,4)),VALUE(LEFT(C317,2)),VALUE(MID(C317,4,2))),
        DATEVALUE(C317)
      )
    )
  ),
"INVALID_DATE")</f>
        <v>45481</v>
      </c>
      <c r="AB317">
        <f>AA317-Z317</f>
        <v>6</v>
      </c>
      <c r="AC317" t="str">
        <f>TEXT(Z317,"mmmm")</f>
        <v>July</v>
      </c>
      <c r="AD317">
        <f>YEAR(Z317)</f>
        <v>2024</v>
      </c>
      <c r="AE317" t="str">
        <f t="shared" si="14"/>
        <v>OK</v>
      </c>
    </row>
    <row r="318" spans="1:31">
      <c r="A318" t="s">
        <v>1618</v>
      </c>
      <c r="B318" t="s">
        <v>1619</v>
      </c>
      <c r="C318" t="s">
        <v>1620</v>
      </c>
      <c r="D318" t="s">
        <v>1621</v>
      </c>
      <c r="E318" t="s">
        <v>32</v>
      </c>
      <c r="F318" t="s">
        <v>115</v>
      </c>
      <c r="G318" t="s">
        <v>34</v>
      </c>
      <c r="H318" t="s">
        <v>161</v>
      </c>
      <c r="I318" t="s">
        <v>162</v>
      </c>
      <c r="J318" t="s">
        <v>37</v>
      </c>
      <c r="K318" t="s">
        <v>116</v>
      </c>
      <c r="L318" t="s">
        <v>1622</v>
      </c>
      <c r="M318" t="s">
        <v>74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41</v>
      </c>
      <c r="U318" t="s">
        <v>85</v>
      </c>
      <c r="V318">
        <f>O318*(1-P318)*N318</f>
        <v>3116.0480000000002</v>
      </c>
      <c r="W318">
        <f t="shared" si="12"/>
        <v>1159.4180000000001</v>
      </c>
      <c r="X318">
        <f t="shared" si="13"/>
        <v>0.37208003722661703</v>
      </c>
      <c r="Y318" t="str">
        <f>_xlfn.TEXTJOIN(", ",TRUE,IF(G318="Unknown","Missing Region",""),IF(M318="Unknown","Missing Ship Mode",""),IF(P318&lt;0,"Negative Discount",""),IF(P318&gt;0.7,"High Discount",""),IF(C318&lt;B318,"Ship Before Order",""))</f>
        <v>Ship Before Order</v>
      </c>
      <c r="Z318" s="2">
        <f>IFERROR(
  IF(ISNUMBER(B318),B318,
    IF(ISNUMBER(SEARCH("-",B318)*1),
      IF(LEN(LEFT(B318,FIND("-",B318)-1))=4,
        DATE(VALUE(LEFT(B318,4)),VALUE(MID(B318,6,2)),VALUE(RIGHT(B318,2))),
        DATE(VALUE(RIGHT(B318,4)),VALUE(MID(B318,4,2)),VALUE(LEFT(B318,2)))
      ),
      IF(ISNUMBER(SEARCH("/",B318)*1),
        DATE(VALUE(RIGHT(B318,4)),VALUE(LEFT(B318,2)),VALUE(MID(B318,4,2))),
        DATEVALUE(B318)
      )
    )
  ),
"INVALID_DATE")</f>
        <v>45338</v>
      </c>
      <c r="AA318" s="2">
        <f>IFERROR(
  IF(ISNUMBER(C318),C318,
    IF(ISNUMBER(SEARCH("-",C318)*1),
      IF(LEN(LEFT(C318,FIND("-",C318)-1))=4,
        DATE(VALUE(LEFT(C318,4)),VALUE(MID(C318,6,2)),VALUE(RIGHT(C318,2))),
        DATE(VALUE(RIGHT(C318,4)),VALUE(MID(C318,4,2)),VALUE(LEFT(C318,2)))
      ),
      IF(ISNUMBER(SEARCH("/",C318)*1),
        DATE(VALUE(RIGHT(C318,4)),VALUE(LEFT(C318,2)),VALUE(MID(C318,4,2))),
        DATEVALUE(C318)
      )
    )
  ),
"INVALID_DATE")</f>
        <v>45340</v>
      </c>
      <c r="AB318">
        <f>AA318-Z318</f>
        <v>2</v>
      </c>
      <c r="AC318" t="str">
        <f>TEXT(Z318,"mmmm")</f>
        <v>February</v>
      </c>
      <c r="AD318">
        <f>YEAR(Z318)</f>
        <v>2024</v>
      </c>
      <c r="AE318" t="str">
        <f t="shared" si="14"/>
        <v>OK</v>
      </c>
    </row>
    <row r="319" spans="1:31">
      <c r="A319" t="s">
        <v>1623</v>
      </c>
      <c r="B319" t="s">
        <v>1624</v>
      </c>
      <c r="C319" t="s">
        <v>1625</v>
      </c>
      <c r="D319" t="s">
        <v>1626</v>
      </c>
      <c r="E319" t="s">
        <v>100</v>
      </c>
      <c r="F319" t="s">
        <v>115</v>
      </c>
      <c r="G319" t="s">
        <v>69</v>
      </c>
      <c r="H319" t="s">
        <v>249</v>
      </c>
      <c r="I319" t="s">
        <v>250</v>
      </c>
      <c r="J319" t="s">
        <v>52</v>
      </c>
      <c r="K319" t="s">
        <v>53</v>
      </c>
      <c r="L319" t="s">
        <v>1627</v>
      </c>
      <c r="M319" t="s">
        <v>63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41</v>
      </c>
      <c r="U319" t="s">
        <v>42</v>
      </c>
      <c r="V319">
        <f>O319*(1-P319)*N319</f>
        <v>22926.820499999998</v>
      </c>
      <c r="W319">
        <f t="shared" si="12"/>
        <v>8305.2304999999978</v>
      </c>
      <c r="X319">
        <f t="shared" si="13"/>
        <v>0.36224954005832471</v>
      </c>
      <c r="Y319" t="str">
        <f>_xlfn.TEXTJOIN(", ",TRUE,IF(G319="Unknown","Missing Region",""),IF(M319="Unknown","Missing Ship Mode",""),IF(P319&lt;0,"Negative Discount",""),IF(P319&gt;0.7,"High Discount",""),IF(C319&lt;B319,"Ship Before Order",""))</f>
        <v>Ship Before Order</v>
      </c>
      <c r="Z319" s="2">
        <f>IFERROR(
  IF(ISNUMBER(B319),B319,
    IF(ISNUMBER(SEARCH("-",B319)*1),
      IF(LEN(LEFT(B319,FIND("-",B319)-1))=4,
        DATE(VALUE(LEFT(B319,4)),VALUE(MID(B319,6,2)),VALUE(RIGHT(B319,2))),
        DATE(VALUE(RIGHT(B319,4)),VALUE(MID(B319,4,2)),VALUE(LEFT(B319,2)))
      ),
      IF(ISNUMBER(SEARCH("/",B319)*1),
        DATE(VALUE(RIGHT(B319,4)),VALUE(LEFT(B319,2)),VALUE(MID(B319,4,2))),
        DATEVALUE(B319)
      )
    )
  ),
"INVALID_DATE")</f>
        <v>45898</v>
      </c>
      <c r="AA319" s="2">
        <f>IFERROR(
  IF(ISNUMBER(C319),C319,
    IF(ISNUMBER(SEARCH("-",C319)*1),
      IF(LEN(LEFT(C319,FIND("-",C319)-1))=4,
        DATE(VALUE(LEFT(C319,4)),VALUE(MID(C319,6,2)),VALUE(RIGHT(C319,2))),
        DATE(VALUE(RIGHT(C319,4)),VALUE(MID(C319,4,2)),VALUE(LEFT(C319,2)))
      ),
      IF(ISNUMBER(SEARCH("/",C319)*1),
        DATE(VALUE(RIGHT(C319,4)),VALUE(LEFT(C319,2)),VALUE(MID(C319,4,2))),
        DATEVALUE(C319)
      )
    )
  ),
"INVALID_DATE")</f>
        <v>45904</v>
      </c>
      <c r="AB319">
        <f>AA319-Z319</f>
        <v>6</v>
      </c>
      <c r="AC319" t="str">
        <f>TEXT(Z319,"mmmm")</f>
        <v>August</v>
      </c>
      <c r="AD319">
        <f>YEAR(Z319)</f>
        <v>2025</v>
      </c>
      <c r="AE319" t="str">
        <f t="shared" si="14"/>
        <v>OK</v>
      </c>
    </row>
    <row r="320" spans="1:31">
      <c r="A320" t="s">
        <v>1628</v>
      </c>
      <c r="B320" t="s">
        <v>1629</v>
      </c>
      <c r="C320" t="s">
        <v>1630</v>
      </c>
      <c r="D320" t="s">
        <v>1631</v>
      </c>
      <c r="E320" t="s">
        <v>47</v>
      </c>
      <c r="F320" t="s">
        <v>48</v>
      </c>
      <c r="G320" t="s">
        <v>69</v>
      </c>
      <c r="H320" t="s">
        <v>236</v>
      </c>
      <c r="I320" t="s">
        <v>237</v>
      </c>
      <c r="J320" t="s">
        <v>93</v>
      </c>
      <c r="K320" t="s">
        <v>230</v>
      </c>
      <c r="L320" t="s">
        <v>1632</v>
      </c>
      <c r="M320" t="s">
        <v>74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41</v>
      </c>
      <c r="U320" t="s">
        <v>42</v>
      </c>
      <c r="V320">
        <f>O320*(1-P320)*N320</f>
        <v>11203.542000000001</v>
      </c>
      <c r="W320">
        <f t="shared" si="12"/>
        <v>2750.612000000001</v>
      </c>
      <c r="X320">
        <f t="shared" si="13"/>
        <v>0.24551257905983287</v>
      </c>
      <c r="Y320" t="s">
        <v>4120</v>
      </c>
      <c r="Z320" s="2">
        <f>IFERROR(
  IF(ISNUMBER(B320),B320,
    IF(ISNUMBER(SEARCH("-",B320)*1),
      IF(LEN(LEFT(B320,FIND("-",B320)-1))=4,
        DATE(VALUE(LEFT(B320,4)),VALUE(MID(B320,6,2)),VALUE(RIGHT(B320,2))),
        DATE(VALUE(RIGHT(B320,4)),VALUE(MID(B320,4,2)),VALUE(LEFT(B320,2)))
      ),
      IF(ISNUMBER(SEARCH("/",B320)*1),
        DATE(VALUE(RIGHT(B320,4)),VALUE(LEFT(B320,2)),VALUE(MID(B320,4,2))),
        DATEVALUE(B320)
      )
    )
  ),
"INVALID_DATE")</f>
        <v>45407</v>
      </c>
      <c r="AA320" s="2">
        <f>IFERROR(
  IF(ISNUMBER(C320),C320,
    IF(ISNUMBER(SEARCH("-",C320)*1),
      IF(LEN(LEFT(C320,FIND("-",C320)-1))=4,
        DATE(VALUE(LEFT(C320,4)),VALUE(MID(C320,6,2)),VALUE(RIGHT(C320,2))),
        DATE(VALUE(RIGHT(C320,4)),VALUE(MID(C320,4,2)),VALUE(LEFT(C320,2)))
      ),
      IF(ISNUMBER(SEARCH("/",C320)*1),
        DATE(VALUE(RIGHT(C320,4)),VALUE(LEFT(C320,2)),VALUE(MID(C320,4,2))),
        DATEVALUE(C320)
      )
    )
  ),
"INVALID_DATE")</f>
        <v>45412</v>
      </c>
      <c r="AB320">
        <f>AA320-Z320</f>
        <v>5</v>
      </c>
      <c r="AC320" t="str">
        <f>TEXT(Z320,"mmmm")</f>
        <v>April</v>
      </c>
      <c r="AD320">
        <f>YEAR(Z320)</f>
        <v>2024</v>
      </c>
      <c r="AE320" t="str">
        <f t="shared" si="14"/>
        <v>OK</v>
      </c>
    </row>
    <row r="321" spans="1:31">
      <c r="A321" t="s">
        <v>1633</v>
      </c>
      <c r="B321" t="s">
        <v>1634</v>
      </c>
      <c r="C321" t="s">
        <v>1635</v>
      </c>
      <c r="D321" t="s">
        <v>1636</v>
      </c>
      <c r="E321" t="s">
        <v>217</v>
      </c>
      <c r="F321" t="s">
        <v>33</v>
      </c>
      <c r="G321" t="s">
        <v>80</v>
      </c>
      <c r="H321" t="s">
        <v>242</v>
      </c>
      <c r="I321" t="s">
        <v>243</v>
      </c>
      <c r="J321" t="s">
        <v>37</v>
      </c>
      <c r="K321" t="s">
        <v>205</v>
      </c>
      <c r="L321" t="s">
        <v>1637</v>
      </c>
      <c r="M321" t="s">
        <v>63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41</v>
      </c>
      <c r="U321" t="s">
        <v>42</v>
      </c>
      <c r="V321">
        <f>O321*(1-P321)*N321</f>
        <v>270.27999999999997</v>
      </c>
      <c r="W321">
        <f t="shared" si="12"/>
        <v>113.93999999999997</v>
      </c>
      <c r="X321">
        <f t="shared" si="13"/>
        <v>0.42156282373834547</v>
      </c>
      <c r="Y321" t="str">
        <f>_xlfn.TEXTJOIN(", ",TRUE,IF(G321="Unknown","Missing Region",""),IF(M321="Unknown","Missing Ship Mode",""),IF(P321&lt;0,"Negative Discount",""),IF(P321&gt;0.7,"High Discount",""),IF(C321&lt;B321,"Ship Before Order",""))</f>
        <v>Ship Before Order</v>
      </c>
      <c r="Z321" s="2">
        <f>IFERROR(
  IF(ISNUMBER(B321),B321,
    IF(ISNUMBER(SEARCH("-",B321)*1),
      IF(LEN(LEFT(B321,FIND("-",B321)-1))=4,
        DATE(VALUE(LEFT(B321,4)),VALUE(MID(B321,6,2)),VALUE(RIGHT(B321,2))),
        DATE(VALUE(RIGHT(B321,4)),VALUE(MID(B321,4,2)),VALUE(LEFT(B321,2)))
      ),
      IF(ISNUMBER(SEARCH("/",B321)*1),
        DATE(VALUE(RIGHT(B321,4)),VALUE(LEFT(B321,2)),VALUE(MID(B321,4,2))),
        DATEVALUE(B321)
      )
    )
  ),
"INVALID_DATE")</f>
        <v>45525</v>
      </c>
      <c r="AA321" s="2">
        <f>IFERROR(
  IF(ISNUMBER(C321),C321,
    IF(ISNUMBER(SEARCH("-",C321)*1),
      IF(LEN(LEFT(C321,FIND("-",C321)-1))=4,
        DATE(VALUE(LEFT(C321,4)),VALUE(MID(C321,6,2)),VALUE(RIGHT(C321,2))),
        DATE(VALUE(RIGHT(C321,4)),VALUE(MID(C321,4,2)),VALUE(LEFT(C321,2)))
      ),
      IF(ISNUMBER(SEARCH("/",C321)*1),
        DATE(VALUE(RIGHT(C321,4)),VALUE(LEFT(C321,2)),VALUE(MID(C321,4,2))),
        DATEVALUE(C321)
      )
    )
  ),
"INVALID_DATE")</f>
        <v>45529</v>
      </c>
      <c r="AB321">
        <f>AA321-Z321</f>
        <v>4</v>
      </c>
      <c r="AC321" t="str">
        <f>TEXT(Z321,"mmmm")</f>
        <v>August</v>
      </c>
      <c r="AD321">
        <f>YEAR(Z321)</f>
        <v>2024</v>
      </c>
      <c r="AE321" t="str">
        <f t="shared" si="14"/>
        <v>OK</v>
      </c>
    </row>
    <row r="322" spans="1:31">
      <c r="A322" t="s">
        <v>1638</v>
      </c>
      <c r="B322" t="s">
        <v>1639</v>
      </c>
      <c r="C322" t="s">
        <v>1640</v>
      </c>
      <c r="D322" t="s">
        <v>1641</v>
      </c>
      <c r="E322" t="s">
        <v>169</v>
      </c>
      <c r="F322" t="s">
        <v>122</v>
      </c>
      <c r="G322" t="s">
        <v>49</v>
      </c>
      <c r="H322" t="s">
        <v>128</v>
      </c>
      <c r="I322" t="s">
        <v>129</v>
      </c>
      <c r="J322" t="s">
        <v>37</v>
      </c>
      <c r="K322" t="s">
        <v>61</v>
      </c>
      <c r="L322" t="s">
        <v>1642</v>
      </c>
      <c r="M322" t="s">
        <v>40</v>
      </c>
      <c r="N322">
        <v>3</v>
      </c>
      <c r="O322">
        <v>876.14</v>
      </c>
      <c r="P322" t="s">
        <v>689</v>
      </c>
      <c r="Q322">
        <v>2628.42</v>
      </c>
      <c r="R322">
        <v>1541.54</v>
      </c>
      <c r="S322">
        <v>1086.8800000000001</v>
      </c>
      <c r="T322" t="s">
        <v>144</v>
      </c>
      <c r="U322" t="s">
        <v>132</v>
      </c>
      <c r="V322">
        <f>O322*(1-P322)*N322</f>
        <v>788.52600000000007</v>
      </c>
      <c r="W322">
        <f t="shared" si="12"/>
        <v>-753.0139999999999</v>
      </c>
      <c r="X322">
        <f t="shared" si="13"/>
        <v>0.41351077833831734</v>
      </c>
      <c r="Y322" t="str">
        <f>_xlfn.TEXTJOIN(", ",TRUE,IF(G322="Unknown","Missing Region",""),IF(M322="Unknown","Missing Ship Mode",""),IF(P322&lt;0,"Negative Discount",""),IF(P322&gt;0.7,"High Discount",""),IF(C322&lt;B322,"Ship Before Order",""))</f>
        <v>High Discount</v>
      </c>
      <c r="Z322" s="2">
        <f>IFERROR(
  IF(ISNUMBER(B322),B322,
    IF(ISNUMBER(SEARCH("-",B322)*1),
      IF(LEN(LEFT(B322,FIND("-",B322)-1))=4,
        DATE(VALUE(LEFT(B322,4)),VALUE(MID(B322,6,2)),VALUE(RIGHT(B322,2))),
        DATE(VALUE(RIGHT(B322,4)),VALUE(MID(B322,4,2)),VALUE(LEFT(B322,2)))
      ),
      IF(ISNUMBER(SEARCH("/",B322)*1),
        DATE(VALUE(RIGHT(B322,4)),VALUE(LEFT(B322,2)),VALUE(MID(B322,4,2))),
        DATEVALUE(B322)
      )
    )
  ),
"INVALID_DATE")</f>
        <v>45630</v>
      </c>
      <c r="AA322" s="2">
        <f>IFERROR(
  IF(ISNUMBER(C322),C322,
    IF(ISNUMBER(SEARCH("-",C322)*1),
      IF(LEN(LEFT(C322,FIND("-",C322)-1))=4,
        DATE(VALUE(LEFT(C322,4)),VALUE(MID(C322,6,2)),VALUE(RIGHT(C322,2))),
        DATE(VALUE(RIGHT(C322,4)),VALUE(MID(C322,4,2)),VALUE(LEFT(C322,2)))
      ),
      IF(ISNUMBER(SEARCH("/",C322)*1),
        DATE(VALUE(RIGHT(C322,4)),VALUE(LEFT(C322,2)),VALUE(MID(C322,4,2))),
        DATEVALUE(C322)
      )
    )
  ),
"INVALID_DATE")</f>
        <v>45632</v>
      </c>
      <c r="AB322">
        <f>AA322-Z322</f>
        <v>2</v>
      </c>
      <c r="AC322" t="str">
        <f>TEXT(Z322,"mmmm")</f>
        <v>December</v>
      </c>
      <c r="AD322">
        <f>YEAR(Z322)</f>
        <v>2024</v>
      </c>
      <c r="AE322" t="str">
        <f t="shared" si="14"/>
        <v>OK</v>
      </c>
    </row>
    <row r="323" spans="1:31">
      <c r="A323" t="s">
        <v>1643</v>
      </c>
      <c r="B323" t="s">
        <v>1644</v>
      </c>
      <c r="C323" t="s">
        <v>1645</v>
      </c>
      <c r="D323" t="s">
        <v>1646</v>
      </c>
      <c r="E323" t="s">
        <v>100</v>
      </c>
      <c r="F323" t="s">
        <v>48</v>
      </c>
      <c r="G323" t="s">
        <v>80</v>
      </c>
      <c r="H323" t="s">
        <v>256</v>
      </c>
      <c r="I323" t="s">
        <v>257</v>
      </c>
      <c r="J323" t="s">
        <v>93</v>
      </c>
      <c r="K323" t="s">
        <v>94</v>
      </c>
      <c r="L323" t="s">
        <v>1647</v>
      </c>
      <c r="M323" t="s">
        <v>55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207</v>
      </c>
      <c r="U323" t="s">
        <v>85</v>
      </c>
      <c r="V323">
        <f>O323*(1-P323)*N323</f>
        <v>2699.28</v>
      </c>
      <c r="W323">
        <f t="shared" ref="W323:W386" si="15">V323-R323</f>
        <v>939.52000000000021</v>
      </c>
      <c r="X323">
        <f t="shared" ref="X323:X386" si="16">S323/Q323</f>
        <v>0.34806318722029578</v>
      </c>
      <c r="Y323" t="s">
        <v>4120</v>
      </c>
      <c r="Z323" s="2">
        <f>IFERROR(
  IF(ISNUMBER(B323),B323,
    IF(ISNUMBER(SEARCH("-",B323)*1),
      IF(LEN(LEFT(B323,FIND("-",B323)-1))=4,
        DATE(VALUE(LEFT(B323,4)),VALUE(MID(B323,6,2)),VALUE(RIGHT(B323,2))),
        DATE(VALUE(RIGHT(B323,4)),VALUE(MID(B323,4,2)),VALUE(LEFT(B323,2)))
      ),
      IF(ISNUMBER(SEARCH("/",B323)*1),
        DATE(VALUE(RIGHT(B323,4)),VALUE(LEFT(B323,2)),VALUE(MID(B323,4,2))),
        DATEVALUE(B323)
      )
    )
  ),
"INVALID_DATE")</f>
        <v>45466</v>
      </c>
      <c r="AA323" s="2">
        <f>IFERROR(
  IF(ISNUMBER(C323),C323,
    IF(ISNUMBER(SEARCH("-",C323)*1),
      IF(LEN(LEFT(C323,FIND("-",C323)-1))=4,
        DATE(VALUE(LEFT(C323,4)),VALUE(MID(C323,6,2)),VALUE(RIGHT(C323,2))),
        DATE(VALUE(RIGHT(C323,4)),VALUE(MID(C323,4,2)),VALUE(LEFT(C323,2)))
      ),
      IF(ISNUMBER(SEARCH("/",C323)*1),
        DATE(VALUE(RIGHT(C323,4)),VALUE(LEFT(C323,2)),VALUE(MID(C323,4,2))),
        DATEVALUE(C323)
      )
    )
  ),
"INVALID_DATE")</f>
        <v>45473</v>
      </c>
      <c r="AB323">
        <f>AA323-Z323</f>
        <v>7</v>
      </c>
      <c r="AC323" t="str">
        <f>TEXT(Z323,"mmmm")</f>
        <v>June</v>
      </c>
      <c r="AD323">
        <f>YEAR(Z323)</f>
        <v>2024</v>
      </c>
      <c r="AE323" t="str">
        <f t="shared" ref="AE323:AE386" si="17">IF(OR(Z323="INVALID_DATE",AA323="INVALID_DATE"),"Invalid Date",IF(AA323&lt;Z323,"Ship Before Order","OK"))</f>
        <v>OK</v>
      </c>
    </row>
    <row r="324" spans="1:31">
      <c r="A324" t="s">
        <v>1648</v>
      </c>
      <c r="B324" t="s">
        <v>1544</v>
      </c>
      <c r="C324" t="s">
        <v>1649</v>
      </c>
      <c r="D324" t="s">
        <v>1650</v>
      </c>
      <c r="E324" t="s">
        <v>60</v>
      </c>
      <c r="F324" t="s">
        <v>33</v>
      </c>
      <c r="G324" t="s">
        <v>34</v>
      </c>
      <c r="H324" t="s">
        <v>181</v>
      </c>
      <c r="I324" t="s">
        <v>182</v>
      </c>
      <c r="J324" t="s">
        <v>93</v>
      </c>
      <c r="K324" t="s">
        <v>230</v>
      </c>
      <c r="L324" t="s">
        <v>1651</v>
      </c>
      <c r="M324" t="s">
        <v>40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41</v>
      </c>
      <c r="U324" t="s">
        <v>42</v>
      </c>
      <c r="V324">
        <f>O324*(1-P324)*N324</f>
        <v>6984.348</v>
      </c>
      <c r="W324">
        <f t="shared" si="15"/>
        <v>2960.7179999999998</v>
      </c>
      <c r="X324">
        <f t="shared" si="16"/>
        <v>0.42390773658250225</v>
      </c>
      <c r="Y324" t="str">
        <f>_xlfn.TEXTJOIN(", ",TRUE,IF(G324="Unknown","Missing Region",""),IF(M324="Unknown","Missing Ship Mode",""),IF(P324&lt;0,"Negative Discount",""),IF(P324&gt;0.7,"High Discount",""),IF(C324&lt;B324,"Ship Before Order",""))</f>
        <v>Ship Before Order</v>
      </c>
      <c r="Z324" s="2">
        <f>IFERROR(
  IF(ISNUMBER(B324),B324,
    IF(ISNUMBER(SEARCH("-",B324)*1),
      IF(LEN(LEFT(B324,FIND("-",B324)-1))=4,
        DATE(VALUE(LEFT(B324,4)),VALUE(MID(B324,6,2)),VALUE(RIGHT(B324,2))),
        DATE(VALUE(RIGHT(B324,4)),VALUE(MID(B324,4,2)),VALUE(LEFT(B324,2)))
      ),
      IF(ISNUMBER(SEARCH("/",B324)*1),
        DATE(VALUE(RIGHT(B324,4)),VALUE(LEFT(B324,2)),VALUE(MID(B324,4,2))),
        DATEVALUE(B324)
      )
    )
  ),
"INVALID_DATE")</f>
        <v>45608</v>
      </c>
      <c r="AA324" s="2">
        <f>IFERROR(
  IF(ISNUMBER(C324),C324,
    IF(ISNUMBER(SEARCH("-",C324)*1),
      IF(LEN(LEFT(C324,FIND("-",C324)-1))=4,
        DATE(VALUE(LEFT(C324,4)),VALUE(MID(C324,6,2)),VALUE(RIGHT(C324,2))),
        DATE(VALUE(RIGHT(C324,4)),VALUE(MID(C324,4,2)),VALUE(LEFT(C324,2)))
      ),
      IF(ISNUMBER(SEARCH("/",C324)*1),
        DATE(VALUE(RIGHT(C324,4)),VALUE(LEFT(C324,2)),VALUE(MID(C324,4,2))),
        DATEVALUE(C324)
      )
    )
  ),
"INVALID_DATE")</f>
        <v>45608</v>
      </c>
      <c r="AB324">
        <f>AA324-Z324</f>
        <v>0</v>
      </c>
      <c r="AC324" t="str">
        <f>TEXT(Z324,"mmmm")</f>
        <v>November</v>
      </c>
      <c r="AD324">
        <f>YEAR(Z324)</f>
        <v>2024</v>
      </c>
      <c r="AE324" t="str">
        <f t="shared" si="17"/>
        <v>OK</v>
      </c>
    </row>
    <row r="325" spans="1:31">
      <c r="A325" t="s">
        <v>1652</v>
      </c>
      <c r="B325" t="s">
        <v>1653</v>
      </c>
      <c r="C325" t="s">
        <v>1654</v>
      </c>
      <c r="D325" t="s">
        <v>1655</v>
      </c>
      <c r="E325" t="s">
        <v>60</v>
      </c>
      <c r="F325" t="s">
        <v>48</v>
      </c>
      <c r="G325" t="s">
        <v>80</v>
      </c>
      <c r="H325" t="s">
        <v>256</v>
      </c>
      <c r="I325" t="s">
        <v>257</v>
      </c>
      <c r="J325" t="s">
        <v>52</v>
      </c>
      <c r="K325" t="s">
        <v>72</v>
      </c>
      <c r="L325" t="s">
        <v>200</v>
      </c>
      <c r="M325" t="s">
        <v>74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41</v>
      </c>
      <c r="U325" t="s">
        <v>42</v>
      </c>
      <c r="V325">
        <f>O325*(1-P325)*N325</f>
        <v>10185.669</v>
      </c>
      <c r="W325">
        <f t="shared" si="15"/>
        <v>3706.3589999999995</v>
      </c>
      <c r="X325">
        <f t="shared" si="16"/>
        <v>0.36387984295583897</v>
      </c>
      <c r="Y325" t="s">
        <v>4120</v>
      </c>
      <c r="Z325" s="2">
        <f>IFERROR(
  IF(ISNUMBER(B325),B325,
    IF(ISNUMBER(SEARCH("-",B325)*1),
      IF(LEN(LEFT(B325,FIND("-",B325)-1))=4,
        DATE(VALUE(LEFT(B325,4)),VALUE(MID(B325,6,2)),VALUE(RIGHT(B325,2))),
        DATE(VALUE(RIGHT(B325,4)),VALUE(MID(B325,4,2)),VALUE(LEFT(B325,2)))
      ),
      IF(ISNUMBER(SEARCH("/",B325)*1),
        DATE(VALUE(RIGHT(B325,4)),VALUE(LEFT(B325,2)),VALUE(MID(B325,4,2))),
        DATEVALUE(B325)
      )
    )
  ),
"INVALID_DATE")</f>
        <v>45347</v>
      </c>
      <c r="AA325" s="2">
        <f>IFERROR(
  IF(ISNUMBER(C325),C325,
    IF(ISNUMBER(SEARCH("-",C325)*1),
      IF(LEN(LEFT(C325,FIND("-",C325)-1))=4,
        DATE(VALUE(LEFT(C325,4)),VALUE(MID(C325,6,2)),VALUE(RIGHT(C325,2))),
        DATE(VALUE(RIGHT(C325,4)),VALUE(MID(C325,4,2)),VALUE(LEFT(C325,2)))
      ),
      IF(ISNUMBER(SEARCH("/",C325)*1),
        DATE(VALUE(RIGHT(C325,4)),VALUE(LEFT(C325,2)),VALUE(MID(C325,4,2))),
        DATEVALUE(C325)
      )
    )
  ),
"INVALID_DATE")</f>
        <v>45351</v>
      </c>
      <c r="AB325">
        <f>AA325-Z325</f>
        <v>4</v>
      </c>
      <c r="AC325" t="str">
        <f>TEXT(Z325,"mmmm")</f>
        <v>February</v>
      </c>
      <c r="AD325">
        <f>YEAR(Z325)</f>
        <v>2024</v>
      </c>
      <c r="AE325" t="str">
        <f t="shared" si="17"/>
        <v>OK</v>
      </c>
    </row>
    <row r="326" spans="1:31">
      <c r="A326" t="s">
        <v>1656</v>
      </c>
      <c r="B326" t="s">
        <v>1657</v>
      </c>
      <c r="C326" t="s">
        <v>951</v>
      </c>
      <c r="D326" t="s">
        <v>1658</v>
      </c>
      <c r="E326" t="s">
        <v>187</v>
      </c>
      <c r="F326" t="s">
        <v>122</v>
      </c>
      <c r="G326" t="s">
        <v>69</v>
      </c>
      <c r="H326" t="s">
        <v>107</v>
      </c>
      <c r="I326" t="s">
        <v>108</v>
      </c>
      <c r="J326" t="s">
        <v>37</v>
      </c>
      <c r="K326" t="s">
        <v>116</v>
      </c>
      <c r="L326" t="s">
        <v>1659</v>
      </c>
      <c r="M326" t="s">
        <v>55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41</v>
      </c>
      <c r="U326" t="s">
        <v>132</v>
      </c>
      <c r="V326">
        <f>O326*(1-P326)*N326</f>
        <v>1655.6980000000001</v>
      </c>
      <c r="W326">
        <f t="shared" si="15"/>
        <v>300.89800000000014</v>
      </c>
      <c r="X326">
        <f t="shared" si="16"/>
        <v>0.18173582170683092</v>
      </c>
      <c r="Y326" t="str">
        <f>_xlfn.TEXTJOIN(", ",TRUE,IF(G326="Unknown","Missing Region",""),IF(M326="Unknown","Missing Ship Mode",""),IF(P326&lt;0,"Negative Discount",""),IF(P326&gt;0.7,"High Discount",""),IF(C326&lt;B326,"Ship Before Order",""))</f>
        <v>Ship Before Order</v>
      </c>
      <c r="Z326" s="2">
        <f>IFERROR(
  IF(ISNUMBER(B326),B326,
    IF(ISNUMBER(SEARCH("-",B326)*1),
      IF(LEN(LEFT(B326,FIND("-",B326)-1))=4,
        DATE(VALUE(LEFT(B326,4)),VALUE(MID(B326,6,2)),VALUE(RIGHT(B326,2))),
        DATE(VALUE(RIGHT(B326,4)),VALUE(MID(B326,4,2)),VALUE(LEFT(B326,2)))
      ),
      IF(ISNUMBER(SEARCH("/",B326)*1),
        DATE(VALUE(RIGHT(B326,4)),VALUE(LEFT(B326,2)),VALUE(MID(B326,4,2))),
        DATEVALUE(B326)
      )
    )
  ),
"INVALID_DATE")</f>
        <v>45869</v>
      </c>
      <c r="AA326" s="2">
        <f>IFERROR(
  IF(ISNUMBER(C326),C326,
    IF(ISNUMBER(SEARCH("-",C326)*1),
      IF(LEN(LEFT(C326,FIND("-",C326)-1))=4,
        DATE(VALUE(LEFT(C326,4)),VALUE(MID(C326,6,2)),VALUE(RIGHT(C326,2))),
        DATE(VALUE(RIGHT(C326,4)),VALUE(MID(C326,4,2)),VALUE(LEFT(C326,2)))
      ),
      IF(ISNUMBER(SEARCH("/",C326)*1),
        DATE(VALUE(RIGHT(C326,4)),VALUE(LEFT(C326,2)),VALUE(MID(C326,4,2))),
        DATEVALUE(C326)
      )
    )
  ),
"INVALID_DATE")</f>
        <v>45871</v>
      </c>
      <c r="AB326">
        <f>AA326-Z326</f>
        <v>2</v>
      </c>
      <c r="AC326" t="str">
        <f>TEXT(Z326,"mmmm")</f>
        <v>July</v>
      </c>
      <c r="AD326">
        <f>YEAR(Z326)</f>
        <v>2025</v>
      </c>
      <c r="AE326" t="str">
        <f t="shared" si="17"/>
        <v>OK</v>
      </c>
    </row>
    <row r="327" spans="1:31">
      <c r="A327" t="s">
        <v>1660</v>
      </c>
      <c r="B327" t="s">
        <v>1661</v>
      </c>
      <c r="C327" t="s">
        <v>1662</v>
      </c>
      <c r="D327" t="s">
        <v>1663</v>
      </c>
      <c r="E327" t="s">
        <v>175</v>
      </c>
      <c r="F327" t="s">
        <v>122</v>
      </c>
      <c r="G327" t="s">
        <v>49</v>
      </c>
      <c r="H327" t="s">
        <v>128</v>
      </c>
      <c r="I327" t="s">
        <v>129</v>
      </c>
      <c r="J327" t="s">
        <v>93</v>
      </c>
      <c r="K327" t="s">
        <v>101</v>
      </c>
      <c r="L327" t="s">
        <v>1664</v>
      </c>
      <c r="M327" t="s">
        <v>40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41</v>
      </c>
      <c r="U327" t="s">
        <v>42</v>
      </c>
      <c r="V327">
        <f>O327*(1-P327)*N327</f>
        <v>15602.6</v>
      </c>
      <c r="W327">
        <f t="shared" si="15"/>
        <v>3694.08</v>
      </c>
      <c r="X327">
        <f t="shared" si="16"/>
        <v>0.236760539910015</v>
      </c>
      <c r="Y327" t="s">
        <v>4120</v>
      </c>
      <c r="Z327" s="2">
        <f>IFERROR(
  IF(ISNUMBER(B327),B327,
    IF(ISNUMBER(SEARCH("-",B327)*1),
      IF(LEN(LEFT(B327,FIND("-",B327)-1))=4,
        DATE(VALUE(LEFT(B327,4)),VALUE(MID(B327,6,2)),VALUE(RIGHT(B327,2))),
        DATE(VALUE(RIGHT(B327,4)),VALUE(MID(B327,4,2)),VALUE(LEFT(B327,2)))
      ),
      IF(ISNUMBER(SEARCH("/",B327)*1),
        DATE(VALUE(RIGHT(B327,4)),VALUE(LEFT(B327,2)),VALUE(MID(B327,4,2))),
        DATEVALUE(B327)
      )
    )
  ),
"INVALID_DATE")</f>
        <v>45916</v>
      </c>
      <c r="AA327" s="2">
        <f>IFERROR(
  IF(ISNUMBER(C327),C327,
    IF(ISNUMBER(SEARCH("-",C327)*1),
      IF(LEN(LEFT(C327,FIND("-",C327)-1))=4,
        DATE(VALUE(LEFT(C327,4)),VALUE(MID(C327,6,2)),VALUE(RIGHT(C327,2))),
        DATE(VALUE(RIGHT(C327,4)),VALUE(MID(C327,4,2)),VALUE(LEFT(C327,2)))
      ),
      IF(ISNUMBER(SEARCH("/",C327)*1),
        DATE(VALUE(RIGHT(C327,4)),VALUE(LEFT(C327,2)),VALUE(MID(C327,4,2))),
        DATEVALUE(C327)
      )
    )
  ),
"INVALID_DATE")</f>
        <v>45922</v>
      </c>
      <c r="AB327">
        <f>AA327-Z327</f>
        <v>6</v>
      </c>
      <c r="AC327" t="str">
        <f>TEXT(Z327,"mmmm")</f>
        <v>September</v>
      </c>
      <c r="AD327">
        <f>YEAR(Z327)</f>
        <v>2025</v>
      </c>
      <c r="AE327" t="str">
        <f t="shared" si="17"/>
        <v>OK</v>
      </c>
    </row>
    <row r="328" spans="1:31">
      <c r="A328" t="s">
        <v>1665</v>
      </c>
      <c r="B328" t="s">
        <v>1666</v>
      </c>
      <c r="C328" t="s">
        <v>1520</v>
      </c>
      <c r="D328" t="s">
        <v>1667</v>
      </c>
      <c r="E328" t="s">
        <v>175</v>
      </c>
      <c r="F328" t="s">
        <v>115</v>
      </c>
      <c r="G328" t="s">
        <v>49</v>
      </c>
      <c r="H328" t="s">
        <v>319</v>
      </c>
      <c r="I328" t="s">
        <v>320</v>
      </c>
      <c r="J328" t="s">
        <v>52</v>
      </c>
      <c r="K328" t="s">
        <v>72</v>
      </c>
      <c r="L328" t="s">
        <v>1668</v>
      </c>
      <c r="M328" t="s">
        <v>55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41</v>
      </c>
      <c r="U328" t="s">
        <v>42</v>
      </c>
      <c r="V328">
        <f>O328*(1-P328)*N328</f>
        <v>15138.487500000001</v>
      </c>
      <c r="W328">
        <f t="shared" si="15"/>
        <v>3902.7675000000017</v>
      </c>
      <c r="X328">
        <f t="shared" si="16"/>
        <v>0.25780444416847387</v>
      </c>
      <c r="Y328" t="str">
        <f>_xlfn.TEXTJOIN(", ",TRUE,IF(G328="Unknown","Missing Region",""),IF(M328="Unknown","Missing Ship Mode",""),IF(P328&lt;0,"Negative Discount",""),IF(P328&gt;0.7,"High Discount",""),IF(C328&lt;B328,"Ship Before Order",""))</f>
        <v>Ship Before Order</v>
      </c>
      <c r="Z328" s="2">
        <f>IFERROR(
  IF(ISNUMBER(B328),B328,
    IF(ISNUMBER(SEARCH("-",B328)*1),
      IF(LEN(LEFT(B328,FIND("-",B328)-1))=4,
        DATE(VALUE(LEFT(B328,4)),VALUE(MID(B328,6,2)),VALUE(RIGHT(B328,2))),
        DATE(VALUE(RIGHT(B328,4)),VALUE(MID(B328,4,2)),VALUE(LEFT(B328,2)))
      ),
      IF(ISNUMBER(SEARCH("/",B328)*1),
        DATE(VALUE(RIGHT(B328,4)),VALUE(LEFT(B328,2)),VALUE(MID(B328,4,2))),
        DATEVALUE(B328)
      )
    )
  ),
"INVALID_DATE")</f>
        <v>45860</v>
      </c>
      <c r="AA328" s="2">
        <f>IFERROR(
  IF(ISNUMBER(C328),C328,
    IF(ISNUMBER(SEARCH("-",C328)*1),
      IF(LEN(LEFT(C328,FIND("-",C328)-1))=4,
        DATE(VALUE(LEFT(C328,4)),VALUE(MID(C328,6,2)),VALUE(RIGHT(C328,2))),
        DATE(VALUE(RIGHT(C328,4)),VALUE(MID(C328,4,2)),VALUE(LEFT(C328,2)))
      ),
      IF(ISNUMBER(SEARCH("/",C328)*1),
        DATE(VALUE(RIGHT(C328,4)),VALUE(LEFT(C328,2)),VALUE(MID(C328,4,2))),
        DATEVALUE(C328)
      )
    )
  ),
"INVALID_DATE")</f>
        <v>45860</v>
      </c>
      <c r="AB328">
        <f>AA328-Z328</f>
        <v>0</v>
      </c>
      <c r="AC328" t="str">
        <f>TEXT(Z328,"mmmm")</f>
        <v>July</v>
      </c>
      <c r="AD328">
        <f>YEAR(Z328)</f>
        <v>2025</v>
      </c>
      <c r="AE328" t="str">
        <f t="shared" si="17"/>
        <v>OK</v>
      </c>
    </row>
    <row r="329" spans="1:31">
      <c r="A329" t="s">
        <v>1669</v>
      </c>
      <c r="B329" t="s">
        <v>1670</v>
      </c>
      <c r="C329" t="s">
        <v>271</v>
      </c>
      <c r="D329" t="s">
        <v>1671</v>
      </c>
      <c r="E329" t="s">
        <v>60</v>
      </c>
      <c r="F329" t="s">
        <v>33</v>
      </c>
      <c r="G329" t="s">
        <v>80</v>
      </c>
      <c r="H329" t="s">
        <v>35</v>
      </c>
      <c r="I329" t="s">
        <v>142</v>
      </c>
      <c r="J329" t="s">
        <v>93</v>
      </c>
      <c r="K329" t="s">
        <v>94</v>
      </c>
      <c r="L329" t="s">
        <v>1672</v>
      </c>
      <c r="M329" t="s">
        <v>40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144</v>
      </c>
      <c r="U329" t="s">
        <v>85</v>
      </c>
      <c r="V329">
        <f>O329*(1-P329)*N329</f>
        <v>4402.92</v>
      </c>
      <c r="W329">
        <f t="shared" si="15"/>
        <v>1408.98</v>
      </c>
      <c r="X329">
        <f t="shared" si="16"/>
        <v>0.32001035676323897</v>
      </c>
      <c r="Y329" t="s">
        <v>4120</v>
      </c>
      <c r="Z329" s="2">
        <f>IFERROR(
  IF(ISNUMBER(B329),B329,
    IF(ISNUMBER(SEARCH("-",B329)*1),
      IF(LEN(LEFT(B329,FIND("-",B329)-1))=4,
        DATE(VALUE(LEFT(B329,4)),VALUE(MID(B329,6,2)),VALUE(RIGHT(B329,2))),
        DATE(VALUE(RIGHT(B329,4)),VALUE(MID(B329,4,2)),VALUE(LEFT(B329,2)))
      ),
      IF(ISNUMBER(SEARCH("/",B329)*1),
        DATE(VALUE(RIGHT(B329,4)),VALUE(LEFT(B329,2)),VALUE(MID(B329,4,2))),
        DATEVALUE(B329)
      )
    )
  ),
"INVALID_DATE")</f>
        <v>45497</v>
      </c>
      <c r="AA329" s="2">
        <f>IFERROR(
  IF(ISNUMBER(C329),C329,
    IF(ISNUMBER(SEARCH("-",C329)*1),
      IF(LEN(LEFT(C329,FIND("-",C329)-1))=4,
        DATE(VALUE(LEFT(C329,4)),VALUE(MID(C329,6,2)),VALUE(RIGHT(C329,2))),
        DATE(VALUE(RIGHT(C329,4)),VALUE(MID(C329,4,2)),VALUE(LEFT(C329,2)))
      ),
      IF(ISNUMBER(SEARCH("/",C329)*1),
        DATE(VALUE(RIGHT(C329,4)),VALUE(LEFT(C329,2)),VALUE(MID(C329,4,2))),
        DATEVALUE(C329)
      )
    )
  ),
"INVALID_DATE")</f>
        <v>45500</v>
      </c>
      <c r="AB329">
        <f>AA329-Z329</f>
        <v>3</v>
      </c>
      <c r="AC329" t="str">
        <f>TEXT(Z329,"mmmm")</f>
        <v>July</v>
      </c>
      <c r="AD329">
        <f>YEAR(Z329)</f>
        <v>2024</v>
      </c>
      <c r="AE329" t="str">
        <f t="shared" si="17"/>
        <v>OK</v>
      </c>
    </row>
    <row r="330" spans="1:31">
      <c r="A330" t="s">
        <v>1673</v>
      </c>
      <c r="B330" t="s">
        <v>1674</v>
      </c>
      <c r="C330" t="s">
        <v>1440</v>
      </c>
      <c r="D330" t="s">
        <v>1675</v>
      </c>
      <c r="E330" t="s">
        <v>217</v>
      </c>
      <c r="F330" t="s">
        <v>33</v>
      </c>
      <c r="G330" t="s">
        <v>80</v>
      </c>
      <c r="H330" t="s">
        <v>81</v>
      </c>
      <c r="I330" t="s">
        <v>82</v>
      </c>
      <c r="J330" t="s">
        <v>37</v>
      </c>
      <c r="K330" t="s">
        <v>163</v>
      </c>
      <c r="L330" t="s">
        <v>1676</v>
      </c>
      <c r="M330" t="s">
        <v>63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41</v>
      </c>
      <c r="U330" t="s">
        <v>42</v>
      </c>
      <c r="V330">
        <f>O330*(1-P330)*N330</f>
        <v>18604.079999999998</v>
      </c>
      <c r="W330">
        <f t="shared" si="15"/>
        <v>2769.7799999999988</v>
      </c>
      <c r="X330">
        <f t="shared" si="16"/>
        <v>0.14888024562354063</v>
      </c>
      <c r="Y330" t="str">
        <f>_xlfn.TEXTJOIN(", ",TRUE,IF(G330="Unknown","Missing Region",""),IF(M330="Unknown","Missing Ship Mode",""),IF(P330&lt;0,"Negative Discount",""),IF(P330&gt;0.7,"High Discount",""),IF(C330&lt;B330,"Ship Before Order",""))</f>
        <v>Ship Before Order</v>
      </c>
      <c r="Z330" s="2">
        <f>IFERROR(
  IF(ISNUMBER(B330),B330,
    IF(ISNUMBER(SEARCH("-",B330)*1),
      IF(LEN(LEFT(B330,FIND("-",B330)-1))=4,
        DATE(VALUE(LEFT(B330,4)),VALUE(MID(B330,6,2)),VALUE(RIGHT(B330,2))),
        DATE(VALUE(RIGHT(B330,4)),VALUE(MID(B330,4,2)),VALUE(LEFT(B330,2)))
      ),
      IF(ISNUMBER(SEARCH("/",B330)*1),
        DATE(VALUE(RIGHT(B330,4)),VALUE(LEFT(B330,2)),VALUE(MID(B330,4,2))),
        DATEVALUE(B330)
      )
    )
  ),
"INVALID_DATE")</f>
        <v>45806</v>
      </c>
      <c r="AA330" s="2">
        <f>IFERROR(
  IF(ISNUMBER(C330),C330,
    IF(ISNUMBER(SEARCH("-",C330)*1),
      IF(LEN(LEFT(C330,FIND("-",C330)-1))=4,
        DATE(VALUE(LEFT(C330,4)),VALUE(MID(C330,6,2)),VALUE(RIGHT(C330,2))),
        DATE(VALUE(RIGHT(C330,4)),VALUE(MID(C330,4,2)),VALUE(LEFT(C330,2)))
      ),
      IF(ISNUMBER(SEARCH("/",C330)*1),
        DATE(VALUE(RIGHT(C330,4)),VALUE(LEFT(C330,2)),VALUE(MID(C330,4,2))),
        DATEVALUE(C330)
      )
    )
  ),
"INVALID_DATE")</f>
        <v>45812</v>
      </c>
      <c r="AB330">
        <f>AA330-Z330</f>
        <v>6</v>
      </c>
      <c r="AC330" t="str">
        <f>TEXT(Z330,"mmmm")</f>
        <v>May</v>
      </c>
      <c r="AD330">
        <f>YEAR(Z330)</f>
        <v>2025</v>
      </c>
      <c r="AE330" t="str">
        <f t="shared" si="17"/>
        <v>OK</v>
      </c>
    </row>
    <row r="331" spans="1:31">
      <c r="A331" t="s">
        <v>1677</v>
      </c>
      <c r="B331" t="s">
        <v>1678</v>
      </c>
      <c r="C331" t="s">
        <v>1679</v>
      </c>
      <c r="D331" t="s">
        <v>1680</v>
      </c>
      <c r="E331" t="s">
        <v>100</v>
      </c>
      <c r="F331" t="s">
        <v>48</v>
      </c>
      <c r="G331" t="s">
        <v>80</v>
      </c>
      <c r="H331" t="s">
        <v>81</v>
      </c>
      <c r="I331" t="s">
        <v>82</v>
      </c>
      <c r="J331" t="s">
        <v>37</v>
      </c>
      <c r="K331" t="s">
        <v>163</v>
      </c>
      <c r="L331" t="s">
        <v>1681</v>
      </c>
      <c r="M331" t="s">
        <v>74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41</v>
      </c>
      <c r="U331" t="s">
        <v>42</v>
      </c>
      <c r="V331">
        <f>O331*(1-P331)*N331</f>
        <v>15401.513999999999</v>
      </c>
      <c r="W331">
        <f t="shared" si="15"/>
        <v>6751.0939999999991</v>
      </c>
      <c r="X331">
        <f t="shared" si="16"/>
        <v>0.4383394874918109</v>
      </c>
      <c r="Y331" t="s">
        <v>4120</v>
      </c>
      <c r="Z331" s="2">
        <f>IFERROR(
  IF(ISNUMBER(B331),B331,
    IF(ISNUMBER(SEARCH("-",B331)*1),
      IF(LEN(LEFT(B331,FIND("-",B331)-1))=4,
        DATE(VALUE(LEFT(B331,4)),VALUE(MID(B331,6,2)),VALUE(RIGHT(B331,2))),
        DATE(VALUE(RIGHT(B331,4)),VALUE(MID(B331,4,2)),VALUE(LEFT(B331,2)))
      ),
      IF(ISNUMBER(SEARCH("/",B331)*1),
        DATE(VALUE(RIGHT(B331,4)),VALUE(LEFT(B331,2)),VALUE(MID(B331,4,2))),
        DATEVALUE(B331)
      )
    )
  ),
"INVALID_DATE")</f>
        <v>45789</v>
      </c>
      <c r="AA331" s="2">
        <f>IFERROR(
  IF(ISNUMBER(C331),C331,
    IF(ISNUMBER(SEARCH("-",C331)*1),
      IF(LEN(LEFT(C331,FIND("-",C331)-1))=4,
        DATE(VALUE(LEFT(C331,4)),VALUE(MID(C331,6,2)),VALUE(RIGHT(C331,2))),
        DATE(VALUE(RIGHT(C331,4)),VALUE(MID(C331,4,2)),VALUE(LEFT(C331,2)))
      ),
      IF(ISNUMBER(SEARCH("/",C331)*1),
        DATE(VALUE(RIGHT(C331,4)),VALUE(LEFT(C331,2)),VALUE(MID(C331,4,2))),
        DATEVALUE(C331)
      )
    )
  ),
"INVALID_DATE")</f>
        <v>45795</v>
      </c>
      <c r="AB331">
        <f>AA331-Z331</f>
        <v>6</v>
      </c>
      <c r="AC331" t="str">
        <f>TEXT(Z331,"mmmm")</f>
        <v>May</v>
      </c>
      <c r="AD331">
        <f>YEAR(Z331)</f>
        <v>2025</v>
      </c>
      <c r="AE331" t="str">
        <f t="shared" si="17"/>
        <v>OK</v>
      </c>
    </row>
    <row r="332" spans="1:31">
      <c r="A332" t="s">
        <v>1682</v>
      </c>
      <c r="B332" t="s">
        <v>1136</v>
      </c>
      <c r="C332" t="s">
        <v>717</v>
      </c>
      <c r="D332" t="s">
        <v>1683</v>
      </c>
      <c r="E332" t="s">
        <v>68</v>
      </c>
      <c r="F332" t="s">
        <v>122</v>
      </c>
      <c r="G332" t="s">
        <v>34</v>
      </c>
      <c r="H332" t="s">
        <v>161</v>
      </c>
      <c r="I332" t="s">
        <v>162</v>
      </c>
      <c r="J332" t="s">
        <v>93</v>
      </c>
      <c r="K332" t="s">
        <v>94</v>
      </c>
      <c r="L332" t="s">
        <v>1684</v>
      </c>
      <c r="M332" t="s">
        <v>55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207</v>
      </c>
      <c r="U332" t="s">
        <v>85</v>
      </c>
      <c r="V332">
        <f>O332*(1-P332)*N332</f>
        <v>783.09</v>
      </c>
      <c r="W332">
        <f t="shared" si="15"/>
        <v>279.20000000000005</v>
      </c>
      <c r="X332">
        <f t="shared" si="16"/>
        <v>0.35653628573982554</v>
      </c>
      <c r="Y332" t="s">
        <v>4120</v>
      </c>
      <c r="Z332" s="2">
        <f>IFERROR(
  IF(ISNUMBER(B332),B332,
    IF(ISNUMBER(SEARCH("-",B332)*1),
      IF(LEN(LEFT(B332,FIND("-",B332)-1))=4,
        DATE(VALUE(LEFT(B332,4)),VALUE(MID(B332,6,2)),VALUE(RIGHT(B332,2))),
        DATE(VALUE(RIGHT(B332,4)),VALUE(MID(B332,4,2)),VALUE(LEFT(B332,2)))
      ),
      IF(ISNUMBER(SEARCH("/",B332)*1),
        DATE(VALUE(RIGHT(B332,4)),VALUE(LEFT(B332,2)),VALUE(MID(B332,4,2))),
        DATEVALUE(B332)
      )
    )
  ),
"INVALID_DATE")</f>
        <v>45428</v>
      </c>
      <c r="AA332" s="2">
        <f>IFERROR(
  IF(ISNUMBER(C332),C332,
    IF(ISNUMBER(SEARCH("-",C332)*1),
      IF(LEN(LEFT(C332,FIND("-",C332)-1))=4,
        DATE(VALUE(LEFT(C332,4)),VALUE(MID(C332,6,2)),VALUE(RIGHT(C332,2))),
        DATE(VALUE(RIGHT(C332,4)),VALUE(MID(C332,4,2)),VALUE(LEFT(C332,2)))
      ),
      IF(ISNUMBER(SEARCH("/",C332)*1),
        DATE(VALUE(RIGHT(C332,4)),VALUE(LEFT(C332,2)),VALUE(MID(C332,4,2))),
        DATEVALUE(C332)
      )
    )
  ),
"INVALID_DATE")</f>
        <v>45436</v>
      </c>
      <c r="AB332">
        <f>AA332-Z332</f>
        <v>8</v>
      </c>
      <c r="AC332" t="str">
        <f>TEXT(Z332,"mmmm")</f>
        <v>May</v>
      </c>
      <c r="AD332">
        <f>YEAR(Z332)</f>
        <v>2024</v>
      </c>
      <c r="AE332" t="str">
        <f t="shared" si="17"/>
        <v>OK</v>
      </c>
    </row>
    <row r="333" spans="1:31">
      <c r="A333" t="s">
        <v>1685</v>
      </c>
      <c r="B333" t="s">
        <v>713</v>
      </c>
      <c r="C333" t="s">
        <v>1686</v>
      </c>
      <c r="D333" t="s">
        <v>1687</v>
      </c>
      <c r="E333" t="s">
        <v>175</v>
      </c>
      <c r="F333" t="s">
        <v>122</v>
      </c>
      <c r="G333" t="s">
        <v>49</v>
      </c>
      <c r="H333" t="s">
        <v>50</v>
      </c>
      <c r="I333" t="s">
        <v>51</v>
      </c>
      <c r="J333" t="s">
        <v>37</v>
      </c>
      <c r="K333" t="s">
        <v>205</v>
      </c>
      <c r="L333" t="s">
        <v>1688</v>
      </c>
      <c r="M333" t="s">
        <v>40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41</v>
      </c>
      <c r="U333" t="s">
        <v>132</v>
      </c>
      <c r="V333">
        <f>O333*(1-P333)*N333</f>
        <v>10742.64</v>
      </c>
      <c r="W333">
        <f t="shared" si="15"/>
        <v>4265.2699999999995</v>
      </c>
      <c r="X333">
        <f t="shared" si="16"/>
        <v>0.3970411370017054</v>
      </c>
      <c r="Y333" t="s">
        <v>4120</v>
      </c>
      <c r="Z333" s="2">
        <f>IFERROR(
  IF(ISNUMBER(B333),B333,
    IF(ISNUMBER(SEARCH("-",B333)*1),
      IF(LEN(LEFT(B333,FIND("-",B333)-1))=4,
        DATE(VALUE(LEFT(B333,4)),VALUE(MID(B333,6,2)),VALUE(RIGHT(B333,2))),
        DATE(VALUE(RIGHT(B333,4)),VALUE(MID(B333,4,2)),VALUE(LEFT(B333,2)))
      ),
      IF(ISNUMBER(SEARCH("/",B333)*1),
        DATE(VALUE(RIGHT(B333,4)),VALUE(LEFT(B333,2)),VALUE(MID(B333,4,2))),
        DATEVALUE(B333)
      )
    )
  ),
"INVALID_DATE")</f>
        <v>45630</v>
      </c>
      <c r="AA333" s="2">
        <f>IFERROR(
  IF(ISNUMBER(C333),C333,
    IF(ISNUMBER(SEARCH("-",C333)*1),
      IF(LEN(LEFT(C333,FIND("-",C333)-1))=4,
        DATE(VALUE(LEFT(C333,4)),VALUE(MID(C333,6,2)),VALUE(RIGHT(C333,2))),
        DATE(VALUE(RIGHT(C333,4)),VALUE(MID(C333,4,2)),VALUE(LEFT(C333,2)))
      ),
      IF(ISNUMBER(SEARCH("/",C333)*1),
        DATE(VALUE(RIGHT(C333,4)),VALUE(LEFT(C333,2)),VALUE(MID(C333,4,2))),
        DATEVALUE(C333)
      )
    )
  ),
"INVALID_DATE")</f>
        <v>45632</v>
      </c>
      <c r="AB333">
        <f>AA333-Z333</f>
        <v>2</v>
      </c>
      <c r="AC333" t="str">
        <f>TEXT(Z333,"mmmm")</f>
        <v>December</v>
      </c>
      <c r="AD333">
        <f>YEAR(Z333)</f>
        <v>2024</v>
      </c>
      <c r="AE333" t="str">
        <f t="shared" si="17"/>
        <v>OK</v>
      </c>
    </row>
    <row r="334" spans="1:31">
      <c r="A334" t="s">
        <v>1689</v>
      </c>
      <c r="B334" t="s">
        <v>1690</v>
      </c>
      <c r="C334" t="s">
        <v>1691</v>
      </c>
      <c r="D334" t="s">
        <v>1692</v>
      </c>
      <c r="E334" t="s">
        <v>169</v>
      </c>
      <c r="F334" t="s">
        <v>33</v>
      </c>
      <c r="G334" t="s">
        <v>69</v>
      </c>
      <c r="H334" t="s">
        <v>107</v>
      </c>
      <c r="I334" t="s">
        <v>108</v>
      </c>
      <c r="J334" t="s">
        <v>93</v>
      </c>
      <c r="K334" t="s">
        <v>1693</v>
      </c>
      <c r="L334" t="s">
        <v>1694</v>
      </c>
      <c r="M334" t="s">
        <v>40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41</v>
      </c>
      <c r="U334" t="s">
        <v>42</v>
      </c>
      <c r="V334">
        <f>O334*(1-P334)*N334</f>
        <v>7823.92</v>
      </c>
      <c r="W334">
        <f t="shared" si="15"/>
        <v>1789.29</v>
      </c>
      <c r="X334">
        <f t="shared" si="16"/>
        <v>0.22869482305545047</v>
      </c>
      <c r="Y334" t="str">
        <f>_xlfn.TEXTJOIN(", ",TRUE,IF(G334="Unknown","Missing Region",""),IF(M334="Unknown","Missing Ship Mode",""),IF(P334&lt;0,"Negative Discount",""),IF(P334&gt;0.7,"High Discount",""),IF(C334&lt;B334,"Ship Before Order",""))</f>
        <v>Ship Before Order</v>
      </c>
      <c r="Z334" s="2">
        <f>IFERROR(
  IF(ISNUMBER(B334),B334,
    IF(ISNUMBER(SEARCH("-",B334)*1),
      IF(LEN(LEFT(B334,FIND("-",B334)-1))=4,
        DATE(VALUE(LEFT(B334,4)),VALUE(MID(B334,6,2)),VALUE(RIGHT(B334,2))),
        DATE(VALUE(RIGHT(B334,4)),VALUE(MID(B334,4,2)),VALUE(LEFT(B334,2)))
      ),
      IF(ISNUMBER(SEARCH("/",B334)*1),
        DATE(VALUE(RIGHT(B334,4)),VALUE(LEFT(B334,2)),VALUE(MID(B334,4,2))),
        DATEVALUE(B334)
      )
    )
  ),
"INVALID_DATE")</f>
        <v>45804</v>
      </c>
      <c r="AA334" s="2">
        <f>IFERROR(
  IF(ISNUMBER(C334),C334,
    IF(ISNUMBER(SEARCH("-",C334)*1),
      IF(LEN(LEFT(C334,FIND("-",C334)-1))=4,
        DATE(VALUE(LEFT(C334,4)),VALUE(MID(C334,6,2)),VALUE(RIGHT(C334,2))),
        DATE(VALUE(RIGHT(C334,4)),VALUE(MID(C334,4,2)),VALUE(LEFT(C334,2)))
      ),
      IF(ISNUMBER(SEARCH("/",C334)*1),
        DATE(VALUE(RIGHT(C334,4)),VALUE(LEFT(C334,2)),VALUE(MID(C334,4,2))),
        DATEVALUE(C334)
      )
    )
  ),
"INVALID_DATE")</f>
        <v>45805</v>
      </c>
      <c r="AB334">
        <f>AA334-Z334</f>
        <v>1</v>
      </c>
      <c r="AC334" t="str">
        <f>TEXT(Z334,"mmmm")</f>
        <v>May</v>
      </c>
      <c r="AD334">
        <f>YEAR(Z334)</f>
        <v>2025</v>
      </c>
      <c r="AE334" t="str">
        <f t="shared" si="17"/>
        <v>OK</v>
      </c>
    </row>
    <row r="335" spans="1:31">
      <c r="A335" t="s">
        <v>1695</v>
      </c>
      <c r="B335" t="s">
        <v>1696</v>
      </c>
      <c r="C335" t="s">
        <v>1697</v>
      </c>
      <c r="D335" t="s">
        <v>1698</v>
      </c>
      <c r="E335" t="s">
        <v>187</v>
      </c>
      <c r="F335" t="s">
        <v>122</v>
      </c>
      <c r="G335" t="s">
        <v>279</v>
      </c>
      <c r="H335" t="s">
        <v>514</v>
      </c>
      <c r="I335" t="s">
        <v>515</v>
      </c>
      <c r="J335" t="s">
        <v>93</v>
      </c>
      <c r="K335" t="s">
        <v>230</v>
      </c>
      <c r="L335" t="s">
        <v>1699</v>
      </c>
      <c r="M335" t="s">
        <v>63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41</v>
      </c>
      <c r="U335" t="s">
        <v>42</v>
      </c>
      <c r="V335">
        <f>O335*(1-P335)*N335</f>
        <v>2936.1</v>
      </c>
      <c r="W335">
        <f t="shared" si="15"/>
        <v>1013</v>
      </c>
      <c r="X335">
        <f t="shared" si="16"/>
        <v>0.34501549674738602</v>
      </c>
      <c r="Y335" t="str">
        <f>_xlfn.TEXTJOIN(", ",TRUE,IF(G335="Unknown","Missing Region",""),IF(M335="Unknown","Missing Ship Mode",""),IF(P335&lt;0,"Negative Discount",""),IF(P335&gt;0.7,"High Discount",""),IF(C335&lt;B335,"Ship Before Order",""))</f>
        <v>Missing Region, Ship Before Order</v>
      </c>
      <c r="Z335" s="2">
        <f>IFERROR(
  IF(ISNUMBER(B335),B335,
    IF(ISNUMBER(SEARCH("-",B335)*1),
      IF(LEN(LEFT(B335,FIND("-",B335)-1))=4,
        DATE(VALUE(LEFT(B335,4)),VALUE(MID(B335,6,2)),VALUE(RIGHT(B335,2))),
        DATE(VALUE(RIGHT(B335,4)),VALUE(MID(B335,4,2)),VALUE(LEFT(B335,2)))
      ),
      IF(ISNUMBER(SEARCH("/",B335)*1),
        DATE(VALUE(RIGHT(B335,4)),VALUE(LEFT(B335,2)),VALUE(MID(B335,4,2))),
        DATEVALUE(B335)
      )
    )
  ),
"INVALID_DATE")</f>
        <v>45830</v>
      </c>
      <c r="AA335" s="2">
        <f>IFERROR(
  IF(ISNUMBER(C335),C335,
    IF(ISNUMBER(SEARCH("-",C335)*1),
      IF(LEN(LEFT(C335,FIND("-",C335)-1))=4,
        DATE(VALUE(LEFT(C335,4)),VALUE(MID(C335,6,2)),VALUE(RIGHT(C335,2))),
        DATE(VALUE(RIGHT(C335,4)),VALUE(MID(C335,4,2)),VALUE(LEFT(C335,2)))
      ),
      IF(ISNUMBER(SEARCH("/",C335)*1),
        DATE(VALUE(RIGHT(C335,4)),VALUE(LEFT(C335,2)),VALUE(MID(C335,4,2))),
        DATEVALUE(C335)
      )
    )
  ),
"INVALID_DATE")</f>
        <v>45835</v>
      </c>
      <c r="AB335">
        <f>AA335-Z335</f>
        <v>5</v>
      </c>
      <c r="AC335" t="str">
        <f>TEXT(Z335,"mmmm")</f>
        <v>June</v>
      </c>
      <c r="AD335">
        <f>YEAR(Z335)</f>
        <v>2025</v>
      </c>
      <c r="AE335" t="str">
        <f t="shared" si="17"/>
        <v>OK</v>
      </c>
    </row>
    <row r="336" spans="1:31">
      <c r="A336" t="s">
        <v>1700</v>
      </c>
      <c r="B336" t="s">
        <v>1701</v>
      </c>
      <c r="C336" t="s">
        <v>1702</v>
      </c>
      <c r="D336" t="s">
        <v>1703</v>
      </c>
      <c r="E336" t="s">
        <v>79</v>
      </c>
      <c r="F336" t="s">
        <v>33</v>
      </c>
      <c r="G336" t="s">
        <v>49</v>
      </c>
      <c r="H336" t="s">
        <v>319</v>
      </c>
      <c r="I336" t="s">
        <v>320</v>
      </c>
      <c r="J336" t="s">
        <v>37</v>
      </c>
      <c r="K336" t="s">
        <v>163</v>
      </c>
      <c r="L336" t="s">
        <v>1704</v>
      </c>
      <c r="M336" t="s">
        <v>63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41</v>
      </c>
      <c r="U336" t="s">
        <v>42</v>
      </c>
      <c r="V336">
        <f>O336*(1-P336)*N336</f>
        <v>12969.922500000001</v>
      </c>
      <c r="W336">
        <f t="shared" si="15"/>
        <v>3571.4625000000015</v>
      </c>
      <c r="X336">
        <f t="shared" si="16"/>
        <v>0.27536484419333351</v>
      </c>
      <c r="Y336" t="s">
        <v>4120</v>
      </c>
      <c r="Z336" s="2">
        <f>IFERROR(
  IF(ISNUMBER(B336),B336,
    IF(ISNUMBER(SEARCH("-",B336)*1),
      IF(LEN(LEFT(B336,FIND("-",B336)-1))=4,
        DATE(VALUE(LEFT(B336,4)),VALUE(MID(B336,6,2)),VALUE(RIGHT(B336,2))),
        DATE(VALUE(RIGHT(B336,4)),VALUE(MID(B336,4,2)),VALUE(LEFT(B336,2)))
      ),
      IF(ISNUMBER(SEARCH("/",B336)*1),
        DATE(VALUE(RIGHT(B336,4)),VALUE(LEFT(B336,2)),VALUE(MID(B336,4,2))),
        DATEVALUE(B336)
      )
    )
  ),
"INVALID_DATE")</f>
        <v>45547</v>
      </c>
      <c r="AA336" s="2">
        <f>IFERROR(
  IF(ISNUMBER(C336),C336,
    IF(ISNUMBER(SEARCH("-",C336)*1),
      IF(LEN(LEFT(C336,FIND("-",C336)-1))=4,
        DATE(VALUE(LEFT(C336,4)),VALUE(MID(C336,6,2)),VALUE(RIGHT(C336,2))),
        DATE(VALUE(RIGHT(C336,4)),VALUE(MID(C336,4,2)),VALUE(LEFT(C336,2)))
      ),
      IF(ISNUMBER(SEARCH("/",C336)*1),
        DATE(VALUE(RIGHT(C336,4)),VALUE(LEFT(C336,2)),VALUE(MID(C336,4,2))),
        DATEVALUE(C336)
      )
    )
  ),
"INVALID_DATE")</f>
        <v>45552</v>
      </c>
      <c r="AB336">
        <f>AA336-Z336</f>
        <v>5</v>
      </c>
      <c r="AC336" t="str">
        <f>TEXT(Z336,"mmmm")</f>
        <v>September</v>
      </c>
      <c r="AD336">
        <f>YEAR(Z336)</f>
        <v>2024</v>
      </c>
      <c r="AE336" t="str">
        <f t="shared" si="17"/>
        <v>OK</v>
      </c>
    </row>
    <row r="337" spans="1:31">
      <c r="A337" t="s">
        <v>1705</v>
      </c>
      <c r="B337" t="s">
        <v>1706</v>
      </c>
      <c r="C337" t="s">
        <v>1707</v>
      </c>
      <c r="D337" t="s">
        <v>1708</v>
      </c>
      <c r="E337" t="s">
        <v>155</v>
      </c>
      <c r="F337" t="s">
        <v>122</v>
      </c>
      <c r="G337" t="s">
        <v>80</v>
      </c>
      <c r="H337" t="s">
        <v>91</v>
      </c>
      <c r="I337" t="s">
        <v>92</v>
      </c>
      <c r="J337" t="s">
        <v>37</v>
      </c>
      <c r="K337" t="s">
        <v>38</v>
      </c>
      <c r="L337" t="s">
        <v>1709</v>
      </c>
      <c r="M337" t="s">
        <v>63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41</v>
      </c>
      <c r="U337" t="s">
        <v>42</v>
      </c>
      <c r="V337">
        <f>O337*(1-P337)*N337</f>
        <v>11581.298999999999</v>
      </c>
      <c r="W337">
        <f t="shared" si="15"/>
        <v>4751.8689999999988</v>
      </c>
      <c r="X337">
        <f t="shared" si="16"/>
        <v>0.41030540612884564</v>
      </c>
      <c r="Y337" t="s">
        <v>4120</v>
      </c>
      <c r="Z337" s="2">
        <f>IFERROR(
  IF(ISNUMBER(B337),B337,
    IF(ISNUMBER(SEARCH("-",B337)*1),
      IF(LEN(LEFT(B337,FIND("-",B337)-1))=4,
        DATE(VALUE(LEFT(B337,4)),VALUE(MID(B337,6,2)),VALUE(RIGHT(B337,2))),
        DATE(VALUE(RIGHT(B337,4)),VALUE(MID(B337,4,2)),VALUE(LEFT(B337,2)))
      ),
      IF(ISNUMBER(SEARCH("/",B337)*1),
        DATE(VALUE(RIGHT(B337,4)),VALUE(LEFT(B337,2)),VALUE(MID(B337,4,2))),
        DATEVALUE(B337)
      )
    )
  ),
"INVALID_DATE")</f>
        <v>45824</v>
      </c>
      <c r="AA337" s="2">
        <f>IFERROR(
  IF(ISNUMBER(C337),C337,
    IF(ISNUMBER(SEARCH("-",C337)*1),
      IF(LEN(LEFT(C337,FIND("-",C337)-1))=4,
        DATE(VALUE(LEFT(C337,4)),VALUE(MID(C337,6,2)),VALUE(RIGHT(C337,2))),
        DATE(VALUE(RIGHT(C337,4)),VALUE(MID(C337,4,2)),VALUE(LEFT(C337,2)))
      ),
      IF(ISNUMBER(SEARCH("/",C337)*1),
        DATE(VALUE(RIGHT(C337,4)),VALUE(LEFT(C337,2)),VALUE(MID(C337,4,2))),
        DATEVALUE(C337)
      )
    )
  ),
"INVALID_DATE")</f>
        <v>45826</v>
      </c>
      <c r="AB337">
        <f>AA337-Z337</f>
        <v>2</v>
      </c>
      <c r="AC337" t="str">
        <f>TEXT(Z337,"mmmm")</f>
        <v>June</v>
      </c>
      <c r="AD337">
        <f>YEAR(Z337)</f>
        <v>2025</v>
      </c>
      <c r="AE337" t="str">
        <f t="shared" si="17"/>
        <v>OK</v>
      </c>
    </row>
    <row r="338" spans="1:31">
      <c r="A338" t="s">
        <v>1710</v>
      </c>
      <c r="B338" t="s">
        <v>312</v>
      </c>
      <c r="C338" t="s">
        <v>1711</v>
      </c>
      <c r="D338" t="s">
        <v>1329</v>
      </c>
      <c r="E338" t="s">
        <v>169</v>
      </c>
      <c r="F338" t="s">
        <v>33</v>
      </c>
      <c r="G338" t="s">
        <v>34</v>
      </c>
      <c r="H338" t="s">
        <v>35</v>
      </c>
      <c r="I338" t="s">
        <v>36</v>
      </c>
      <c r="J338" t="s">
        <v>93</v>
      </c>
      <c r="K338" t="s">
        <v>101</v>
      </c>
      <c r="L338" t="s">
        <v>1712</v>
      </c>
      <c r="M338" t="s">
        <v>63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41</v>
      </c>
      <c r="U338" t="s">
        <v>42</v>
      </c>
      <c r="V338">
        <f>O338*(1-P338)*N338</f>
        <v>15940.56</v>
      </c>
      <c r="W338">
        <f t="shared" si="15"/>
        <v>3593.41</v>
      </c>
      <c r="X338">
        <f t="shared" si="16"/>
        <v>0.2254255810335396</v>
      </c>
      <c r="Y338" t="str">
        <f>_xlfn.TEXTJOIN(", ",TRUE,IF(G338="Unknown","Missing Region",""),IF(M338="Unknown","Missing Ship Mode",""),IF(P338&lt;0,"Negative Discount",""),IF(P338&gt;0.7,"High Discount",""),IF(C338&lt;B338,"Ship Before Order",""))</f>
        <v>Ship Before Order</v>
      </c>
      <c r="Z338" s="2">
        <f>IFERROR(
  IF(ISNUMBER(B338),B338,
    IF(ISNUMBER(SEARCH("-",B338)*1),
      IF(LEN(LEFT(B338,FIND("-",B338)-1))=4,
        DATE(VALUE(LEFT(B338,4)),VALUE(MID(B338,6,2)),VALUE(RIGHT(B338,2))),
        DATE(VALUE(RIGHT(B338,4)),VALUE(MID(B338,4,2)),VALUE(LEFT(B338,2)))
      ),
      IF(ISNUMBER(SEARCH("/",B338)*1),
        DATE(VALUE(RIGHT(B338,4)),VALUE(LEFT(B338,2)),VALUE(MID(B338,4,2))),
        DATEVALUE(B338)
      )
    )
  ),
"INVALID_DATE")</f>
        <v>45368</v>
      </c>
      <c r="AA338" s="2">
        <f>IFERROR(
  IF(ISNUMBER(C338),C338,
    IF(ISNUMBER(SEARCH("-",C338)*1),
      IF(LEN(LEFT(C338,FIND("-",C338)-1))=4,
        DATE(VALUE(LEFT(C338,4)),VALUE(MID(C338,6,2)),VALUE(RIGHT(C338,2))),
        DATE(VALUE(RIGHT(C338,4)),VALUE(MID(C338,4,2)),VALUE(LEFT(C338,2)))
      ),
      IF(ISNUMBER(SEARCH("/",C338)*1),
        DATE(VALUE(RIGHT(C338,4)),VALUE(LEFT(C338,2)),VALUE(MID(C338,4,2))),
        DATEVALUE(C338)
      )
    )
  ),
"INVALID_DATE")</f>
        <v>45372</v>
      </c>
      <c r="AB338">
        <f>AA338-Z338</f>
        <v>4</v>
      </c>
      <c r="AC338" t="str">
        <f>TEXT(Z338,"mmmm")</f>
        <v>March</v>
      </c>
      <c r="AD338">
        <f>YEAR(Z338)</f>
        <v>2024</v>
      </c>
      <c r="AE338" t="str">
        <f t="shared" si="17"/>
        <v>OK</v>
      </c>
    </row>
    <row r="339" spans="1:31">
      <c r="A339" t="s">
        <v>1713</v>
      </c>
      <c r="B339" t="s">
        <v>1714</v>
      </c>
      <c r="C339" t="s">
        <v>1715</v>
      </c>
      <c r="D339" t="s">
        <v>1716</v>
      </c>
      <c r="E339" t="s">
        <v>79</v>
      </c>
      <c r="F339" t="s">
        <v>33</v>
      </c>
      <c r="G339" t="s">
        <v>49</v>
      </c>
      <c r="H339" t="s">
        <v>223</v>
      </c>
      <c r="I339" t="s">
        <v>224</v>
      </c>
      <c r="J339" t="s">
        <v>37</v>
      </c>
      <c r="K339" t="s">
        <v>116</v>
      </c>
      <c r="L339" t="s">
        <v>1717</v>
      </c>
      <c r="M339" t="s">
        <v>55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41</v>
      </c>
      <c r="U339" t="s">
        <v>42</v>
      </c>
      <c r="V339">
        <f>O339*(1-P339)*N339</f>
        <v>7090.4400000000005</v>
      </c>
      <c r="W339">
        <f t="shared" si="15"/>
        <v>1418.17</v>
      </c>
      <c r="X339">
        <f t="shared" si="16"/>
        <v>0.17810883386644552</v>
      </c>
      <c r="Y339" t="s">
        <v>4120</v>
      </c>
      <c r="Z339" s="2">
        <f>IFERROR(
  IF(ISNUMBER(B339),B339,
    IF(ISNUMBER(SEARCH("-",B339)*1),
      IF(LEN(LEFT(B339,FIND("-",B339)-1))=4,
        DATE(VALUE(LEFT(B339,4)),VALUE(MID(B339,6,2)),VALUE(RIGHT(B339,2))),
        DATE(VALUE(RIGHT(B339,4)),VALUE(MID(B339,4,2)),VALUE(LEFT(B339,2)))
      ),
      IF(ISNUMBER(SEARCH("/",B339)*1),
        DATE(VALUE(RIGHT(B339,4)),VALUE(LEFT(B339,2)),VALUE(MID(B339,4,2))),
        DATEVALUE(B339)
      )
    )
  ),
"INVALID_DATE")</f>
        <v>45516</v>
      </c>
      <c r="AA339" s="2">
        <f>IFERROR(
  IF(ISNUMBER(C339),C339,
    IF(ISNUMBER(SEARCH("-",C339)*1),
      IF(LEN(LEFT(C339,FIND("-",C339)-1))=4,
        DATE(VALUE(LEFT(C339,4)),VALUE(MID(C339,6,2)),VALUE(RIGHT(C339,2))),
        DATE(VALUE(RIGHT(C339,4)),VALUE(MID(C339,4,2)),VALUE(LEFT(C339,2)))
      ),
      IF(ISNUMBER(SEARCH("/",C339)*1),
        DATE(VALUE(RIGHT(C339,4)),VALUE(LEFT(C339,2)),VALUE(MID(C339,4,2))),
        DATEVALUE(C339)
      )
    )
  ),
"INVALID_DATE")</f>
        <v>45522</v>
      </c>
      <c r="AB339">
        <f>AA339-Z339</f>
        <v>6</v>
      </c>
      <c r="AC339" t="str">
        <f>TEXT(Z339,"mmmm")</f>
        <v>August</v>
      </c>
      <c r="AD339">
        <f>YEAR(Z339)</f>
        <v>2024</v>
      </c>
      <c r="AE339" t="str">
        <f t="shared" si="17"/>
        <v>OK</v>
      </c>
    </row>
    <row r="340" spans="1:31">
      <c r="A340" t="s">
        <v>1718</v>
      </c>
      <c r="B340" t="s">
        <v>1719</v>
      </c>
      <c r="C340" t="s">
        <v>1472</v>
      </c>
      <c r="D340" t="s">
        <v>1720</v>
      </c>
      <c r="E340" t="s">
        <v>68</v>
      </c>
      <c r="F340" t="s">
        <v>48</v>
      </c>
      <c r="G340" t="s">
        <v>69</v>
      </c>
      <c r="H340" t="s">
        <v>107</v>
      </c>
      <c r="I340" t="s">
        <v>108</v>
      </c>
      <c r="J340" t="s">
        <v>93</v>
      </c>
      <c r="K340" t="s">
        <v>94</v>
      </c>
      <c r="L340" t="s">
        <v>1721</v>
      </c>
      <c r="M340" t="s">
        <v>63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41</v>
      </c>
      <c r="U340" t="s">
        <v>42</v>
      </c>
      <c r="V340">
        <f>O340*(1-P340)*N340</f>
        <v>26414.159999999996</v>
      </c>
      <c r="W340">
        <f t="shared" si="15"/>
        <v>4591.6299999999974</v>
      </c>
      <c r="X340">
        <f t="shared" si="16"/>
        <v>0.17383214154832105</v>
      </c>
      <c r="Y340" t="s">
        <v>4120</v>
      </c>
      <c r="Z340" s="2">
        <f>IFERROR(
  IF(ISNUMBER(B340),B340,
    IF(ISNUMBER(SEARCH("-",B340)*1),
      IF(LEN(LEFT(B340,FIND("-",B340)-1))=4,
        DATE(VALUE(LEFT(B340,4)),VALUE(MID(B340,6,2)),VALUE(RIGHT(B340,2))),
        DATE(VALUE(RIGHT(B340,4)),VALUE(MID(B340,4,2)),VALUE(LEFT(B340,2)))
      ),
      IF(ISNUMBER(SEARCH("/",B340)*1),
        DATE(VALUE(RIGHT(B340,4)),VALUE(LEFT(B340,2)),VALUE(MID(B340,4,2))),
        DATEVALUE(B340)
      )
    )
  ),
"INVALID_DATE")</f>
        <v>45634</v>
      </c>
      <c r="AA340" s="2">
        <f>IFERROR(
  IF(ISNUMBER(C340),C340,
    IF(ISNUMBER(SEARCH("-",C340)*1),
      IF(LEN(LEFT(C340,FIND("-",C340)-1))=4,
        DATE(VALUE(LEFT(C340,4)),VALUE(MID(C340,6,2)),VALUE(RIGHT(C340,2))),
        DATE(VALUE(RIGHT(C340,4)),VALUE(MID(C340,4,2)),VALUE(LEFT(C340,2)))
      ),
      IF(ISNUMBER(SEARCH("/",C340)*1),
        DATE(VALUE(RIGHT(C340,4)),VALUE(LEFT(C340,2)),VALUE(MID(C340,4,2))),
        DATEVALUE(C340)
      )
    )
  ),
"INVALID_DATE")</f>
        <v>45634</v>
      </c>
      <c r="AB340">
        <f>AA340-Z340</f>
        <v>0</v>
      </c>
      <c r="AC340" t="str">
        <f>TEXT(Z340,"mmmm")</f>
        <v>December</v>
      </c>
      <c r="AD340">
        <f>YEAR(Z340)</f>
        <v>2024</v>
      </c>
      <c r="AE340" t="str">
        <f t="shared" si="17"/>
        <v>OK</v>
      </c>
    </row>
    <row r="341" spans="1:31">
      <c r="A341" t="s">
        <v>1722</v>
      </c>
      <c r="B341" t="s">
        <v>924</v>
      </c>
      <c r="C341" t="s">
        <v>1723</v>
      </c>
      <c r="D341" t="s">
        <v>1724</v>
      </c>
      <c r="E341" t="s">
        <v>100</v>
      </c>
      <c r="F341" t="s">
        <v>115</v>
      </c>
      <c r="G341" t="s">
        <v>49</v>
      </c>
      <c r="H341" t="s">
        <v>319</v>
      </c>
      <c r="I341" t="s">
        <v>320</v>
      </c>
      <c r="J341" t="s">
        <v>52</v>
      </c>
      <c r="K341" t="s">
        <v>211</v>
      </c>
      <c r="L341" t="s">
        <v>1725</v>
      </c>
      <c r="M341" t="s">
        <v>74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41</v>
      </c>
      <c r="U341" t="s">
        <v>42</v>
      </c>
      <c r="V341">
        <f>O341*(1-P341)*N341</f>
        <v>20900.864000000001</v>
      </c>
      <c r="W341">
        <f t="shared" si="15"/>
        <v>8387.724000000002</v>
      </c>
      <c r="X341">
        <f t="shared" si="16"/>
        <v>0.40130980256314808</v>
      </c>
      <c r="Y341" t="s">
        <v>4120</v>
      </c>
      <c r="Z341" s="2">
        <f>IFERROR(
  IF(ISNUMBER(B341),B341,
    IF(ISNUMBER(SEARCH("-",B341)*1),
      IF(LEN(LEFT(B341,FIND("-",B341)-1))=4,
        DATE(VALUE(LEFT(B341,4)),VALUE(MID(B341,6,2)),VALUE(RIGHT(B341,2))),
        DATE(VALUE(RIGHT(B341,4)),VALUE(MID(B341,4,2)),VALUE(LEFT(B341,2)))
      ),
      IF(ISNUMBER(SEARCH("/",B341)*1),
        DATE(VALUE(RIGHT(B341,4)),VALUE(LEFT(B341,2)),VALUE(MID(B341,4,2))),
        DATEVALUE(B341)
      )
    )
  ),
"INVALID_DATE")</f>
        <v>45708</v>
      </c>
      <c r="AA341" s="2">
        <f>IFERROR(
  IF(ISNUMBER(C341),C341,
    IF(ISNUMBER(SEARCH("-",C341)*1),
      IF(LEN(LEFT(C341,FIND("-",C341)-1))=4,
        DATE(VALUE(LEFT(C341,4)),VALUE(MID(C341,6,2)),VALUE(RIGHT(C341,2))),
        DATE(VALUE(RIGHT(C341,4)),VALUE(MID(C341,4,2)),VALUE(LEFT(C341,2)))
      ),
      IF(ISNUMBER(SEARCH("/",C341)*1),
        DATE(VALUE(RIGHT(C341,4)),VALUE(LEFT(C341,2)),VALUE(MID(C341,4,2))),
        DATEVALUE(C341)
      )
    )
  ),
"INVALID_DATE")</f>
        <v>45710</v>
      </c>
      <c r="AB341">
        <f>AA341-Z341</f>
        <v>2</v>
      </c>
      <c r="AC341" t="str">
        <f>TEXT(Z341,"mmmm")</f>
        <v>February</v>
      </c>
      <c r="AD341">
        <f>YEAR(Z341)</f>
        <v>2025</v>
      </c>
      <c r="AE341" t="str">
        <f t="shared" si="17"/>
        <v>OK</v>
      </c>
    </row>
    <row r="342" spans="1:31">
      <c r="A342" t="s">
        <v>1726</v>
      </c>
      <c r="B342" t="s">
        <v>1727</v>
      </c>
      <c r="C342" t="s">
        <v>1728</v>
      </c>
      <c r="D342" t="s">
        <v>1729</v>
      </c>
      <c r="E342" t="s">
        <v>100</v>
      </c>
      <c r="F342" t="s">
        <v>33</v>
      </c>
      <c r="G342" t="s">
        <v>69</v>
      </c>
      <c r="H342" t="s">
        <v>236</v>
      </c>
      <c r="I342" t="s">
        <v>237</v>
      </c>
      <c r="J342" t="s">
        <v>37</v>
      </c>
      <c r="K342" t="s">
        <v>205</v>
      </c>
      <c r="L342" t="s">
        <v>1730</v>
      </c>
      <c r="M342" t="s">
        <v>74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41</v>
      </c>
      <c r="U342" t="s">
        <v>42</v>
      </c>
      <c r="V342">
        <f>O342*(1-P342)*N342</f>
        <v>18261.36</v>
      </c>
      <c r="W342">
        <f t="shared" si="15"/>
        <v>6861.42</v>
      </c>
      <c r="X342">
        <f t="shared" si="16"/>
        <v>0.3757343374206521</v>
      </c>
      <c r="Y342" t="str">
        <f>_xlfn.TEXTJOIN(", ",TRUE,IF(G342="Unknown","Missing Region",""),IF(M342="Unknown","Missing Ship Mode",""),IF(P342&lt;0,"Negative Discount",""),IF(P342&gt;0.7,"High Discount",""),IF(C342&lt;B342,"Ship Before Order",""))</f>
        <v>Ship Before Order</v>
      </c>
      <c r="Z342" s="2">
        <f>IFERROR(
  IF(ISNUMBER(B342),B342,
    IF(ISNUMBER(SEARCH("-",B342)*1),
      IF(LEN(LEFT(B342,FIND("-",B342)-1))=4,
        DATE(VALUE(LEFT(B342,4)),VALUE(MID(B342,6,2)),VALUE(RIGHT(B342,2))),
        DATE(VALUE(RIGHT(B342,4)),VALUE(MID(B342,4,2)),VALUE(LEFT(B342,2)))
      ),
      IF(ISNUMBER(SEARCH("/",B342)*1),
        DATE(VALUE(RIGHT(B342,4)),VALUE(LEFT(B342,2)),VALUE(MID(B342,4,2))),
        DATEVALUE(B342)
      )
    )
  ),
"INVALID_DATE")</f>
        <v>45312</v>
      </c>
      <c r="AA342" s="2">
        <f>IFERROR(
  IF(ISNUMBER(C342),C342,
    IF(ISNUMBER(SEARCH("-",C342)*1),
      IF(LEN(LEFT(C342,FIND("-",C342)-1))=4,
        DATE(VALUE(LEFT(C342,4)),VALUE(MID(C342,6,2)),VALUE(RIGHT(C342,2))),
        DATE(VALUE(RIGHT(C342,4)),VALUE(MID(C342,4,2)),VALUE(LEFT(C342,2)))
      ),
      IF(ISNUMBER(SEARCH("/",C342)*1),
        DATE(VALUE(RIGHT(C342,4)),VALUE(LEFT(C342,2)),VALUE(MID(C342,4,2))),
        DATEVALUE(C342)
      )
    )
  ),
"INVALID_DATE")</f>
        <v>45320</v>
      </c>
      <c r="AB342">
        <f>AA342-Z342</f>
        <v>8</v>
      </c>
      <c r="AC342" t="str">
        <f>TEXT(Z342,"mmmm")</f>
        <v>January</v>
      </c>
      <c r="AD342">
        <f>YEAR(Z342)</f>
        <v>2024</v>
      </c>
      <c r="AE342" t="str">
        <f t="shared" si="17"/>
        <v>OK</v>
      </c>
    </row>
    <row r="343" spans="1:31">
      <c r="A343" t="s">
        <v>1731</v>
      </c>
      <c r="B343" t="s">
        <v>1732</v>
      </c>
      <c r="C343" t="s">
        <v>1733</v>
      </c>
      <c r="D343" t="s">
        <v>1734</v>
      </c>
      <c r="E343" t="s">
        <v>187</v>
      </c>
      <c r="F343" t="s">
        <v>122</v>
      </c>
      <c r="G343" t="s">
        <v>80</v>
      </c>
      <c r="H343" t="s">
        <v>242</v>
      </c>
      <c r="I343" t="s">
        <v>243</v>
      </c>
      <c r="J343" t="s">
        <v>52</v>
      </c>
      <c r="K343" t="s">
        <v>83</v>
      </c>
      <c r="L343" t="s">
        <v>1735</v>
      </c>
      <c r="M343" t="s">
        <v>40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41</v>
      </c>
      <c r="U343" t="s">
        <v>42</v>
      </c>
      <c r="V343">
        <f>O343*(1-P343)*N343</f>
        <v>7524.6269999999995</v>
      </c>
      <c r="W343">
        <f t="shared" si="15"/>
        <v>1295.0269999999991</v>
      </c>
      <c r="X343">
        <f t="shared" si="16"/>
        <v>0.17210547229564777</v>
      </c>
      <c r="Y343" t="s">
        <v>4120</v>
      </c>
      <c r="Z343" s="2">
        <f>IFERROR(
  IF(ISNUMBER(B343),B343,
    IF(ISNUMBER(SEARCH("-",B343)*1),
      IF(LEN(LEFT(B343,FIND("-",B343)-1))=4,
        DATE(VALUE(LEFT(B343,4)),VALUE(MID(B343,6,2)),VALUE(RIGHT(B343,2))),
        DATE(VALUE(RIGHT(B343,4)),VALUE(MID(B343,4,2)),VALUE(LEFT(B343,2)))
      ),
      IF(ISNUMBER(SEARCH("/",B343)*1),
        DATE(VALUE(RIGHT(B343,4)),VALUE(LEFT(B343,2)),VALUE(MID(B343,4,2))),
        DATEVALUE(B343)
      )
    )
  ),
"INVALID_DATE")</f>
        <v>45908</v>
      </c>
      <c r="AA343" s="2">
        <f>IFERROR(
  IF(ISNUMBER(C343),C343,
    IF(ISNUMBER(SEARCH("-",C343)*1),
      IF(LEN(LEFT(C343,FIND("-",C343)-1))=4,
        DATE(VALUE(LEFT(C343,4)),VALUE(MID(C343,6,2)),VALUE(RIGHT(C343,2))),
        DATE(VALUE(RIGHT(C343,4)),VALUE(MID(C343,4,2)),VALUE(LEFT(C343,2)))
      ),
      IF(ISNUMBER(SEARCH("/",C343)*1),
        DATE(VALUE(RIGHT(C343,4)),VALUE(LEFT(C343,2)),VALUE(MID(C343,4,2))),
        DATEVALUE(C343)
      )
    )
  ),
"INVALID_DATE")</f>
        <v>45909</v>
      </c>
      <c r="AB343">
        <f>AA343-Z343</f>
        <v>1</v>
      </c>
      <c r="AC343" t="str">
        <f>TEXT(Z343,"mmmm")</f>
        <v>September</v>
      </c>
      <c r="AD343">
        <f>YEAR(Z343)</f>
        <v>2025</v>
      </c>
      <c r="AE343" t="str">
        <f t="shared" si="17"/>
        <v>OK</v>
      </c>
    </row>
    <row r="344" spans="1:31">
      <c r="A344" t="s">
        <v>1736</v>
      </c>
      <c r="B344" t="s">
        <v>1737</v>
      </c>
      <c r="C344" t="s">
        <v>1738</v>
      </c>
      <c r="D344" t="s">
        <v>1739</v>
      </c>
      <c r="E344" t="s">
        <v>374</v>
      </c>
      <c r="F344" t="s">
        <v>48</v>
      </c>
      <c r="G344" t="s">
        <v>49</v>
      </c>
      <c r="H344" t="s">
        <v>319</v>
      </c>
      <c r="I344" t="s">
        <v>320</v>
      </c>
      <c r="J344" t="s">
        <v>37</v>
      </c>
      <c r="K344" t="s">
        <v>205</v>
      </c>
      <c r="L344" t="s">
        <v>1740</v>
      </c>
      <c r="M344" t="s">
        <v>63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41</v>
      </c>
      <c r="U344" t="s">
        <v>42</v>
      </c>
      <c r="V344">
        <f>O344*(1-P344)*N344</f>
        <v>12231.36</v>
      </c>
      <c r="W344">
        <f t="shared" si="15"/>
        <v>3464.4600000000009</v>
      </c>
      <c r="X344">
        <f t="shared" si="16"/>
        <v>0.28324405462679536</v>
      </c>
      <c r="Y344" t="str">
        <f>_xlfn.TEXTJOIN(", ",TRUE,IF(G344="Unknown","Missing Region",""),IF(M344="Unknown","Missing Ship Mode",""),IF(P344&lt;0,"Negative Discount",""),IF(P344&gt;0.7,"High Discount",""),IF(C344&lt;B344,"Ship Before Order",""))</f>
        <v>Ship Before Order</v>
      </c>
      <c r="Z344" s="2">
        <f>IFERROR(
  IF(ISNUMBER(B344),B344,
    IF(ISNUMBER(SEARCH("-",B344)*1),
      IF(LEN(LEFT(B344,FIND("-",B344)-1))=4,
        DATE(VALUE(LEFT(B344,4)),VALUE(MID(B344,6,2)),VALUE(RIGHT(B344,2))),
        DATE(VALUE(RIGHT(B344,4)),VALUE(MID(B344,4,2)),VALUE(LEFT(B344,2)))
      ),
      IF(ISNUMBER(SEARCH("/",B344)*1),
        DATE(VALUE(RIGHT(B344,4)),VALUE(LEFT(B344,2)),VALUE(MID(B344,4,2))),
        DATEVALUE(B344)
      )
    )
  ),
"INVALID_DATE")</f>
        <v>45862</v>
      </c>
      <c r="AA344" s="2">
        <f>IFERROR(
  IF(ISNUMBER(C344),C344,
    IF(ISNUMBER(SEARCH("-",C344)*1),
      IF(LEN(LEFT(C344,FIND("-",C344)-1))=4,
        DATE(VALUE(LEFT(C344,4)),VALUE(MID(C344,6,2)),VALUE(RIGHT(C344,2))),
        DATE(VALUE(RIGHT(C344,4)),VALUE(MID(C344,4,2)),VALUE(LEFT(C344,2)))
      ),
      IF(ISNUMBER(SEARCH("/",C344)*1),
        DATE(VALUE(RIGHT(C344,4)),VALUE(LEFT(C344,2)),VALUE(MID(C344,4,2))),
        DATEVALUE(C344)
      )
    )
  ),
"INVALID_DATE")</f>
        <v>45870</v>
      </c>
      <c r="AB344">
        <f>AA344-Z344</f>
        <v>8</v>
      </c>
      <c r="AC344" t="str">
        <f>TEXT(Z344,"mmmm")</f>
        <v>July</v>
      </c>
      <c r="AD344">
        <f>YEAR(Z344)</f>
        <v>2025</v>
      </c>
      <c r="AE344" t="str">
        <f t="shared" si="17"/>
        <v>OK</v>
      </c>
    </row>
    <row r="345" spans="1:31">
      <c r="A345" t="s">
        <v>1741</v>
      </c>
      <c r="B345" t="s">
        <v>1742</v>
      </c>
      <c r="C345" t="s">
        <v>1199</v>
      </c>
      <c r="D345" t="s">
        <v>1743</v>
      </c>
      <c r="E345" t="s">
        <v>169</v>
      </c>
      <c r="F345" t="s">
        <v>115</v>
      </c>
      <c r="G345" t="s">
        <v>80</v>
      </c>
      <c r="H345" t="s">
        <v>91</v>
      </c>
      <c r="I345" t="s">
        <v>92</v>
      </c>
      <c r="J345" t="s">
        <v>93</v>
      </c>
      <c r="K345" t="s">
        <v>390</v>
      </c>
      <c r="L345" t="s">
        <v>1744</v>
      </c>
      <c r="M345" t="s">
        <v>55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41</v>
      </c>
      <c r="U345" t="s">
        <v>42</v>
      </c>
      <c r="V345">
        <f>O345*(1-P345)*N345</f>
        <v>31079.7</v>
      </c>
      <c r="W345">
        <f t="shared" si="15"/>
        <v>13321.45</v>
      </c>
      <c r="X345">
        <f t="shared" si="16"/>
        <v>0.4286222196481948</v>
      </c>
      <c r="Y345" t="str">
        <f>_xlfn.TEXTJOIN(", ",TRUE,IF(G345="Unknown","Missing Region",""),IF(M345="Unknown","Missing Ship Mode",""),IF(P345&lt;0,"Negative Discount",""),IF(P345&gt;0.7,"High Discount",""),IF(C345&lt;B345,"Ship Before Order",""))</f>
        <v>Ship Before Order</v>
      </c>
      <c r="Z345" s="2">
        <f>IFERROR(
  IF(ISNUMBER(B345),B345,
    IF(ISNUMBER(SEARCH("-",B345)*1),
      IF(LEN(LEFT(B345,FIND("-",B345)-1))=4,
        DATE(VALUE(LEFT(B345,4)),VALUE(MID(B345,6,2)),VALUE(RIGHT(B345,2))),
        DATE(VALUE(RIGHT(B345,4)),VALUE(MID(B345,4,2)),VALUE(LEFT(B345,2)))
      ),
      IF(ISNUMBER(SEARCH("/",B345)*1),
        DATE(VALUE(RIGHT(B345,4)),VALUE(LEFT(B345,2)),VALUE(MID(B345,4,2))),
        DATEVALUE(B345)
      )
    )
  ),
"INVALID_DATE")</f>
        <v>45933</v>
      </c>
      <c r="AA345" s="2">
        <f>IFERROR(
  IF(ISNUMBER(C345),C345,
    IF(ISNUMBER(SEARCH("-",C345)*1),
      IF(LEN(LEFT(C345,FIND("-",C345)-1))=4,
        DATE(VALUE(LEFT(C345,4)),VALUE(MID(C345,6,2)),VALUE(RIGHT(C345,2))),
        DATE(VALUE(RIGHT(C345,4)),VALUE(MID(C345,4,2)),VALUE(LEFT(C345,2)))
      ),
      IF(ISNUMBER(SEARCH("/",C345)*1),
        DATE(VALUE(RIGHT(C345,4)),VALUE(LEFT(C345,2)),VALUE(MID(C345,4,2))),
        DATEVALUE(C345)
      )
    )
  ),
"INVALID_DATE")</f>
        <v>45938</v>
      </c>
      <c r="AB345">
        <f>AA345-Z345</f>
        <v>5</v>
      </c>
      <c r="AC345" t="str">
        <f>TEXT(Z345,"mmmm")</f>
        <v>October</v>
      </c>
      <c r="AD345">
        <f>YEAR(Z345)</f>
        <v>2025</v>
      </c>
      <c r="AE345" t="str">
        <f t="shared" si="17"/>
        <v>OK</v>
      </c>
    </row>
    <row r="346" spans="1:31">
      <c r="A346" t="s">
        <v>1745</v>
      </c>
      <c r="B346" t="s">
        <v>1515</v>
      </c>
      <c r="C346" t="s">
        <v>1515</v>
      </c>
      <c r="D346" t="s">
        <v>1746</v>
      </c>
      <c r="E346" t="s">
        <v>149</v>
      </c>
      <c r="F346" t="s">
        <v>33</v>
      </c>
      <c r="G346" t="s">
        <v>34</v>
      </c>
      <c r="H346" t="s">
        <v>161</v>
      </c>
      <c r="I346" t="s">
        <v>162</v>
      </c>
      <c r="J346" t="s">
        <v>52</v>
      </c>
      <c r="K346" t="s">
        <v>211</v>
      </c>
      <c r="L346" t="s">
        <v>1747</v>
      </c>
      <c r="M346" t="s">
        <v>55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144</v>
      </c>
      <c r="U346" t="s">
        <v>132</v>
      </c>
      <c r="V346">
        <f>O346*(1-P346)*N346</f>
        <v>31107.420000000002</v>
      </c>
      <c r="W346">
        <f t="shared" si="15"/>
        <v>10960.760000000002</v>
      </c>
      <c r="X346">
        <f t="shared" si="16"/>
        <v>0.3523519468988428</v>
      </c>
      <c r="Y346" t="s">
        <v>4120</v>
      </c>
      <c r="Z346" s="2">
        <f>IFERROR(
  IF(ISNUMBER(B346),B346,
    IF(ISNUMBER(SEARCH("-",B346)*1),
      IF(LEN(LEFT(B346,FIND("-",B346)-1))=4,
        DATE(VALUE(LEFT(B346,4)),VALUE(MID(B346,6,2)),VALUE(RIGHT(B346,2))),
        DATE(VALUE(RIGHT(B346,4)),VALUE(MID(B346,4,2)),VALUE(LEFT(B346,2)))
      ),
      IF(ISNUMBER(SEARCH("/",B346)*1),
        DATE(VALUE(RIGHT(B346,4)),VALUE(LEFT(B346,2)),VALUE(MID(B346,4,2))),
        DATEVALUE(B346)
      )
    )
  ),
"INVALID_DATE")</f>
        <v>45362</v>
      </c>
      <c r="AA346" s="2">
        <f>IFERROR(
  IF(ISNUMBER(C346),C346,
    IF(ISNUMBER(SEARCH("-",C346)*1),
      IF(LEN(LEFT(C346,FIND("-",C346)-1))=4,
        DATE(VALUE(LEFT(C346,4)),VALUE(MID(C346,6,2)),VALUE(RIGHT(C346,2))),
        DATE(VALUE(RIGHT(C346,4)),VALUE(MID(C346,4,2)),VALUE(LEFT(C346,2)))
      ),
      IF(ISNUMBER(SEARCH("/",C346)*1),
        DATE(VALUE(RIGHT(C346,4)),VALUE(LEFT(C346,2)),VALUE(MID(C346,4,2))),
        DATEVALUE(C346)
      )
    )
  ),
"INVALID_DATE")</f>
        <v>45362</v>
      </c>
      <c r="AB346">
        <f>AA346-Z346</f>
        <v>0</v>
      </c>
      <c r="AC346" t="str">
        <f>TEXT(Z346,"mmmm")</f>
        <v>March</v>
      </c>
      <c r="AD346">
        <f>YEAR(Z346)</f>
        <v>2024</v>
      </c>
      <c r="AE346" t="str">
        <f t="shared" si="17"/>
        <v>OK</v>
      </c>
    </row>
    <row r="347" spans="1:31">
      <c r="A347" t="s">
        <v>1748</v>
      </c>
      <c r="B347" t="s">
        <v>1749</v>
      </c>
      <c r="C347" t="s">
        <v>1750</v>
      </c>
      <c r="D347" t="s">
        <v>1751</v>
      </c>
      <c r="E347" t="s">
        <v>32</v>
      </c>
      <c r="F347" t="s">
        <v>33</v>
      </c>
      <c r="G347" t="s">
        <v>80</v>
      </c>
      <c r="H347" t="s">
        <v>91</v>
      </c>
      <c r="I347" t="s">
        <v>92</v>
      </c>
      <c r="J347" t="s">
        <v>52</v>
      </c>
      <c r="K347" t="s">
        <v>72</v>
      </c>
      <c r="L347" t="s">
        <v>1752</v>
      </c>
      <c r="M347" t="s">
        <v>40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41</v>
      </c>
      <c r="U347" t="s">
        <v>42</v>
      </c>
      <c r="V347">
        <f>O347*(1-P347)*N347</f>
        <v>5530.6</v>
      </c>
      <c r="W347">
        <f t="shared" si="15"/>
        <v>1077.4900000000007</v>
      </c>
      <c r="X347">
        <f t="shared" si="16"/>
        <v>0.1948233464723538</v>
      </c>
      <c r="Y347" t="s">
        <v>4120</v>
      </c>
      <c r="Z347" s="2">
        <f>IFERROR(
  IF(ISNUMBER(B347),B347,
    IF(ISNUMBER(SEARCH("-",B347)*1),
      IF(LEN(LEFT(B347,FIND("-",B347)-1))=4,
        DATE(VALUE(LEFT(B347,4)),VALUE(MID(B347,6,2)),VALUE(RIGHT(B347,2))),
        DATE(VALUE(RIGHT(B347,4)),VALUE(MID(B347,4,2)),VALUE(LEFT(B347,2)))
      ),
      IF(ISNUMBER(SEARCH("/",B347)*1),
        DATE(VALUE(RIGHT(B347,4)),VALUE(LEFT(B347,2)),VALUE(MID(B347,4,2))),
        DATEVALUE(B347)
      )
    )
  ),
"INVALID_DATE")</f>
        <v>45549</v>
      </c>
      <c r="AA347" s="2">
        <f>IFERROR(
  IF(ISNUMBER(C347),C347,
    IF(ISNUMBER(SEARCH("-",C347)*1),
      IF(LEN(LEFT(C347,FIND("-",C347)-1))=4,
        DATE(VALUE(LEFT(C347,4)),VALUE(MID(C347,6,2)),VALUE(RIGHT(C347,2))),
        DATE(VALUE(RIGHT(C347,4)),VALUE(MID(C347,4,2)),VALUE(LEFT(C347,2)))
      ),
      IF(ISNUMBER(SEARCH("/",C347)*1),
        DATE(VALUE(RIGHT(C347,4)),VALUE(LEFT(C347,2)),VALUE(MID(C347,4,2))),
        DATEVALUE(C347)
      )
    )
  ),
"INVALID_DATE")</f>
        <v>45557</v>
      </c>
      <c r="AB347">
        <f>AA347-Z347</f>
        <v>8</v>
      </c>
      <c r="AC347" t="str">
        <f>TEXT(Z347,"mmmm")</f>
        <v>September</v>
      </c>
      <c r="AD347">
        <f>YEAR(Z347)</f>
        <v>2024</v>
      </c>
      <c r="AE347" t="str">
        <f t="shared" si="17"/>
        <v>OK</v>
      </c>
    </row>
    <row r="348" spans="1:31">
      <c r="A348" t="s">
        <v>1753</v>
      </c>
      <c r="B348" t="s">
        <v>1666</v>
      </c>
      <c r="C348" t="s">
        <v>1754</v>
      </c>
      <c r="D348" t="s">
        <v>1755</v>
      </c>
      <c r="E348" t="s">
        <v>155</v>
      </c>
      <c r="F348" t="s">
        <v>115</v>
      </c>
      <c r="G348" t="s">
        <v>69</v>
      </c>
      <c r="H348" t="s">
        <v>249</v>
      </c>
      <c r="I348" t="s">
        <v>250</v>
      </c>
      <c r="J348" t="s">
        <v>52</v>
      </c>
      <c r="K348" t="s">
        <v>83</v>
      </c>
      <c r="L348" t="s">
        <v>1756</v>
      </c>
      <c r="M348" t="s">
        <v>40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41</v>
      </c>
      <c r="U348" t="s">
        <v>42</v>
      </c>
      <c r="V348">
        <f>O348*(1-P348)*N348</f>
        <v>7715.8080000000009</v>
      </c>
      <c r="W348">
        <f t="shared" si="15"/>
        <v>3457.3880000000008</v>
      </c>
      <c r="X348">
        <f t="shared" si="16"/>
        <v>0.44809164559521292</v>
      </c>
      <c r="Y348" t="s">
        <v>4120</v>
      </c>
      <c r="Z348" s="2">
        <f>IFERROR(
  IF(ISNUMBER(B348),B348,
    IF(ISNUMBER(SEARCH("-",B348)*1),
      IF(LEN(LEFT(B348,FIND("-",B348)-1))=4,
        DATE(VALUE(LEFT(B348,4)),VALUE(MID(B348,6,2)),VALUE(RIGHT(B348,2))),
        DATE(VALUE(RIGHT(B348,4)),VALUE(MID(B348,4,2)),VALUE(LEFT(B348,2)))
      ),
      IF(ISNUMBER(SEARCH("/",B348)*1),
        DATE(VALUE(RIGHT(B348,4)),VALUE(LEFT(B348,2)),VALUE(MID(B348,4,2))),
        DATEVALUE(B348)
      )
    )
  ),
"INVALID_DATE")</f>
        <v>45860</v>
      </c>
      <c r="AA348" s="2">
        <f>IFERROR(
  IF(ISNUMBER(C348),C348,
    IF(ISNUMBER(SEARCH("-",C348)*1),
      IF(LEN(LEFT(C348,FIND("-",C348)-1))=4,
        DATE(VALUE(LEFT(C348,4)),VALUE(MID(C348,6,2)),VALUE(RIGHT(C348,2))),
        DATE(VALUE(RIGHT(C348,4)),VALUE(MID(C348,4,2)),VALUE(LEFT(C348,2)))
      ),
      IF(ISNUMBER(SEARCH("/",C348)*1),
        DATE(VALUE(RIGHT(C348,4)),VALUE(LEFT(C348,2)),VALUE(MID(C348,4,2))),
        DATEVALUE(C348)
      )
    )
  ),
"INVALID_DATE")</f>
        <v>45866</v>
      </c>
      <c r="AB348">
        <f>AA348-Z348</f>
        <v>6</v>
      </c>
      <c r="AC348" t="str">
        <f>TEXT(Z348,"mmmm")</f>
        <v>July</v>
      </c>
      <c r="AD348">
        <f>YEAR(Z348)</f>
        <v>2025</v>
      </c>
      <c r="AE348" t="str">
        <f t="shared" si="17"/>
        <v>OK</v>
      </c>
    </row>
    <row r="349" spans="1:31">
      <c r="A349" t="s">
        <v>1757</v>
      </c>
      <c r="B349" t="s">
        <v>1758</v>
      </c>
      <c r="C349" t="s">
        <v>1472</v>
      </c>
      <c r="D349" t="s">
        <v>1759</v>
      </c>
      <c r="E349" t="s">
        <v>169</v>
      </c>
      <c r="F349" t="s">
        <v>48</v>
      </c>
      <c r="G349" t="s">
        <v>80</v>
      </c>
      <c r="H349" t="s">
        <v>256</v>
      </c>
      <c r="I349" t="s">
        <v>257</v>
      </c>
      <c r="J349" t="s">
        <v>52</v>
      </c>
      <c r="K349" t="s">
        <v>83</v>
      </c>
      <c r="L349" t="s">
        <v>1760</v>
      </c>
      <c r="M349" t="s">
        <v>40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131</v>
      </c>
      <c r="U349" t="s">
        <v>132</v>
      </c>
      <c r="V349">
        <f>O349*(1-P349)*N349</f>
        <v>11925.96</v>
      </c>
      <c r="W349">
        <f t="shared" si="15"/>
        <v>1822.4499999999989</v>
      </c>
      <c r="X349">
        <f t="shared" si="16"/>
        <v>0.15281369382422885</v>
      </c>
      <c r="Y349" t="s">
        <v>4120</v>
      </c>
      <c r="Z349" s="2">
        <f>IFERROR(
  IF(ISNUMBER(B349),B349,
    IF(ISNUMBER(SEARCH("-",B349)*1),
      IF(LEN(LEFT(B349,FIND("-",B349)-1))=4,
        DATE(VALUE(LEFT(B349,4)),VALUE(MID(B349,6,2)),VALUE(RIGHT(B349,2))),
        DATE(VALUE(RIGHT(B349,4)),VALUE(MID(B349,4,2)),VALUE(LEFT(B349,2)))
      ),
      IF(ISNUMBER(SEARCH("/",B349)*1),
        DATE(VALUE(RIGHT(B349,4)),VALUE(LEFT(B349,2)),VALUE(MID(B349,4,2))),
        DATEVALUE(B349)
      )
    )
  ),
"INVALID_DATE")</f>
        <v>45627</v>
      </c>
      <c r="AA349" s="2">
        <f>IFERROR(
  IF(ISNUMBER(C349),C349,
    IF(ISNUMBER(SEARCH("-",C349)*1),
      IF(LEN(LEFT(C349,FIND("-",C349)-1))=4,
        DATE(VALUE(LEFT(C349,4)),VALUE(MID(C349,6,2)),VALUE(RIGHT(C349,2))),
        DATE(VALUE(RIGHT(C349,4)),VALUE(MID(C349,4,2)),VALUE(LEFT(C349,2)))
      ),
      IF(ISNUMBER(SEARCH("/",C349)*1),
        DATE(VALUE(RIGHT(C349,4)),VALUE(LEFT(C349,2)),VALUE(MID(C349,4,2))),
        DATEVALUE(C349)
      )
    )
  ),
"INVALID_DATE")</f>
        <v>45634</v>
      </c>
      <c r="AB349">
        <f>AA349-Z349</f>
        <v>7</v>
      </c>
      <c r="AC349" t="str">
        <f>TEXT(Z349,"mmmm")</f>
        <v>December</v>
      </c>
      <c r="AD349">
        <f>YEAR(Z349)</f>
        <v>2024</v>
      </c>
      <c r="AE349" t="str">
        <f t="shared" si="17"/>
        <v>OK</v>
      </c>
    </row>
    <row r="350" spans="1:31">
      <c r="A350" t="s">
        <v>1761</v>
      </c>
      <c r="B350" t="s">
        <v>1311</v>
      </c>
      <c r="C350" t="s">
        <v>1762</v>
      </c>
      <c r="D350" t="s">
        <v>1763</v>
      </c>
      <c r="E350" t="s">
        <v>169</v>
      </c>
      <c r="F350" t="s">
        <v>115</v>
      </c>
      <c r="G350" t="s">
        <v>69</v>
      </c>
      <c r="H350" t="s">
        <v>236</v>
      </c>
      <c r="I350" t="s">
        <v>237</v>
      </c>
      <c r="J350" t="s">
        <v>93</v>
      </c>
      <c r="K350" t="s">
        <v>230</v>
      </c>
      <c r="L350" t="s">
        <v>1764</v>
      </c>
      <c r="M350" t="s">
        <v>55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41</v>
      </c>
      <c r="U350" t="s">
        <v>42</v>
      </c>
      <c r="V350">
        <f>O350*(1-P350)*N350</f>
        <v>19306.755000000001</v>
      </c>
      <c r="W350">
        <f t="shared" si="15"/>
        <v>4864.3750000000018</v>
      </c>
      <c r="X350">
        <f t="shared" si="16"/>
        <v>0.25195216597709819</v>
      </c>
      <c r="Y350" t="s">
        <v>4120</v>
      </c>
      <c r="Z350" s="2">
        <f>IFERROR(
  IF(ISNUMBER(B350),B350,
    IF(ISNUMBER(SEARCH("-",B350)*1),
      IF(LEN(LEFT(B350,FIND("-",B350)-1))=4,
        DATE(VALUE(LEFT(B350,4)),VALUE(MID(B350,6,2)),VALUE(RIGHT(B350,2))),
        DATE(VALUE(RIGHT(B350,4)),VALUE(MID(B350,4,2)),VALUE(LEFT(B350,2)))
      ),
      IF(ISNUMBER(SEARCH("/",B350)*1),
        DATE(VALUE(RIGHT(B350,4)),VALUE(LEFT(B350,2)),VALUE(MID(B350,4,2))),
        DATEVALUE(B350)
      )
    )
  ),
"INVALID_DATE")</f>
        <v>45445</v>
      </c>
      <c r="AA350" s="2">
        <f>IFERROR(
  IF(ISNUMBER(C350),C350,
    IF(ISNUMBER(SEARCH("-",C350)*1),
      IF(LEN(LEFT(C350,FIND("-",C350)-1))=4,
        DATE(VALUE(LEFT(C350,4)),VALUE(MID(C350,6,2)),VALUE(RIGHT(C350,2))),
        DATE(VALUE(RIGHT(C350,4)),VALUE(MID(C350,4,2)),VALUE(LEFT(C350,2)))
      ),
      IF(ISNUMBER(SEARCH("/",C350)*1),
        DATE(VALUE(RIGHT(C350,4)),VALUE(LEFT(C350,2)),VALUE(MID(C350,4,2))),
        DATEVALUE(C350)
      )
    )
  ),
"INVALID_DATE")</f>
        <v>45450</v>
      </c>
      <c r="AB350">
        <f>AA350-Z350</f>
        <v>5</v>
      </c>
      <c r="AC350" t="str">
        <f>TEXT(Z350,"mmmm")</f>
        <v>June</v>
      </c>
      <c r="AD350">
        <f>YEAR(Z350)</f>
        <v>2024</v>
      </c>
      <c r="AE350" t="str">
        <f t="shared" si="17"/>
        <v>OK</v>
      </c>
    </row>
    <row r="351" spans="1:31">
      <c r="A351" t="s">
        <v>1765</v>
      </c>
      <c r="B351" t="s">
        <v>1766</v>
      </c>
      <c r="C351" t="s">
        <v>755</v>
      </c>
      <c r="D351" t="s">
        <v>1767</v>
      </c>
      <c r="E351" t="s">
        <v>374</v>
      </c>
      <c r="F351" t="s">
        <v>122</v>
      </c>
      <c r="G351" t="s">
        <v>49</v>
      </c>
      <c r="H351" t="s">
        <v>319</v>
      </c>
      <c r="I351" t="s">
        <v>320</v>
      </c>
      <c r="J351" t="s">
        <v>52</v>
      </c>
      <c r="K351" t="s">
        <v>72</v>
      </c>
      <c r="L351" t="s">
        <v>1768</v>
      </c>
      <c r="M351" t="s">
        <v>40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41</v>
      </c>
      <c r="U351" t="s">
        <v>42</v>
      </c>
      <c r="V351">
        <f>O351*(1-P351)*N351</f>
        <v>19355.962500000001</v>
      </c>
      <c r="W351">
        <f t="shared" si="15"/>
        <v>4343.5125000000007</v>
      </c>
      <c r="X351">
        <f t="shared" si="16"/>
        <v>0.20755364239231741</v>
      </c>
      <c r="Y351" t="str">
        <f>_xlfn.TEXTJOIN(", ",TRUE,IF(G351="Unknown","Missing Region",""),IF(M351="Unknown","Missing Ship Mode",""),IF(P351&lt;0,"Negative Discount",""),IF(P351&gt;0.7,"High Discount",""),IF(C351&lt;B351,"Ship Before Order",""))</f>
        <v>Ship Before Order</v>
      </c>
      <c r="Z351" s="2">
        <f>IFERROR(
  IF(ISNUMBER(B351),B351,
    IF(ISNUMBER(SEARCH("-",B351)*1),
      IF(LEN(LEFT(B351,FIND("-",B351)-1))=4,
        DATE(VALUE(LEFT(B351,4)),VALUE(MID(B351,6,2)),VALUE(RIGHT(B351,2))),
        DATE(VALUE(RIGHT(B351,4)),VALUE(MID(B351,4,2)),VALUE(LEFT(B351,2)))
      ),
      IF(ISNUMBER(SEARCH("/",B351)*1),
        DATE(VALUE(RIGHT(B351,4)),VALUE(LEFT(B351,2)),VALUE(MID(B351,4,2))),
        DATEVALUE(B351)
      )
    )
  ),
"INVALID_DATE")</f>
        <v>45927</v>
      </c>
      <c r="AA351" s="2">
        <f>IFERROR(
  IF(ISNUMBER(C351),C351,
    IF(ISNUMBER(SEARCH("-",C351)*1),
      IF(LEN(LEFT(C351,FIND("-",C351)-1))=4,
        DATE(VALUE(LEFT(C351,4)),VALUE(MID(C351,6,2)),VALUE(RIGHT(C351,2))),
        DATE(VALUE(RIGHT(C351,4)),VALUE(MID(C351,4,2)),VALUE(LEFT(C351,2)))
      ),
      IF(ISNUMBER(SEARCH("/",C351)*1),
        DATE(VALUE(RIGHT(C351,4)),VALUE(LEFT(C351,2)),VALUE(MID(C351,4,2))),
        DATEVALUE(C351)
      )
    )
  ),
"INVALID_DATE")</f>
        <v>45929</v>
      </c>
      <c r="AB351">
        <f>AA351-Z351</f>
        <v>2</v>
      </c>
      <c r="AC351" t="str">
        <f>TEXT(Z351,"mmmm")</f>
        <v>September</v>
      </c>
      <c r="AD351">
        <f>YEAR(Z351)</f>
        <v>2025</v>
      </c>
      <c r="AE351" t="str">
        <f t="shared" si="17"/>
        <v>OK</v>
      </c>
    </row>
    <row r="352" spans="1:31">
      <c r="A352" t="s">
        <v>1769</v>
      </c>
      <c r="B352" t="s">
        <v>1770</v>
      </c>
      <c r="C352" t="s">
        <v>1771</v>
      </c>
      <c r="D352" t="s">
        <v>1772</v>
      </c>
      <c r="E352" t="s">
        <v>175</v>
      </c>
      <c r="F352" t="s">
        <v>48</v>
      </c>
      <c r="G352" t="s">
        <v>49</v>
      </c>
      <c r="H352" t="s">
        <v>319</v>
      </c>
      <c r="I352" t="s">
        <v>320</v>
      </c>
      <c r="J352" t="s">
        <v>52</v>
      </c>
      <c r="K352" t="s">
        <v>72</v>
      </c>
      <c r="L352" t="s">
        <v>1773</v>
      </c>
      <c r="M352" t="s">
        <v>40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131</v>
      </c>
      <c r="U352" t="s">
        <v>132</v>
      </c>
      <c r="V352">
        <f>O352*(1-P352)*N352</f>
        <v>11914.344000000001</v>
      </c>
      <c r="W352">
        <f t="shared" si="15"/>
        <v>2143.1040000000012</v>
      </c>
      <c r="X352">
        <f t="shared" si="16"/>
        <v>0.1798756792235239</v>
      </c>
      <c r="Y352" t="s">
        <v>4120</v>
      </c>
      <c r="Z352" s="2">
        <f>IFERROR(
  IF(ISNUMBER(B352),B352,
    IF(ISNUMBER(SEARCH("-",B352)*1),
      IF(LEN(LEFT(B352,FIND("-",B352)-1))=4,
        DATE(VALUE(LEFT(B352,4)),VALUE(MID(B352,6,2)),VALUE(RIGHT(B352,2))),
        DATE(VALUE(RIGHT(B352,4)),VALUE(MID(B352,4,2)),VALUE(LEFT(B352,2)))
      ),
      IF(ISNUMBER(SEARCH("/",B352)*1),
        DATE(VALUE(RIGHT(B352,4)),VALUE(LEFT(B352,2)),VALUE(MID(B352,4,2))),
        DATEVALUE(B352)
      )
    )
  ),
"INVALID_DATE")</f>
        <v>45298</v>
      </c>
      <c r="AA352" s="2">
        <f>IFERROR(
  IF(ISNUMBER(C352),C352,
    IF(ISNUMBER(SEARCH("-",C352)*1),
      IF(LEN(LEFT(C352,FIND("-",C352)-1))=4,
        DATE(VALUE(LEFT(C352,4)),VALUE(MID(C352,6,2)),VALUE(RIGHT(C352,2))),
        DATE(VALUE(RIGHT(C352,4)),VALUE(MID(C352,4,2)),VALUE(LEFT(C352,2)))
      ),
      IF(ISNUMBER(SEARCH("/",C352)*1),
        DATE(VALUE(RIGHT(C352,4)),VALUE(LEFT(C352,2)),VALUE(MID(C352,4,2))),
        DATEVALUE(C352)
      )
    )
  ),
"INVALID_DATE")</f>
        <v>45305</v>
      </c>
      <c r="AB352">
        <f>AA352-Z352</f>
        <v>7</v>
      </c>
      <c r="AC352" t="str">
        <f>TEXT(Z352,"mmmm")</f>
        <v>January</v>
      </c>
      <c r="AD352">
        <f>YEAR(Z352)</f>
        <v>2024</v>
      </c>
      <c r="AE352" t="str">
        <f t="shared" si="17"/>
        <v>OK</v>
      </c>
    </row>
    <row r="353" spans="1:31">
      <c r="A353" t="s">
        <v>1774</v>
      </c>
      <c r="B353" t="s">
        <v>1775</v>
      </c>
      <c r="C353" t="s">
        <v>1690</v>
      </c>
      <c r="D353" t="s">
        <v>1776</v>
      </c>
      <c r="E353" t="s">
        <v>90</v>
      </c>
      <c r="F353" t="s">
        <v>48</v>
      </c>
      <c r="G353" t="s">
        <v>69</v>
      </c>
      <c r="H353" t="s">
        <v>70</v>
      </c>
      <c r="I353" t="s">
        <v>71</v>
      </c>
      <c r="J353" t="s">
        <v>37</v>
      </c>
      <c r="K353" t="s">
        <v>163</v>
      </c>
      <c r="L353" t="s">
        <v>1777</v>
      </c>
      <c r="M353" t="s">
        <v>63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144</v>
      </c>
      <c r="U353" t="s">
        <v>85</v>
      </c>
      <c r="V353">
        <f>O353*(1-P353)*N353</f>
        <v>3237.4800000000005</v>
      </c>
      <c r="W353">
        <f t="shared" si="15"/>
        <v>1119.1400000000003</v>
      </c>
      <c r="X353">
        <f t="shared" si="16"/>
        <v>0.34568244437031276</v>
      </c>
      <c r="Y353" t="s">
        <v>4120</v>
      </c>
      <c r="Z353" s="2">
        <f>IFERROR(
  IF(ISNUMBER(B353),B353,
    IF(ISNUMBER(SEARCH("-",B353)*1),
      IF(LEN(LEFT(B353,FIND("-",B353)-1))=4,
        DATE(VALUE(LEFT(B353,4)),VALUE(MID(B353,6,2)),VALUE(RIGHT(B353,2))),
        DATE(VALUE(RIGHT(B353,4)),VALUE(MID(B353,4,2)),VALUE(LEFT(B353,2)))
      ),
      IF(ISNUMBER(SEARCH("/",B353)*1),
        DATE(VALUE(RIGHT(B353,4)),VALUE(LEFT(B353,2)),VALUE(MID(B353,4,2))),
        DATEVALUE(B353)
      )
    )
  ),
"INVALID_DATE")</f>
        <v>45800</v>
      </c>
      <c r="AA353" s="2">
        <f>IFERROR(
  IF(ISNUMBER(C353),C353,
    IF(ISNUMBER(SEARCH("-",C353)*1),
      IF(LEN(LEFT(C353,FIND("-",C353)-1))=4,
        DATE(VALUE(LEFT(C353,4)),VALUE(MID(C353,6,2)),VALUE(RIGHT(C353,2))),
        DATE(VALUE(RIGHT(C353,4)),VALUE(MID(C353,4,2)),VALUE(LEFT(C353,2)))
      ),
      IF(ISNUMBER(SEARCH("/",C353)*1),
        DATE(VALUE(RIGHT(C353,4)),VALUE(LEFT(C353,2)),VALUE(MID(C353,4,2))),
        DATEVALUE(C353)
      )
    )
  ),
"INVALID_DATE")</f>
        <v>45804</v>
      </c>
      <c r="AB353">
        <f>AA353-Z353</f>
        <v>4</v>
      </c>
      <c r="AC353" t="str">
        <f>TEXT(Z353,"mmmm")</f>
        <v>May</v>
      </c>
      <c r="AD353">
        <f>YEAR(Z353)</f>
        <v>2025</v>
      </c>
      <c r="AE353" t="str">
        <f t="shared" si="17"/>
        <v>OK</v>
      </c>
    </row>
    <row r="354" spans="1:31">
      <c r="A354" t="s">
        <v>1778</v>
      </c>
      <c r="B354" t="s">
        <v>1779</v>
      </c>
      <c r="C354" t="s">
        <v>1401</v>
      </c>
      <c r="D354" t="s">
        <v>1780</v>
      </c>
      <c r="E354" t="s">
        <v>217</v>
      </c>
      <c r="F354" t="s">
        <v>48</v>
      </c>
      <c r="G354" t="s">
        <v>49</v>
      </c>
      <c r="H354" t="s">
        <v>223</v>
      </c>
      <c r="I354" t="s">
        <v>224</v>
      </c>
      <c r="J354" t="s">
        <v>93</v>
      </c>
      <c r="K354" t="s">
        <v>101</v>
      </c>
      <c r="L354" t="s">
        <v>1781</v>
      </c>
      <c r="M354" t="s">
        <v>63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41</v>
      </c>
      <c r="U354" t="s">
        <v>42</v>
      </c>
      <c r="V354">
        <f>O354*(1-P354)*N354</f>
        <v>10734.75</v>
      </c>
      <c r="W354">
        <f t="shared" si="15"/>
        <v>4259.0200000000004</v>
      </c>
      <c r="X354">
        <f t="shared" si="16"/>
        <v>0.39675073942103917</v>
      </c>
      <c r="Y354" t="str">
        <f>_xlfn.TEXTJOIN(", ",TRUE,IF(G354="Unknown","Missing Region",""),IF(M354="Unknown","Missing Ship Mode",""),IF(P354&lt;0,"Negative Discount",""),IF(P354&gt;0.7,"High Discount",""),IF(C354&lt;B354,"Ship Before Order",""))</f>
        <v>Ship Before Order</v>
      </c>
      <c r="Z354" s="2">
        <f>IFERROR(
  IF(ISNUMBER(B354),B354,
    IF(ISNUMBER(SEARCH("-",B354)*1),
      IF(LEN(LEFT(B354,FIND("-",B354)-1))=4,
        DATE(VALUE(LEFT(B354,4)),VALUE(MID(B354,6,2)),VALUE(RIGHT(B354,2))),
        DATE(VALUE(RIGHT(B354,4)),VALUE(MID(B354,4,2)),VALUE(LEFT(B354,2)))
      ),
      IF(ISNUMBER(SEARCH("/",B354)*1),
        DATE(VALUE(RIGHT(B354,4)),VALUE(LEFT(B354,2)),VALUE(MID(B354,4,2))),
        DATEVALUE(B354)
      )
    )
  ),
"INVALID_DATE")</f>
        <v>45884</v>
      </c>
      <c r="AA354" s="2">
        <f>IFERROR(
  IF(ISNUMBER(C354),C354,
    IF(ISNUMBER(SEARCH("-",C354)*1),
      IF(LEN(LEFT(C354,FIND("-",C354)-1))=4,
        DATE(VALUE(LEFT(C354,4)),VALUE(MID(C354,6,2)),VALUE(RIGHT(C354,2))),
        DATE(VALUE(RIGHT(C354,4)),VALUE(MID(C354,4,2)),VALUE(LEFT(C354,2)))
      ),
      IF(ISNUMBER(SEARCH("/",C354)*1),
        DATE(VALUE(RIGHT(C354,4)),VALUE(LEFT(C354,2)),VALUE(MID(C354,4,2))),
        DATEVALUE(C354)
      )
    )
  ),
"INVALID_DATE")</f>
        <v>45886</v>
      </c>
      <c r="AB354">
        <f>AA354-Z354</f>
        <v>2</v>
      </c>
      <c r="AC354" t="str">
        <f>TEXT(Z354,"mmmm")</f>
        <v>August</v>
      </c>
      <c r="AD354">
        <f>YEAR(Z354)</f>
        <v>2025</v>
      </c>
      <c r="AE354" t="str">
        <f t="shared" si="17"/>
        <v>OK</v>
      </c>
    </row>
    <row r="355" spans="1:31">
      <c r="A355" t="s">
        <v>1782</v>
      </c>
      <c r="B355" t="s">
        <v>1783</v>
      </c>
      <c r="C355" t="s">
        <v>1171</v>
      </c>
      <c r="D355" t="s">
        <v>1784</v>
      </c>
      <c r="E355" t="s">
        <v>79</v>
      </c>
      <c r="F355" t="s">
        <v>33</v>
      </c>
      <c r="G355" t="s">
        <v>34</v>
      </c>
      <c r="H355" t="s">
        <v>35</v>
      </c>
      <c r="I355" t="s">
        <v>36</v>
      </c>
      <c r="J355" t="s">
        <v>37</v>
      </c>
      <c r="K355" t="s">
        <v>61</v>
      </c>
      <c r="L355" t="s">
        <v>1785</v>
      </c>
      <c r="M355" t="s">
        <v>55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41</v>
      </c>
      <c r="U355" t="s">
        <v>42</v>
      </c>
      <c r="V355">
        <f>O355*(1-P355)*N355</f>
        <v>10308.023999999999</v>
      </c>
      <c r="W355">
        <f t="shared" si="15"/>
        <v>4485.713999999999</v>
      </c>
      <c r="X355">
        <f t="shared" si="16"/>
        <v>0.43516698648237001</v>
      </c>
      <c r="Y355" t="s">
        <v>4120</v>
      </c>
      <c r="Z355" s="2">
        <f>IFERROR(
  IF(ISNUMBER(B355),B355,
    IF(ISNUMBER(SEARCH("-",B355)*1),
      IF(LEN(LEFT(B355,FIND("-",B355)-1))=4,
        DATE(VALUE(LEFT(B355,4)),VALUE(MID(B355,6,2)),VALUE(RIGHT(B355,2))),
        DATE(VALUE(RIGHT(B355,4)),VALUE(MID(B355,4,2)),VALUE(LEFT(B355,2)))
      ),
      IF(ISNUMBER(SEARCH("/",B355)*1),
        DATE(VALUE(RIGHT(B355,4)),VALUE(LEFT(B355,2)),VALUE(MID(B355,4,2))),
        DATEVALUE(B355)
      )
    )
  ),
"INVALID_DATE")</f>
        <v>45709</v>
      </c>
      <c r="AA355" s="2">
        <f>IFERROR(
  IF(ISNUMBER(C355),C355,
    IF(ISNUMBER(SEARCH("-",C355)*1),
      IF(LEN(LEFT(C355,FIND("-",C355)-1))=4,
        DATE(VALUE(LEFT(C355,4)),VALUE(MID(C355,6,2)),VALUE(RIGHT(C355,2))),
        DATE(VALUE(RIGHT(C355,4)),VALUE(MID(C355,4,2)),VALUE(LEFT(C355,2)))
      ),
      IF(ISNUMBER(SEARCH("/",C355)*1),
        DATE(VALUE(RIGHT(C355,4)),VALUE(LEFT(C355,2)),VALUE(MID(C355,4,2))),
        DATEVALUE(C355)
      )
    )
  ),
"INVALID_DATE")</f>
        <v>45715</v>
      </c>
      <c r="AB355">
        <f>AA355-Z355</f>
        <v>6</v>
      </c>
      <c r="AC355" t="str">
        <f>TEXT(Z355,"mmmm")</f>
        <v>February</v>
      </c>
      <c r="AD355">
        <f>YEAR(Z355)</f>
        <v>2025</v>
      </c>
      <c r="AE355" t="str">
        <f t="shared" si="17"/>
        <v>OK</v>
      </c>
    </row>
    <row r="356" spans="1:31">
      <c r="A356" t="s">
        <v>1786</v>
      </c>
      <c r="B356" t="s">
        <v>152</v>
      </c>
      <c r="C356" t="s">
        <v>1787</v>
      </c>
      <c r="D356" t="s">
        <v>1788</v>
      </c>
      <c r="E356" t="s">
        <v>374</v>
      </c>
      <c r="F356" t="s">
        <v>1789</v>
      </c>
      <c r="G356" t="s">
        <v>34</v>
      </c>
      <c r="H356" t="s">
        <v>161</v>
      </c>
      <c r="I356" t="s">
        <v>162</v>
      </c>
      <c r="J356" t="s">
        <v>52</v>
      </c>
      <c r="K356" t="s">
        <v>72</v>
      </c>
      <c r="L356" t="s">
        <v>1790</v>
      </c>
      <c r="M356" t="s">
        <v>74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144</v>
      </c>
      <c r="U356" t="s">
        <v>85</v>
      </c>
      <c r="V356">
        <f>O356*(1-P356)*N356</f>
        <v>21285.520800000002</v>
      </c>
      <c r="W356">
        <f t="shared" si="15"/>
        <v>8376.6808000000019</v>
      </c>
      <c r="X356">
        <f t="shared" si="16"/>
        <v>0.35715125185003693</v>
      </c>
      <c r="Y356" t="str">
        <f>_xlfn.TEXTJOIN(", ",TRUE,IF(G356="Unknown","Missing Region",""),IF(M356="Unknown","Missing Ship Mode",""),IF(P356&lt;0,"Negative Discount",""),IF(P356&gt;0.7,"High Discount",""),IF(C356&lt;B356,"Ship Before Order",""))</f>
        <v>Negative Discount, Ship Before Order</v>
      </c>
      <c r="Z356" s="2">
        <f>IFERROR(
  IF(ISNUMBER(B356),B356,
    IF(ISNUMBER(SEARCH("-",B356)*1),
      IF(LEN(LEFT(B356,FIND("-",B356)-1))=4,
        DATE(VALUE(LEFT(B356,4)),VALUE(MID(B356,6,2)),VALUE(RIGHT(B356,2))),
        DATE(VALUE(RIGHT(B356,4)),VALUE(MID(B356,4,2)),VALUE(LEFT(B356,2)))
      ),
      IF(ISNUMBER(SEARCH("/",B356)*1),
        DATE(VALUE(RIGHT(B356,4)),VALUE(LEFT(B356,2)),VALUE(MID(B356,4,2))),
        DATEVALUE(B356)
      )
    )
  ),
"INVALID_DATE")</f>
        <v>45653</v>
      </c>
      <c r="AA356" s="2">
        <f>IFERROR(
  IF(ISNUMBER(C356),C356,
    IF(ISNUMBER(SEARCH("-",C356)*1),
      IF(LEN(LEFT(C356,FIND("-",C356)-1))=4,
        DATE(VALUE(LEFT(C356,4)),VALUE(MID(C356,6,2)),VALUE(RIGHT(C356,2))),
        DATE(VALUE(RIGHT(C356,4)),VALUE(MID(C356,4,2)),VALUE(LEFT(C356,2)))
      ),
      IF(ISNUMBER(SEARCH("/",C356)*1),
        DATE(VALUE(RIGHT(C356,4)),VALUE(LEFT(C356,2)),VALUE(MID(C356,4,2))),
        DATEVALUE(C356)
      )
    )
  ),
"INVALID_DATE")</f>
        <v>45657</v>
      </c>
      <c r="AB356">
        <f>AA356-Z356</f>
        <v>4</v>
      </c>
      <c r="AC356" t="str">
        <f>TEXT(Z356,"mmmm")</f>
        <v>December</v>
      </c>
      <c r="AD356">
        <f>YEAR(Z356)</f>
        <v>2024</v>
      </c>
      <c r="AE356" t="str">
        <f t="shared" si="17"/>
        <v>OK</v>
      </c>
    </row>
    <row r="357" spans="1:31">
      <c r="A357" t="s">
        <v>1791</v>
      </c>
      <c r="B357" t="s">
        <v>1792</v>
      </c>
      <c r="C357" t="s">
        <v>1793</v>
      </c>
      <c r="D357" t="s">
        <v>1794</v>
      </c>
      <c r="E357" t="s">
        <v>149</v>
      </c>
      <c r="F357" t="s">
        <v>115</v>
      </c>
      <c r="G357" t="s">
        <v>80</v>
      </c>
      <c r="H357" t="s">
        <v>35</v>
      </c>
      <c r="I357" t="s">
        <v>142</v>
      </c>
      <c r="J357" t="s">
        <v>52</v>
      </c>
      <c r="K357" t="s">
        <v>53</v>
      </c>
      <c r="L357" t="s">
        <v>1795</v>
      </c>
      <c r="M357" t="s">
        <v>74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144</v>
      </c>
      <c r="U357" t="s">
        <v>85</v>
      </c>
      <c r="V357">
        <f>O357*(1-P357)*N357</f>
        <v>16017.4</v>
      </c>
      <c r="W357">
        <f t="shared" si="15"/>
        <v>6459.6</v>
      </c>
      <c r="X357">
        <f t="shared" si="16"/>
        <v>0.40328642601171227</v>
      </c>
      <c r="Y357" t="s">
        <v>4120</v>
      </c>
      <c r="Z357" s="2">
        <f>IFERROR(
  IF(ISNUMBER(B357),B357,
    IF(ISNUMBER(SEARCH("-",B357)*1),
      IF(LEN(LEFT(B357,FIND("-",B357)-1))=4,
        DATE(VALUE(LEFT(B357,4)),VALUE(MID(B357,6,2)),VALUE(RIGHT(B357,2))),
        DATE(VALUE(RIGHT(B357,4)),VALUE(MID(B357,4,2)),VALUE(LEFT(B357,2)))
      ),
      IF(ISNUMBER(SEARCH("/",B357)*1),
        DATE(VALUE(RIGHT(B357,4)),VALUE(LEFT(B357,2)),VALUE(MID(B357,4,2))),
        DATEVALUE(B357)
      )
    )
  ),
"INVALID_DATE")</f>
        <v>45424</v>
      </c>
      <c r="AA357" s="2">
        <f>IFERROR(
  IF(ISNUMBER(C357),C357,
    IF(ISNUMBER(SEARCH("-",C357)*1),
      IF(LEN(LEFT(C357,FIND("-",C357)-1))=4,
        DATE(VALUE(LEFT(C357,4)),VALUE(MID(C357,6,2)),VALUE(RIGHT(C357,2))),
        DATE(VALUE(RIGHT(C357,4)),VALUE(MID(C357,4,2)),VALUE(LEFT(C357,2)))
      ),
      IF(ISNUMBER(SEARCH("/",C357)*1),
        DATE(VALUE(RIGHT(C357,4)),VALUE(LEFT(C357,2)),VALUE(MID(C357,4,2))),
        DATEVALUE(C357)
      )
    )
  ),
"INVALID_DATE")</f>
        <v>45421</v>
      </c>
      <c r="AB357">
        <f>AA357-Z357</f>
        <v>-3</v>
      </c>
      <c r="AC357" t="str">
        <f>TEXT(Z357,"mmmm")</f>
        <v>May</v>
      </c>
      <c r="AD357">
        <f>YEAR(Z357)</f>
        <v>2024</v>
      </c>
      <c r="AE357" t="str">
        <f t="shared" si="17"/>
        <v>Ship Before Order</v>
      </c>
    </row>
    <row r="358" spans="1:31">
      <c r="A358" t="s">
        <v>1796</v>
      </c>
      <c r="B358" t="s">
        <v>1797</v>
      </c>
      <c r="C358" t="s">
        <v>1798</v>
      </c>
      <c r="D358" t="s">
        <v>1799</v>
      </c>
      <c r="E358" t="s">
        <v>187</v>
      </c>
      <c r="F358" t="s">
        <v>122</v>
      </c>
      <c r="G358" t="s">
        <v>69</v>
      </c>
      <c r="H358" t="s">
        <v>70</v>
      </c>
      <c r="I358" t="s">
        <v>71</v>
      </c>
      <c r="J358" t="s">
        <v>52</v>
      </c>
      <c r="K358" t="s">
        <v>83</v>
      </c>
      <c r="L358" t="s">
        <v>1800</v>
      </c>
      <c r="M358" t="s">
        <v>63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144</v>
      </c>
      <c r="U358" t="s">
        <v>132</v>
      </c>
      <c r="V358">
        <f>O358*(1-P358)*N358</f>
        <v>2486.8000000000002</v>
      </c>
      <c r="W358">
        <f t="shared" si="15"/>
        <v>355.07000000000016</v>
      </c>
      <c r="X358">
        <f t="shared" si="16"/>
        <v>0.14278188837059674</v>
      </c>
      <c r="Y358" t="s">
        <v>4120</v>
      </c>
      <c r="Z358" s="2">
        <f>IFERROR(
  IF(ISNUMBER(B358),B358,
    IF(ISNUMBER(SEARCH("-",B358)*1),
      IF(LEN(LEFT(B358,FIND("-",B358)-1))=4,
        DATE(VALUE(LEFT(B358,4)),VALUE(MID(B358,6,2)),VALUE(RIGHT(B358,2))),
        DATE(VALUE(RIGHT(B358,4)),VALUE(MID(B358,4,2)),VALUE(LEFT(B358,2)))
      ),
      IF(ISNUMBER(SEARCH("/",B358)*1),
        DATE(VALUE(RIGHT(B358,4)),VALUE(LEFT(B358,2)),VALUE(MID(B358,4,2))),
        DATEVALUE(B358)
      )
    )
  ),
"INVALID_DATE")</f>
        <v>45835</v>
      </c>
      <c r="AA358" s="2">
        <f>IFERROR(
  IF(ISNUMBER(C358),C358,
    IF(ISNUMBER(SEARCH("-",C358)*1),
      IF(LEN(LEFT(C358,FIND("-",C358)-1))=4,
        DATE(VALUE(LEFT(C358,4)),VALUE(MID(C358,6,2)),VALUE(RIGHT(C358,2))),
        DATE(VALUE(RIGHT(C358,4)),VALUE(MID(C358,4,2)),VALUE(LEFT(C358,2)))
      ),
      IF(ISNUMBER(SEARCH("/",C358)*1),
        DATE(VALUE(RIGHT(C358,4)),VALUE(LEFT(C358,2)),VALUE(MID(C358,4,2))),
        DATEVALUE(C358)
      )
    )
  ),
"INVALID_DATE")</f>
        <v>45837</v>
      </c>
      <c r="AB358">
        <f>AA358-Z358</f>
        <v>2</v>
      </c>
      <c r="AC358" t="str">
        <f>TEXT(Z358,"mmmm")</f>
        <v>June</v>
      </c>
      <c r="AD358">
        <f>YEAR(Z358)</f>
        <v>2025</v>
      </c>
      <c r="AE358" t="str">
        <f t="shared" si="17"/>
        <v>OK</v>
      </c>
    </row>
    <row r="359" spans="1:31">
      <c r="A359" t="s">
        <v>1801</v>
      </c>
      <c r="B359" t="s">
        <v>203</v>
      </c>
      <c r="C359" t="s">
        <v>1802</v>
      </c>
      <c r="D359" t="s">
        <v>1803</v>
      </c>
      <c r="E359" t="s">
        <v>47</v>
      </c>
      <c r="F359" t="s">
        <v>122</v>
      </c>
      <c r="G359" t="s">
        <v>69</v>
      </c>
      <c r="H359" t="s">
        <v>107</v>
      </c>
      <c r="I359" t="s">
        <v>108</v>
      </c>
      <c r="J359" t="s">
        <v>93</v>
      </c>
      <c r="K359" t="s">
        <v>390</v>
      </c>
      <c r="L359" t="s">
        <v>1804</v>
      </c>
      <c r="M359" t="s">
        <v>40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41</v>
      </c>
      <c r="U359" t="s">
        <v>85</v>
      </c>
      <c r="V359">
        <f>O359*(1-P359)*N359</f>
        <v>4369.04</v>
      </c>
      <c r="W359">
        <f t="shared" si="15"/>
        <v>652.15999999999985</v>
      </c>
      <c r="X359">
        <f t="shared" si="16"/>
        <v>0.14926848918755606</v>
      </c>
      <c r="Y359" t="str">
        <f>_xlfn.TEXTJOIN(", ",TRUE,IF(G359="Unknown","Missing Region",""),IF(M359="Unknown","Missing Ship Mode",""),IF(P359&lt;0,"Negative Discount",""),IF(P359&gt;0.7,"High Discount",""),IF(C359&lt;B359,"Ship Before Order",""))</f>
        <v>Ship Before Order</v>
      </c>
      <c r="Z359" s="2">
        <f>IFERROR(
  IF(ISNUMBER(B359),B359,
    IF(ISNUMBER(SEARCH("-",B359)*1),
      IF(LEN(LEFT(B359,FIND("-",B359)-1))=4,
        DATE(VALUE(LEFT(B359,4)),VALUE(MID(B359,6,2)),VALUE(RIGHT(B359,2))),
        DATE(VALUE(RIGHT(B359,4)),VALUE(MID(B359,4,2)),VALUE(LEFT(B359,2)))
      ),
      IF(ISNUMBER(SEARCH("/",B359)*1),
        DATE(VALUE(RIGHT(B359,4)),VALUE(LEFT(B359,2)),VALUE(MID(B359,4,2))),
        DATEVALUE(B359)
      )
    )
  ),
"INVALID_DATE")</f>
        <v>45678</v>
      </c>
      <c r="AA359" s="2">
        <f>IFERROR(
  IF(ISNUMBER(C359),C359,
    IF(ISNUMBER(SEARCH("-",C359)*1),
      IF(LEN(LEFT(C359,FIND("-",C359)-1))=4,
        DATE(VALUE(LEFT(C359,4)),VALUE(MID(C359,6,2)),VALUE(RIGHT(C359,2))),
        DATE(VALUE(RIGHT(C359,4)),VALUE(MID(C359,4,2)),VALUE(LEFT(C359,2)))
      ),
      IF(ISNUMBER(SEARCH("/",C359)*1),
        DATE(VALUE(RIGHT(C359,4)),VALUE(LEFT(C359,2)),VALUE(MID(C359,4,2))),
        DATEVALUE(C359)
      )
    )
  ),
"INVALID_DATE")</f>
        <v>45686</v>
      </c>
      <c r="AB359">
        <f>AA359-Z359</f>
        <v>8</v>
      </c>
      <c r="AC359" t="str">
        <f>TEXT(Z359,"mmmm")</f>
        <v>January</v>
      </c>
      <c r="AD359">
        <f>YEAR(Z359)</f>
        <v>2025</v>
      </c>
      <c r="AE359" t="str">
        <f t="shared" si="17"/>
        <v>OK</v>
      </c>
    </row>
    <row r="360" spans="1:31">
      <c r="A360" t="s">
        <v>1805</v>
      </c>
      <c r="B360" t="s">
        <v>1806</v>
      </c>
      <c r="C360" t="s">
        <v>1807</v>
      </c>
      <c r="D360" t="s">
        <v>1808</v>
      </c>
      <c r="E360" t="s">
        <v>90</v>
      </c>
      <c r="F360" t="s">
        <v>122</v>
      </c>
      <c r="G360" t="s">
        <v>80</v>
      </c>
      <c r="H360" t="s">
        <v>242</v>
      </c>
      <c r="I360" t="s">
        <v>243</v>
      </c>
      <c r="J360" t="s">
        <v>52</v>
      </c>
      <c r="K360" t="s">
        <v>211</v>
      </c>
      <c r="L360" t="s">
        <v>1809</v>
      </c>
      <c r="M360" t="s">
        <v>40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144</v>
      </c>
      <c r="U360" t="s">
        <v>132</v>
      </c>
      <c r="V360">
        <f>O360*(1-P360)*N360</f>
        <v>5956.12</v>
      </c>
      <c r="W360">
        <f t="shared" si="15"/>
        <v>1576.9399999999996</v>
      </c>
      <c r="X360">
        <f t="shared" si="16"/>
        <v>0.26475960860425918</v>
      </c>
      <c r="Y360" t="s">
        <v>4120</v>
      </c>
      <c r="Z360" s="2">
        <f>IFERROR(
  IF(ISNUMBER(B360),B360,
    IF(ISNUMBER(SEARCH("-",B360)*1),
      IF(LEN(LEFT(B360,FIND("-",B360)-1))=4,
        DATE(VALUE(LEFT(B360,4)),VALUE(MID(B360,6,2)),VALUE(RIGHT(B360,2))),
        DATE(VALUE(RIGHT(B360,4)),VALUE(MID(B360,4,2)),VALUE(LEFT(B360,2)))
      ),
      IF(ISNUMBER(SEARCH("/",B360)*1),
        DATE(VALUE(RIGHT(B360,4)),VALUE(LEFT(B360,2)),VALUE(MID(B360,4,2))),
        DATEVALUE(B360)
      )
    )
  ),
"INVALID_DATE")</f>
        <v>45878</v>
      </c>
      <c r="AA360" s="2">
        <f>IFERROR(
  IF(ISNUMBER(C360),C360,
    IF(ISNUMBER(SEARCH("-",C360)*1),
      IF(LEN(LEFT(C360,FIND("-",C360)-1))=4,
        DATE(VALUE(LEFT(C360,4)),VALUE(MID(C360,6,2)),VALUE(RIGHT(C360,2))),
        DATE(VALUE(RIGHT(C360,4)),VALUE(MID(C360,4,2)),VALUE(LEFT(C360,2)))
      ),
      IF(ISNUMBER(SEARCH("/",C360)*1),
        DATE(VALUE(RIGHT(C360,4)),VALUE(LEFT(C360,2)),VALUE(MID(C360,4,2))),
        DATEVALUE(C360)
      )
    )
  ),
"INVALID_DATE")</f>
        <v>45876</v>
      </c>
      <c r="AB360">
        <f>AA360-Z360</f>
        <v>-2</v>
      </c>
      <c r="AC360" t="str">
        <f>TEXT(Z360,"mmmm")</f>
        <v>August</v>
      </c>
      <c r="AD360">
        <f>YEAR(Z360)</f>
        <v>2025</v>
      </c>
      <c r="AE360" t="str">
        <f t="shared" si="17"/>
        <v>Ship Before Order</v>
      </c>
    </row>
    <row r="361" spans="1:31">
      <c r="A361" t="s">
        <v>1810</v>
      </c>
      <c r="B361" t="s">
        <v>1634</v>
      </c>
      <c r="C361" t="s">
        <v>1811</v>
      </c>
      <c r="D361" t="s">
        <v>1812</v>
      </c>
      <c r="E361" t="s">
        <v>60</v>
      </c>
      <c r="F361" t="s">
        <v>33</v>
      </c>
      <c r="G361" t="s">
        <v>69</v>
      </c>
      <c r="H361" t="s">
        <v>347</v>
      </c>
      <c r="I361" t="s">
        <v>348</v>
      </c>
      <c r="J361" t="s">
        <v>93</v>
      </c>
      <c r="K361" t="s">
        <v>230</v>
      </c>
      <c r="L361" t="s">
        <v>1813</v>
      </c>
      <c r="M361" t="s">
        <v>55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41</v>
      </c>
      <c r="U361" t="s">
        <v>42</v>
      </c>
      <c r="V361">
        <f>O361*(1-P361)*N361</f>
        <v>4997.3760000000002</v>
      </c>
      <c r="W361">
        <f t="shared" si="15"/>
        <v>2025.9860000000003</v>
      </c>
      <c r="X361">
        <f t="shared" si="16"/>
        <v>0.40541043506797564</v>
      </c>
      <c r="Y361" t="s">
        <v>4120</v>
      </c>
      <c r="Z361" s="2">
        <f>IFERROR(
  IF(ISNUMBER(B361),B361,
    IF(ISNUMBER(SEARCH("-",B361)*1),
      IF(LEN(LEFT(B361,FIND("-",B361)-1))=4,
        DATE(VALUE(LEFT(B361,4)),VALUE(MID(B361,6,2)),VALUE(RIGHT(B361,2))),
        DATE(VALUE(RIGHT(B361,4)),VALUE(MID(B361,4,2)),VALUE(LEFT(B361,2)))
      ),
      IF(ISNUMBER(SEARCH("/",B361)*1),
        DATE(VALUE(RIGHT(B361,4)),VALUE(LEFT(B361,2)),VALUE(MID(B361,4,2))),
        DATEVALUE(B361)
      )
    )
  ),
"INVALID_DATE")</f>
        <v>45525</v>
      </c>
      <c r="AA361" s="2">
        <f>IFERROR(
  IF(ISNUMBER(C361),C361,
    IF(ISNUMBER(SEARCH("-",C361)*1),
      IF(LEN(LEFT(C361,FIND("-",C361)-1))=4,
        DATE(VALUE(LEFT(C361,4)),VALUE(MID(C361,6,2)),VALUE(RIGHT(C361,2))),
        DATE(VALUE(RIGHT(C361,4)),VALUE(MID(C361,4,2)),VALUE(LEFT(C361,2)))
      ),
      IF(ISNUMBER(SEARCH("/",C361)*1),
        DATE(VALUE(RIGHT(C361,4)),VALUE(LEFT(C361,2)),VALUE(MID(C361,4,2))),
        DATEVALUE(C361)
      )
    )
  ),
"INVALID_DATE")</f>
        <v>45526</v>
      </c>
      <c r="AB361">
        <f>AA361-Z361</f>
        <v>1</v>
      </c>
      <c r="AC361" t="str">
        <f>TEXT(Z361,"mmmm")</f>
        <v>August</v>
      </c>
      <c r="AD361">
        <f>YEAR(Z361)</f>
        <v>2024</v>
      </c>
      <c r="AE361" t="str">
        <f t="shared" si="17"/>
        <v>OK</v>
      </c>
    </row>
    <row r="362" spans="1:31">
      <c r="A362" t="s">
        <v>1814</v>
      </c>
      <c r="B362" t="s">
        <v>1815</v>
      </c>
      <c r="C362" t="s">
        <v>1816</v>
      </c>
      <c r="D362" t="s">
        <v>1817</v>
      </c>
      <c r="E362" t="s">
        <v>175</v>
      </c>
      <c r="F362" t="s">
        <v>48</v>
      </c>
      <c r="G362" t="s">
        <v>80</v>
      </c>
      <c r="H362" t="s">
        <v>242</v>
      </c>
      <c r="I362" t="s">
        <v>243</v>
      </c>
      <c r="J362" t="s">
        <v>52</v>
      </c>
      <c r="K362" t="s">
        <v>72</v>
      </c>
      <c r="L362" t="s">
        <v>1818</v>
      </c>
      <c r="M362" t="s">
        <v>74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131</v>
      </c>
      <c r="U362" t="s">
        <v>85</v>
      </c>
      <c r="V362">
        <f>O362*(1-P362)*N362</f>
        <v>17669.400000000001</v>
      </c>
      <c r="W362">
        <f t="shared" si="15"/>
        <v>3950.630000000001</v>
      </c>
      <c r="X362">
        <f t="shared" si="16"/>
        <v>0.22358597349089385</v>
      </c>
      <c r="Y362" t="s">
        <v>4120</v>
      </c>
      <c r="Z362" s="2">
        <f>IFERROR(
  IF(ISNUMBER(B362),B362,
    IF(ISNUMBER(SEARCH("-",B362)*1),
      IF(LEN(LEFT(B362,FIND("-",B362)-1))=4,
        DATE(VALUE(LEFT(B362,4)),VALUE(MID(B362,6,2)),VALUE(RIGHT(B362,2))),
        DATE(VALUE(RIGHT(B362,4)),VALUE(MID(B362,4,2)),VALUE(LEFT(B362,2)))
      ),
      IF(ISNUMBER(SEARCH("/",B362)*1),
        DATE(VALUE(RIGHT(B362,4)),VALUE(LEFT(B362,2)),VALUE(MID(B362,4,2))),
        DATEVALUE(B362)
      )
    )
  ),
"INVALID_DATE")</f>
        <v>45460</v>
      </c>
      <c r="AA362" s="2">
        <f>IFERROR(
  IF(ISNUMBER(C362),C362,
    IF(ISNUMBER(SEARCH("-",C362)*1),
      IF(LEN(LEFT(C362,FIND("-",C362)-1))=4,
        DATE(VALUE(LEFT(C362,4)),VALUE(MID(C362,6,2)),VALUE(RIGHT(C362,2))),
        DATE(VALUE(RIGHT(C362,4)),VALUE(MID(C362,4,2)),VALUE(LEFT(C362,2)))
      ),
      IF(ISNUMBER(SEARCH("/",C362)*1),
        DATE(VALUE(RIGHT(C362,4)),VALUE(LEFT(C362,2)),VALUE(MID(C362,4,2))),
        DATEVALUE(C362)
      )
    )
  ),
"INVALID_DATE")</f>
        <v>45463</v>
      </c>
      <c r="AB362">
        <f>AA362-Z362</f>
        <v>3</v>
      </c>
      <c r="AC362" t="str">
        <f>TEXT(Z362,"mmmm")</f>
        <v>June</v>
      </c>
      <c r="AD362">
        <f>YEAR(Z362)</f>
        <v>2024</v>
      </c>
      <c r="AE362" t="str">
        <f t="shared" si="17"/>
        <v>OK</v>
      </c>
    </row>
    <row r="363" spans="1:31">
      <c r="A363" t="s">
        <v>1819</v>
      </c>
      <c r="B363" t="s">
        <v>1165</v>
      </c>
      <c r="C363" t="s">
        <v>1820</v>
      </c>
      <c r="D363" t="s">
        <v>1821</v>
      </c>
      <c r="E363" t="s">
        <v>187</v>
      </c>
      <c r="F363" t="s">
        <v>115</v>
      </c>
      <c r="G363" t="s">
        <v>49</v>
      </c>
      <c r="H363" t="s">
        <v>50</v>
      </c>
      <c r="I363" t="s">
        <v>51</v>
      </c>
      <c r="J363" t="s">
        <v>52</v>
      </c>
      <c r="K363" t="s">
        <v>83</v>
      </c>
      <c r="L363" t="s">
        <v>1822</v>
      </c>
      <c r="M363" t="s">
        <v>40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144</v>
      </c>
      <c r="U363" t="s">
        <v>132</v>
      </c>
      <c r="V363">
        <f>O363*(1-P363)*N363</f>
        <v>35615.709000000003</v>
      </c>
      <c r="W363">
        <f t="shared" si="15"/>
        <v>15225.999000000003</v>
      </c>
      <c r="X363">
        <f t="shared" si="16"/>
        <v>0.42750797330728491</v>
      </c>
      <c r="Y363" t="s">
        <v>4120</v>
      </c>
      <c r="Z363" s="2">
        <f>IFERROR(
  IF(ISNUMBER(B363),B363,
    IF(ISNUMBER(SEARCH("-",B363)*1),
      IF(LEN(LEFT(B363,FIND("-",B363)-1))=4,
        DATE(VALUE(LEFT(B363,4)),VALUE(MID(B363,6,2)),VALUE(RIGHT(B363,2))),
        DATE(VALUE(RIGHT(B363,4)),VALUE(MID(B363,4,2)),VALUE(LEFT(B363,2)))
      ),
      IF(ISNUMBER(SEARCH("/",B363)*1),
        DATE(VALUE(RIGHT(B363,4)),VALUE(LEFT(B363,2)),VALUE(MID(B363,4,2))),
        DATEVALUE(B363)
      )
    )
  ),
"INVALID_DATE")</f>
        <v>45748</v>
      </c>
      <c r="AA363" s="2">
        <f>IFERROR(
  IF(ISNUMBER(C363),C363,
    IF(ISNUMBER(SEARCH("-",C363)*1),
      IF(LEN(LEFT(C363,FIND("-",C363)-1))=4,
        DATE(VALUE(LEFT(C363,4)),VALUE(MID(C363,6,2)),VALUE(RIGHT(C363,2))),
        DATE(VALUE(RIGHT(C363,4)),VALUE(MID(C363,4,2)),VALUE(LEFT(C363,2)))
      ),
      IF(ISNUMBER(SEARCH("/",C363)*1),
        DATE(VALUE(RIGHT(C363,4)),VALUE(LEFT(C363,2)),VALUE(MID(C363,4,2))),
        DATEVALUE(C363)
      )
    )
  ),
"INVALID_DATE")</f>
        <v>45749</v>
      </c>
      <c r="AB363">
        <f>AA363-Z363</f>
        <v>1</v>
      </c>
      <c r="AC363" t="str">
        <f>TEXT(Z363,"mmmm")</f>
        <v>April</v>
      </c>
      <c r="AD363">
        <f>YEAR(Z363)</f>
        <v>2025</v>
      </c>
      <c r="AE363" t="str">
        <f t="shared" si="17"/>
        <v>OK</v>
      </c>
    </row>
    <row r="364" spans="1:31">
      <c r="A364" t="s">
        <v>1823</v>
      </c>
      <c r="B364" t="s">
        <v>1824</v>
      </c>
      <c r="C364" t="s">
        <v>1825</v>
      </c>
      <c r="D364" t="s">
        <v>1826</v>
      </c>
      <c r="E364" t="s">
        <v>90</v>
      </c>
      <c r="F364" t="s">
        <v>33</v>
      </c>
      <c r="G364" t="s">
        <v>80</v>
      </c>
      <c r="H364" t="s">
        <v>256</v>
      </c>
      <c r="I364" t="s">
        <v>257</v>
      </c>
      <c r="J364" t="s">
        <v>93</v>
      </c>
      <c r="K364" t="s">
        <v>390</v>
      </c>
      <c r="L364" t="s">
        <v>1827</v>
      </c>
      <c r="M364" t="s">
        <v>55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41</v>
      </c>
      <c r="U364" t="s">
        <v>42</v>
      </c>
      <c r="V364">
        <f>O364*(1-P364)*N364</f>
        <v>1866.4079999999999</v>
      </c>
      <c r="W364">
        <f t="shared" si="15"/>
        <v>289.91799999999989</v>
      </c>
      <c r="X364">
        <f t="shared" si="16"/>
        <v>0.15533564436538597</v>
      </c>
      <c r="Y364" t="s">
        <v>4120</v>
      </c>
      <c r="Z364" s="2">
        <f>IFERROR(
  IF(ISNUMBER(B364),B364,
    IF(ISNUMBER(SEARCH("-",B364)*1),
      IF(LEN(LEFT(B364,FIND("-",B364)-1))=4,
        DATE(VALUE(LEFT(B364,4)),VALUE(MID(B364,6,2)),VALUE(RIGHT(B364,2))),
        DATE(VALUE(RIGHT(B364,4)),VALUE(MID(B364,4,2)),VALUE(LEFT(B364,2)))
      ),
      IF(ISNUMBER(SEARCH("/",B364)*1),
        DATE(VALUE(RIGHT(B364,4)),VALUE(LEFT(B364,2)),VALUE(MID(B364,4,2))),
        DATEVALUE(B364)
      )
    )
  ),
"INVALID_DATE")</f>
        <v>45527</v>
      </c>
      <c r="AA364" s="2">
        <f>IFERROR(
  IF(ISNUMBER(C364),C364,
    IF(ISNUMBER(SEARCH("-",C364)*1),
      IF(LEN(LEFT(C364,FIND("-",C364)-1))=4,
        DATE(VALUE(LEFT(C364,4)),VALUE(MID(C364,6,2)),VALUE(RIGHT(C364,2))),
        DATE(VALUE(RIGHT(C364,4)),VALUE(MID(C364,4,2)),VALUE(LEFT(C364,2)))
      ),
      IF(ISNUMBER(SEARCH("/",C364)*1),
        DATE(VALUE(RIGHT(C364,4)),VALUE(LEFT(C364,2)),VALUE(MID(C364,4,2))),
        DATEVALUE(C364)
      )
    )
  ),
"INVALID_DATE")</f>
        <v>45529</v>
      </c>
      <c r="AB364">
        <f>AA364-Z364</f>
        <v>2</v>
      </c>
      <c r="AC364" t="str">
        <f>TEXT(Z364,"mmmm")</f>
        <v>August</v>
      </c>
      <c r="AD364">
        <f>YEAR(Z364)</f>
        <v>2024</v>
      </c>
      <c r="AE364" t="str">
        <f t="shared" si="17"/>
        <v>OK</v>
      </c>
    </row>
    <row r="365" spans="1:31">
      <c r="A365" t="s">
        <v>1828</v>
      </c>
      <c r="B365" t="s">
        <v>1829</v>
      </c>
      <c r="C365" t="s">
        <v>1830</v>
      </c>
      <c r="D365" t="s">
        <v>1831</v>
      </c>
      <c r="E365" t="s">
        <v>217</v>
      </c>
      <c r="F365" t="s">
        <v>115</v>
      </c>
      <c r="G365" t="s">
        <v>49</v>
      </c>
      <c r="H365" t="s">
        <v>128</v>
      </c>
      <c r="I365" t="s">
        <v>129</v>
      </c>
      <c r="J365" t="s">
        <v>52</v>
      </c>
      <c r="K365" t="s">
        <v>53</v>
      </c>
      <c r="L365" t="s">
        <v>1832</v>
      </c>
      <c r="M365" t="s">
        <v>40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41</v>
      </c>
      <c r="U365" t="s">
        <v>42</v>
      </c>
      <c r="V365">
        <f>O365*(1-P365)*N365</f>
        <v>6867.6374999999998</v>
      </c>
      <c r="W365">
        <f t="shared" si="15"/>
        <v>1662.2775000000001</v>
      </c>
      <c r="X365">
        <f t="shared" si="16"/>
        <v>0.24204530231637067</v>
      </c>
      <c r="Y365" t="s">
        <v>4120</v>
      </c>
      <c r="Z365" s="2">
        <f>IFERROR(
  IF(ISNUMBER(B365),B365,
    IF(ISNUMBER(SEARCH("-",B365)*1),
      IF(LEN(LEFT(B365,FIND("-",B365)-1))=4,
        DATE(VALUE(LEFT(B365,4)),VALUE(MID(B365,6,2)),VALUE(RIGHT(B365,2))),
        DATE(VALUE(RIGHT(B365,4)),VALUE(MID(B365,4,2)),VALUE(LEFT(B365,2)))
      ),
      IF(ISNUMBER(SEARCH("/",B365)*1),
        DATE(VALUE(RIGHT(B365,4)),VALUE(LEFT(B365,2)),VALUE(MID(B365,4,2))),
        DATEVALUE(B365)
      )
    )
  ),
"INVALID_DATE")</f>
        <v>45845</v>
      </c>
      <c r="AA365" s="2">
        <f>IFERROR(
  IF(ISNUMBER(C365),C365,
    IF(ISNUMBER(SEARCH("-",C365)*1),
      IF(LEN(LEFT(C365,FIND("-",C365)-1))=4,
        DATE(VALUE(LEFT(C365,4)),VALUE(MID(C365,6,2)),VALUE(RIGHT(C365,2))),
        DATE(VALUE(RIGHT(C365,4)),VALUE(MID(C365,4,2)),VALUE(LEFT(C365,2)))
      ),
      IF(ISNUMBER(SEARCH("/",C365)*1),
        DATE(VALUE(RIGHT(C365,4)),VALUE(LEFT(C365,2)),VALUE(MID(C365,4,2))),
        DATEVALUE(C365)
      )
    )
  ),
"INVALID_DATE")</f>
        <v>45850</v>
      </c>
      <c r="AB365">
        <f>AA365-Z365</f>
        <v>5</v>
      </c>
      <c r="AC365" t="str">
        <f>TEXT(Z365,"mmmm")</f>
        <v>July</v>
      </c>
      <c r="AD365">
        <f>YEAR(Z365)</f>
        <v>2025</v>
      </c>
      <c r="AE365" t="str">
        <f t="shared" si="17"/>
        <v>OK</v>
      </c>
    </row>
    <row r="366" spans="1:31">
      <c r="A366" t="s">
        <v>1833</v>
      </c>
      <c r="B366" t="s">
        <v>1834</v>
      </c>
      <c r="C366" t="s">
        <v>1835</v>
      </c>
      <c r="D366" t="s">
        <v>1836</v>
      </c>
      <c r="E366" t="s">
        <v>169</v>
      </c>
      <c r="F366" t="s">
        <v>48</v>
      </c>
      <c r="G366" t="s">
        <v>69</v>
      </c>
      <c r="H366" t="s">
        <v>107</v>
      </c>
      <c r="I366" t="s">
        <v>108</v>
      </c>
      <c r="J366" t="s">
        <v>52</v>
      </c>
      <c r="K366" t="s">
        <v>83</v>
      </c>
      <c r="L366" t="s">
        <v>1837</v>
      </c>
      <c r="M366" t="s">
        <v>40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41</v>
      </c>
      <c r="U366" t="s">
        <v>42</v>
      </c>
      <c r="V366">
        <f>O366*(1-P366)*N366</f>
        <v>6195.75</v>
      </c>
      <c r="W366">
        <f t="shared" si="15"/>
        <v>2228.73</v>
      </c>
      <c r="X366">
        <f t="shared" si="16"/>
        <v>0.35971916232901585</v>
      </c>
      <c r="Y366" t="s">
        <v>4120</v>
      </c>
      <c r="Z366" s="2">
        <f>IFERROR(
  IF(ISNUMBER(B366),B366,
    IF(ISNUMBER(SEARCH("-",B366)*1),
      IF(LEN(LEFT(B366,FIND("-",B366)-1))=4,
        DATE(VALUE(LEFT(B366,4)),VALUE(MID(B366,6,2)),VALUE(RIGHT(B366,2))),
        DATE(VALUE(RIGHT(B366,4)),VALUE(MID(B366,4,2)),VALUE(LEFT(B366,2)))
      ),
      IF(ISNUMBER(SEARCH("/",B366)*1),
        DATE(VALUE(RIGHT(B366,4)),VALUE(LEFT(B366,2)),VALUE(MID(B366,4,2))),
        DATEVALUE(B366)
      )
    )
  ),
"INVALID_DATE")</f>
        <v>45737</v>
      </c>
      <c r="AA366" s="2">
        <f>IFERROR(
  IF(ISNUMBER(C366),C366,
    IF(ISNUMBER(SEARCH("-",C366)*1),
      IF(LEN(LEFT(C366,FIND("-",C366)-1))=4,
        DATE(VALUE(LEFT(C366,4)),VALUE(MID(C366,6,2)),VALUE(RIGHT(C366,2))),
        DATE(VALUE(RIGHT(C366,4)),VALUE(MID(C366,4,2)),VALUE(LEFT(C366,2)))
      ),
      IF(ISNUMBER(SEARCH("/",C366)*1),
        DATE(VALUE(RIGHT(C366,4)),VALUE(LEFT(C366,2)),VALUE(MID(C366,4,2))),
        DATEVALUE(C366)
      )
    )
  ),
"INVALID_DATE")</f>
        <v>45740</v>
      </c>
      <c r="AB366">
        <f>AA366-Z366</f>
        <v>3</v>
      </c>
      <c r="AC366" t="str">
        <f>TEXT(Z366,"mmmm")</f>
        <v>March</v>
      </c>
      <c r="AD366">
        <f>YEAR(Z366)</f>
        <v>2025</v>
      </c>
      <c r="AE366" t="str">
        <f t="shared" si="17"/>
        <v>OK</v>
      </c>
    </row>
    <row r="367" spans="1:31">
      <c r="A367" t="s">
        <v>1838</v>
      </c>
      <c r="B367" t="s">
        <v>1839</v>
      </c>
      <c r="C367" t="s">
        <v>1840</v>
      </c>
      <c r="D367" t="s">
        <v>1841</v>
      </c>
      <c r="E367" t="s">
        <v>114</v>
      </c>
      <c r="F367" t="s">
        <v>115</v>
      </c>
      <c r="G367" t="s">
        <v>80</v>
      </c>
      <c r="H367" t="s">
        <v>256</v>
      </c>
      <c r="I367" t="s">
        <v>257</v>
      </c>
      <c r="J367" t="s">
        <v>93</v>
      </c>
      <c r="K367" t="s">
        <v>94</v>
      </c>
      <c r="L367" t="s">
        <v>1842</v>
      </c>
      <c r="M367" t="s">
        <v>63</v>
      </c>
      <c r="N367">
        <v>8</v>
      </c>
      <c r="O367">
        <v>1706.4</v>
      </c>
      <c r="P367">
        <v>0</v>
      </c>
      <c r="Q367">
        <v>12968.64</v>
      </c>
      <c r="R367">
        <v>10119.61</v>
      </c>
      <c r="S367">
        <v>2849.03</v>
      </c>
      <c r="T367" t="s">
        <v>41</v>
      </c>
      <c r="U367" t="s">
        <v>42</v>
      </c>
      <c r="V367">
        <f>O367*(1-P367)*N367</f>
        <v>13651.2</v>
      </c>
      <c r="W367">
        <f t="shared" si="15"/>
        <v>3531.59</v>
      </c>
      <c r="X367">
        <f t="shared" si="16"/>
        <v>0.21968610432551142</v>
      </c>
      <c r="Y367" t="s">
        <v>4120</v>
      </c>
      <c r="Z367" s="2">
        <f>IFERROR(
  IF(ISNUMBER(B367),B367,
    IF(ISNUMBER(SEARCH("-",B367)*1),
      IF(LEN(LEFT(B367,FIND("-",B367)-1))=4,
        DATE(VALUE(LEFT(B367,4)),VALUE(MID(B367,6,2)),VALUE(RIGHT(B367,2))),
        DATE(VALUE(RIGHT(B367,4)),VALUE(MID(B367,4,2)),VALUE(LEFT(B367,2)))
      ),
      IF(ISNUMBER(SEARCH("/",B367)*1),
        DATE(VALUE(RIGHT(B367,4)),VALUE(LEFT(B367,2)),VALUE(MID(B367,4,2))),
        DATEVALUE(B367)
      )
    )
  ),
"INVALID_DATE")</f>
        <v>45458</v>
      </c>
      <c r="AA367" s="2">
        <f>IFERROR(
  IF(ISNUMBER(C367),C367,
    IF(ISNUMBER(SEARCH("-",C367)*1),
      IF(LEN(LEFT(C367,FIND("-",C367)-1))=4,
        DATE(VALUE(LEFT(C367,4)),VALUE(MID(C367,6,2)),VALUE(RIGHT(C367,2))),
        DATE(VALUE(RIGHT(C367,4)),VALUE(MID(C367,4,2)),VALUE(LEFT(C367,2)))
      ),
      IF(ISNUMBER(SEARCH("/",C367)*1),
        DATE(VALUE(RIGHT(C367,4)),VALUE(LEFT(C367,2)),VALUE(MID(C367,4,2))),
        DATEVALUE(C367)
      )
    )
  ),
"INVALID_DATE")</f>
        <v>45464</v>
      </c>
      <c r="AB367">
        <f>AA367-Z367</f>
        <v>6</v>
      </c>
      <c r="AC367" t="str">
        <f>TEXT(Z367,"mmmm")</f>
        <v>June</v>
      </c>
      <c r="AD367">
        <f>YEAR(Z367)</f>
        <v>2024</v>
      </c>
      <c r="AE367" t="str">
        <f t="shared" si="17"/>
        <v>OK</v>
      </c>
    </row>
    <row r="368" spans="1:31">
      <c r="A368" t="s">
        <v>1843</v>
      </c>
      <c r="B368" t="s">
        <v>1844</v>
      </c>
      <c r="C368" t="s">
        <v>1845</v>
      </c>
      <c r="D368" t="s">
        <v>1846</v>
      </c>
      <c r="E368" t="s">
        <v>175</v>
      </c>
      <c r="F368" t="s">
        <v>115</v>
      </c>
      <c r="G368" t="s">
        <v>34</v>
      </c>
      <c r="H368" t="s">
        <v>35</v>
      </c>
      <c r="I368" t="s">
        <v>36</v>
      </c>
      <c r="J368" t="s">
        <v>52</v>
      </c>
      <c r="K368" t="s">
        <v>53</v>
      </c>
      <c r="L368" t="s">
        <v>1847</v>
      </c>
      <c r="M368" t="s">
        <v>55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41</v>
      </c>
      <c r="U368" t="s">
        <v>42</v>
      </c>
      <c r="V368">
        <f>O368*(1-P368)*N368</f>
        <v>8836.56</v>
      </c>
      <c r="W368">
        <f t="shared" si="15"/>
        <v>2968.8099999999995</v>
      </c>
      <c r="X368">
        <f t="shared" si="16"/>
        <v>0.33596897435201029</v>
      </c>
      <c r="Y368" t="s">
        <v>4120</v>
      </c>
      <c r="Z368" s="2">
        <f>IFERROR(
  IF(ISNUMBER(B368),B368,
    IF(ISNUMBER(SEARCH("-",B368)*1),
      IF(LEN(LEFT(B368,FIND("-",B368)-1))=4,
        DATE(VALUE(LEFT(B368,4)),VALUE(MID(B368,6,2)),VALUE(RIGHT(B368,2))),
        DATE(VALUE(RIGHT(B368,4)),VALUE(MID(B368,4,2)),VALUE(LEFT(B368,2)))
      ),
      IF(ISNUMBER(SEARCH("/",B368)*1),
        DATE(VALUE(RIGHT(B368,4)),VALUE(LEFT(B368,2)),VALUE(MID(B368,4,2))),
        DATEVALUE(B368)
      )
    )
  ),
"INVALID_DATE")</f>
        <v>45673</v>
      </c>
      <c r="AA368" s="2">
        <f>IFERROR(
  IF(ISNUMBER(C368),C368,
    IF(ISNUMBER(SEARCH("-",C368)*1),
      IF(LEN(LEFT(C368,FIND("-",C368)-1))=4,
        DATE(VALUE(LEFT(C368,4)),VALUE(MID(C368,6,2)),VALUE(RIGHT(C368,2))),
        DATE(VALUE(RIGHT(C368,4)),VALUE(MID(C368,4,2)),VALUE(LEFT(C368,2)))
      ),
      IF(ISNUMBER(SEARCH("/",C368)*1),
        DATE(VALUE(RIGHT(C368,4)),VALUE(LEFT(C368,2)),VALUE(MID(C368,4,2))),
        DATEVALUE(C368)
      )
    )
  ),
"INVALID_DATE")</f>
        <v>45679</v>
      </c>
      <c r="AB368">
        <f>AA368-Z368</f>
        <v>6</v>
      </c>
      <c r="AC368" t="str">
        <f>TEXT(Z368,"mmmm")</f>
        <v>January</v>
      </c>
      <c r="AD368">
        <f>YEAR(Z368)</f>
        <v>2025</v>
      </c>
      <c r="AE368" t="str">
        <f t="shared" si="17"/>
        <v>OK</v>
      </c>
    </row>
    <row r="369" spans="1:31">
      <c r="A369" t="s">
        <v>1848</v>
      </c>
      <c r="B369" t="s">
        <v>986</v>
      </c>
      <c r="C369" t="s">
        <v>1849</v>
      </c>
      <c r="D369" t="s">
        <v>1850</v>
      </c>
      <c r="E369" t="s">
        <v>187</v>
      </c>
      <c r="F369" t="s">
        <v>33</v>
      </c>
      <c r="G369" t="s">
        <v>34</v>
      </c>
      <c r="H369" t="s">
        <v>514</v>
      </c>
      <c r="I369" t="s">
        <v>515</v>
      </c>
      <c r="J369" t="s">
        <v>37</v>
      </c>
      <c r="K369" t="s">
        <v>61</v>
      </c>
      <c r="L369" t="s">
        <v>1851</v>
      </c>
      <c r="M369" t="s">
        <v>74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207</v>
      </c>
      <c r="U369" t="s">
        <v>85</v>
      </c>
      <c r="V369">
        <f>O369*(1-P369)*N369</f>
        <v>19456.959000000003</v>
      </c>
      <c r="W369">
        <f t="shared" si="15"/>
        <v>4936.8990000000031</v>
      </c>
      <c r="X369">
        <f t="shared" si="16"/>
        <v>0.25373439632912848</v>
      </c>
      <c r="Y369" t="str">
        <f>_xlfn.TEXTJOIN(", ",TRUE,IF(G369="Unknown","Missing Region",""),IF(M369="Unknown","Missing Ship Mode",""),IF(P369&lt;0,"Negative Discount",""),IF(P369&gt;0.7,"High Discount",""),IF(C369&lt;B369,"Ship Before Order",""))</f>
        <v>Ship Before Order</v>
      </c>
      <c r="Z369" s="2">
        <f>IFERROR(
  IF(ISNUMBER(B369),B369,
    IF(ISNUMBER(SEARCH("-",B369)*1),
      IF(LEN(LEFT(B369,FIND("-",B369)-1))=4,
        DATE(VALUE(LEFT(B369,4)),VALUE(MID(B369,6,2)),VALUE(RIGHT(B369,2))),
        DATE(VALUE(RIGHT(B369,4)),VALUE(MID(B369,4,2)),VALUE(LEFT(B369,2)))
      ),
      IF(ISNUMBER(SEARCH("/",B369)*1),
        DATE(VALUE(RIGHT(B369,4)),VALUE(LEFT(B369,2)),VALUE(MID(B369,4,2))),
        DATEVALUE(B369)
      )
    )
  ),
"INVALID_DATE")</f>
        <v>45366</v>
      </c>
      <c r="AA369" s="2">
        <f>IFERROR(
  IF(ISNUMBER(C369),C369,
    IF(ISNUMBER(SEARCH("-",C369)*1),
      IF(LEN(LEFT(C369,FIND("-",C369)-1))=4,
        DATE(VALUE(LEFT(C369,4)),VALUE(MID(C369,6,2)),VALUE(RIGHT(C369,2))),
        DATE(VALUE(RIGHT(C369,4)),VALUE(MID(C369,4,2)),VALUE(LEFT(C369,2)))
      ),
      IF(ISNUMBER(SEARCH("/",C369)*1),
        DATE(VALUE(RIGHT(C369,4)),VALUE(LEFT(C369,2)),VALUE(MID(C369,4,2))),
        DATEVALUE(C369)
      )
    )
  ),
"INVALID_DATE")</f>
        <v>45367</v>
      </c>
      <c r="AB369">
        <f>AA369-Z369</f>
        <v>1</v>
      </c>
      <c r="AC369" t="str">
        <f>TEXT(Z369,"mmmm")</f>
        <v>March</v>
      </c>
      <c r="AD369">
        <f>YEAR(Z369)</f>
        <v>2024</v>
      </c>
      <c r="AE369" t="str">
        <f t="shared" si="17"/>
        <v>OK</v>
      </c>
    </row>
    <row r="370" spans="1:31">
      <c r="A370" t="s">
        <v>1852</v>
      </c>
      <c r="B370" t="s">
        <v>1280</v>
      </c>
      <c r="C370" t="s">
        <v>1280</v>
      </c>
      <c r="D370" t="s">
        <v>1853</v>
      </c>
      <c r="E370" t="s">
        <v>169</v>
      </c>
      <c r="F370" t="s">
        <v>122</v>
      </c>
      <c r="G370" t="s">
        <v>34</v>
      </c>
      <c r="H370" t="s">
        <v>35</v>
      </c>
      <c r="I370" t="s">
        <v>36</v>
      </c>
      <c r="J370" t="s">
        <v>93</v>
      </c>
      <c r="K370" t="s">
        <v>94</v>
      </c>
      <c r="L370" t="s">
        <v>1854</v>
      </c>
      <c r="M370" t="s">
        <v>55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131</v>
      </c>
      <c r="U370" t="s">
        <v>132</v>
      </c>
      <c r="V370">
        <f>O370*(1-P370)*N370</f>
        <v>2079.2745</v>
      </c>
      <c r="W370">
        <f t="shared" si="15"/>
        <v>567.10449999999992</v>
      </c>
      <c r="X370">
        <f t="shared" si="16"/>
        <v>0.27273995200238549</v>
      </c>
      <c r="Y370" t="s">
        <v>4120</v>
      </c>
      <c r="Z370" s="2">
        <f>IFERROR(
  IF(ISNUMBER(B370),B370,
    IF(ISNUMBER(SEARCH("-",B370)*1),
      IF(LEN(LEFT(B370,FIND("-",B370)-1))=4,
        DATE(VALUE(LEFT(B370,4)),VALUE(MID(B370,6,2)),VALUE(RIGHT(B370,2))),
        DATE(VALUE(RIGHT(B370,4)),VALUE(MID(B370,4,2)),VALUE(LEFT(B370,2)))
      ),
      IF(ISNUMBER(SEARCH("/",B370)*1),
        DATE(VALUE(RIGHT(B370,4)),VALUE(LEFT(B370,2)),VALUE(MID(B370,4,2))),
        DATEVALUE(B370)
      )
    )
  ),
"INVALID_DATE")</f>
        <v>45844</v>
      </c>
      <c r="AA370" s="2">
        <f>IFERROR(
  IF(ISNUMBER(C370),C370,
    IF(ISNUMBER(SEARCH("-",C370)*1),
      IF(LEN(LEFT(C370,FIND("-",C370)-1))=4,
        DATE(VALUE(LEFT(C370,4)),VALUE(MID(C370,6,2)),VALUE(RIGHT(C370,2))),
        DATE(VALUE(RIGHT(C370,4)),VALUE(MID(C370,4,2)),VALUE(LEFT(C370,2)))
      ),
      IF(ISNUMBER(SEARCH("/",C370)*1),
        DATE(VALUE(RIGHT(C370,4)),VALUE(LEFT(C370,2)),VALUE(MID(C370,4,2))),
        DATEVALUE(C370)
      )
    )
  ),
"INVALID_DATE")</f>
        <v>45844</v>
      </c>
      <c r="AB370">
        <f>AA370-Z370</f>
        <v>0</v>
      </c>
      <c r="AC370" t="str">
        <f>TEXT(Z370,"mmmm")</f>
        <v>July</v>
      </c>
      <c r="AD370">
        <f>YEAR(Z370)</f>
        <v>2025</v>
      </c>
      <c r="AE370" t="str">
        <f t="shared" si="17"/>
        <v>OK</v>
      </c>
    </row>
    <row r="371" spans="1:31">
      <c r="A371" t="s">
        <v>1855</v>
      </c>
      <c r="B371" t="s">
        <v>1539</v>
      </c>
      <c r="C371" t="s">
        <v>198</v>
      </c>
      <c r="D371" t="s">
        <v>1856</v>
      </c>
      <c r="E371" t="s">
        <v>149</v>
      </c>
      <c r="F371" t="s">
        <v>33</v>
      </c>
      <c r="G371" t="s">
        <v>34</v>
      </c>
      <c r="H371" t="s">
        <v>514</v>
      </c>
      <c r="I371" t="s">
        <v>515</v>
      </c>
      <c r="J371" t="s">
        <v>37</v>
      </c>
      <c r="K371" t="s">
        <v>116</v>
      </c>
      <c r="L371" t="s">
        <v>1857</v>
      </c>
      <c r="M371" t="s">
        <v>74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41</v>
      </c>
      <c r="U371" t="s">
        <v>42</v>
      </c>
      <c r="V371">
        <f>O371*(1-P371)*N371</f>
        <v>8945.6804999999986</v>
      </c>
      <c r="W371">
        <f t="shared" si="15"/>
        <v>2205.3304999999982</v>
      </c>
      <c r="X371">
        <f t="shared" si="16"/>
        <v>0.24652457946181844</v>
      </c>
      <c r="Y371" t="str">
        <f>_xlfn.TEXTJOIN(", ",TRUE,IF(G371="Unknown","Missing Region",""),IF(M371="Unknown","Missing Ship Mode",""),IF(P371&lt;0,"Negative Discount",""),IF(P371&gt;0.7,"High Discount",""),IF(C371&lt;B371,"Ship Before Order",""))</f>
        <v>Ship Before Order</v>
      </c>
      <c r="Z371" s="2">
        <f>IFERROR(
  IF(ISNUMBER(B371),B371,
    IF(ISNUMBER(SEARCH("-",B371)*1),
      IF(LEN(LEFT(B371,FIND("-",B371)-1))=4,
        DATE(VALUE(LEFT(B371,4)),VALUE(MID(B371,6,2)),VALUE(RIGHT(B371,2))),
        DATE(VALUE(RIGHT(B371,4)),VALUE(MID(B371,4,2)),VALUE(LEFT(B371,2)))
      ),
      IF(ISNUMBER(SEARCH("/",B371)*1),
        DATE(VALUE(RIGHT(B371,4)),VALUE(LEFT(B371,2)),VALUE(MID(B371,4,2))),
        DATEVALUE(B371)
      )
    )
  ),
"INVALID_DATE")</f>
        <v>45680</v>
      </c>
      <c r="AA371" s="2">
        <f>IFERROR(
  IF(ISNUMBER(C371),C371,
    IF(ISNUMBER(SEARCH("-",C371)*1),
      IF(LEN(LEFT(C371,FIND("-",C371)-1))=4,
        DATE(VALUE(LEFT(C371,4)),VALUE(MID(C371,6,2)),VALUE(RIGHT(C371,2))),
        DATE(VALUE(RIGHT(C371,4)),VALUE(MID(C371,4,2)),VALUE(LEFT(C371,2)))
      ),
      IF(ISNUMBER(SEARCH("/",C371)*1),
        DATE(VALUE(RIGHT(C371,4)),VALUE(LEFT(C371,2)),VALUE(MID(C371,4,2))),
        DATEVALUE(C371)
      )
    )
  ),
"INVALID_DATE")</f>
        <v>45687</v>
      </c>
      <c r="AB371">
        <f>AA371-Z371</f>
        <v>7</v>
      </c>
      <c r="AC371" t="str">
        <f>TEXT(Z371,"mmmm")</f>
        <v>January</v>
      </c>
      <c r="AD371">
        <f>YEAR(Z371)</f>
        <v>2025</v>
      </c>
      <c r="AE371" t="str">
        <f t="shared" si="17"/>
        <v>OK</v>
      </c>
    </row>
    <row r="372" spans="1:31">
      <c r="A372" t="s">
        <v>1858</v>
      </c>
      <c r="B372" t="s">
        <v>1859</v>
      </c>
      <c r="C372" t="s">
        <v>1634</v>
      </c>
      <c r="D372" t="s">
        <v>1860</v>
      </c>
      <c r="E372" t="s">
        <v>79</v>
      </c>
      <c r="F372" t="s">
        <v>48</v>
      </c>
      <c r="G372" t="s">
        <v>80</v>
      </c>
      <c r="H372" t="s">
        <v>35</v>
      </c>
      <c r="I372" t="s">
        <v>142</v>
      </c>
      <c r="J372" t="s">
        <v>93</v>
      </c>
      <c r="K372" t="s">
        <v>101</v>
      </c>
      <c r="L372" t="s">
        <v>1861</v>
      </c>
      <c r="M372" t="s">
        <v>63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41</v>
      </c>
      <c r="U372" t="s">
        <v>42</v>
      </c>
      <c r="V372">
        <f>O372*(1-P372)*N372</f>
        <v>13069.335999999999</v>
      </c>
      <c r="W372">
        <f t="shared" si="15"/>
        <v>4300.7459999999992</v>
      </c>
      <c r="X372">
        <f t="shared" si="16"/>
        <v>0.32907170522765494</v>
      </c>
      <c r="Y372" t="s">
        <v>4120</v>
      </c>
      <c r="Z372" s="2">
        <f>IFERROR(
  IF(ISNUMBER(B372),B372,
    IF(ISNUMBER(SEARCH("-",B372)*1),
      IF(LEN(LEFT(B372,FIND("-",B372)-1))=4,
        DATE(VALUE(LEFT(B372,4)),VALUE(MID(B372,6,2)),VALUE(RIGHT(B372,2))),
        DATE(VALUE(RIGHT(B372,4)),VALUE(MID(B372,4,2)),VALUE(LEFT(B372,2)))
      ),
      IF(ISNUMBER(SEARCH("/",B372)*1),
        DATE(VALUE(RIGHT(B372,4)),VALUE(LEFT(B372,2)),VALUE(MID(B372,4,2))),
        DATEVALUE(B372)
      )
    )
  ),
"INVALID_DATE")</f>
        <v>45519</v>
      </c>
      <c r="AA372" s="2">
        <f>IFERROR(
  IF(ISNUMBER(C372),C372,
    IF(ISNUMBER(SEARCH("-",C372)*1),
      IF(LEN(LEFT(C372,FIND("-",C372)-1))=4,
        DATE(VALUE(LEFT(C372,4)),VALUE(MID(C372,6,2)),VALUE(RIGHT(C372,2))),
        DATE(VALUE(RIGHT(C372,4)),VALUE(MID(C372,4,2)),VALUE(LEFT(C372,2)))
      ),
      IF(ISNUMBER(SEARCH("/",C372)*1),
        DATE(VALUE(RIGHT(C372,4)),VALUE(LEFT(C372,2)),VALUE(MID(C372,4,2))),
        DATEVALUE(C372)
      )
    )
  ),
"INVALID_DATE")</f>
        <v>45525</v>
      </c>
      <c r="AB372">
        <f>AA372-Z372</f>
        <v>6</v>
      </c>
      <c r="AC372" t="str">
        <f>TEXT(Z372,"mmmm")</f>
        <v>August</v>
      </c>
      <c r="AD372">
        <f>YEAR(Z372)</f>
        <v>2024</v>
      </c>
      <c r="AE372" t="str">
        <f t="shared" si="17"/>
        <v>OK</v>
      </c>
    </row>
    <row r="373" spans="1:31">
      <c r="A373" t="s">
        <v>1862</v>
      </c>
      <c r="B373" t="s">
        <v>1066</v>
      </c>
      <c r="C373" t="s">
        <v>1863</v>
      </c>
      <c r="D373" t="s">
        <v>1864</v>
      </c>
      <c r="E373" t="s">
        <v>217</v>
      </c>
      <c r="F373" t="s">
        <v>122</v>
      </c>
      <c r="G373" t="s">
        <v>80</v>
      </c>
      <c r="H373" t="s">
        <v>81</v>
      </c>
      <c r="I373" t="s">
        <v>82</v>
      </c>
      <c r="J373" t="s">
        <v>37</v>
      </c>
      <c r="K373" t="s">
        <v>61</v>
      </c>
      <c r="L373" t="s">
        <v>1865</v>
      </c>
      <c r="M373" t="s">
        <v>74</v>
      </c>
      <c r="N373">
        <v>6</v>
      </c>
      <c r="O373">
        <v>1026.06</v>
      </c>
      <c r="P373">
        <v>0</v>
      </c>
      <c r="Q373">
        <v>4617.2700000000004</v>
      </c>
      <c r="R373">
        <v>2981.94</v>
      </c>
      <c r="S373">
        <v>1635.33</v>
      </c>
      <c r="T373" t="s">
        <v>131</v>
      </c>
      <c r="U373" t="s">
        <v>85</v>
      </c>
      <c r="V373">
        <f>O373*(1-P373)*N373</f>
        <v>6156.36</v>
      </c>
      <c r="W373">
        <f t="shared" si="15"/>
        <v>3174.4199999999996</v>
      </c>
      <c r="X373">
        <f t="shared" si="16"/>
        <v>0.35417681876953261</v>
      </c>
      <c r="Y373" t="str">
        <f>_xlfn.TEXTJOIN(", ",TRUE,IF(G373="Unknown","Missing Region",""),IF(M373="Unknown","Missing Ship Mode",""),IF(P373&lt;0,"Negative Discount",""),IF(P373&gt;0.7,"High Discount",""),IF(C373&lt;B373,"Ship Before Order",""))</f>
        <v>Ship Before Order</v>
      </c>
      <c r="Z373" s="2">
        <f>IFERROR(
  IF(ISNUMBER(B373),B373,
    IF(ISNUMBER(SEARCH("-",B373)*1),
      IF(LEN(LEFT(B373,FIND("-",B373)-1))=4,
        DATE(VALUE(LEFT(B373,4)),VALUE(MID(B373,6,2)),VALUE(RIGHT(B373,2))),
        DATE(VALUE(RIGHT(B373,4)),VALUE(MID(B373,4,2)),VALUE(LEFT(B373,2)))
      ),
      IF(ISNUMBER(SEARCH("/",B373)*1),
        DATE(VALUE(RIGHT(B373,4)),VALUE(LEFT(B373,2)),VALUE(MID(B373,4,2))),
        DATEVALUE(B373)
      )
    )
  ),
"INVALID_DATE")</f>
        <v>45313</v>
      </c>
      <c r="AA373" s="2">
        <f>IFERROR(
  IF(ISNUMBER(C373),C373,
    IF(ISNUMBER(SEARCH("-",C373)*1),
      IF(LEN(LEFT(C373,FIND("-",C373)-1))=4,
        DATE(VALUE(LEFT(C373,4)),VALUE(MID(C373,6,2)),VALUE(RIGHT(C373,2))),
        DATE(VALUE(RIGHT(C373,4)),VALUE(MID(C373,4,2)),VALUE(LEFT(C373,2)))
      ),
      IF(ISNUMBER(SEARCH("/",C373)*1),
        DATE(VALUE(RIGHT(C373,4)),VALUE(LEFT(C373,2)),VALUE(MID(C373,4,2))),
        DATEVALUE(C373)
      )
    )
  ),
"INVALID_DATE")</f>
        <v>45315</v>
      </c>
      <c r="AB373">
        <f>AA373-Z373</f>
        <v>2</v>
      </c>
      <c r="AC373" t="str">
        <f>TEXT(Z373,"mmmm")</f>
        <v>January</v>
      </c>
      <c r="AD373">
        <f>YEAR(Z373)</f>
        <v>2024</v>
      </c>
      <c r="AE373" t="str">
        <f t="shared" si="17"/>
        <v>OK</v>
      </c>
    </row>
    <row r="374" spans="1:31">
      <c r="A374" t="s">
        <v>1866</v>
      </c>
      <c r="B374" t="s">
        <v>1867</v>
      </c>
      <c r="C374" t="s">
        <v>929</v>
      </c>
      <c r="D374" t="s">
        <v>978</v>
      </c>
      <c r="E374" t="s">
        <v>374</v>
      </c>
      <c r="F374" t="s">
        <v>33</v>
      </c>
      <c r="G374" t="s">
        <v>49</v>
      </c>
      <c r="H374" t="s">
        <v>319</v>
      </c>
      <c r="I374" t="s">
        <v>320</v>
      </c>
      <c r="J374" t="s">
        <v>52</v>
      </c>
      <c r="K374" t="s">
        <v>83</v>
      </c>
      <c r="L374" t="s">
        <v>1868</v>
      </c>
      <c r="M374" t="s">
        <v>55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41</v>
      </c>
      <c r="U374" t="s">
        <v>42</v>
      </c>
      <c r="V374">
        <f>O374*(1-P374)*N374</f>
        <v>7651.7999999999993</v>
      </c>
      <c r="W374">
        <f t="shared" si="15"/>
        <v>2480.0199999999995</v>
      </c>
      <c r="X374">
        <f t="shared" si="16"/>
        <v>0.32410935988917638</v>
      </c>
      <c r="Y374" t="s">
        <v>4120</v>
      </c>
      <c r="Z374" s="2">
        <f>IFERROR(
  IF(ISNUMBER(B374),B374,
    IF(ISNUMBER(SEARCH("-",B374)*1),
      IF(LEN(LEFT(B374,FIND("-",B374)-1))=4,
        DATE(VALUE(LEFT(B374,4)),VALUE(MID(B374,6,2)),VALUE(RIGHT(B374,2))),
        DATE(VALUE(RIGHT(B374,4)),VALUE(MID(B374,4,2)),VALUE(LEFT(B374,2)))
      ),
      IF(ISNUMBER(SEARCH("/",B374)*1),
        DATE(VALUE(RIGHT(B374,4)),VALUE(LEFT(B374,2)),VALUE(MID(B374,4,2))),
        DATEVALUE(B374)
      )
    )
  ),
"INVALID_DATE")</f>
        <v>45885</v>
      </c>
      <c r="AA374" s="2">
        <f>IFERROR(
  IF(ISNUMBER(C374),C374,
    IF(ISNUMBER(SEARCH("-",C374)*1),
      IF(LEN(LEFT(C374,FIND("-",C374)-1))=4,
        DATE(VALUE(LEFT(C374,4)),VALUE(MID(C374,6,2)),VALUE(RIGHT(C374,2))),
        DATE(VALUE(RIGHT(C374,4)),VALUE(MID(C374,4,2)),VALUE(LEFT(C374,2)))
      ),
      IF(ISNUMBER(SEARCH("/",C374)*1),
        DATE(VALUE(RIGHT(C374,4)),VALUE(LEFT(C374,2)),VALUE(MID(C374,4,2))),
        DATEVALUE(C374)
      )
    )
  ),
"INVALID_DATE")</f>
        <v>45887</v>
      </c>
      <c r="AB374">
        <f>AA374-Z374</f>
        <v>2</v>
      </c>
      <c r="AC374" t="str">
        <f>TEXT(Z374,"mmmm")</f>
        <v>August</v>
      </c>
      <c r="AD374">
        <f>YEAR(Z374)</f>
        <v>2025</v>
      </c>
      <c r="AE374" t="str">
        <f t="shared" si="17"/>
        <v>OK</v>
      </c>
    </row>
    <row r="375" spans="1:31">
      <c r="A375" t="s">
        <v>1869</v>
      </c>
      <c r="B375" t="s">
        <v>1870</v>
      </c>
      <c r="C375" t="s">
        <v>1870</v>
      </c>
      <c r="D375" t="s">
        <v>1871</v>
      </c>
      <c r="E375" t="s">
        <v>175</v>
      </c>
      <c r="F375" t="s">
        <v>48</v>
      </c>
      <c r="G375" t="s">
        <v>34</v>
      </c>
      <c r="H375" t="s">
        <v>181</v>
      </c>
      <c r="I375" t="s">
        <v>182</v>
      </c>
      <c r="J375" t="s">
        <v>37</v>
      </c>
      <c r="K375" t="s">
        <v>163</v>
      </c>
      <c r="L375" t="s">
        <v>1872</v>
      </c>
      <c r="M375" t="s">
        <v>40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41</v>
      </c>
      <c r="U375" t="s">
        <v>42</v>
      </c>
      <c r="V375">
        <f>O375*(1-P375)*N375</f>
        <v>10068.120000000001</v>
      </c>
      <c r="W375">
        <f t="shared" si="15"/>
        <v>1472.75</v>
      </c>
      <c r="X375">
        <f t="shared" si="16"/>
        <v>0.14627855051389932</v>
      </c>
      <c r="Y375" t="s">
        <v>4120</v>
      </c>
      <c r="Z375" s="2">
        <f>IFERROR(
  IF(ISNUMBER(B375),B375,
    IF(ISNUMBER(SEARCH("-",B375)*1),
      IF(LEN(LEFT(B375,FIND("-",B375)-1))=4,
        DATE(VALUE(LEFT(B375,4)),VALUE(MID(B375,6,2)),VALUE(RIGHT(B375,2))),
        DATE(VALUE(RIGHT(B375,4)),VALUE(MID(B375,4,2)),VALUE(LEFT(B375,2)))
      ),
      IF(ISNUMBER(SEARCH("/",B375)*1),
        DATE(VALUE(RIGHT(B375,4)),VALUE(LEFT(B375,2)),VALUE(MID(B375,4,2))),
        DATEVALUE(B375)
      )
    )
  ),
"INVALID_DATE")</f>
        <v>45760</v>
      </c>
      <c r="AA375" s="2">
        <f>IFERROR(
  IF(ISNUMBER(C375),C375,
    IF(ISNUMBER(SEARCH("-",C375)*1),
      IF(LEN(LEFT(C375,FIND("-",C375)-1))=4,
        DATE(VALUE(LEFT(C375,4)),VALUE(MID(C375,6,2)),VALUE(RIGHT(C375,2))),
        DATE(VALUE(RIGHT(C375,4)),VALUE(MID(C375,4,2)),VALUE(LEFT(C375,2)))
      ),
      IF(ISNUMBER(SEARCH("/",C375)*1),
        DATE(VALUE(RIGHT(C375,4)),VALUE(LEFT(C375,2)),VALUE(MID(C375,4,2))),
        DATEVALUE(C375)
      )
    )
  ),
"INVALID_DATE")</f>
        <v>45760</v>
      </c>
      <c r="AB375">
        <f>AA375-Z375</f>
        <v>0</v>
      </c>
      <c r="AC375" t="str">
        <f>TEXT(Z375,"mmmm")</f>
        <v>April</v>
      </c>
      <c r="AD375">
        <f>YEAR(Z375)</f>
        <v>2025</v>
      </c>
      <c r="AE375" t="str">
        <f t="shared" si="17"/>
        <v>OK</v>
      </c>
    </row>
    <row r="376" spans="1:31">
      <c r="A376" t="s">
        <v>1873</v>
      </c>
      <c r="B376" t="s">
        <v>1874</v>
      </c>
      <c r="C376" t="s">
        <v>1875</v>
      </c>
      <c r="D376" t="s">
        <v>1876</v>
      </c>
      <c r="E376" t="s">
        <v>114</v>
      </c>
      <c r="F376" t="s">
        <v>48</v>
      </c>
      <c r="G376" t="s">
        <v>34</v>
      </c>
      <c r="H376" t="s">
        <v>181</v>
      </c>
      <c r="I376" t="s">
        <v>182</v>
      </c>
      <c r="J376" t="s">
        <v>37</v>
      </c>
      <c r="K376" t="s">
        <v>116</v>
      </c>
      <c r="L376" t="s">
        <v>1877</v>
      </c>
      <c r="M376" t="s">
        <v>74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41</v>
      </c>
      <c r="U376" t="s">
        <v>42</v>
      </c>
      <c r="V376">
        <f>O376*(1-P376)*N376</f>
        <v>14359.5</v>
      </c>
      <c r="W376">
        <f t="shared" si="15"/>
        <v>6241.79</v>
      </c>
      <c r="X376">
        <f t="shared" si="16"/>
        <v>0.43468017688638183</v>
      </c>
      <c r="Y376" t="s">
        <v>4120</v>
      </c>
      <c r="Z376" s="2">
        <f>IFERROR(
  IF(ISNUMBER(B376),B376,
    IF(ISNUMBER(SEARCH("-",B376)*1),
      IF(LEN(LEFT(B376,FIND("-",B376)-1))=4,
        DATE(VALUE(LEFT(B376,4)),VALUE(MID(B376,6,2)),VALUE(RIGHT(B376,2))),
        DATE(VALUE(RIGHT(B376,4)),VALUE(MID(B376,4,2)),VALUE(LEFT(B376,2)))
      ),
      IF(ISNUMBER(SEARCH("/",B376)*1),
        DATE(VALUE(RIGHT(B376,4)),VALUE(LEFT(B376,2)),VALUE(MID(B376,4,2))),
        DATEVALUE(B376)
      )
    )
  ),
"INVALID_DATE")</f>
        <v>45715</v>
      </c>
      <c r="AA376" s="2">
        <f>IFERROR(
  IF(ISNUMBER(C376),C376,
    IF(ISNUMBER(SEARCH("-",C376)*1),
      IF(LEN(LEFT(C376,FIND("-",C376)-1))=4,
        DATE(VALUE(LEFT(C376,4)),VALUE(MID(C376,6,2)),VALUE(RIGHT(C376,2))),
        DATE(VALUE(RIGHT(C376,4)),VALUE(MID(C376,4,2)),VALUE(LEFT(C376,2)))
      ),
      IF(ISNUMBER(SEARCH("/",C376)*1),
        DATE(VALUE(RIGHT(C376,4)),VALUE(LEFT(C376,2)),VALUE(MID(C376,4,2))),
        DATEVALUE(C376)
      )
    )
  ),
"INVALID_DATE")</f>
        <v>45716</v>
      </c>
      <c r="AB376">
        <f>AA376-Z376</f>
        <v>1</v>
      </c>
      <c r="AC376" t="str">
        <f>TEXT(Z376,"mmmm")</f>
        <v>February</v>
      </c>
      <c r="AD376">
        <f>YEAR(Z376)</f>
        <v>2025</v>
      </c>
      <c r="AE376" t="str">
        <f t="shared" si="17"/>
        <v>OK</v>
      </c>
    </row>
    <row r="377" spans="1:31">
      <c r="A377" t="s">
        <v>1878</v>
      </c>
      <c r="B377" t="s">
        <v>1879</v>
      </c>
      <c r="C377" t="s">
        <v>1880</v>
      </c>
      <c r="D377" t="s">
        <v>1881</v>
      </c>
      <c r="E377" t="s">
        <v>90</v>
      </c>
      <c r="F377" t="s">
        <v>33</v>
      </c>
      <c r="G377" t="s">
        <v>34</v>
      </c>
      <c r="H377" t="s">
        <v>514</v>
      </c>
      <c r="I377" t="s">
        <v>515</v>
      </c>
      <c r="J377" t="s">
        <v>52</v>
      </c>
      <c r="K377" t="s">
        <v>83</v>
      </c>
      <c r="L377" t="s">
        <v>1882</v>
      </c>
      <c r="M377" t="s">
        <v>55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41</v>
      </c>
      <c r="U377" t="s">
        <v>42</v>
      </c>
      <c r="V377">
        <f>O377*(1-P377)*N377</f>
        <v>2624.8724999999999</v>
      </c>
      <c r="W377">
        <f t="shared" si="15"/>
        <v>370.99249999999984</v>
      </c>
      <c r="X377">
        <f t="shared" si="16"/>
        <v>0.14133652333258409</v>
      </c>
      <c r="Y377" t="str">
        <f>_xlfn.TEXTJOIN(", ",TRUE,IF(G377="Unknown","Missing Region",""),IF(M377="Unknown","Missing Ship Mode",""),IF(P377&lt;0,"Negative Discount",""),IF(P377&gt;0.7,"High Discount",""),IF(C377&lt;B377,"Ship Before Order",""))</f>
        <v>Ship Before Order</v>
      </c>
      <c r="Z377" s="2">
        <f>IFERROR(
  IF(ISNUMBER(B377),B377,
    IF(ISNUMBER(SEARCH("-",B377)*1),
      IF(LEN(LEFT(B377,FIND("-",B377)-1))=4,
        DATE(VALUE(LEFT(B377,4)),VALUE(MID(B377,6,2)),VALUE(RIGHT(B377,2))),
        DATE(VALUE(RIGHT(B377,4)),VALUE(MID(B377,4,2)),VALUE(LEFT(B377,2)))
      ),
      IF(ISNUMBER(SEARCH("/",B377)*1),
        DATE(VALUE(RIGHT(B377,4)),VALUE(LEFT(B377,2)),VALUE(MID(B377,4,2))),
        DATEVALUE(B377)
      )
    )
  ),
"INVALID_DATE")</f>
        <v>45657</v>
      </c>
      <c r="AA377" s="2">
        <f>IFERROR(
  IF(ISNUMBER(C377),C377,
    IF(ISNUMBER(SEARCH("-",C377)*1),
      IF(LEN(LEFT(C377,FIND("-",C377)-1))=4,
        DATE(VALUE(LEFT(C377,4)),VALUE(MID(C377,6,2)),VALUE(RIGHT(C377,2))),
        DATE(VALUE(RIGHT(C377,4)),VALUE(MID(C377,4,2)),VALUE(LEFT(C377,2)))
      ),
      IF(ISNUMBER(SEARCH("/",C377)*1),
        DATE(VALUE(RIGHT(C377,4)),VALUE(LEFT(C377,2)),VALUE(MID(C377,4,2))),
        DATEVALUE(C377)
      )
    )
  ),
"INVALID_DATE")</f>
        <v>45661</v>
      </c>
      <c r="AB377">
        <f>AA377-Z377</f>
        <v>4</v>
      </c>
      <c r="AC377" t="str">
        <f>TEXT(Z377,"mmmm")</f>
        <v>December</v>
      </c>
      <c r="AD377">
        <f>YEAR(Z377)</f>
        <v>2024</v>
      </c>
      <c r="AE377" t="str">
        <f t="shared" si="17"/>
        <v>OK</v>
      </c>
    </row>
    <row r="378" spans="1:31">
      <c r="A378" t="s">
        <v>1883</v>
      </c>
      <c r="B378" t="s">
        <v>1884</v>
      </c>
      <c r="C378" t="s">
        <v>1787</v>
      </c>
      <c r="D378" t="s">
        <v>1885</v>
      </c>
      <c r="E378" t="s">
        <v>60</v>
      </c>
      <c r="F378" t="s">
        <v>48</v>
      </c>
      <c r="G378" t="s">
        <v>49</v>
      </c>
      <c r="H378" t="s">
        <v>193</v>
      </c>
      <c r="I378" t="s">
        <v>194</v>
      </c>
      <c r="J378" t="s">
        <v>52</v>
      </c>
      <c r="K378" t="s">
        <v>83</v>
      </c>
      <c r="L378" t="s">
        <v>1886</v>
      </c>
      <c r="M378" t="s">
        <v>63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41</v>
      </c>
      <c r="U378" t="s">
        <v>42</v>
      </c>
      <c r="V378">
        <f>O378*(1-P378)*N378</f>
        <v>8854.9439999999995</v>
      </c>
      <c r="W378">
        <f t="shared" si="15"/>
        <v>1420.9939999999997</v>
      </c>
      <c r="X378">
        <f t="shared" si="16"/>
        <v>0.16047426634172562</v>
      </c>
      <c r="Y378" t="str">
        <f>_xlfn.TEXTJOIN(", ",TRUE,IF(G378="Unknown","Missing Region",""),IF(M378="Unknown","Missing Ship Mode",""),IF(P378&lt;0,"Negative Discount",""),IF(P378&gt;0.7,"High Discount",""),IF(C378&lt;B378,"Ship Before Order",""))</f>
        <v>Ship Before Order</v>
      </c>
      <c r="Z378" s="2">
        <f>IFERROR(
  IF(ISNUMBER(B378),B378,
    IF(ISNUMBER(SEARCH("-",B378)*1),
      IF(LEN(LEFT(B378,FIND("-",B378)-1))=4,
        DATE(VALUE(LEFT(B378,4)),VALUE(MID(B378,6,2)),VALUE(RIGHT(B378,2))),
        DATE(VALUE(RIGHT(B378,4)),VALUE(MID(B378,4,2)),VALUE(LEFT(B378,2)))
      ),
      IF(ISNUMBER(SEARCH("/",B378)*1),
        DATE(VALUE(RIGHT(B378,4)),VALUE(LEFT(B378,2)),VALUE(MID(B378,4,2))),
        DATEVALUE(B378)
      )
    )
  ),
"INVALID_DATE")</f>
        <v>45655</v>
      </c>
      <c r="AA378" s="2">
        <f>IFERROR(
  IF(ISNUMBER(C378),C378,
    IF(ISNUMBER(SEARCH("-",C378)*1),
      IF(LEN(LEFT(C378,FIND("-",C378)-1))=4,
        DATE(VALUE(LEFT(C378,4)),VALUE(MID(C378,6,2)),VALUE(RIGHT(C378,2))),
        DATE(VALUE(RIGHT(C378,4)),VALUE(MID(C378,4,2)),VALUE(LEFT(C378,2)))
      ),
      IF(ISNUMBER(SEARCH("/",C378)*1),
        DATE(VALUE(RIGHT(C378,4)),VALUE(LEFT(C378,2)),VALUE(MID(C378,4,2))),
        DATEVALUE(C378)
      )
    )
  ),
"INVALID_DATE")</f>
        <v>45657</v>
      </c>
      <c r="AB378">
        <f>AA378-Z378</f>
        <v>2</v>
      </c>
      <c r="AC378" t="str">
        <f>TEXT(Z378,"mmmm")</f>
        <v>December</v>
      </c>
      <c r="AD378">
        <f>YEAR(Z378)</f>
        <v>2024</v>
      </c>
      <c r="AE378" t="str">
        <f t="shared" si="17"/>
        <v>OK</v>
      </c>
    </row>
    <row r="379" spans="1:31">
      <c r="A379" t="s">
        <v>1887</v>
      </c>
      <c r="B379" t="s">
        <v>1529</v>
      </c>
      <c r="C379" t="s">
        <v>1888</v>
      </c>
      <c r="D379" t="s">
        <v>1889</v>
      </c>
      <c r="E379" t="s">
        <v>374</v>
      </c>
      <c r="F379" t="s">
        <v>48</v>
      </c>
      <c r="G379" t="s">
        <v>49</v>
      </c>
      <c r="H379" t="s">
        <v>50</v>
      </c>
      <c r="I379" t="s">
        <v>51</v>
      </c>
      <c r="J379" t="s">
        <v>37</v>
      </c>
      <c r="K379" t="s">
        <v>1890</v>
      </c>
      <c r="L379" t="s">
        <v>1891</v>
      </c>
      <c r="M379" t="s">
        <v>55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41</v>
      </c>
      <c r="U379" t="s">
        <v>42</v>
      </c>
      <c r="V379">
        <f>O379*(1-P379)*N379</f>
        <v>2564.7399999999998</v>
      </c>
      <c r="W379">
        <f t="shared" si="15"/>
        <v>810.15999999999985</v>
      </c>
      <c r="X379">
        <f t="shared" si="16"/>
        <v>0.31588387126960238</v>
      </c>
      <c r="Y379" t="s">
        <v>4120</v>
      </c>
      <c r="Z379" s="2">
        <f>IFERROR(
  IF(ISNUMBER(B379),B379,
    IF(ISNUMBER(SEARCH("-",B379)*1),
      IF(LEN(LEFT(B379,FIND("-",B379)-1))=4,
        DATE(VALUE(LEFT(B379,4)),VALUE(MID(B379,6,2)),VALUE(RIGHT(B379,2))),
        DATE(VALUE(RIGHT(B379,4)),VALUE(MID(B379,4,2)),VALUE(LEFT(B379,2)))
      ),
      IF(ISNUMBER(SEARCH("/",B379)*1),
        DATE(VALUE(RIGHT(B379,4)),VALUE(LEFT(B379,2)),VALUE(MID(B379,4,2))),
        DATEVALUE(B379)
      )
    )
  ),
"INVALID_DATE")</f>
        <v>45801</v>
      </c>
      <c r="AA379" s="2">
        <f>IFERROR(
  IF(ISNUMBER(C379),C379,
    IF(ISNUMBER(SEARCH("-",C379)*1),
      IF(LEN(LEFT(C379,FIND("-",C379)-1))=4,
        DATE(VALUE(LEFT(C379,4)),VALUE(MID(C379,6,2)),VALUE(RIGHT(C379,2))),
        DATE(VALUE(RIGHT(C379,4)),VALUE(MID(C379,4,2)),VALUE(LEFT(C379,2)))
      ),
      IF(ISNUMBER(SEARCH("/",C379)*1),
        DATE(VALUE(RIGHT(C379,4)),VALUE(LEFT(C379,2)),VALUE(MID(C379,4,2))),
        DATEVALUE(C379)
      )
    )
  ),
"INVALID_DATE")</f>
        <v>45807</v>
      </c>
      <c r="AB379">
        <f>AA379-Z379</f>
        <v>6</v>
      </c>
      <c r="AC379" t="str">
        <f>TEXT(Z379,"mmmm")</f>
        <v>May</v>
      </c>
      <c r="AD379">
        <f>YEAR(Z379)</f>
        <v>2025</v>
      </c>
      <c r="AE379" t="str">
        <f t="shared" si="17"/>
        <v>OK</v>
      </c>
    </row>
    <row r="380" spans="1:31">
      <c r="A380" t="s">
        <v>1892</v>
      </c>
      <c r="B380" t="s">
        <v>1893</v>
      </c>
      <c r="C380" t="s">
        <v>1893</v>
      </c>
      <c r="D380" t="s">
        <v>1894</v>
      </c>
      <c r="E380" t="s">
        <v>47</v>
      </c>
      <c r="F380" t="s">
        <v>33</v>
      </c>
      <c r="G380" t="s">
        <v>80</v>
      </c>
      <c r="H380" t="s">
        <v>256</v>
      </c>
      <c r="I380" t="s">
        <v>257</v>
      </c>
      <c r="J380" t="s">
        <v>93</v>
      </c>
      <c r="K380" t="s">
        <v>94</v>
      </c>
      <c r="L380" t="s">
        <v>1895</v>
      </c>
      <c r="M380" t="s">
        <v>74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41</v>
      </c>
      <c r="U380" t="s">
        <v>42</v>
      </c>
      <c r="V380">
        <f>O380*(1-P380)*N380</f>
        <v>7821.22</v>
      </c>
      <c r="W380">
        <f t="shared" si="15"/>
        <v>2826.76</v>
      </c>
      <c r="X380">
        <f t="shared" si="16"/>
        <v>0.36142187535959863</v>
      </c>
      <c r="Y380" t="s">
        <v>4120</v>
      </c>
      <c r="Z380" s="2">
        <f>IFERROR(
  IF(ISNUMBER(B380),B380,
    IF(ISNUMBER(SEARCH("-",B380)*1),
      IF(LEN(LEFT(B380,FIND("-",B380)-1))=4,
        DATE(VALUE(LEFT(B380,4)),VALUE(MID(B380,6,2)),VALUE(RIGHT(B380,2))),
        DATE(VALUE(RIGHT(B380,4)),VALUE(MID(B380,4,2)),VALUE(LEFT(B380,2)))
      ),
      IF(ISNUMBER(SEARCH("/",B380)*1),
        DATE(VALUE(RIGHT(B380,4)),VALUE(LEFT(B380,2)),VALUE(MID(B380,4,2))),
        DATEVALUE(B380)
      )
    )
  ),
"INVALID_DATE")</f>
        <v>45799</v>
      </c>
      <c r="AA380" s="2">
        <f>IFERROR(
  IF(ISNUMBER(C380),C380,
    IF(ISNUMBER(SEARCH("-",C380)*1),
      IF(LEN(LEFT(C380,FIND("-",C380)-1))=4,
        DATE(VALUE(LEFT(C380,4)),VALUE(MID(C380,6,2)),VALUE(RIGHT(C380,2))),
        DATE(VALUE(RIGHT(C380,4)),VALUE(MID(C380,4,2)),VALUE(LEFT(C380,2)))
      ),
      IF(ISNUMBER(SEARCH("/",C380)*1),
        DATE(VALUE(RIGHT(C380,4)),VALUE(LEFT(C380,2)),VALUE(MID(C380,4,2))),
        DATEVALUE(C380)
      )
    )
  ),
"INVALID_DATE")</f>
        <v>45799</v>
      </c>
      <c r="AB380">
        <f>AA380-Z380</f>
        <v>0</v>
      </c>
      <c r="AC380" t="str">
        <f>TEXT(Z380,"mmmm")</f>
        <v>May</v>
      </c>
      <c r="AD380">
        <f>YEAR(Z380)</f>
        <v>2025</v>
      </c>
      <c r="AE380" t="str">
        <f t="shared" si="17"/>
        <v>OK</v>
      </c>
    </row>
    <row r="381" spans="1:31">
      <c r="A381" t="s">
        <v>1896</v>
      </c>
      <c r="B381" t="s">
        <v>1897</v>
      </c>
      <c r="C381" t="s">
        <v>1898</v>
      </c>
      <c r="D381" t="s">
        <v>1899</v>
      </c>
      <c r="E381" t="s">
        <v>47</v>
      </c>
      <c r="F381" t="s">
        <v>48</v>
      </c>
      <c r="G381" t="s">
        <v>69</v>
      </c>
      <c r="H381" t="s">
        <v>249</v>
      </c>
      <c r="I381" t="s">
        <v>250</v>
      </c>
      <c r="J381" t="s">
        <v>37</v>
      </c>
      <c r="K381" t="s">
        <v>38</v>
      </c>
      <c r="L381" t="s">
        <v>1900</v>
      </c>
      <c r="M381" t="s">
        <v>74</v>
      </c>
      <c r="N381">
        <v>7</v>
      </c>
      <c r="O381">
        <v>1136.68</v>
      </c>
      <c r="P381">
        <v>0</v>
      </c>
      <c r="Q381">
        <v>7956.76</v>
      </c>
      <c r="R381">
        <v>4799.54</v>
      </c>
      <c r="S381">
        <v>3157.22</v>
      </c>
      <c r="T381" t="s">
        <v>41</v>
      </c>
      <c r="U381" t="s">
        <v>42</v>
      </c>
      <c r="V381">
        <f>O381*(1-P381)*N381</f>
        <v>7956.76</v>
      </c>
      <c r="W381">
        <f t="shared" si="15"/>
        <v>3157.2200000000003</v>
      </c>
      <c r="X381">
        <f t="shared" si="16"/>
        <v>0.39679718880549364</v>
      </c>
      <c r="Y381" t="s">
        <v>4120</v>
      </c>
      <c r="Z381" s="2">
        <f>IFERROR(
  IF(ISNUMBER(B381),B381,
    IF(ISNUMBER(SEARCH("-",B381)*1),
      IF(LEN(LEFT(B381,FIND("-",B381)-1))=4,
        DATE(VALUE(LEFT(B381,4)),VALUE(MID(B381,6,2)),VALUE(RIGHT(B381,2))),
        DATE(VALUE(RIGHT(B381,4)),VALUE(MID(B381,4,2)),VALUE(LEFT(B381,2)))
      ),
      IF(ISNUMBER(SEARCH("/",B381)*1),
        DATE(VALUE(RIGHT(B381,4)),VALUE(LEFT(B381,2)),VALUE(MID(B381,4,2))),
        DATEVALUE(B381)
      )
    )
  ),
"INVALID_DATE")</f>
        <v>45554</v>
      </c>
      <c r="AA381" s="2">
        <f>IFERROR(
  IF(ISNUMBER(C381),C381,
    IF(ISNUMBER(SEARCH("-",C381)*1),
      IF(LEN(LEFT(C381,FIND("-",C381)-1))=4,
        DATE(VALUE(LEFT(C381,4)),VALUE(MID(C381,6,2)),VALUE(RIGHT(C381,2))),
        DATE(VALUE(RIGHT(C381,4)),VALUE(MID(C381,4,2)),VALUE(LEFT(C381,2)))
      ),
      IF(ISNUMBER(SEARCH("/",C381)*1),
        DATE(VALUE(RIGHT(C381,4)),VALUE(LEFT(C381,2)),VALUE(MID(C381,4,2))),
        DATEVALUE(C381)
      )
    )
  ),
"INVALID_DATE")</f>
        <v>45558</v>
      </c>
      <c r="AB381">
        <f>AA381-Z381</f>
        <v>4</v>
      </c>
      <c r="AC381" t="str">
        <f>TEXT(Z381,"mmmm")</f>
        <v>September</v>
      </c>
      <c r="AD381">
        <f>YEAR(Z381)</f>
        <v>2024</v>
      </c>
      <c r="AE381" t="str">
        <f t="shared" si="17"/>
        <v>OK</v>
      </c>
    </row>
    <row r="382" spans="1:31">
      <c r="A382" t="s">
        <v>1901</v>
      </c>
      <c r="B382" t="s">
        <v>1902</v>
      </c>
      <c r="C382" t="s">
        <v>1428</v>
      </c>
      <c r="D382" t="s">
        <v>1903</v>
      </c>
      <c r="E382" t="s">
        <v>90</v>
      </c>
      <c r="F382" t="s">
        <v>33</v>
      </c>
      <c r="G382" t="s">
        <v>80</v>
      </c>
      <c r="H382" t="s">
        <v>81</v>
      </c>
      <c r="I382" t="s">
        <v>82</v>
      </c>
      <c r="J382" t="s">
        <v>52</v>
      </c>
      <c r="K382" t="s">
        <v>211</v>
      </c>
      <c r="L382" t="s">
        <v>1904</v>
      </c>
      <c r="M382" t="s">
        <v>55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41</v>
      </c>
      <c r="U382" t="s">
        <v>132</v>
      </c>
      <c r="V382">
        <f>O382*(1-P382)*N382</f>
        <v>8384.4375</v>
      </c>
      <c r="W382">
        <f t="shared" si="15"/>
        <v>3618.4775</v>
      </c>
      <c r="X382">
        <f t="shared" si="16"/>
        <v>0.43157086221620045</v>
      </c>
      <c r="Y382" t="s">
        <v>4120</v>
      </c>
      <c r="Z382" s="2">
        <f>IFERROR(
  IF(ISNUMBER(B382),B382,
    IF(ISNUMBER(SEARCH("-",B382)*1),
      IF(LEN(LEFT(B382,FIND("-",B382)-1))=4,
        DATE(VALUE(LEFT(B382,4)),VALUE(MID(B382,6,2)),VALUE(RIGHT(B382,2))),
        DATE(VALUE(RIGHT(B382,4)),VALUE(MID(B382,4,2)),VALUE(LEFT(B382,2)))
      ),
      IF(ISNUMBER(SEARCH("/",B382)*1),
        DATE(VALUE(RIGHT(B382,4)),VALUE(LEFT(B382,2)),VALUE(MID(B382,4,2))),
        DATEVALUE(B382)
      )
    )
  ),
"INVALID_DATE")</f>
        <v>45389</v>
      </c>
      <c r="AA382" s="2">
        <f>IFERROR(
  IF(ISNUMBER(C382),C382,
    IF(ISNUMBER(SEARCH("-",C382)*1),
      IF(LEN(LEFT(C382,FIND("-",C382)-1))=4,
        DATE(VALUE(LEFT(C382,4)),VALUE(MID(C382,6,2)),VALUE(RIGHT(C382,2))),
        DATE(VALUE(RIGHT(C382,4)),VALUE(MID(C382,4,2)),VALUE(LEFT(C382,2)))
      ),
      IF(ISNUMBER(SEARCH("/",C382)*1),
        DATE(VALUE(RIGHT(C382,4)),VALUE(LEFT(C382,2)),VALUE(MID(C382,4,2))),
        DATEVALUE(C382)
      )
    )
  ),
"INVALID_DATE")</f>
        <v>45396</v>
      </c>
      <c r="AB382">
        <f>AA382-Z382</f>
        <v>7</v>
      </c>
      <c r="AC382" t="str">
        <f>TEXT(Z382,"mmmm")</f>
        <v>April</v>
      </c>
      <c r="AD382">
        <f>YEAR(Z382)</f>
        <v>2024</v>
      </c>
      <c r="AE382" t="str">
        <f t="shared" si="17"/>
        <v>OK</v>
      </c>
    </row>
    <row r="383" spans="1:31">
      <c r="A383" t="s">
        <v>1905</v>
      </c>
      <c r="B383" t="s">
        <v>1906</v>
      </c>
      <c r="C383" t="s">
        <v>1907</v>
      </c>
      <c r="D383" t="s">
        <v>1908</v>
      </c>
      <c r="E383" t="s">
        <v>68</v>
      </c>
      <c r="F383" t="s">
        <v>1909</v>
      </c>
      <c r="G383" t="s">
        <v>34</v>
      </c>
      <c r="H383" t="s">
        <v>514</v>
      </c>
      <c r="I383" t="s">
        <v>515</v>
      </c>
      <c r="J383" t="s">
        <v>37</v>
      </c>
      <c r="K383" t="s">
        <v>205</v>
      </c>
      <c r="L383" t="s">
        <v>1910</v>
      </c>
      <c r="M383" t="s">
        <v>74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207</v>
      </c>
      <c r="U383" t="s">
        <v>85</v>
      </c>
      <c r="V383">
        <f>O383*(1-P383)*N383</f>
        <v>16671.169999999998</v>
      </c>
      <c r="W383">
        <f t="shared" si="15"/>
        <v>5837.9799999999977</v>
      </c>
      <c r="X383">
        <f t="shared" si="16"/>
        <v>0.35018418023450065</v>
      </c>
      <c r="Y383" t="s">
        <v>4120</v>
      </c>
      <c r="Z383" s="2">
        <f>IFERROR(
  IF(ISNUMBER(B383),B383,
    IF(ISNUMBER(SEARCH("-",B383)*1),
      IF(LEN(LEFT(B383,FIND("-",B383)-1))=4,
        DATE(VALUE(LEFT(B383,4)),VALUE(MID(B383,6,2)),VALUE(RIGHT(B383,2))),
        DATE(VALUE(RIGHT(B383,4)),VALUE(MID(B383,4,2)),VALUE(LEFT(B383,2)))
      ),
      IF(ISNUMBER(SEARCH("/",B383)*1),
        DATE(VALUE(RIGHT(B383,4)),VALUE(LEFT(B383,2)),VALUE(MID(B383,4,2))),
        DATEVALUE(B383)
      )
    )
  ),
"INVALID_DATE")</f>
        <v>45919</v>
      </c>
      <c r="AA383" s="2">
        <f>IFERROR(
  IF(ISNUMBER(C383),C383,
    IF(ISNUMBER(SEARCH("-",C383)*1),
      IF(LEN(LEFT(C383,FIND("-",C383)-1))=4,
        DATE(VALUE(LEFT(C383,4)),VALUE(MID(C383,6,2)),VALUE(RIGHT(C383,2))),
        DATE(VALUE(RIGHT(C383,4)),VALUE(MID(C383,4,2)),VALUE(LEFT(C383,2)))
      ),
      IF(ISNUMBER(SEARCH("/",C383)*1),
        DATE(VALUE(RIGHT(C383,4)),VALUE(LEFT(C383,2)),VALUE(MID(C383,4,2))),
        DATEVALUE(C383)
      )
    )
  ),
"INVALID_DATE")</f>
        <v>45923</v>
      </c>
      <c r="AB383">
        <f>AA383-Z383</f>
        <v>4</v>
      </c>
      <c r="AC383" t="str">
        <f>TEXT(Z383,"mmmm")</f>
        <v>September</v>
      </c>
      <c r="AD383">
        <f>YEAR(Z383)</f>
        <v>2025</v>
      </c>
      <c r="AE383" t="str">
        <f t="shared" si="17"/>
        <v>OK</v>
      </c>
    </row>
    <row r="384" spans="1:31">
      <c r="A384" t="s">
        <v>1911</v>
      </c>
      <c r="B384" t="s">
        <v>1912</v>
      </c>
      <c r="C384" t="s">
        <v>563</v>
      </c>
      <c r="D384" t="s">
        <v>210</v>
      </c>
      <c r="E384" t="s">
        <v>68</v>
      </c>
      <c r="F384" t="s">
        <v>48</v>
      </c>
      <c r="G384" t="s">
        <v>49</v>
      </c>
      <c r="H384" t="s">
        <v>193</v>
      </c>
      <c r="I384" t="s">
        <v>194</v>
      </c>
      <c r="J384" t="s">
        <v>1913</v>
      </c>
      <c r="K384" t="s">
        <v>230</v>
      </c>
      <c r="L384" t="s">
        <v>1914</v>
      </c>
      <c r="M384" t="s">
        <v>63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41</v>
      </c>
      <c r="U384" t="s">
        <v>42</v>
      </c>
      <c r="V384">
        <f>O384*(1-P384)*N384</f>
        <v>10468.440000000002</v>
      </c>
      <c r="W384">
        <f t="shared" si="15"/>
        <v>2068.5700000000015</v>
      </c>
      <c r="X384">
        <f t="shared" si="16"/>
        <v>0.19760059760575596</v>
      </c>
      <c r="Y384" t="str">
        <f>_xlfn.TEXTJOIN(", ",TRUE,IF(G384="Unknown","Missing Region",""),IF(M384="Unknown","Missing Ship Mode",""),IF(P384&lt;0,"Negative Discount",""),IF(P384&gt;0.7,"High Discount",""),IF(C384&lt;B384,"Ship Before Order",""))</f>
        <v>Ship Before Order</v>
      </c>
      <c r="Z384" s="2">
        <f>IFERROR(
  IF(ISNUMBER(B384),B384,
    IF(ISNUMBER(SEARCH("-",B384)*1),
      IF(LEN(LEFT(B384,FIND("-",B384)-1))=4,
        DATE(VALUE(LEFT(B384,4)),VALUE(MID(B384,6,2)),VALUE(RIGHT(B384,2))),
        DATE(VALUE(RIGHT(B384,4)),VALUE(MID(B384,4,2)),VALUE(LEFT(B384,2)))
      ),
      IF(ISNUMBER(SEARCH("/",B384)*1),
        DATE(VALUE(RIGHT(B384,4)),VALUE(LEFT(B384,2)),VALUE(MID(B384,4,2))),
        DATEVALUE(B384)
      )
    )
  ),
"INVALID_DATE")</f>
        <v>45720</v>
      </c>
      <c r="AA384" s="2">
        <f>IFERROR(
  IF(ISNUMBER(C384),C384,
    IF(ISNUMBER(SEARCH("-",C384)*1),
      IF(LEN(LEFT(C384,FIND("-",C384)-1))=4,
        DATE(VALUE(LEFT(C384,4)),VALUE(MID(C384,6,2)),VALUE(RIGHT(C384,2))),
        DATE(VALUE(RIGHT(C384,4)),VALUE(MID(C384,4,2)),VALUE(LEFT(C384,2)))
      ),
      IF(ISNUMBER(SEARCH("/",C384)*1),
        DATE(VALUE(RIGHT(C384,4)),VALUE(LEFT(C384,2)),VALUE(MID(C384,4,2))),
        DATEVALUE(C384)
      )
    )
  ),
"INVALID_DATE")</f>
        <v>45724</v>
      </c>
      <c r="AB384">
        <f>AA384-Z384</f>
        <v>4</v>
      </c>
      <c r="AC384" t="str">
        <f>TEXT(Z384,"mmmm")</f>
        <v>March</v>
      </c>
      <c r="AD384">
        <f>YEAR(Z384)</f>
        <v>2025</v>
      </c>
      <c r="AE384" t="str">
        <f t="shared" si="17"/>
        <v>OK</v>
      </c>
    </row>
    <row r="385" spans="1:31">
      <c r="A385" t="s">
        <v>1915</v>
      </c>
      <c r="B385" t="s">
        <v>1525</v>
      </c>
      <c r="C385" t="s">
        <v>1083</v>
      </c>
      <c r="D385" t="s">
        <v>1916</v>
      </c>
      <c r="E385" t="s">
        <v>90</v>
      </c>
      <c r="F385" t="s">
        <v>115</v>
      </c>
      <c r="G385" t="s">
        <v>49</v>
      </c>
      <c r="H385" t="s">
        <v>128</v>
      </c>
      <c r="I385" t="s">
        <v>129</v>
      </c>
      <c r="J385" t="s">
        <v>37</v>
      </c>
      <c r="K385" t="s">
        <v>61</v>
      </c>
      <c r="L385" t="s">
        <v>1917</v>
      </c>
      <c r="M385" t="s">
        <v>63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41</v>
      </c>
      <c r="U385" t="s">
        <v>85</v>
      </c>
      <c r="V385">
        <f>O385*(1-P385)*N385</f>
        <v>4485.5</v>
      </c>
      <c r="W385">
        <f t="shared" si="15"/>
        <v>1353.6399999999999</v>
      </c>
      <c r="X385">
        <f t="shared" si="16"/>
        <v>0.30178129528480663</v>
      </c>
      <c r="Y385" t="str">
        <f>_xlfn.TEXTJOIN(", ",TRUE,IF(G385="Unknown","Missing Region",""),IF(M385="Unknown","Missing Ship Mode",""),IF(P385&lt;0,"Negative Discount",""),IF(P385&gt;0.7,"High Discount",""),IF(C385&lt;B385,"Ship Before Order",""))</f>
        <v>Ship Before Order</v>
      </c>
      <c r="Z385" s="2">
        <f>IFERROR(
  IF(ISNUMBER(B385),B385,
    IF(ISNUMBER(SEARCH("-",B385)*1),
      IF(LEN(LEFT(B385,FIND("-",B385)-1))=4,
        DATE(VALUE(LEFT(B385,4)),VALUE(MID(B385,6,2)),VALUE(RIGHT(B385,2))),
        DATE(VALUE(RIGHT(B385,4)),VALUE(MID(B385,4,2)),VALUE(LEFT(B385,2)))
      ),
      IF(ISNUMBER(SEARCH("/",B385)*1),
        DATE(VALUE(RIGHT(B385,4)),VALUE(LEFT(B385,2)),VALUE(MID(B385,4,2))),
        DATEVALUE(B385)
      )
    )
  ),
"INVALID_DATE")</f>
        <v>45836</v>
      </c>
      <c r="AA385" s="2">
        <f>IFERROR(
  IF(ISNUMBER(C385),C385,
    IF(ISNUMBER(SEARCH("-",C385)*1),
      IF(LEN(LEFT(C385,FIND("-",C385)-1))=4,
        DATE(VALUE(LEFT(C385,4)),VALUE(MID(C385,6,2)),VALUE(RIGHT(C385,2))),
        DATE(VALUE(RIGHT(C385,4)),VALUE(MID(C385,4,2)),VALUE(LEFT(C385,2)))
      ),
      IF(ISNUMBER(SEARCH("/",C385)*1),
        DATE(VALUE(RIGHT(C385,4)),VALUE(LEFT(C385,2)),VALUE(MID(C385,4,2))),
        DATEVALUE(C385)
      )
    )
  ),
"INVALID_DATE")</f>
        <v>45843</v>
      </c>
      <c r="AB385">
        <f>AA385-Z385</f>
        <v>7</v>
      </c>
      <c r="AC385" t="str">
        <f>TEXT(Z385,"mmmm")</f>
        <v>June</v>
      </c>
      <c r="AD385">
        <f>YEAR(Z385)</f>
        <v>2025</v>
      </c>
      <c r="AE385" t="str">
        <f t="shared" si="17"/>
        <v>OK</v>
      </c>
    </row>
    <row r="386" spans="1:31">
      <c r="A386" t="s">
        <v>1918</v>
      </c>
      <c r="B386" t="s">
        <v>1919</v>
      </c>
      <c r="C386" t="s">
        <v>1920</v>
      </c>
      <c r="D386" t="s">
        <v>1921</v>
      </c>
      <c r="E386" t="s">
        <v>187</v>
      </c>
      <c r="F386" t="s">
        <v>33</v>
      </c>
      <c r="G386" t="s">
        <v>49</v>
      </c>
      <c r="H386" t="s">
        <v>319</v>
      </c>
      <c r="I386" t="s">
        <v>320</v>
      </c>
      <c r="J386" t="s">
        <v>93</v>
      </c>
      <c r="K386" t="s">
        <v>101</v>
      </c>
      <c r="L386" t="s">
        <v>1922</v>
      </c>
      <c r="M386" t="s">
        <v>74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41</v>
      </c>
      <c r="U386" t="s">
        <v>132</v>
      </c>
      <c r="V386">
        <f>O386*(1-P386)*N386</f>
        <v>2822.1000000000004</v>
      </c>
      <c r="W386">
        <f t="shared" si="15"/>
        <v>1197.5300000000004</v>
      </c>
      <c r="X386">
        <f t="shared" si="16"/>
        <v>0.42434003047376068</v>
      </c>
      <c r="Y386" t="s">
        <v>4120</v>
      </c>
      <c r="Z386" s="2">
        <f>IFERROR(
  IF(ISNUMBER(B386),B386,
    IF(ISNUMBER(SEARCH("-",B386)*1),
      IF(LEN(LEFT(B386,FIND("-",B386)-1))=4,
        DATE(VALUE(LEFT(B386,4)),VALUE(MID(B386,6,2)),VALUE(RIGHT(B386,2))),
        DATE(VALUE(RIGHT(B386,4)),VALUE(MID(B386,4,2)),VALUE(LEFT(B386,2)))
      ),
      IF(ISNUMBER(SEARCH("/",B386)*1),
        DATE(VALUE(RIGHT(B386,4)),VALUE(LEFT(B386,2)),VALUE(MID(B386,4,2))),
        DATEVALUE(B386)
      )
    )
  ),
"INVALID_DATE")</f>
        <v>45366</v>
      </c>
      <c r="AA386" s="2">
        <f>IFERROR(
  IF(ISNUMBER(C386),C386,
    IF(ISNUMBER(SEARCH("-",C386)*1),
      IF(LEN(LEFT(C386,FIND("-",C386)-1))=4,
        DATE(VALUE(LEFT(C386,4)),VALUE(MID(C386,6,2)),VALUE(RIGHT(C386,2))),
        DATE(VALUE(RIGHT(C386,4)),VALUE(MID(C386,4,2)),VALUE(LEFT(C386,2)))
      ),
      IF(ISNUMBER(SEARCH("/",C386)*1),
        DATE(VALUE(RIGHT(C386,4)),VALUE(LEFT(C386,2)),VALUE(MID(C386,4,2))),
        DATEVALUE(C386)
      )
    )
  ),
"INVALID_DATE")</f>
        <v>45371</v>
      </c>
      <c r="AB386">
        <f>AA386-Z386</f>
        <v>5</v>
      </c>
      <c r="AC386" t="str">
        <f>TEXT(Z386,"mmmm")</f>
        <v>March</v>
      </c>
      <c r="AD386">
        <f>YEAR(Z386)</f>
        <v>2024</v>
      </c>
      <c r="AE386" t="str">
        <f t="shared" si="17"/>
        <v>OK</v>
      </c>
    </row>
    <row r="387" spans="1:31">
      <c r="A387" t="s">
        <v>1923</v>
      </c>
      <c r="B387" t="s">
        <v>1004</v>
      </c>
      <c r="C387" t="s">
        <v>1924</v>
      </c>
      <c r="D387" t="s">
        <v>1925</v>
      </c>
      <c r="E387" t="s">
        <v>68</v>
      </c>
      <c r="F387" t="s">
        <v>33</v>
      </c>
      <c r="G387" t="s">
        <v>34</v>
      </c>
      <c r="H387" t="s">
        <v>331</v>
      </c>
      <c r="I387" t="s">
        <v>332</v>
      </c>
      <c r="J387" t="s">
        <v>37</v>
      </c>
      <c r="K387" t="s">
        <v>116</v>
      </c>
      <c r="L387" t="s">
        <v>1926</v>
      </c>
      <c r="M387" t="s">
        <v>74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41</v>
      </c>
      <c r="U387" t="s">
        <v>42</v>
      </c>
      <c r="V387">
        <f>O387*(1-P387)*N387</f>
        <v>1975.1040000000003</v>
      </c>
      <c r="W387">
        <f t="shared" ref="W387:W450" si="18">V387-R387</f>
        <v>859.75400000000036</v>
      </c>
      <c r="X387">
        <f t="shared" ref="X387:X450" si="19">S387/Q387</f>
        <v>0.43529441547263431</v>
      </c>
      <c r="Y387" t="s">
        <v>4120</v>
      </c>
      <c r="Z387" s="2">
        <f>IFERROR(
  IF(ISNUMBER(B387),B387,
    IF(ISNUMBER(SEARCH("-",B387)*1),
      IF(LEN(LEFT(B387,FIND("-",B387)-1))=4,
        DATE(VALUE(LEFT(B387,4)),VALUE(MID(B387,6,2)),VALUE(RIGHT(B387,2))),
        DATE(VALUE(RIGHT(B387,4)),VALUE(MID(B387,4,2)),VALUE(LEFT(B387,2)))
      ),
      IF(ISNUMBER(SEARCH("/",B387)*1),
        DATE(VALUE(RIGHT(B387,4)),VALUE(LEFT(B387,2)),VALUE(MID(B387,4,2))),
        DATEVALUE(B387)
      )
    )
  ),
"INVALID_DATE")</f>
        <v>45832</v>
      </c>
      <c r="AA387" s="2">
        <f>IFERROR(
  IF(ISNUMBER(C387),C387,
    IF(ISNUMBER(SEARCH("-",C387)*1),
      IF(LEN(LEFT(C387,FIND("-",C387)-1))=4,
        DATE(VALUE(LEFT(C387,4)),VALUE(MID(C387,6,2)),VALUE(RIGHT(C387,2))),
        DATE(VALUE(RIGHT(C387,4)),VALUE(MID(C387,4,2)),VALUE(LEFT(C387,2)))
      ),
      IF(ISNUMBER(SEARCH("/",C387)*1),
        DATE(VALUE(RIGHT(C387,4)),VALUE(LEFT(C387,2)),VALUE(MID(C387,4,2))),
        DATEVALUE(C387)
      )
    )
  ),
"INVALID_DATE")</f>
        <v>45838</v>
      </c>
      <c r="AB387">
        <f>AA387-Z387</f>
        <v>6</v>
      </c>
      <c r="AC387" t="str">
        <f>TEXT(Z387,"mmmm")</f>
        <v>June</v>
      </c>
      <c r="AD387">
        <f>YEAR(Z387)</f>
        <v>2025</v>
      </c>
      <c r="AE387" t="str">
        <f t="shared" ref="AE387:AE450" si="20">IF(OR(Z387="INVALID_DATE",AA387="INVALID_DATE"),"Invalid Date",IF(AA387&lt;Z387,"Ship Before Order","OK"))</f>
        <v>OK</v>
      </c>
    </row>
    <row r="388" spans="1:31">
      <c r="A388" t="s">
        <v>1927</v>
      </c>
      <c r="B388" t="s">
        <v>1405</v>
      </c>
      <c r="C388" t="s">
        <v>1928</v>
      </c>
      <c r="D388" t="s">
        <v>1929</v>
      </c>
      <c r="E388" t="s">
        <v>175</v>
      </c>
      <c r="F388" t="s">
        <v>33</v>
      </c>
      <c r="G388" t="s">
        <v>80</v>
      </c>
      <c r="H388" t="s">
        <v>81</v>
      </c>
      <c r="I388" t="s">
        <v>82</v>
      </c>
      <c r="J388" t="s">
        <v>52</v>
      </c>
      <c r="K388" t="s">
        <v>72</v>
      </c>
      <c r="L388" t="s">
        <v>1930</v>
      </c>
      <c r="M388" t="s">
        <v>40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41</v>
      </c>
      <c r="U388" t="s">
        <v>42</v>
      </c>
      <c r="V388">
        <f>O388*(1-P388)*N388</f>
        <v>20063.952000000001</v>
      </c>
      <c r="W388">
        <f t="shared" si="18"/>
        <v>5700.5720000000019</v>
      </c>
      <c r="X388">
        <f t="shared" si="19"/>
        <v>0.28412002621617377</v>
      </c>
      <c r="Y388" t="s">
        <v>4120</v>
      </c>
      <c r="Z388" s="2">
        <f>IFERROR(
  IF(ISNUMBER(B388),B388,
    IF(ISNUMBER(SEARCH("-",B388)*1),
      IF(LEN(LEFT(B388,FIND("-",B388)-1))=4,
        DATE(VALUE(LEFT(B388,4)),VALUE(MID(B388,6,2)),VALUE(RIGHT(B388,2))),
        DATE(VALUE(RIGHT(B388,4)),VALUE(MID(B388,4,2)),VALUE(LEFT(B388,2)))
      ),
      IF(ISNUMBER(SEARCH("/",B388)*1),
        DATE(VALUE(RIGHT(B388,4)),VALUE(LEFT(B388,2)),VALUE(MID(B388,4,2))),
        DATEVALUE(B388)
      )
    )
  ),
"INVALID_DATE")</f>
        <v>45700</v>
      </c>
      <c r="AA388" s="2">
        <f>IFERROR(
  IF(ISNUMBER(C388),C388,
    IF(ISNUMBER(SEARCH("-",C388)*1),
      IF(LEN(LEFT(C388,FIND("-",C388)-1))=4,
        DATE(VALUE(LEFT(C388,4)),VALUE(MID(C388,6,2)),VALUE(RIGHT(C388,2))),
        DATE(VALUE(RIGHT(C388,4)),VALUE(MID(C388,4,2)),VALUE(LEFT(C388,2)))
      ),
      IF(ISNUMBER(SEARCH("/",C388)*1),
        DATE(VALUE(RIGHT(C388,4)),VALUE(LEFT(C388,2)),VALUE(MID(C388,4,2))),
        DATEVALUE(C388)
      )
    )
  ),
"INVALID_DATE")</f>
        <v>45702</v>
      </c>
      <c r="AB388">
        <f>AA388-Z388</f>
        <v>2</v>
      </c>
      <c r="AC388" t="str">
        <f>TEXT(Z388,"mmmm")</f>
        <v>February</v>
      </c>
      <c r="AD388">
        <f>YEAR(Z388)</f>
        <v>2025</v>
      </c>
      <c r="AE388" t="str">
        <f t="shared" si="20"/>
        <v>OK</v>
      </c>
    </row>
    <row r="389" spans="1:31">
      <c r="A389" t="s">
        <v>1931</v>
      </c>
      <c r="B389" t="s">
        <v>952</v>
      </c>
      <c r="C389" t="s">
        <v>1126</v>
      </c>
      <c r="D389" t="s">
        <v>1932</v>
      </c>
      <c r="E389" t="s">
        <v>149</v>
      </c>
      <c r="F389" t="s">
        <v>48</v>
      </c>
      <c r="G389" t="s">
        <v>80</v>
      </c>
      <c r="H389" t="s">
        <v>91</v>
      </c>
      <c r="I389" t="s">
        <v>92</v>
      </c>
      <c r="J389" t="s">
        <v>52</v>
      </c>
      <c r="K389" t="s">
        <v>83</v>
      </c>
      <c r="L389" t="s">
        <v>1933</v>
      </c>
      <c r="M389" t="s">
        <v>74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144</v>
      </c>
      <c r="U389" t="s">
        <v>85</v>
      </c>
      <c r="V389">
        <f>O389*(1-P389)*N389</f>
        <v>1764.3000000000002</v>
      </c>
      <c r="W389">
        <f t="shared" si="18"/>
        <v>431.81000000000017</v>
      </c>
      <c r="X389">
        <f t="shared" si="19"/>
        <v>0.24474862551720231</v>
      </c>
      <c r="Y389" t="str">
        <f>_xlfn.TEXTJOIN(", ",TRUE,IF(G389="Unknown","Missing Region",""),IF(M389="Unknown","Missing Ship Mode",""),IF(P389&lt;0,"Negative Discount",""),IF(P389&gt;0.7,"High Discount",""),IF(C389&lt;B389,"Ship Before Order",""))</f>
        <v>Ship Before Order</v>
      </c>
      <c r="Z389" s="2">
        <f>IFERROR(
  IF(ISNUMBER(B389),B389,
    IF(ISNUMBER(SEARCH("-",B389)*1),
      IF(LEN(LEFT(B389,FIND("-",B389)-1))=4,
        DATE(VALUE(LEFT(B389,4)),VALUE(MID(B389,6,2)),VALUE(RIGHT(B389,2))),
        DATE(VALUE(RIGHT(B389,4)),VALUE(MID(B389,4,2)),VALUE(LEFT(B389,2)))
      ),
      IF(ISNUMBER(SEARCH("/",B389)*1),
        DATE(VALUE(RIGHT(B389,4)),VALUE(LEFT(B389,2)),VALUE(MID(B389,4,2))),
        DATEVALUE(B389)
      )
    )
  ),
"INVALID_DATE")</f>
        <v>45879</v>
      </c>
      <c r="AA389" s="2">
        <f>IFERROR(
  IF(ISNUMBER(C389),C389,
    IF(ISNUMBER(SEARCH("-",C389)*1),
      IF(LEN(LEFT(C389,FIND("-",C389)-1))=4,
        DATE(VALUE(LEFT(C389,4)),VALUE(MID(C389,6,2)),VALUE(RIGHT(C389,2))),
        DATE(VALUE(RIGHT(C389,4)),VALUE(MID(C389,4,2)),VALUE(LEFT(C389,2)))
      ),
      IF(ISNUMBER(SEARCH("/",C389)*1),
        DATE(VALUE(RIGHT(C389,4)),VALUE(LEFT(C389,2)),VALUE(MID(C389,4,2))),
        DATEVALUE(C389)
      )
    )
  ),
"INVALID_DATE")</f>
        <v>45882</v>
      </c>
      <c r="AB389">
        <f>AA389-Z389</f>
        <v>3</v>
      </c>
      <c r="AC389" t="str">
        <f>TEXT(Z389,"mmmm")</f>
        <v>August</v>
      </c>
      <c r="AD389">
        <f>YEAR(Z389)</f>
        <v>2025</v>
      </c>
      <c r="AE389" t="str">
        <f t="shared" si="20"/>
        <v>OK</v>
      </c>
    </row>
    <row r="390" spans="1:31">
      <c r="A390" t="s">
        <v>1934</v>
      </c>
      <c r="B390" t="s">
        <v>1935</v>
      </c>
      <c r="C390" t="s">
        <v>1936</v>
      </c>
      <c r="D390" t="s">
        <v>1937</v>
      </c>
      <c r="E390" t="s">
        <v>60</v>
      </c>
      <c r="F390" t="s">
        <v>48</v>
      </c>
      <c r="G390" t="s">
        <v>80</v>
      </c>
      <c r="H390" t="s">
        <v>242</v>
      </c>
      <c r="I390" t="s">
        <v>243</v>
      </c>
      <c r="J390" t="s">
        <v>52</v>
      </c>
      <c r="K390" t="s">
        <v>83</v>
      </c>
      <c r="L390" t="s">
        <v>1938</v>
      </c>
      <c r="M390" t="s">
        <v>74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41</v>
      </c>
      <c r="U390" t="s">
        <v>42</v>
      </c>
      <c r="V390">
        <f>O390*(1-P390)*N390</f>
        <v>9385.77</v>
      </c>
      <c r="W390">
        <f t="shared" si="18"/>
        <v>2513.3300000000008</v>
      </c>
      <c r="X390">
        <f t="shared" si="19"/>
        <v>0.29658301876138021</v>
      </c>
      <c r="Y390" t="str">
        <f>_xlfn.TEXTJOIN(", ",TRUE,IF(G390="Unknown","Missing Region",""),IF(M390="Unknown","Missing Ship Mode",""),IF(P390&lt;0,"Negative Discount",""),IF(P390&gt;0.7,"High Discount",""),IF(C390&lt;B390,"Ship Before Order",""))</f>
        <v>Ship Before Order</v>
      </c>
      <c r="Z390" s="2">
        <f>IFERROR(
  IF(ISNUMBER(B390),B390,
    IF(ISNUMBER(SEARCH("-",B390)*1),
      IF(LEN(LEFT(B390,FIND("-",B390)-1))=4,
        DATE(VALUE(LEFT(B390,4)),VALUE(MID(B390,6,2)),VALUE(RIGHT(B390,2))),
        DATE(VALUE(RIGHT(B390,4)),VALUE(MID(B390,4,2)),VALUE(LEFT(B390,2)))
      ),
      IF(ISNUMBER(SEARCH("/",B390)*1),
        DATE(VALUE(RIGHT(B390,4)),VALUE(LEFT(B390,2)),VALUE(MID(B390,4,2))),
        DATEVALUE(B390)
      )
    )
  ),
"INVALID_DATE")</f>
        <v>45425</v>
      </c>
      <c r="AA390" s="2">
        <f>IFERROR(
  IF(ISNUMBER(C390),C390,
    IF(ISNUMBER(SEARCH("-",C390)*1),
      IF(LEN(LEFT(C390,FIND("-",C390)-1))=4,
        DATE(VALUE(LEFT(C390,4)),VALUE(MID(C390,6,2)),VALUE(RIGHT(C390,2))),
        DATE(VALUE(RIGHT(C390,4)),VALUE(MID(C390,4,2)),VALUE(LEFT(C390,2)))
      ),
      IF(ISNUMBER(SEARCH("/",C390)*1),
        DATE(VALUE(RIGHT(C390,4)),VALUE(LEFT(C390,2)),VALUE(MID(C390,4,2))),
        DATEVALUE(C390)
      )
    )
  ),
"INVALID_DATE")</f>
        <v>45430</v>
      </c>
      <c r="AB390">
        <f>AA390-Z390</f>
        <v>5</v>
      </c>
      <c r="AC390" t="str">
        <f>TEXT(Z390,"mmmm")</f>
        <v>May</v>
      </c>
      <c r="AD390">
        <f>YEAR(Z390)</f>
        <v>2024</v>
      </c>
      <c r="AE390" t="str">
        <f t="shared" si="20"/>
        <v>OK</v>
      </c>
    </row>
    <row r="391" spans="1:31">
      <c r="A391" t="s">
        <v>1939</v>
      </c>
      <c r="B391" t="s">
        <v>1940</v>
      </c>
      <c r="C391" t="s">
        <v>357</v>
      </c>
      <c r="D391" t="s">
        <v>1941</v>
      </c>
      <c r="E391" t="s">
        <v>217</v>
      </c>
      <c r="F391" t="s">
        <v>115</v>
      </c>
      <c r="G391" t="s">
        <v>80</v>
      </c>
      <c r="H391" t="s">
        <v>242</v>
      </c>
      <c r="I391" t="s">
        <v>243</v>
      </c>
      <c r="J391" t="s">
        <v>93</v>
      </c>
      <c r="K391" t="s">
        <v>390</v>
      </c>
      <c r="L391" t="s">
        <v>1942</v>
      </c>
      <c r="M391" t="s">
        <v>40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144</v>
      </c>
      <c r="U391" t="s">
        <v>85</v>
      </c>
      <c r="V391">
        <f>O391*(1-P391)*N391</f>
        <v>7750.1600000000008</v>
      </c>
      <c r="W391">
        <f t="shared" si="18"/>
        <v>2315.8600000000006</v>
      </c>
      <c r="X391">
        <f t="shared" si="19"/>
        <v>0.29881447608823564</v>
      </c>
      <c r="Y391" t="s">
        <v>4120</v>
      </c>
      <c r="Z391" s="2">
        <f>IFERROR(
  IF(ISNUMBER(B391),B391,
    IF(ISNUMBER(SEARCH("-",B391)*1),
      IF(LEN(LEFT(B391,FIND("-",B391)-1))=4,
        DATE(VALUE(LEFT(B391,4)),VALUE(MID(B391,6,2)),VALUE(RIGHT(B391,2))),
        DATE(VALUE(RIGHT(B391,4)),VALUE(MID(B391,4,2)),VALUE(LEFT(B391,2)))
      ),
      IF(ISNUMBER(SEARCH("/",B391)*1),
        DATE(VALUE(RIGHT(B391,4)),VALUE(LEFT(B391,2)),VALUE(MID(B391,4,2))),
        DATEVALUE(B391)
      )
    )
  ),
"INVALID_DATE")</f>
        <v>45387</v>
      </c>
      <c r="AA391" s="2">
        <f>IFERROR(
  IF(ISNUMBER(C391),C391,
    IF(ISNUMBER(SEARCH("-",C391)*1),
      IF(LEN(LEFT(C391,FIND("-",C391)-1))=4,
        DATE(VALUE(LEFT(C391,4)),VALUE(MID(C391,6,2)),VALUE(RIGHT(C391,2))),
        DATE(VALUE(RIGHT(C391,4)),VALUE(MID(C391,4,2)),VALUE(LEFT(C391,2)))
      ),
      IF(ISNUMBER(SEARCH("/",C391)*1),
        DATE(VALUE(RIGHT(C391,4)),VALUE(LEFT(C391,2)),VALUE(MID(C391,4,2))),
        DATEVALUE(C391)
      )
    )
  ),
"INVALID_DATE")</f>
        <v>45395</v>
      </c>
      <c r="AB391">
        <f>AA391-Z391</f>
        <v>8</v>
      </c>
      <c r="AC391" t="str">
        <f>TEXT(Z391,"mmmm")</f>
        <v>April</v>
      </c>
      <c r="AD391">
        <f>YEAR(Z391)</f>
        <v>2024</v>
      </c>
      <c r="AE391" t="str">
        <f t="shared" si="20"/>
        <v>OK</v>
      </c>
    </row>
    <row r="392" spans="1:31">
      <c r="A392" t="s">
        <v>1943</v>
      </c>
      <c r="B392" t="s">
        <v>1944</v>
      </c>
      <c r="C392" t="s">
        <v>492</v>
      </c>
      <c r="D392" t="s">
        <v>1945</v>
      </c>
      <c r="E392" t="s">
        <v>60</v>
      </c>
      <c r="F392" t="s">
        <v>33</v>
      </c>
      <c r="G392" t="s">
        <v>80</v>
      </c>
      <c r="H392" t="s">
        <v>242</v>
      </c>
      <c r="I392" t="s">
        <v>243</v>
      </c>
      <c r="J392" t="s">
        <v>52</v>
      </c>
      <c r="K392" t="s">
        <v>72</v>
      </c>
      <c r="L392" t="s">
        <v>1946</v>
      </c>
      <c r="M392" t="s">
        <v>74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41</v>
      </c>
      <c r="U392" t="s">
        <v>42</v>
      </c>
      <c r="V392">
        <f>O392*(1-P392)*N392</f>
        <v>6135.232</v>
      </c>
      <c r="W392">
        <f t="shared" si="18"/>
        <v>2695.442</v>
      </c>
      <c r="X392">
        <f t="shared" si="19"/>
        <v>0.43933805252614822</v>
      </c>
      <c r="Y392" t="s">
        <v>4120</v>
      </c>
      <c r="Z392" s="2">
        <f>IFERROR(
  IF(ISNUMBER(B392),B392,
    IF(ISNUMBER(SEARCH("-",B392)*1),
      IF(LEN(LEFT(B392,FIND("-",B392)-1))=4,
        DATE(VALUE(LEFT(B392,4)),VALUE(MID(B392,6,2)),VALUE(RIGHT(B392,2))),
        DATE(VALUE(RIGHT(B392,4)),VALUE(MID(B392,4,2)),VALUE(LEFT(B392,2)))
      ),
      IF(ISNUMBER(SEARCH("/",B392)*1),
        DATE(VALUE(RIGHT(B392,4)),VALUE(LEFT(B392,2)),VALUE(MID(B392,4,2))),
        DATEVALUE(B392)
      )
    )
  ),
"INVALID_DATE")</f>
        <v>45602</v>
      </c>
      <c r="AA392" s="2">
        <f>IFERROR(
  IF(ISNUMBER(C392),C392,
    IF(ISNUMBER(SEARCH("-",C392)*1),
      IF(LEN(LEFT(C392,FIND("-",C392)-1))=4,
        DATE(VALUE(LEFT(C392,4)),VALUE(MID(C392,6,2)),VALUE(RIGHT(C392,2))),
        DATE(VALUE(RIGHT(C392,4)),VALUE(MID(C392,4,2)),VALUE(LEFT(C392,2)))
      ),
      IF(ISNUMBER(SEARCH("/",C392)*1),
        DATE(VALUE(RIGHT(C392,4)),VALUE(LEFT(C392,2)),VALUE(MID(C392,4,2))),
        DATEVALUE(C392)
      )
    )
  ),
"INVALID_DATE")</f>
        <v>45607</v>
      </c>
      <c r="AB392">
        <f>AA392-Z392</f>
        <v>5</v>
      </c>
      <c r="AC392" t="str">
        <f>TEXT(Z392,"mmmm")</f>
        <v>November</v>
      </c>
      <c r="AD392">
        <f>YEAR(Z392)</f>
        <v>2024</v>
      </c>
      <c r="AE392" t="str">
        <f t="shared" si="20"/>
        <v>OK</v>
      </c>
    </row>
    <row r="393" spans="1:31">
      <c r="A393" t="s">
        <v>1947</v>
      </c>
      <c r="B393" t="s">
        <v>1928</v>
      </c>
      <c r="C393" t="s">
        <v>1948</v>
      </c>
      <c r="D393" t="s">
        <v>1949</v>
      </c>
      <c r="E393" t="s">
        <v>217</v>
      </c>
      <c r="F393" t="s">
        <v>33</v>
      </c>
      <c r="G393" t="s">
        <v>69</v>
      </c>
      <c r="H393" t="s">
        <v>236</v>
      </c>
      <c r="I393" t="s">
        <v>237</v>
      </c>
      <c r="J393" t="s">
        <v>37</v>
      </c>
      <c r="K393" t="s">
        <v>163</v>
      </c>
      <c r="L393" t="s">
        <v>1950</v>
      </c>
      <c r="M393" t="s">
        <v>63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41</v>
      </c>
      <c r="U393" t="s">
        <v>42</v>
      </c>
      <c r="V393">
        <f>O393*(1-P393)*N393</f>
        <v>714.43</v>
      </c>
      <c r="W393">
        <f t="shared" si="18"/>
        <v>148.9899999999999</v>
      </c>
      <c r="X393">
        <f t="shared" si="19"/>
        <v>0.20854387413742426</v>
      </c>
      <c r="Y393" t="str">
        <f>_xlfn.TEXTJOIN(", ",TRUE,IF(G393="Unknown","Missing Region",""),IF(M393="Unknown","Missing Ship Mode",""),IF(P393&lt;0,"Negative Discount",""),IF(P393&gt;0.7,"High Discount",""),IF(C393&lt;B393,"Ship Before Order",""))</f>
        <v>Ship Before Order</v>
      </c>
      <c r="Z393" s="2">
        <f>IFERROR(
  IF(ISNUMBER(B393),B393,
    IF(ISNUMBER(SEARCH("-",B393)*1),
      IF(LEN(LEFT(B393,FIND("-",B393)-1))=4,
        DATE(VALUE(LEFT(B393,4)),VALUE(MID(B393,6,2)),VALUE(RIGHT(B393,2))),
        DATE(VALUE(RIGHT(B393,4)),VALUE(MID(B393,4,2)),VALUE(LEFT(B393,2)))
      ),
      IF(ISNUMBER(SEARCH("/",B393)*1),
        DATE(VALUE(RIGHT(B393,4)),VALUE(LEFT(B393,2)),VALUE(MID(B393,4,2))),
        DATEVALUE(B393)
      )
    )
  ),
"INVALID_DATE")</f>
        <v>45702</v>
      </c>
      <c r="AA393" s="2">
        <f>IFERROR(
  IF(ISNUMBER(C393),C393,
    IF(ISNUMBER(SEARCH("-",C393)*1),
      IF(LEN(LEFT(C393,FIND("-",C393)-1))=4,
        DATE(VALUE(LEFT(C393,4)),VALUE(MID(C393,6,2)),VALUE(RIGHT(C393,2))),
        DATE(VALUE(RIGHT(C393,4)),VALUE(MID(C393,4,2)),VALUE(LEFT(C393,2)))
      ),
      IF(ISNUMBER(SEARCH("/",C393)*1),
        DATE(VALUE(RIGHT(C393,4)),VALUE(LEFT(C393,2)),VALUE(MID(C393,4,2))),
        DATEVALUE(C393)
      )
    )
  ),
"INVALID_DATE")</f>
        <v>45702</v>
      </c>
      <c r="AB393">
        <f>AA393-Z393</f>
        <v>0</v>
      </c>
      <c r="AC393" t="str">
        <f>TEXT(Z393,"mmmm")</f>
        <v>February</v>
      </c>
      <c r="AD393">
        <f>YEAR(Z393)</f>
        <v>2025</v>
      </c>
      <c r="AE393" t="str">
        <f t="shared" si="20"/>
        <v>OK</v>
      </c>
    </row>
    <row r="394" spans="1:31">
      <c r="A394" t="s">
        <v>1951</v>
      </c>
      <c r="B394" t="s">
        <v>1952</v>
      </c>
      <c r="C394" t="s">
        <v>1953</v>
      </c>
      <c r="D394" t="s">
        <v>1954</v>
      </c>
      <c r="E394" t="s">
        <v>114</v>
      </c>
      <c r="F394" t="s">
        <v>48</v>
      </c>
      <c r="G394" t="s">
        <v>69</v>
      </c>
      <c r="H394" t="s">
        <v>249</v>
      </c>
      <c r="I394" t="s">
        <v>250</v>
      </c>
      <c r="J394" t="s">
        <v>52</v>
      </c>
      <c r="K394" t="s">
        <v>72</v>
      </c>
      <c r="L394" t="s">
        <v>1955</v>
      </c>
      <c r="M394" t="s">
        <v>55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41</v>
      </c>
      <c r="U394" t="s">
        <v>42</v>
      </c>
      <c r="V394">
        <f>O394*(1-P394)*N394</f>
        <v>36477.090000000004</v>
      </c>
      <c r="W394">
        <f t="shared" si="18"/>
        <v>11951.610000000004</v>
      </c>
      <c r="X394">
        <f t="shared" si="19"/>
        <v>0.32764702447481425</v>
      </c>
      <c r="Y394" t="s">
        <v>4120</v>
      </c>
      <c r="Z394" s="2">
        <f>IFERROR(
  IF(ISNUMBER(B394),B394,
    IF(ISNUMBER(SEARCH("-",B394)*1),
      IF(LEN(LEFT(B394,FIND("-",B394)-1))=4,
        DATE(VALUE(LEFT(B394,4)),VALUE(MID(B394,6,2)),VALUE(RIGHT(B394,2))),
        DATE(VALUE(RIGHT(B394,4)),VALUE(MID(B394,4,2)),VALUE(LEFT(B394,2)))
      ),
      IF(ISNUMBER(SEARCH("/",B394)*1),
        DATE(VALUE(RIGHT(B394,4)),VALUE(LEFT(B394,2)),VALUE(MID(B394,4,2))),
        DATEVALUE(B394)
      )
    )
  ),
"INVALID_DATE")</f>
        <v>45341</v>
      </c>
      <c r="AA394" s="2">
        <f>IFERROR(
  IF(ISNUMBER(C394),C394,
    IF(ISNUMBER(SEARCH("-",C394)*1),
      IF(LEN(LEFT(C394,FIND("-",C394)-1))=4,
        DATE(VALUE(LEFT(C394,4)),VALUE(MID(C394,6,2)),VALUE(RIGHT(C394,2))),
        DATE(VALUE(RIGHT(C394,4)),VALUE(MID(C394,4,2)),VALUE(LEFT(C394,2)))
      ),
      IF(ISNUMBER(SEARCH("/",C394)*1),
        DATE(VALUE(RIGHT(C394,4)),VALUE(LEFT(C394,2)),VALUE(MID(C394,4,2))),
        DATEVALUE(C394)
      )
    )
  ),
"INVALID_DATE")</f>
        <v>45344</v>
      </c>
      <c r="AB394">
        <f>AA394-Z394</f>
        <v>3</v>
      </c>
      <c r="AC394" t="str">
        <f>TEXT(Z394,"mmmm")</f>
        <v>February</v>
      </c>
      <c r="AD394">
        <f>YEAR(Z394)</f>
        <v>2024</v>
      </c>
      <c r="AE394" t="str">
        <f t="shared" si="20"/>
        <v>OK</v>
      </c>
    </row>
    <row r="395" spans="1:31">
      <c r="A395" t="s">
        <v>1956</v>
      </c>
      <c r="B395" t="s">
        <v>1957</v>
      </c>
      <c r="C395" t="s">
        <v>1958</v>
      </c>
      <c r="D395" t="s">
        <v>1959</v>
      </c>
      <c r="E395" t="s">
        <v>47</v>
      </c>
      <c r="F395" t="s">
        <v>115</v>
      </c>
      <c r="G395" t="s">
        <v>34</v>
      </c>
      <c r="H395" t="s">
        <v>181</v>
      </c>
      <c r="I395" t="s">
        <v>182</v>
      </c>
      <c r="J395" t="s">
        <v>37</v>
      </c>
      <c r="K395" t="s">
        <v>116</v>
      </c>
      <c r="L395" t="s">
        <v>1960</v>
      </c>
      <c r="M395" t="s">
        <v>55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41</v>
      </c>
      <c r="U395" t="s">
        <v>42</v>
      </c>
      <c r="V395">
        <f>O395*(1-P395)*N395</f>
        <v>3680.1289999999999</v>
      </c>
      <c r="W395">
        <f t="shared" si="18"/>
        <v>712.66899999999987</v>
      </c>
      <c r="X395">
        <f t="shared" si="19"/>
        <v>0.19365348506710359</v>
      </c>
      <c r="Y395" t="str">
        <f>_xlfn.TEXTJOIN(", ",TRUE,IF(G395="Unknown","Missing Region",""),IF(M395="Unknown","Missing Ship Mode",""),IF(P395&lt;0,"Negative Discount",""),IF(P395&gt;0.7,"High Discount",""),IF(C395&lt;B395,"Ship Before Order",""))</f>
        <v>Ship Before Order</v>
      </c>
      <c r="Z395" s="2">
        <f>IFERROR(
  IF(ISNUMBER(B395),B395,
    IF(ISNUMBER(SEARCH("-",B395)*1),
      IF(LEN(LEFT(B395,FIND("-",B395)-1))=4,
        DATE(VALUE(LEFT(B395,4)),VALUE(MID(B395,6,2)),VALUE(RIGHT(B395,2))),
        DATE(VALUE(RIGHT(B395,4)),VALUE(MID(B395,4,2)),VALUE(LEFT(B395,2)))
      ),
      IF(ISNUMBER(SEARCH("/",B395)*1),
        DATE(VALUE(RIGHT(B395,4)),VALUE(LEFT(B395,2)),VALUE(MID(B395,4,2))),
        DATEVALUE(B395)
      )
    )
  ),
"INVALID_DATE")</f>
        <v>45527</v>
      </c>
      <c r="AA395" s="2">
        <f>IFERROR(
  IF(ISNUMBER(C395),C395,
    IF(ISNUMBER(SEARCH("-",C395)*1),
      IF(LEN(LEFT(C395,FIND("-",C395)-1))=4,
        DATE(VALUE(LEFT(C395,4)),VALUE(MID(C395,6,2)),VALUE(RIGHT(C395,2))),
        DATE(VALUE(RIGHT(C395,4)),VALUE(MID(C395,4,2)),VALUE(LEFT(C395,2)))
      ),
      IF(ISNUMBER(SEARCH("/",C395)*1),
        DATE(VALUE(RIGHT(C395,4)),VALUE(LEFT(C395,2)),VALUE(MID(C395,4,2))),
        DATEVALUE(C395)
      )
    )
  ),
"INVALID_DATE")</f>
        <v>45533</v>
      </c>
      <c r="AB395">
        <f>AA395-Z395</f>
        <v>6</v>
      </c>
      <c r="AC395" t="str">
        <f>TEXT(Z395,"mmmm")</f>
        <v>August</v>
      </c>
      <c r="AD395">
        <f>YEAR(Z395)</f>
        <v>2024</v>
      </c>
      <c r="AE395" t="str">
        <f t="shared" si="20"/>
        <v>OK</v>
      </c>
    </row>
    <row r="396" spans="1:31">
      <c r="A396" t="s">
        <v>1961</v>
      </c>
      <c r="B396" t="s">
        <v>1962</v>
      </c>
      <c r="C396" t="s">
        <v>1963</v>
      </c>
      <c r="D396" t="s">
        <v>1964</v>
      </c>
      <c r="E396" t="s">
        <v>374</v>
      </c>
      <c r="F396" t="s">
        <v>33</v>
      </c>
      <c r="G396" t="s">
        <v>80</v>
      </c>
      <c r="H396" t="s">
        <v>81</v>
      </c>
      <c r="I396" t="s">
        <v>82</v>
      </c>
      <c r="J396" t="s">
        <v>52</v>
      </c>
      <c r="K396" t="s">
        <v>72</v>
      </c>
      <c r="L396" t="s">
        <v>1965</v>
      </c>
      <c r="M396" t="s">
        <v>63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41</v>
      </c>
      <c r="U396" t="s">
        <v>42</v>
      </c>
      <c r="V396">
        <f>O396*(1-P396)*N396</f>
        <v>27616.47</v>
      </c>
      <c r="W396">
        <f t="shared" si="18"/>
        <v>6391.2100000000028</v>
      </c>
      <c r="X396">
        <f t="shared" si="19"/>
        <v>0.23142747787823714</v>
      </c>
      <c r="Y396" t="s">
        <v>4120</v>
      </c>
      <c r="Z396" s="2">
        <f>IFERROR(
  IF(ISNUMBER(B396),B396,
    IF(ISNUMBER(SEARCH("-",B396)*1),
      IF(LEN(LEFT(B396,FIND("-",B396)-1))=4,
        DATE(VALUE(LEFT(B396,4)),VALUE(MID(B396,6,2)),VALUE(RIGHT(B396,2))),
        DATE(VALUE(RIGHT(B396,4)),VALUE(MID(B396,4,2)),VALUE(LEFT(B396,2)))
      ),
      IF(ISNUMBER(SEARCH("/",B396)*1),
        DATE(VALUE(RIGHT(B396,4)),VALUE(LEFT(B396,2)),VALUE(MID(B396,4,2))),
        DATEVALUE(B396)
      )
    )
  ),
"INVALID_DATE")</f>
        <v>45385</v>
      </c>
      <c r="AA396" s="2">
        <f>IFERROR(
  IF(ISNUMBER(C396),C396,
    IF(ISNUMBER(SEARCH("-",C396)*1),
      IF(LEN(LEFT(C396,FIND("-",C396)-1))=4,
        DATE(VALUE(LEFT(C396,4)),VALUE(MID(C396,6,2)),VALUE(RIGHT(C396,2))),
        DATE(VALUE(RIGHT(C396,4)),VALUE(MID(C396,4,2)),VALUE(LEFT(C396,2)))
      ),
      IF(ISNUMBER(SEARCH("/",C396)*1),
        DATE(VALUE(RIGHT(C396,4)),VALUE(LEFT(C396,2)),VALUE(MID(C396,4,2))),
        DATEVALUE(C396)
      )
    )
  ),
"INVALID_DATE")</f>
        <v>45386</v>
      </c>
      <c r="AB396">
        <f>AA396-Z396</f>
        <v>1</v>
      </c>
      <c r="AC396" t="str">
        <f>TEXT(Z396,"mmmm")</f>
        <v>April</v>
      </c>
      <c r="AD396">
        <f>YEAR(Z396)</f>
        <v>2024</v>
      </c>
      <c r="AE396" t="str">
        <f t="shared" si="20"/>
        <v>OK</v>
      </c>
    </row>
    <row r="397" spans="1:31">
      <c r="A397" t="s">
        <v>1966</v>
      </c>
      <c r="B397" t="s">
        <v>1075</v>
      </c>
      <c r="C397" t="s">
        <v>1762</v>
      </c>
      <c r="D397" t="s">
        <v>1967</v>
      </c>
      <c r="E397" t="s">
        <v>155</v>
      </c>
      <c r="F397" t="s">
        <v>122</v>
      </c>
      <c r="G397" t="s">
        <v>69</v>
      </c>
      <c r="H397" t="s">
        <v>347</v>
      </c>
      <c r="I397" t="s">
        <v>348</v>
      </c>
      <c r="J397" t="s">
        <v>52</v>
      </c>
      <c r="K397" t="s">
        <v>53</v>
      </c>
      <c r="L397" t="s">
        <v>1968</v>
      </c>
      <c r="M397" t="s">
        <v>55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41</v>
      </c>
      <c r="U397" t="s">
        <v>42</v>
      </c>
      <c r="V397">
        <f>O397*(1-P397)*N397</f>
        <v>5731.7014999999992</v>
      </c>
      <c r="W397">
        <f t="shared" si="18"/>
        <v>1616.1414999999988</v>
      </c>
      <c r="X397">
        <f t="shared" si="19"/>
        <v>0.28196521101941835</v>
      </c>
      <c r="Y397" t="s">
        <v>4120</v>
      </c>
      <c r="Z397" s="2">
        <f>IFERROR(
  IF(ISNUMBER(B397),B397,
    IF(ISNUMBER(SEARCH("-",B397)*1),
      IF(LEN(LEFT(B397,FIND("-",B397)-1))=4,
        DATE(VALUE(LEFT(B397,4)),VALUE(MID(B397,6,2)),VALUE(RIGHT(B397,2))),
        DATE(VALUE(RIGHT(B397,4)),VALUE(MID(B397,4,2)),VALUE(LEFT(B397,2)))
      ),
      IF(ISNUMBER(SEARCH("/",B397)*1),
        DATE(VALUE(RIGHT(B397,4)),VALUE(LEFT(B397,2)),VALUE(MID(B397,4,2))),
        DATEVALUE(B397)
      )
    )
  ),
"INVALID_DATE")</f>
        <v>45449</v>
      </c>
      <c r="AA397" s="2">
        <f>IFERROR(
  IF(ISNUMBER(C397),C397,
    IF(ISNUMBER(SEARCH("-",C397)*1),
      IF(LEN(LEFT(C397,FIND("-",C397)-1))=4,
        DATE(VALUE(LEFT(C397,4)),VALUE(MID(C397,6,2)),VALUE(RIGHT(C397,2))),
        DATE(VALUE(RIGHT(C397,4)),VALUE(MID(C397,4,2)),VALUE(LEFT(C397,2)))
      ),
      IF(ISNUMBER(SEARCH("/",C397)*1),
        DATE(VALUE(RIGHT(C397,4)),VALUE(LEFT(C397,2)),VALUE(MID(C397,4,2))),
        DATEVALUE(C397)
      )
    )
  ),
"INVALID_DATE")</f>
        <v>45450</v>
      </c>
      <c r="AB397">
        <f>AA397-Z397</f>
        <v>1</v>
      </c>
      <c r="AC397" t="str">
        <f>TEXT(Z397,"mmmm")</f>
        <v>June</v>
      </c>
      <c r="AD397">
        <f>YEAR(Z397)</f>
        <v>2024</v>
      </c>
      <c r="AE397" t="str">
        <f t="shared" si="20"/>
        <v>OK</v>
      </c>
    </row>
    <row r="398" spans="1:31">
      <c r="A398" t="s">
        <v>1969</v>
      </c>
      <c r="B398" t="s">
        <v>1970</v>
      </c>
      <c r="C398" t="s">
        <v>1971</v>
      </c>
      <c r="D398" t="s">
        <v>1972</v>
      </c>
      <c r="E398" t="s">
        <v>114</v>
      </c>
      <c r="F398" t="s">
        <v>48</v>
      </c>
      <c r="G398" t="s">
        <v>69</v>
      </c>
      <c r="H398" t="s">
        <v>236</v>
      </c>
      <c r="I398" t="s">
        <v>237</v>
      </c>
      <c r="J398" t="s">
        <v>93</v>
      </c>
      <c r="K398" t="s">
        <v>390</v>
      </c>
      <c r="L398" t="s">
        <v>1973</v>
      </c>
      <c r="M398" t="s">
        <v>74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41</v>
      </c>
      <c r="U398" t="s">
        <v>42</v>
      </c>
      <c r="V398">
        <f>O398*(1-P398)*N398</f>
        <v>1213.587</v>
      </c>
      <c r="W398">
        <f t="shared" si="18"/>
        <v>257.36699999999996</v>
      </c>
      <c r="X398">
        <f t="shared" si="19"/>
        <v>0.2120732702148172</v>
      </c>
      <c r="Y398" t="s">
        <v>4120</v>
      </c>
      <c r="Z398" s="2">
        <f>IFERROR(
  IF(ISNUMBER(B398),B398,
    IF(ISNUMBER(SEARCH("-",B398)*1),
      IF(LEN(LEFT(B398,FIND("-",B398)-1))=4,
        DATE(VALUE(LEFT(B398,4)),VALUE(MID(B398,6,2)),VALUE(RIGHT(B398,2))),
        DATE(VALUE(RIGHT(B398,4)),VALUE(MID(B398,4,2)),VALUE(LEFT(B398,2)))
      ),
      IF(ISNUMBER(SEARCH("/",B398)*1),
        DATE(VALUE(RIGHT(B398,4)),VALUE(LEFT(B398,2)),VALUE(MID(B398,4,2))),
        DATEVALUE(B398)
      )
    )
  ),
"INVALID_DATE")</f>
        <v>45761</v>
      </c>
      <c r="AA398" s="2">
        <f>IFERROR(
  IF(ISNUMBER(C398),C398,
    IF(ISNUMBER(SEARCH("-",C398)*1),
      IF(LEN(LEFT(C398,FIND("-",C398)-1))=4,
        DATE(VALUE(LEFT(C398,4)),VALUE(MID(C398,6,2)),VALUE(RIGHT(C398,2))),
        DATE(VALUE(RIGHT(C398,4)),VALUE(MID(C398,4,2)),VALUE(LEFT(C398,2)))
      ),
      IF(ISNUMBER(SEARCH("/",C398)*1),
        DATE(VALUE(RIGHT(C398,4)),VALUE(LEFT(C398,2)),VALUE(MID(C398,4,2))),
        DATEVALUE(C398)
      )
    )
  ),
"INVALID_DATE")</f>
        <v>45769</v>
      </c>
      <c r="AB398">
        <f>AA398-Z398</f>
        <v>8</v>
      </c>
      <c r="AC398" t="str">
        <f>TEXT(Z398,"mmmm")</f>
        <v>April</v>
      </c>
      <c r="AD398">
        <f>YEAR(Z398)</f>
        <v>2025</v>
      </c>
      <c r="AE398" t="str">
        <f t="shared" si="20"/>
        <v>OK</v>
      </c>
    </row>
    <row r="399" spans="1:31">
      <c r="A399" t="s">
        <v>1974</v>
      </c>
      <c r="B399" t="s">
        <v>1975</v>
      </c>
      <c r="C399" t="s">
        <v>1976</v>
      </c>
      <c r="D399" t="s">
        <v>1977</v>
      </c>
      <c r="E399" t="s">
        <v>175</v>
      </c>
      <c r="F399" t="s">
        <v>48</v>
      </c>
      <c r="G399" t="s">
        <v>34</v>
      </c>
      <c r="H399" t="s">
        <v>181</v>
      </c>
      <c r="I399" t="s">
        <v>182</v>
      </c>
      <c r="J399" t="s">
        <v>52</v>
      </c>
      <c r="K399" t="s">
        <v>53</v>
      </c>
      <c r="L399" t="s">
        <v>1978</v>
      </c>
      <c r="M399" t="s">
        <v>40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41</v>
      </c>
      <c r="U399" t="s">
        <v>42</v>
      </c>
      <c r="V399">
        <f>O399*(1-P399)*N399</f>
        <v>3463.76</v>
      </c>
      <c r="W399">
        <f t="shared" si="18"/>
        <v>1320.0200000000004</v>
      </c>
      <c r="X399">
        <f t="shared" si="19"/>
        <v>0.38109453310852942</v>
      </c>
      <c r="Y399" t="s">
        <v>4120</v>
      </c>
      <c r="Z399" s="2">
        <f>IFERROR(
  IF(ISNUMBER(B399),B399,
    IF(ISNUMBER(SEARCH("-",B399)*1),
      IF(LEN(LEFT(B399,FIND("-",B399)-1))=4,
        DATE(VALUE(LEFT(B399,4)),VALUE(MID(B399,6,2)),VALUE(RIGHT(B399,2))),
        DATE(VALUE(RIGHT(B399,4)),VALUE(MID(B399,4,2)),VALUE(LEFT(B399,2)))
      ),
      IF(ISNUMBER(SEARCH("/",B399)*1),
        DATE(VALUE(RIGHT(B399,4)),VALUE(LEFT(B399,2)),VALUE(MID(B399,4,2))),
        DATEVALUE(B399)
      )
    )
  ),
"INVALID_DATE")</f>
        <v>45817</v>
      </c>
      <c r="AA399" s="2">
        <f>IFERROR(
  IF(ISNUMBER(C399),C399,
    IF(ISNUMBER(SEARCH("-",C399)*1),
      IF(LEN(LEFT(C399,FIND("-",C399)-1))=4,
        DATE(VALUE(LEFT(C399,4)),VALUE(MID(C399,6,2)),VALUE(RIGHT(C399,2))),
        DATE(VALUE(RIGHT(C399,4)),VALUE(MID(C399,4,2)),VALUE(LEFT(C399,2)))
      ),
      IF(ISNUMBER(SEARCH("/",C399)*1),
        DATE(VALUE(RIGHT(C399,4)),VALUE(LEFT(C399,2)),VALUE(MID(C399,4,2))),
        DATEVALUE(C399)
      )
    )
  ),
"INVALID_DATE")</f>
        <v>45818</v>
      </c>
      <c r="AB399">
        <f>AA399-Z399</f>
        <v>1</v>
      </c>
      <c r="AC399" t="str">
        <f>TEXT(Z399,"mmmm")</f>
        <v>June</v>
      </c>
      <c r="AD399">
        <f>YEAR(Z399)</f>
        <v>2025</v>
      </c>
      <c r="AE399" t="str">
        <f t="shared" si="20"/>
        <v>OK</v>
      </c>
    </row>
    <row r="400" spans="1:31">
      <c r="A400" t="s">
        <v>1979</v>
      </c>
      <c r="B400" t="s">
        <v>1980</v>
      </c>
      <c r="C400" t="s">
        <v>1981</v>
      </c>
      <c r="D400" t="s">
        <v>1982</v>
      </c>
      <c r="E400" t="s">
        <v>90</v>
      </c>
      <c r="F400" t="s">
        <v>115</v>
      </c>
      <c r="G400" t="s">
        <v>34</v>
      </c>
      <c r="H400" t="s">
        <v>161</v>
      </c>
      <c r="I400" t="s">
        <v>162</v>
      </c>
      <c r="J400" t="s">
        <v>93</v>
      </c>
      <c r="K400" t="s">
        <v>390</v>
      </c>
      <c r="L400" t="s">
        <v>1983</v>
      </c>
      <c r="M400" t="s">
        <v>55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41</v>
      </c>
      <c r="U400" t="s">
        <v>42</v>
      </c>
      <c r="V400">
        <f>O400*(1-P400)*N400</f>
        <v>2021.8400000000001</v>
      </c>
      <c r="W400">
        <f t="shared" si="18"/>
        <v>666.62000000000012</v>
      </c>
      <c r="X400">
        <f t="shared" si="19"/>
        <v>0.32970957147944446</v>
      </c>
      <c r="Y400" t="s">
        <v>4120</v>
      </c>
      <c r="Z400" s="2">
        <f>IFERROR(
  IF(ISNUMBER(B400),B400,
    IF(ISNUMBER(SEARCH("-",B400)*1),
      IF(LEN(LEFT(B400,FIND("-",B400)-1))=4,
        DATE(VALUE(LEFT(B400,4)),VALUE(MID(B400,6,2)),VALUE(RIGHT(B400,2))),
        DATE(VALUE(RIGHT(B400,4)),VALUE(MID(B400,4,2)),VALUE(LEFT(B400,2)))
      ),
      IF(ISNUMBER(SEARCH("/",B400)*1),
        DATE(VALUE(RIGHT(B400,4)),VALUE(LEFT(B400,2)),VALUE(MID(B400,4,2))),
        DATEVALUE(B400)
      )
    )
  ),
"INVALID_DATE")</f>
        <v>45492</v>
      </c>
      <c r="AA400" s="2">
        <f>IFERROR(
  IF(ISNUMBER(C400),C400,
    IF(ISNUMBER(SEARCH("-",C400)*1),
      IF(LEN(LEFT(C400,FIND("-",C400)-1))=4,
        DATE(VALUE(LEFT(C400,4)),VALUE(MID(C400,6,2)),VALUE(RIGHT(C400,2))),
        DATE(VALUE(RIGHT(C400,4)),VALUE(MID(C400,4,2)),VALUE(LEFT(C400,2)))
      ),
      IF(ISNUMBER(SEARCH("/",C400)*1),
        DATE(VALUE(RIGHT(C400,4)),VALUE(LEFT(C400,2)),VALUE(MID(C400,4,2))),
        DATEVALUE(C400)
      )
    )
  ),
"INVALID_DATE")</f>
        <v>45499</v>
      </c>
      <c r="AB400">
        <f>AA400-Z400</f>
        <v>7</v>
      </c>
      <c r="AC400" t="str">
        <f>TEXT(Z400,"mmmm")</f>
        <v>July</v>
      </c>
      <c r="AD400">
        <f>YEAR(Z400)</f>
        <v>2024</v>
      </c>
      <c r="AE400" t="str">
        <f t="shared" si="20"/>
        <v>OK</v>
      </c>
    </row>
    <row r="401" spans="1:31">
      <c r="A401" t="s">
        <v>1984</v>
      </c>
      <c r="B401" t="s">
        <v>1985</v>
      </c>
      <c r="C401" t="s">
        <v>1986</v>
      </c>
      <c r="D401" t="s">
        <v>1987</v>
      </c>
      <c r="E401" t="s">
        <v>217</v>
      </c>
      <c r="F401" t="s">
        <v>48</v>
      </c>
      <c r="G401" t="s">
        <v>69</v>
      </c>
      <c r="H401" t="s">
        <v>107</v>
      </c>
      <c r="I401" t="s">
        <v>108</v>
      </c>
      <c r="J401" t="s">
        <v>37</v>
      </c>
      <c r="K401" t="s">
        <v>38</v>
      </c>
      <c r="L401" t="s">
        <v>1988</v>
      </c>
      <c r="M401" t="s">
        <v>55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41</v>
      </c>
      <c r="U401" t="s">
        <v>42</v>
      </c>
      <c r="V401">
        <f>O401*(1-P401)*N401</f>
        <v>3268.875</v>
      </c>
      <c r="W401">
        <f t="shared" si="18"/>
        <v>1275.135</v>
      </c>
      <c r="X401">
        <f t="shared" si="19"/>
        <v>0.39008467732067253</v>
      </c>
      <c r="Y401" t="s">
        <v>4120</v>
      </c>
      <c r="Z401" s="2">
        <f>IFERROR(
  IF(ISNUMBER(B401),B401,
    IF(ISNUMBER(SEARCH("-",B401)*1),
      IF(LEN(LEFT(B401,FIND("-",B401)-1))=4,
        DATE(VALUE(LEFT(B401,4)),VALUE(MID(B401,6,2)),VALUE(RIGHT(B401,2))),
        DATE(VALUE(RIGHT(B401,4)),VALUE(MID(B401,4,2)),VALUE(LEFT(B401,2)))
      ),
      IF(ISNUMBER(SEARCH("/",B401)*1),
        DATE(VALUE(RIGHT(B401,4)),VALUE(LEFT(B401,2)),VALUE(MID(B401,4,2))),
        DATEVALUE(B401)
      )
    )
  ),
"INVALID_DATE")</f>
        <v>45771</v>
      </c>
      <c r="AA401" s="2">
        <f>IFERROR(
  IF(ISNUMBER(C401),C401,
    IF(ISNUMBER(SEARCH("-",C401)*1),
      IF(LEN(LEFT(C401,FIND("-",C401)-1))=4,
        DATE(VALUE(LEFT(C401,4)),VALUE(MID(C401,6,2)),VALUE(RIGHT(C401,2))),
        DATE(VALUE(RIGHT(C401,4)),VALUE(MID(C401,4,2)),VALUE(LEFT(C401,2)))
      ),
      IF(ISNUMBER(SEARCH("/",C401)*1),
        DATE(VALUE(RIGHT(C401,4)),VALUE(LEFT(C401,2)),VALUE(MID(C401,4,2))),
        DATEVALUE(C401)
      )
    )
  ),
"INVALID_DATE")</f>
        <v>45776</v>
      </c>
      <c r="AB401">
        <f>AA401-Z401</f>
        <v>5</v>
      </c>
      <c r="AC401" t="str">
        <f>TEXT(Z401,"mmmm")</f>
        <v>April</v>
      </c>
      <c r="AD401">
        <f>YEAR(Z401)</f>
        <v>2025</v>
      </c>
      <c r="AE401" t="str">
        <f t="shared" si="20"/>
        <v>OK</v>
      </c>
    </row>
    <row r="402" spans="1:31">
      <c r="A402" t="s">
        <v>1989</v>
      </c>
      <c r="B402" t="s">
        <v>1990</v>
      </c>
      <c r="C402" t="s">
        <v>1991</v>
      </c>
      <c r="D402" t="s">
        <v>1992</v>
      </c>
      <c r="E402" t="s">
        <v>175</v>
      </c>
      <c r="F402" t="s">
        <v>48</v>
      </c>
      <c r="G402" t="s">
        <v>34</v>
      </c>
      <c r="H402" t="s">
        <v>181</v>
      </c>
      <c r="I402" t="s">
        <v>182</v>
      </c>
      <c r="J402" t="s">
        <v>37</v>
      </c>
      <c r="K402" t="s">
        <v>38</v>
      </c>
      <c r="L402" t="s">
        <v>1993</v>
      </c>
      <c r="M402" t="s">
        <v>55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41</v>
      </c>
      <c r="U402" t="s">
        <v>42</v>
      </c>
      <c r="V402">
        <f>O402*(1-P402)*N402</f>
        <v>6761.2930000000006</v>
      </c>
      <c r="W402">
        <f t="shared" si="18"/>
        <v>1883.9130000000005</v>
      </c>
      <c r="X402">
        <f t="shared" si="19"/>
        <v>0.16473207404997173</v>
      </c>
      <c r="Y402" t="str">
        <f>_xlfn.TEXTJOIN(", ",TRUE,IF(G402="Unknown","Missing Region",""),IF(M402="Unknown","Missing Ship Mode",""),IF(P402&lt;0,"Negative Discount",""),IF(P402&gt;0.7,"High Discount",""),IF(C402&lt;B402,"Ship Before Order",""))</f>
        <v>Negative Discount</v>
      </c>
      <c r="Z402" s="2">
        <f>IFERROR(
  IF(ISNUMBER(B402),B402,
    IF(ISNUMBER(SEARCH("-",B402)*1),
      IF(LEN(LEFT(B402,FIND("-",B402)-1))=4,
        DATE(VALUE(LEFT(B402,4)),VALUE(MID(B402,6,2)),VALUE(RIGHT(B402,2))),
        DATE(VALUE(RIGHT(B402,4)),VALUE(MID(B402,4,2)),VALUE(LEFT(B402,2)))
      ),
      IF(ISNUMBER(SEARCH("/",B402)*1),
        DATE(VALUE(RIGHT(B402,4)),VALUE(LEFT(B402,2)),VALUE(MID(B402,4,2))),
        DATEVALUE(B402)
      )
    )
  ),
"INVALID_DATE")</f>
        <v>45814</v>
      </c>
      <c r="AA402" s="2">
        <f>IFERROR(
  IF(ISNUMBER(C402),C402,
    IF(ISNUMBER(SEARCH("-",C402)*1),
      IF(LEN(LEFT(C402,FIND("-",C402)-1))=4,
        DATE(VALUE(LEFT(C402,4)),VALUE(MID(C402,6,2)),VALUE(RIGHT(C402,2))),
        DATE(VALUE(RIGHT(C402,4)),VALUE(MID(C402,4,2)),VALUE(LEFT(C402,2)))
      ),
      IF(ISNUMBER(SEARCH("/",C402)*1),
        DATE(VALUE(RIGHT(C402,4)),VALUE(LEFT(C402,2)),VALUE(MID(C402,4,2))),
        DATEVALUE(C402)
      )
    )
  ),
"INVALID_DATE")</f>
        <v>45819</v>
      </c>
      <c r="AB402">
        <f>AA402-Z402</f>
        <v>5</v>
      </c>
      <c r="AC402" t="str">
        <f>TEXT(Z402,"mmmm")</f>
        <v>June</v>
      </c>
      <c r="AD402">
        <f>YEAR(Z402)</f>
        <v>2025</v>
      </c>
      <c r="AE402" t="str">
        <f t="shared" si="20"/>
        <v>OK</v>
      </c>
    </row>
    <row r="403" spans="1:31">
      <c r="A403" t="s">
        <v>1994</v>
      </c>
      <c r="B403" t="s">
        <v>1995</v>
      </c>
      <c r="C403" t="s">
        <v>1996</v>
      </c>
      <c r="D403" t="s">
        <v>1997</v>
      </c>
      <c r="E403" t="s">
        <v>68</v>
      </c>
      <c r="F403" t="s">
        <v>48</v>
      </c>
      <c r="G403" t="s">
        <v>49</v>
      </c>
      <c r="H403" t="s">
        <v>319</v>
      </c>
      <c r="I403" t="s">
        <v>320</v>
      </c>
      <c r="J403" t="s">
        <v>52</v>
      </c>
      <c r="K403" t="s">
        <v>53</v>
      </c>
      <c r="L403" t="s">
        <v>1998</v>
      </c>
      <c r="M403" t="s">
        <v>55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41</v>
      </c>
      <c r="U403" t="s">
        <v>42</v>
      </c>
      <c r="V403">
        <f>O403*(1-P403)*N403</f>
        <v>7877.5499999999993</v>
      </c>
      <c r="W403">
        <f t="shared" si="18"/>
        <v>2314.7799999999988</v>
      </c>
      <c r="X403">
        <f t="shared" si="19"/>
        <v>0.29384516759652429</v>
      </c>
      <c r="Y403" t="s">
        <v>4120</v>
      </c>
      <c r="Z403" s="2">
        <f>IFERROR(
  IF(ISNUMBER(B403),B403,
    IF(ISNUMBER(SEARCH("-",B403)*1),
      IF(LEN(LEFT(B403,FIND("-",B403)-1))=4,
        DATE(VALUE(LEFT(B403,4)),VALUE(MID(B403,6,2)),VALUE(RIGHT(B403,2))),
        DATE(VALUE(RIGHT(B403,4)),VALUE(MID(B403,4,2)),VALUE(LEFT(B403,2)))
      ),
      IF(ISNUMBER(SEARCH("/",B403)*1),
        DATE(VALUE(RIGHT(B403,4)),VALUE(LEFT(B403,2)),VALUE(MID(B403,4,2))),
        DATEVALUE(B403)
      )
    )
  ),
"INVALID_DATE")</f>
        <v>45725</v>
      </c>
      <c r="AA403" s="2">
        <f>IFERROR(
  IF(ISNUMBER(C403),C403,
    IF(ISNUMBER(SEARCH("-",C403)*1),
      IF(LEN(LEFT(C403,FIND("-",C403)-1))=4,
        DATE(VALUE(LEFT(C403,4)),VALUE(MID(C403,6,2)),VALUE(RIGHT(C403,2))),
        DATE(VALUE(RIGHT(C403,4)),VALUE(MID(C403,4,2)),VALUE(LEFT(C403,2)))
      ),
      IF(ISNUMBER(SEARCH("/",C403)*1),
        DATE(VALUE(RIGHT(C403,4)),VALUE(LEFT(C403,2)),VALUE(MID(C403,4,2))),
        DATEVALUE(C403)
      )
    )
  ),
"INVALID_DATE")</f>
        <v>45732</v>
      </c>
      <c r="AB403">
        <f>AA403-Z403</f>
        <v>7</v>
      </c>
      <c r="AC403" t="str">
        <f>TEXT(Z403,"mmmm")</f>
        <v>March</v>
      </c>
      <c r="AD403">
        <f>YEAR(Z403)</f>
        <v>2025</v>
      </c>
      <c r="AE403" t="str">
        <f t="shared" si="20"/>
        <v>OK</v>
      </c>
    </row>
    <row r="404" spans="1:31">
      <c r="A404" t="s">
        <v>1999</v>
      </c>
      <c r="B404" t="s">
        <v>2000</v>
      </c>
      <c r="C404" t="s">
        <v>2001</v>
      </c>
      <c r="D404" t="s">
        <v>2002</v>
      </c>
      <c r="E404" t="s">
        <v>149</v>
      </c>
      <c r="F404" t="s">
        <v>48</v>
      </c>
      <c r="G404" t="s">
        <v>69</v>
      </c>
      <c r="H404" t="s">
        <v>236</v>
      </c>
      <c r="I404" t="s">
        <v>237</v>
      </c>
      <c r="J404" t="s">
        <v>52</v>
      </c>
      <c r="K404" t="s">
        <v>53</v>
      </c>
      <c r="L404" t="s">
        <v>2003</v>
      </c>
      <c r="M404" t="s">
        <v>279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41</v>
      </c>
      <c r="U404" t="s">
        <v>42</v>
      </c>
      <c r="V404">
        <f>O404*(1-P404)*N404</f>
        <v>4095.7799999999997</v>
      </c>
      <c r="W404">
        <f t="shared" si="18"/>
        <v>1288.0099999999998</v>
      </c>
      <c r="X404">
        <f t="shared" si="19"/>
        <v>0.31447245701673426</v>
      </c>
      <c r="Y404" t="str">
        <f>_xlfn.TEXTJOIN(", ",TRUE,IF(G404="Unknown","Missing Region",""),IF(M404="Unknown","Missing Ship Mode",""),IF(P404&lt;0,"Negative Discount",""),IF(P404&gt;0.7,"High Discount",""),IF(C404&lt;B404,"Ship Before Order",""))</f>
        <v>Missing Ship Mode, Ship Before Order</v>
      </c>
      <c r="Z404" s="2">
        <f>IFERROR(
  IF(ISNUMBER(B404),B404,
    IF(ISNUMBER(SEARCH("-",B404)*1),
      IF(LEN(LEFT(B404,FIND("-",B404)-1))=4,
        DATE(VALUE(LEFT(B404,4)),VALUE(MID(B404,6,2)),VALUE(RIGHT(B404,2))),
        DATE(VALUE(RIGHT(B404,4)),VALUE(MID(B404,4,2)),VALUE(LEFT(B404,2)))
      ),
      IF(ISNUMBER(SEARCH("/",B404)*1),
        DATE(VALUE(RIGHT(B404,4)),VALUE(LEFT(B404,2)),VALUE(MID(B404,4,2))),
        DATEVALUE(B404)
      )
    )
  ),
"INVALID_DATE")</f>
        <v>45373</v>
      </c>
      <c r="AA404" s="2">
        <f>IFERROR(
  IF(ISNUMBER(C404),C404,
    IF(ISNUMBER(SEARCH("-",C404)*1),
      IF(LEN(LEFT(C404,FIND("-",C404)-1))=4,
        DATE(VALUE(LEFT(C404,4)),VALUE(MID(C404,6,2)),VALUE(RIGHT(C404,2))),
        DATE(VALUE(RIGHT(C404,4)),VALUE(MID(C404,4,2)),VALUE(LEFT(C404,2)))
      ),
      IF(ISNUMBER(SEARCH("/",C404)*1),
        DATE(VALUE(RIGHT(C404,4)),VALUE(LEFT(C404,2)),VALUE(MID(C404,4,2))),
        DATEVALUE(C404)
      )
    )
  ),
"INVALID_DATE")</f>
        <v>45373</v>
      </c>
      <c r="AB404">
        <f>AA404-Z404</f>
        <v>0</v>
      </c>
      <c r="AC404" t="str">
        <f>TEXT(Z404,"mmmm")</f>
        <v>March</v>
      </c>
      <c r="AD404">
        <f>YEAR(Z404)</f>
        <v>2024</v>
      </c>
      <c r="AE404" t="str">
        <f t="shared" si="20"/>
        <v>OK</v>
      </c>
    </row>
    <row r="405" spans="1:31">
      <c r="A405" t="s">
        <v>2004</v>
      </c>
      <c r="B405" t="s">
        <v>2005</v>
      </c>
      <c r="C405" t="s">
        <v>2006</v>
      </c>
      <c r="D405" t="s">
        <v>2007</v>
      </c>
      <c r="E405" t="s">
        <v>68</v>
      </c>
      <c r="F405" t="s">
        <v>48</v>
      </c>
      <c r="G405" t="s">
        <v>69</v>
      </c>
      <c r="H405" t="s">
        <v>249</v>
      </c>
      <c r="I405" t="s">
        <v>250</v>
      </c>
      <c r="J405" t="s">
        <v>37</v>
      </c>
      <c r="K405" t="s">
        <v>2008</v>
      </c>
      <c r="L405" t="s">
        <v>2009</v>
      </c>
      <c r="M405" t="s">
        <v>55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41</v>
      </c>
      <c r="U405" t="s">
        <v>132</v>
      </c>
      <c r="V405">
        <f>O405*(1-P405)*N405</f>
        <v>16683.1875</v>
      </c>
      <c r="W405">
        <f t="shared" si="18"/>
        <v>6382.0275000000001</v>
      </c>
      <c r="X405">
        <f t="shared" si="19"/>
        <v>0.38254254731858839</v>
      </c>
      <c r="Y405" t="str">
        <f>_xlfn.TEXTJOIN(", ",TRUE,IF(G405="Unknown","Missing Region",""),IF(M405="Unknown","Missing Ship Mode",""),IF(P405&lt;0,"Negative Discount",""),IF(P405&gt;0.7,"High Discount",""),IF(C405&lt;B405,"Ship Before Order",""))</f>
        <v>Ship Before Order</v>
      </c>
      <c r="Z405" s="2">
        <f>IFERROR(
  IF(ISNUMBER(B405),B405,
    IF(ISNUMBER(SEARCH("-",B405)*1),
      IF(LEN(LEFT(B405,FIND("-",B405)-1))=4,
        DATE(VALUE(LEFT(B405,4)),VALUE(MID(B405,6,2)),VALUE(RIGHT(B405,2))),
        DATE(VALUE(RIGHT(B405,4)),VALUE(MID(B405,4,2)),VALUE(LEFT(B405,2)))
      ),
      IF(ISNUMBER(SEARCH("/",B405)*1),
        DATE(VALUE(RIGHT(B405,4)),VALUE(LEFT(B405,2)),VALUE(MID(B405,4,2))),
        DATEVALUE(B405)
      )
    )
  ),
"INVALID_DATE")</f>
        <v>45565</v>
      </c>
      <c r="AA405" s="2">
        <f>IFERROR(
  IF(ISNUMBER(C405),C405,
    IF(ISNUMBER(SEARCH("-",C405)*1),
      IF(LEN(LEFT(C405,FIND("-",C405)-1))=4,
        DATE(VALUE(LEFT(C405,4)),VALUE(MID(C405,6,2)),VALUE(RIGHT(C405,2))),
        DATE(VALUE(RIGHT(C405,4)),VALUE(MID(C405,4,2)),VALUE(LEFT(C405,2)))
      ),
      IF(ISNUMBER(SEARCH("/",C405)*1),
        DATE(VALUE(RIGHT(C405,4)),VALUE(LEFT(C405,2)),VALUE(MID(C405,4,2))),
        DATEVALUE(C405)
      )
    )
  ),
"INVALID_DATE")</f>
        <v>45569</v>
      </c>
      <c r="AB405">
        <f>AA405-Z405</f>
        <v>4</v>
      </c>
      <c r="AC405" t="str">
        <f>TEXT(Z405,"mmmm")</f>
        <v>September</v>
      </c>
      <c r="AD405">
        <f>YEAR(Z405)</f>
        <v>2024</v>
      </c>
      <c r="AE405" t="str">
        <f t="shared" si="20"/>
        <v>OK</v>
      </c>
    </row>
    <row r="406" spans="1:31">
      <c r="A406" t="s">
        <v>2010</v>
      </c>
      <c r="B406" t="s">
        <v>2011</v>
      </c>
      <c r="C406" t="s">
        <v>2012</v>
      </c>
      <c r="D406" t="s">
        <v>2013</v>
      </c>
      <c r="E406" t="s">
        <v>114</v>
      </c>
      <c r="F406" t="s">
        <v>115</v>
      </c>
      <c r="G406" t="s">
        <v>80</v>
      </c>
      <c r="H406" t="s">
        <v>35</v>
      </c>
      <c r="I406" t="s">
        <v>142</v>
      </c>
      <c r="J406" t="s">
        <v>52</v>
      </c>
      <c r="K406" t="s">
        <v>83</v>
      </c>
      <c r="L406" t="s">
        <v>2014</v>
      </c>
      <c r="M406" t="s">
        <v>55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41</v>
      </c>
      <c r="U406" t="s">
        <v>42</v>
      </c>
      <c r="V406">
        <f>O406*(1-P406)*N406</f>
        <v>1078.83</v>
      </c>
      <c r="W406">
        <f t="shared" si="18"/>
        <v>152.4799999999999</v>
      </c>
      <c r="X406">
        <f t="shared" si="19"/>
        <v>0.14133830167867042</v>
      </c>
      <c r="Y406" t="str">
        <f>_xlfn.TEXTJOIN(", ",TRUE,IF(G406="Unknown","Missing Region",""),IF(M406="Unknown","Missing Ship Mode",""),IF(P406&lt;0,"Negative Discount",""),IF(P406&gt;0.7,"High Discount",""),IF(C406&lt;B406,"Ship Before Order",""))</f>
        <v>Ship Before Order</v>
      </c>
      <c r="Z406" s="2">
        <f>IFERROR(
  IF(ISNUMBER(B406),B406,
    IF(ISNUMBER(SEARCH("-",B406)*1),
      IF(LEN(LEFT(B406,FIND("-",B406)-1))=4,
        DATE(VALUE(LEFT(B406,4)),VALUE(MID(B406,6,2)),VALUE(RIGHT(B406,2))),
        DATE(VALUE(RIGHT(B406,4)),VALUE(MID(B406,4,2)),VALUE(LEFT(B406,2)))
      ),
      IF(ISNUMBER(SEARCH("/",B406)*1),
        DATE(VALUE(RIGHT(B406,4)),VALUE(LEFT(B406,2)),VALUE(MID(B406,4,2))),
        DATEVALUE(B406)
      )
    )
  ),
"INVALID_DATE")</f>
        <v>45318</v>
      </c>
      <c r="AA406" s="2">
        <f>IFERROR(
  IF(ISNUMBER(C406),C406,
    IF(ISNUMBER(SEARCH("-",C406)*1),
      IF(LEN(LEFT(C406,FIND("-",C406)-1))=4,
        DATE(VALUE(LEFT(C406,4)),VALUE(MID(C406,6,2)),VALUE(RIGHT(C406,2))),
        DATE(VALUE(RIGHT(C406,4)),VALUE(MID(C406,4,2)),VALUE(LEFT(C406,2)))
      ),
      IF(ISNUMBER(SEARCH("/",C406)*1),
        DATE(VALUE(RIGHT(C406,4)),VALUE(LEFT(C406,2)),VALUE(MID(C406,4,2))),
        DATEVALUE(C406)
      )
    )
  ),
"INVALID_DATE")</f>
        <v>45325</v>
      </c>
      <c r="AB406">
        <f>AA406-Z406</f>
        <v>7</v>
      </c>
      <c r="AC406" t="str">
        <f>TEXT(Z406,"mmmm")</f>
        <v>January</v>
      </c>
      <c r="AD406">
        <f>YEAR(Z406)</f>
        <v>2024</v>
      </c>
      <c r="AE406" t="str">
        <f t="shared" si="20"/>
        <v>OK</v>
      </c>
    </row>
    <row r="407" spans="1:31">
      <c r="A407" t="s">
        <v>2015</v>
      </c>
      <c r="B407" t="s">
        <v>2016</v>
      </c>
      <c r="C407" t="s">
        <v>2017</v>
      </c>
      <c r="D407" t="s">
        <v>2018</v>
      </c>
      <c r="E407" t="s">
        <v>114</v>
      </c>
      <c r="F407" t="s">
        <v>122</v>
      </c>
      <c r="G407" t="s">
        <v>80</v>
      </c>
      <c r="H407" t="s">
        <v>242</v>
      </c>
      <c r="I407" t="s">
        <v>243</v>
      </c>
      <c r="J407" t="s">
        <v>52</v>
      </c>
      <c r="K407" t="s">
        <v>211</v>
      </c>
      <c r="L407" t="s">
        <v>2019</v>
      </c>
      <c r="M407" t="s">
        <v>279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41</v>
      </c>
      <c r="U407" t="s">
        <v>42</v>
      </c>
      <c r="V407">
        <f>O407*(1-P407)*N407</f>
        <v>24431.463000000003</v>
      </c>
      <c r="W407">
        <f t="shared" si="18"/>
        <v>6229.1030000000028</v>
      </c>
      <c r="X407">
        <f t="shared" si="19"/>
        <v>0.25496224949307167</v>
      </c>
      <c r="Y407" t="str">
        <f>_xlfn.TEXTJOIN(", ",TRUE,IF(G407="Unknown","Missing Region",""),IF(M407="Unknown","Missing Ship Mode",""),IF(P407&lt;0,"Negative Discount",""),IF(P407&gt;0.7,"High Discount",""),IF(C407&lt;B407,"Ship Before Order",""))</f>
        <v>Missing Ship Mode</v>
      </c>
      <c r="Z407" s="2">
        <f>IFERROR(
  IF(ISNUMBER(B407),B407,
    IF(ISNUMBER(SEARCH("-",B407)*1),
      IF(LEN(LEFT(B407,FIND("-",B407)-1))=4,
        DATE(VALUE(LEFT(B407,4)),VALUE(MID(B407,6,2)),VALUE(RIGHT(B407,2))),
        DATE(VALUE(RIGHT(B407,4)),VALUE(MID(B407,4,2)),VALUE(LEFT(B407,2)))
      ),
      IF(ISNUMBER(SEARCH("/",B407)*1),
        DATE(VALUE(RIGHT(B407,4)),VALUE(LEFT(B407,2)),VALUE(MID(B407,4,2))),
        DATEVALUE(B407)
      )
    )
  ),
"INVALID_DATE")</f>
        <v>45558</v>
      </c>
      <c r="AA407" s="2">
        <f>IFERROR(
  IF(ISNUMBER(C407),C407,
    IF(ISNUMBER(SEARCH("-",C407)*1),
      IF(LEN(LEFT(C407,FIND("-",C407)-1))=4,
        DATE(VALUE(LEFT(C407,4)),VALUE(MID(C407,6,2)),VALUE(RIGHT(C407,2))),
        DATE(VALUE(RIGHT(C407,4)),VALUE(MID(C407,4,2)),VALUE(LEFT(C407,2)))
      ),
      IF(ISNUMBER(SEARCH("/",C407)*1),
        DATE(VALUE(RIGHT(C407,4)),VALUE(LEFT(C407,2)),VALUE(MID(C407,4,2))),
        DATEVALUE(C407)
      )
    )
  ),
"INVALID_DATE")</f>
        <v>45559</v>
      </c>
      <c r="AB407">
        <f>AA407-Z407</f>
        <v>1</v>
      </c>
      <c r="AC407" t="str">
        <f>TEXT(Z407,"mmmm")</f>
        <v>September</v>
      </c>
      <c r="AD407">
        <f>YEAR(Z407)</f>
        <v>2024</v>
      </c>
      <c r="AE407" t="str">
        <f t="shared" si="20"/>
        <v>OK</v>
      </c>
    </row>
    <row r="408" spans="1:31">
      <c r="A408" t="s">
        <v>2020</v>
      </c>
      <c r="B408" t="s">
        <v>2021</v>
      </c>
      <c r="C408" t="s">
        <v>2021</v>
      </c>
      <c r="D408" t="s">
        <v>2022</v>
      </c>
      <c r="E408" t="s">
        <v>374</v>
      </c>
      <c r="F408" t="s">
        <v>48</v>
      </c>
      <c r="G408" t="s">
        <v>80</v>
      </c>
      <c r="H408" t="s">
        <v>256</v>
      </c>
      <c r="I408" t="s">
        <v>257</v>
      </c>
      <c r="J408" t="s">
        <v>52</v>
      </c>
      <c r="K408" t="s">
        <v>72</v>
      </c>
      <c r="L408" t="s">
        <v>2023</v>
      </c>
      <c r="M408" t="s">
        <v>74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144</v>
      </c>
      <c r="U408" t="s">
        <v>132</v>
      </c>
      <c r="V408">
        <f>O408*(1-P408)*N408</f>
        <v>5886.2999999999993</v>
      </c>
      <c r="W408">
        <f t="shared" si="18"/>
        <v>2264.5399999999991</v>
      </c>
      <c r="X408">
        <f t="shared" si="19"/>
        <v>0.3847136571360617</v>
      </c>
      <c r="Y408" t="s">
        <v>4120</v>
      </c>
      <c r="Z408" s="2">
        <f>IFERROR(
  IF(ISNUMBER(B408),B408,
    IF(ISNUMBER(SEARCH("-",B408)*1),
      IF(LEN(LEFT(B408,FIND("-",B408)-1))=4,
        DATE(VALUE(LEFT(B408,4)),VALUE(MID(B408,6,2)),VALUE(RIGHT(B408,2))),
        DATE(VALUE(RIGHT(B408,4)),VALUE(MID(B408,4,2)),VALUE(LEFT(B408,2)))
      ),
      IF(ISNUMBER(SEARCH("/",B408)*1),
        DATE(VALUE(RIGHT(B408,4)),VALUE(LEFT(B408,2)),VALUE(MID(B408,4,2))),
        DATEVALUE(B408)
      )
    )
  ),
"INVALID_DATE")</f>
        <v>45713</v>
      </c>
      <c r="AA408" s="2">
        <f>IFERROR(
  IF(ISNUMBER(C408),C408,
    IF(ISNUMBER(SEARCH("-",C408)*1),
      IF(LEN(LEFT(C408,FIND("-",C408)-1))=4,
        DATE(VALUE(LEFT(C408,4)),VALUE(MID(C408,6,2)),VALUE(RIGHT(C408,2))),
        DATE(VALUE(RIGHT(C408,4)),VALUE(MID(C408,4,2)),VALUE(LEFT(C408,2)))
      ),
      IF(ISNUMBER(SEARCH("/",C408)*1),
        DATE(VALUE(RIGHT(C408,4)),VALUE(LEFT(C408,2)),VALUE(MID(C408,4,2))),
        DATEVALUE(C408)
      )
    )
  ),
"INVALID_DATE")</f>
        <v>45713</v>
      </c>
      <c r="AB408">
        <f>AA408-Z408</f>
        <v>0</v>
      </c>
      <c r="AC408" t="str">
        <f>TEXT(Z408,"mmmm")</f>
        <v>February</v>
      </c>
      <c r="AD408">
        <f>YEAR(Z408)</f>
        <v>2025</v>
      </c>
      <c r="AE408" t="str">
        <f t="shared" si="20"/>
        <v>OK</v>
      </c>
    </row>
    <row r="409" spans="1:31">
      <c r="A409" t="s">
        <v>2024</v>
      </c>
      <c r="B409" t="s">
        <v>2025</v>
      </c>
      <c r="C409" t="s">
        <v>2026</v>
      </c>
      <c r="D409" t="s">
        <v>2027</v>
      </c>
      <c r="E409" t="s">
        <v>155</v>
      </c>
      <c r="F409" t="s">
        <v>115</v>
      </c>
      <c r="G409" t="s">
        <v>80</v>
      </c>
      <c r="H409" t="s">
        <v>256</v>
      </c>
      <c r="I409" t="s">
        <v>257</v>
      </c>
      <c r="J409" t="s">
        <v>37</v>
      </c>
      <c r="K409" t="s">
        <v>116</v>
      </c>
      <c r="L409" t="s">
        <v>2028</v>
      </c>
      <c r="M409" t="s">
        <v>40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41</v>
      </c>
      <c r="U409" t="s">
        <v>42</v>
      </c>
      <c r="V409">
        <f>O409*(1-P409)*N409</f>
        <v>7933.6500000000005</v>
      </c>
      <c r="W409">
        <f t="shared" si="18"/>
        <v>2235.2300000000005</v>
      </c>
      <c r="X409">
        <f t="shared" si="19"/>
        <v>0.2817404347305465</v>
      </c>
      <c r="Y409" t="s">
        <v>4120</v>
      </c>
      <c r="Z409" s="2">
        <f>IFERROR(
  IF(ISNUMBER(B409),B409,
    IF(ISNUMBER(SEARCH("-",B409)*1),
      IF(LEN(LEFT(B409,FIND("-",B409)-1))=4,
        DATE(VALUE(LEFT(B409,4)),VALUE(MID(B409,6,2)),VALUE(RIGHT(B409,2))),
        DATE(VALUE(RIGHT(B409,4)),VALUE(MID(B409,4,2)),VALUE(LEFT(B409,2)))
      ),
      IF(ISNUMBER(SEARCH("/",B409)*1),
        DATE(VALUE(RIGHT(B409,4)),VALUE(LEFT(B409,2)),VALUE(MID(B409,4,2))),
        DATEVALUE(B409)
      )
    )
  ),
"INVALID_DATE")</f>
        <v>45424</v>
      </c>
      <c r="AA409" s="2">
        <f>IFERROR(
  IF(ISNUMBER(C409),C409,
    IF(ISNUMBER(SEARCH("-",C409)*1),
      IF(LEN(LEFT(C409,FIND("-",C409)-1))=4,
        DATE(VALUE(LEFT(C409,4)),VALUE(MID(C409,6,2)),VALUE(RIGHT(C409,2))),
        DATE(VALUE(RIGHT(C409,4)),VALUE(MID(C409,4,2)),VALUE(LEFT(C409,2)))
      ),
      IF(ISNUMBER(SEARCH("/",C409)*1),
        DATE(VALUE(RIGHT(C409,4)),VALUE(LEFT(C409,2)),VALUE(MID(C409,4,2))),
        DATEVALUE(C409)
      )
    )
  ),
"INVALID_DATE")</f>
        <v>45425</v>
      </c>
      <c r="AB409">
        <f>AA409-Z409</f>
        <v>1</v>
      </c>
      <c r="AC409" t="str">
        <f>TEXT(Z409,"mmmm")</f>
        <v>May</v>
      </c>
      <c r="AD409">
        <f>YEAR(Z409)</f>
        <v>2024</v>
      </c>
      <c r="AE409" t="str">
        <f t="shared" si="20"/>
        <v>OK</v>
      </c>
    </row>
    <row r="410" spans="1:31">
      <c r="A410" t="s">
        <v>2029</v>
      </c>
      <c r="B410" t="s">
        <v>828</v>
      </c>
      <c r="C410" t="s">
        <v>1088</v>
      </c>
      <c r="D410" t="s">
        <v>2030</v>
      </c>
      <c r="E410" t="s">
        <v>175</v>
      </c>
      <c r="F410" t="s">
        <v>33</v>
      </c>
      <c r="G410" t="s">
        <v>80</v>
      </c>
      <c r="H410" t="s">
        <v>81</v>
      </c>
      <c r="I410" t="s">
        <v>82</v>
      </c>
      <c r="J410" t="s">
        <v>52</v>
      </c>
      <c r="K410" t="s">
        <v>83</v>
      </c>
      <c r="L410" t="s">
        <v>2031</v>
      </c>
      <c r="M410" t="s">
        <v>63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207</v>
      </c>
      <c r="U410" t="s">
        <v>132</v>
      </c>
      <c r="V410">
        <f>O410*(1-P410)*N410</f>
        <v>7093.84</v>
      </c>
      <c r="W410">
        <f t="shared" si="18"/>
        <v>2506.3500000000004</v>
      </c>
      <c r="X410">
        <f t="shared" si="19"/>
        <v>0.35331357910525185</v>
      </c>
      <c r="Y410" t="s">
        <v>4120</v>
      </c>
      <c r="Z410" s="2">
        <f>IFERROR(
  IF(ISNUMBER(B410),B410,
    IF(ISNUMBER(SEARCH("-",B410)*1),
      IF(LEN(LEFT(B410,FIND("-",B410)-1))=4,
        DATE(VALUE(LEFT(B410,4)),VALUE(MID(B410,6,2)),VALUE(RIGHT(B410,2))),
        DATE(VALUE(RIGHT(B410,4)),VALUE(MID(B410,4,2)),VALUE(LEFT(B410,2)))
      ),
      IF(ISNUMBER(SEARCH("/",B410)*1),
        DATE(VALUE(RIGHT(B410,4)),VALUE(LEFT(B410,2)),VALUE(MID(B410,4,2))),
        DATEVALUE(B410)
      )
    )
  ),
"INVALID_DATE")</f>
        <v>45870</v>
      </c>
      <c r="AA410" s="2">
        <f>IFERROR(
  IF(ISNUMBER(C410),C410,
    IF(ISNUMBER(SEARCH("-",C410)*1),
      IF(LEN(LEFT(C410,FIND("-",C410)-1))=4,
        DATE(VALUE(LEFT(C410,4)),VALUE(MID(C410,6,2)),VALUE(RIGHT(C410,2))),
        DATE(VALUE(RIGHT(C410,4)),VALUE(MID(C410,4,2)),VALUE(LEFT(C410,2)))
      ),
      IF(ISNUMBER(SEARCH("/",C410)*1),
        DATE(VALUE(RIGHT(C410,4)),VALUE(LEFT(C410,2)),VALUE(MID(C410,4,2))),
        DATEVALUE(C410)
      )
    )
  ),
"INVALID_DATE")</f>
        <v>45872</v>
      </c>
      <c r="AB410">
        <f>AA410-Z410</f>
        <v>2</v>
      </c>
      <c r="AC410" t="str">
        <f>TEXT(Z410,"mmmm")</f>
        <v>August</v>
      </c>
      <c r="AD410">
        <f>YEAR(Z410)</f>
        <v>2025</v>
      </c>
      <c r="AE410" t="str">
        <f t="shared" si="20"/>
        <v>OK</v>
      </c>
    </row>
    <row r="411" spans="1:31">
      <c r="A411" t="s">
        <v>2032</v>
      </c>
      <c r="B411" t="s">
        <v>838</v>
      </c>
      <c r="C411" t="s">
        <v>779</v>
      </c>
      <c r="D411" t="s">
        <v>2033</v>
      </c>
      <c r="E411" t="s">
        <v>32</v>
      </c>
      <c r="F411" t="s">
        <v>33</v>
      </c>
      <c r="G411" t="s">
        <v>49</v>
      </c>
      <c r="H411" t="s">
        <v>223</v>
      </c>
      <c r="I411" t="s">
        <v>224</v>
      </c>
      <c r="J411" t="s">
        <v>93</v>
      </c>
      <c r="K411" t="s">
        <v>94</v>
      </c>
      <c r="L411" t="s">
        <v>2034</v>
      </c>
      <c r="M411" t="s">
        <v>55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131</v>
      </c>
      <c r="U411" t="s">
        <v>132</v>
      </c>
      <c r="V411">
        <f>O411*(1-P411)*N411</f>
        <v>2269.0950000000003</v>
      </c>
      <c r="W411">
        <f t="shared" si="18"/>
        <v>675.50500000000034</v>
      </c>
      <c r="X411">
        <f t="shared" si="19"/>
        <v>0.29769952844740205</v>
      </c>
      <c r="Y411" t="s">
        <v>4120</v>
      </c>
      <c r="Z411" s="2">
        <f>IFERROR(
  IF(ISNUMBER(B411),B411,
    IF(ISNUMBER(SEARCH("-",B411)*1),
      IF(LEN(LEFT(B411,FIND("-",B411)-1))=4,
        DATE(VALUE(LEFT(B411,4)),VALUE(MID(B411,6,2)),VALUE(RIGHT(B411,2))),
        DATE(VALUE(RIGHT(B411,4)),VALUE(MID(B411,4,2)),VALUE(LEFT(B411,2)))
      ),
      IF(ISNUMBER(SEARCH("/",B411)*1),
        DATE(VALUE(RIGHT(B411,4)),VALUE(LEFT(B411,2)),VALUE(MID(B411,4,2))),
        DATEVALUE(B411)
      )
    )
  ),
"INVALID_DATE")</f>
        <v>45701</v>
      </c>
      <c r="AA411" s="2">
        <f>IFERROR(
  IF(ISNUMBER(C411),C411,
    IF(ISNUMBER(SEARCH("-",C411)*1),
      IF(LEN(LEFT(C411,FIND("-",C411)-1))=4,
        DATE(VALUE(LEFT(C411,4)),VALUE(MID(C411,6,2)),VALUE(RIGHT(C411,2))),
        DATE(VALUE(RIGHT(C411,4)),VALUE(MID(C411,4,2)),VALUE(LEFT(C411,2)))
      ),
      IF(ISNUMBER(SEARCH("/",C411)*1),
        DATE(VALUE(RIGHT(C411,4)),VALUE(LEFT(C411,2)),VALUE(MID(C411,4,2))),
        DATEVALUE(C411)
      )
    )
  ),
"INVALID_DATE")</f>
        <v>45703</v>
      </c>
      <c r="AB411">
        <f>AA411-Z411</f>
        <v>2</v>
      </c>
      <c r="AC411" t="str">
        <f>TEXT(Z411,"mmmm")</f>
        <v>February</v>
      </c>
      <c r="AD411">
        <f>YEAR(Z411)</f>
        <v>2025</v>
      </c>
      <c r="AE411" t="str">
        <f t="shared" si="20"/>
        <v>OK</v>
      </c>
    </row>
    <row r="412" spans="1:31">
      <c r="A412" t="s">
        <v>2035</v>
      </c>
      <c r="B412" t="s">
        <v>2036</v>
      </c>
      <c r="C412" t="s">
        <v>2037</v>
      </c>
      <c r="D412" t="s">
        <v>2038</v>
      </c>
      <c r="E412" t="s">
        <v>217</v>
      </c>
      <c r="F412" t="s">
        <v>33</v>
      </c>
      <c r="G412" t="s">
        <v>80</v>
      </c>
      <c r="H412" t="s">
        <v>256</v>
      </c>
      <c r="I412" t="s">
        <v>257</v>
      </c>
      <c r="J412" t="s">
        <v>52</v>
      </c>
      <c r="K412" t="s">
        <v>53</v>
      </c>
      <c r="L412" t="s">
        <v>2039</v>
      </c>
      <c r="M412" t="s">
        <v>63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41</v>
      </c>
      <c r="U412" t="s">
        <v>42</v>
      </c>
      <c r="V412">
        <f>O412*(1-P412)*N412</f>
        <v>9378.7919999999995</v>
      </c>
      <c r="W412">
        <f t="shared" si="18"/>
        <v>2604.3119999999999</v>
      </c>
      <c r="X412">
        <f t="shared" si="19"/>
        <v>0.27768080957138391</v>
      </c>
      <c r="Y412" t="str">
        <f>_xlfn.TEXTJOIN(", ",TRUE,IF(G412="Unknown","Missing Region",""),IF(M412="Unknown","Missing Ship Mode",""),IF(P412&lt;0,"Negative Discount",""),IF(P412&gt;0.7,"High Discount",""),IF(C412&lt;B412,"Ship Before Order",""))</f>
        <v>Ship Before Order</v>
      </c>
      <c r="Z412" s="2">
        <f>IFERROR(
  IF(ISNUMBER(B412),B412,
    IF(ISNUMBER(SEARCH("-",B412)*1),
      IF(LEN(LEFT(B412,FIND("-",B412)-1))=4,
        DATE(VALUE(LEFT(B412,4)),VALUE(MID(B412,6,2)),VALUE(RIGHT(B412,2))),
        DATE(VALUE(RIGHT(B412,4)),VALUE(MID(B412,4,2)),VALUE(LEFT(B412,2)))
      ),
      IF(ISNUMBER(SEARCH("/",B412)*1),
        DATE(VALUE(RIGHT(B412,4)),VALUE(LEFT(B412,2)),VALUE(MID(B412,4,2))),
        DATEVALUE(B412)
      )
    )
  ),
"INVALID_DATE")</f>
        <v>45394</v>
      </c>
      <c r="AA412" s="2">
        <f>IFERROR(
  IF(ISNUMBER(C412),C412,
    IF(ISNUMBER(SEARCH("-",C412)*1),
      IF(LEN(LEFT(C412,FIND("-",C412)-1))=4,
        DATE(VALUE(LEFT(C412,4)),VALUE(MID(C412,6,2)),VALUE(RIGHT(C412,2))),
        DATE(VALUE(RIGHT(C412,4)),VALUE(MID(C412,4,2)),VALUE(LEFT(C412,2)))
      ),
      IF(ISNUMBER(SEARCH("/",C412)*1),
        DATE(VALUE(RIGHT(C412,4)),VALUE(LEFT(C412,2)),VALUE(MID(C412,4,2))),
        DATEVALUE(C412)
      )
    )
  ),
"INVALID_DATE")</f>
        <v>45402</v>
      </c>
      <c r="AB412">
        <f>AA412-Z412</f>
        <v>8</v>
      </c>
      <c r="AC412" t="str">
        <f>TEXT(Z412,"mmmm")</f>
        <v>April</v>
      </c>
      <c r="AD412">
        <f>YEAR(Z412)</f>
        <v>2024</v>
      </c>
      <c r="AE412" t="str">
        <f t="shared" si="20"/>
        <v>OK</v>
      </c>
    </row>
    <row r="413" spans="1:31">
      <c r="A413" t="s">
        <v>2040</v>
      </c>
      <c r="B413" t="s">
        <v>2041</v>
      </c>
      <c r="C413" t="s">
        <v>2042</v>
      </c>
      <c r="D413" t="s">
        <v>2043</v>
      </c>
      <c r="E413" t="s">
        <v>68</v>
      </c>
      <c r="F413" t="s">
        <v>122</v>
      </c>
      <c r="G413" t="s">
        <v>80</v>
      </c>
      <c r="H413" t="s">
        <v>35</v>
      </c>
      <c r="I413" t="s">
        <v>142</v>
      </c>
      <c r="J413" t="s">
        <v>52</v>
      </c>
      <c r="K413" t="s">
        <v>53</v>
      </c>
      <c r="L413" t="s">
        <v>2044</v>
      </c>
      <c r="M413" t="s">
        <v>63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207</v>
      </c>
      <c r="U413" t="s">
        <v>132</v>
      </c>
      <c r="V413">
        <f>O413*(1-P413)*N413</f>
        <v>3334.2480000000005</v>
      </c>
      <c r="W413">
        <f t="shared" si="18"/>
        <v>565.47800000000052</v>
      </c>
      <c r="X413">
        <f t="shared" si="19"/>
        <v>0.16959736072580042</v>
      </c>
      <c r="Y413" t="s">
        <v>4120</v>
      </c>
      <c r="Z413" s="2">
        <f>IFERROR(
  IF(ISNUMBER(B413),B413,
    IF(ISNUMBER(SEARCH("-",B413)*1),
      IF(LEN(LEFT(B413,FIND("-",B413)-1))=4,
        DATE(VALUE(LEFT(B413,4)),VALUE(MID(B413,6,2)),VALUE(RIGHT(B413,2))),
        DATE(VALUE(RIGHT(B413,4)),VALUE(MID(B413,4,2)),VALUE(LEFT(B413,2)))
      ),
      IF(ISNUMBER(SEARCH("/",B413)*1),
        DATE(VALUE(RIGHT(B413,4)),VALUE(LEFT(B413,2)),VALUE(MID(B413,4,2))),
        DATEVALUE(B413)
      )
    )
  ),
"INVALID_DATE")</f>
        <v>45892</v>
      </c>
      <c r="AA413" s="2">
        <f>IFERROR(
  IF(ISNUMBER(C413),C413,
    IF(ISNUMBER(SEARCH("-",C413)*1),
      IF(LEN(LEFT(C413,FIND("-",C413)-1))=4,
        DATE(VALUE(LEFT(C413,4)),VALUE(MID(C413,6,2)),VALUE(RIGHT(C413,2))),
        DATE(VALUE(RIGHT(C413,4)),VALUE(MID(C413,4,2)),VALUE(LEFT(C413,2)))
      ),
      IF(ISNUMBER(SEARCH("/",C413)*1),
        DATE(VALUE(RIGHT(C413,4)),VALUE(LEFT(C413,2)),VALUE(MID(C413,4,2))),
        DATEVALUE(C413)
      )
    )
  ),
"INVALID_DATE")</f>
        <v>45897</v>
      </c>
      <c r="AB413">
        <f>AA413-Z413</f>
        <v>5</v>
      </c>
      <c r="AC413" t="str">
        <f>TEXT(Z413,"mmmm")</f>
        <v>August</v>
      </c>
      <c r="AD413">
        <f>YEAR(Z413)</f>
        <v>2025</v>
      </c>
      <c r="AE413" t="str">
        <f t="shared" si="20"/>
        <v>OK</v>
      </c>
    </row>
    <row r="414" spans="1:31">
      <c r="A414" t="s">
        <v>2045</v>
      </c>
      <c r="B414" t="s">
        <v>2046</v>
      </c>
      <c r="C414" t="s">
        <v>842</v>
      </c>
      <c r="D414" t="s">
        <v>2047</v>
      </c>
      <c r="E414" t="s">
        <v>60</v>
      </c>
      <c r="F414" t="s">
        <v>115</v>
      </c>
      <c r="G414" t="s">
        <v>69</v>
      </c>
      <c r="H414" t="s">
        <v>236</v>
      </c>
      <c r="I414" t="s">
        <v>237</v>
      </c>
      <c r="J414" t="s">
        <v>52</v>
      </c>
      <c r="K414" t="s">
        <v>83</v>
      </c>
      <c r="L414" t="s">
        <v>2048</v>
      </c>
      <c r="M414" t="s">
        <v>55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41</v>
      </c>
      <c r="U414" t="s">
        <v>42</v>
      </c>
      <c r="V414">
        <f>O414*(1-P414)*N414</f>
        <v>1583.5425</v>
      </c>
      <c r="W414">
        <f t="shared" si="18"/>
        <v>569.35249999999996</v>
      </c>
      <c r="X414">
        <f t="shared" si="19"/>
        <v>0.35954254392058305</v>
      </c>
      <c r="Y414" t="s">
        <v>4120</v>
      </c>
      <c r="Z414" s="2">
        <f>IFERROR(
  IF(ISNUMBER(B414),B414,
    IF(ISNUMBER(SEARCH("-",B414)*1),
      IF(LEN(LEFT(B414,FIND("-",B414)-1))=4,
        DATE(VALUE(LEFT(B414,4)),VALUE(MID(B414,6,2)),VALUE(RIGHT(B414,2))),
        DATE(VALUE(RIGHT(B414,4)),VALUE(MID(B414,4,2)),VALUE(LEFT(B414,2)))
      ),
      IF(ISNUMBER(SEARCH("/",B414)*1),
        DATE(VALUE(RIGHT(B414,4)),VALUE(LEFT(B414,2)),VALUE(MID(B414,4,2))),
        DATEVALUE(B414)
      )
    )
  ),
"INVALID_DATE")</f>
        <v>45313</v>
      </c>
      <c r="AA414" s="2">
        <f>IFERROR(
  IF(ISNUMBER(C414),C414,
    IF(ISNUMBER(SEARCH("-",C414)*1),
      IF(LEN(LEFT(C414,FIND("-",C414)-1))=4,
        DATE(VALUE(LEFT(C414,4)),VALUE(MID(C414,6,2)),VALUE(RIGHT(C414,2))),
        DATE(VALUE(RIGHT(C414,4)),VALUE(MID(C414,4,2)),VALUE(LEFT(C414,2)))
      ),
      IF(ISNUMBER(SEARCH("/",C414)*1),
        DATE(VALUE(RIGHT(C414,4)),VALUE(LEFT(C414,2)),VALUE(MID(C414,4,2))),
        DATEVALUE(C414)
      )
    )
  ),
"INVALID_DATE")</f>
        <v>45321</v>
      </c>
      <c r="AB414">
        <f>AA414-Z414</f>
        <v>8</v>
      </c>
      <c r="AC414" t="str">
        <f>TEXT(Z414,"mmmm")</f>
        <v>January</v>
      </c>
      <c r="AD414">
        <f>YEAR(Z414)</f>
        <v>2024</v>
      </c>
      <c r="AE414" t="str">
        <f t="shared" si="20"/>
        <v>OK</v>
      </c>
    </row>
    <row r="415" spans="1:31">
      <c r="A415" t="s">
        <v>2049</v>
      </c>
      <c r="B415" t="s">
        <v>247</v>
      </c>
      <c r="C415" t="s">
        <v>2050</v>
      </c>
      <c r="D415" t="s">
        <v>2051</v>
      </c>
      <c r="E415" t="s">
        <v>100</v>
      </c>
      <c r="F415" t="s">
        <v>122</v>
      </c>
      <c r="G415" t="s">
        <v>80</v>
      </c>
      <c r="H415" t="s">
        <v>91</v>
      </c>
      <c r="I415" t="s">
        <v>92</v>
      </c>
      <c r="J415" t="s">
        <v>93</v>
      </c>
      <c r="K415" t="s">
        <v>94</v>
      </c>
      <c r="L415" t="s">
        <v>2052</v>
      </c>
      <c r="M415" t="s">
        <v>40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144</v>
      </c>
      <c r="U415" t="s">
        <v>85</v>
      </c>
      <c r="V415">
        <f>O415*(1-P415)*N415</f>
        <v>15345.84</v>
      </c>
      <c r="W415">
        <f t="shared" si="18"/>
        <v>4610.51</v>
      </c>
      <c r="X415">
        <f t="shared" si="19"/>
        <v>0.30044037993358463</v>
      </c>
      <c r="Y415" t="s">
        <v>4120</v>
      </c>
      <c r="Z415" s="2">
        <f>IFERROR(
  IF(ISNUMBER(B415),B415,
    IF(ISNUMBER(SEARCH("-",B415)*1),
      IF(LEN(LEFT(B415,FIND("-",B415)-1))=4,
        DATE(VALUE(LEFT(B415,4)),VALUE(MID(B415,6,2)),VALUE(RIGHT(B415,2))),
        DATE(VALUE(RIGHT(B415,4)),VALUE(MID(B415,4,2)),VALUE(LEFT(B415,2)))
      ),
      IF(ISNUMBER(SEARCH("/",B415)*1),
        DATE(VALUE(RIGHT(B415,4)),VALUE(LEFT(B415,2)),VALUE(MID(B415,4,2))),
        DATEVALUE(B415)
      )
    )
  ),
"INVALID_DATE")</f>
        <v>45882</v>
      </c>
      <c r="AA415" s="2">
        <f>IFERROR(
  IF(ISNUMBER(C415),C415,
    IF(ISNUMBER(SEARCH("-",C415)*1),
      IF(LEN(LEFT(C415,FIND("-",C415)-1))=4,
        DATE(VALUE(LEFT(C415,4)),VALUE(MID(C415,6,2)),VALUE(RIGHT(C415,2))),
        DATE(VALUE(RIGHT(C415,4)),VALUE(MID(C415,4,2)),VALUE(LEFT(C415,2)))
      ),
      IF(ISNUMBER(SEARCH("/",C415)*1),
        DATE(VALUE(RIGHT(C415,4)),VALUE(LEFT(C415,2)),VALUE(MID(C415,4,2))),
        DATEVALUE(C415)
      )
    )
  ),
"INVALID_DATE")</f>
        <v>45886</v>
      </c>
      <c r="AB415">
        <f>AA415-Z415</f>
        <v>4</v>
      </c>
      <c r="AC415" t="str">
        <f>TEXT(Z415,"mmmm")</f>
        <v>August</v>
      </c>
      <c r="AD415">
        <f>YEAR(Z415)</f>
        <v>2025</v>
      </c>
      <c r="AE415" t="str">
        <f t="shared" si="20"/>
        <v>OK</v>
      </c>
    </row>
    <row r="416" spans="1:31">
      <c r="A416" t="s">
        <v>2053</v>
      </c>
      <c r="B416" t="s">
        <v>2054</v>
      </c>
      <c r="C416" t="s">
        <v>2055</v>
      </c>
      <c r="D416" t="s">
        <v>2056</v>
      </c>
      <c r="E416" t="s">
        <v>68</v>
      </c>
      <c r="F416" t="s">
        <v>122</v>
      </c>
      <c r="G416" t="s">
        <v>49</v>
      </c>
      <c r="H416" t="s">
        <v>223</v>
      </c>
      <c r="I416" t="s">
        <v>224</v>
      </c>
      <c r="J416" t="s">
        <v>37</v>
      </c>
      <c r="K416" t="s">
        <v>163</v>
      </c>
      <c r="L416" t="s">
        <v>2057</v>
      </c>
      <c r="M416" t="s">
        <v>63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41</v>
      </c>
      <c r="U416" t="s">
        <v>42</v>
      </c>
      <c r="V416">
        <f>O416*(1-P416)*N416</f>
        <v>9439.503999999999</v>
      </c>
      <c r="W416">
        <f t="shared" si="18"/>
        <v>3920.1139999999987</v>
      </c>
      <c r="X416">
        <f t="shared" si="19"/>
        <v>0.4152878860109116</v>
      </c>
      <c r="Y416" t="str">
        <f>_xlfn.TEXTJOIN(", ",TRUE,IF(G416="Unknown","Missing Region",""),IF(M416="Unknown","Missing Ship Mode",""),IF(P416&lt;0,"Negative Discount",""),IF(P416&gt;0.7,"High Discount",""),IF(C416&lt;B416,"Ship Before Order",""))</f>
        <v>Ship Before Order</v>
      </c>
      <c r="Z416" s="2">
        <f>IFERROR(
  IF(ISNUMBER(B416),B416,
    IF(ISNUMBER(SEARCH("-",B416)*1),
      IF(LEN(LEFT(B416,FIND("-",B416)-1))=4,
        DATE(VALUE(LEFT(B416,4)),VALUE(MID(B416,6,2)),VALUE(RIGHT(B416,2))),
        DATE(VALUE(RIGHT(B416,4)),VALUE(MID(B416,4,2)),VALUE(LEFT(B416,2)))
      ),
      IF(ISNUMBER(SEARCH("/",B416)*1),
        DATE(VALUE(RIGHT(B416,4)),VALUE(LEFT(B416,2)),VALUE(MID(B416,4,2))),
        DATEVALUE(B416)
      )
    )
  ),
"INVALID_DATE")</f>
        <v>45533</v>
      </c>
      <c r="AA416" s="2">
        <f>IFERROR(
  IF(ISNUMBER(C416),C416,
    IF(ISNUMBER(SEARCH("-",C416)*1),
      IF(LEN(LEFT(C416,FIND("-",C416)-1))=4,
        DATE(VALUE(LEFT(C416,4)),VALUE(MID(C416,6,2)),VALUE(RIGHT(C416,2))),
        DATE(VALUE(RIGHT(C416,4)),VALUE(MID(C416,4,2)),VALUE(LEFT(C416,2)))
      ),
      IF(ISNUMBER(SEARCH("/",C416)*1),
        DATE(VALUE(RIGHT(C416,4)),VALUE(LEFT(C416,2)),VALUE(MID(C416,4,2))),
        DATEVALUE(C416)
      )
    )
  ),
"INVALID_DATE")</f>
        <v>45534</v>
      </c>
      <c r="AB416">
        <f>AA416-Z416</f>
        <v>1</v>
      </c>
      <c r="AC416" t="str">
        <f>TEXT(Z416,"mmmm")</f>
        <v>August</v>
      </c>
      <c r="AD416">
        <f>YEAR(Z416)</f>
        <v>2024</v>
      </c>
      <c r="AE416" t="str">
        <f t="shared" si="20"/>
        <v>OK</v>
      </c>
    </row>
    <row r="417" spans="1:31">
      <c r="A417" t="s">
        <v>2058</v>
      </c>
      <c r="B417" t="s">
        <v>2059</v>
      </c>
      <c r="C417" t="s">
        <v>2011</v>
      </c>
      <c r="D417" t="s">
        <v>2060</v>
      </c>
      <c r="E417" t="s">
        <v>169</v>
      </c>
      <c r="F417" t="s">
        <v>115</v>
      </c>
      <c r="G417" t="s">
        <v>69</v>
      </c>
      <c r="H417" t="s">
        <v>236</v>
      </c>
      <c r="I417" t="s">
        <v>237</v>
      </c>
      <c r="J417" t="s">
        <v>37</v>
      </c>
      <c r="K417" t="s">
        <v>163</v>
      </c>
      <c r="L417" t="s">
        <v>2061</v>
      </c>
      <c r="M417" t="s">
        <v>55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41</v>
      </c>
      <c r="U417" t="s">
        <v>132</v>
      </c>
      <c r="V417">
        <f>O417*(1-P417)*N417</f>
        <v>10277.197</v>
      </c>
      <c r="W417">
        <f t="shared" si="18"/>
        <v>2370.6970000000001</v>
      </c>
      <c r="X417">
        <f t="shared" si="19"/>
        <v>0.2306756704160666</v>
      </c>
      <c r="Y417" t="s">
        <v>4120</v>
      </c>
      <c r="Z417" s="2">
        <f>IFERROR(
  IF(ISNUMBER(B417),B417,
    IF(ISNUMBER(SEARCH("-",B417)*1),
      IF(LEN(LEFT(B417,FIND("-",B417)-1))=4,
        DATE(VALUE(LEFT(B417,4)),VALUE(MID(B417,6,2)),VALUE(RIGHT(B417,2))),
        DATE(VALUE(RIGHT(B417,4)),VALUE(MID(B417,4,2)),VALUE(LEFT(B417,2)))
      ),
      IF(ISNUMBER(SEARCH("/",B417)*1),
        DATE(VALUE(RIGHT(B417,4)),VALUE(LEFT(B417,2)),VALUE(MID(B417,4,2))),
        DATEVALUE(B417)
      )
    )
  ),
"INVALID_DATE")</f>
        <v>45316</v>
      </c>
      <c r="AA417" s="2">
        <f>IFERROR(
  IF(ISNUMBER(C417),C417,
    IF(ISNUMBER(SEARCH("-",C417)*1),
      IF(LEN(LEFT(C417,FIND("-",C417)-1))=4,
        DATE(VALUE(LEFT(C417,4)),VALUE(MID(C417,6,2)),VALUE(RIGHT(C417,2))),
        DATE(VALUE(RIGHT(C417,4)),VALUE(MID(C417,4,2)),VALUE(LEFT(C417,2)))
      ),
      IF(ISNUMBER(SEARCH("/",C417)*1),
        DATE(VALUE(RIGHT(C417,4)),VALUE(LEFT(C417,2)),VALUE(MID(C417,4,2))),
        DATEVALUE(C417)
      )
    )
  ),
"INVALID_DATE")</f>
        <v>45318</v>
      </c>
      <c r="AB417">
        <f>AA417-Z417</f>
        <v>2</v>
      </c>
      <c r="AC417" t="str">
        <f>TEXT(Z417,"mmmm")</f>
        <v>January</v>
      </c>
      <c r="AD417">
        <f>YEAR(Z417)</f>
        <v>2024</v>
      </c>
      <c r="AE417" t="str">
        <f t="shared" si="20"/>
        <v>OK</v>
      </c>
    </row>
    <row r="418" spans="1:31">
      <c r="A418" t="s">
        <v>2062</v>
      </c>
      <c r="B418" t="s">
        <v>2063</v>
      </c>
      <c r="C418" t="s">
        <v>2064</v>
      </c>
      <c r="D418" t="s">
        <v>2065</v>
      </c>
      <c r="E418" t="s">
        <v>100</v>
      </c>
      <c r="F418" t="s">
        <v>33</v>
      </c>
      <c r="G418" t="s">
        <v>69</v>
      </c>
      <c r="H418" t="s">
        <v>70</v>
      </c>
      <c r="I418" t="s">
        <v>71</v>
      </c>
      <c r="J418" t="s">
        <v>52</v>
      </c>
      <c r="K418" t="s">
        <v>72</v>
      </c>
      <c r="L418" t="s">
        <v>2066</v>
      </c>
      <c r="M418" t="s">
        <v>63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41</v>
      </c>
      <c r="U418" t="s">
        <v>42</v>
      </c>
      <c r="V418">
        <f>O418*(1-P418)*N418</f>
        <v>3833.7000000000003</v>
      </c>
      <c r="W418">
        <f t="shared" si="18"/>
        <v>947.35000000000036</v>
      </c>
      <c r="X418">
        <f t="shared" si="19"/>
        <v>0.2471111458903931</v>
      </c>
      <c r="Y418" t="str">
        <f>_xlfn.TEXTJOIN(", ",TRUE,IF(G418="Unknown","Missing Region",""),IF(M418="Unknown","Missing Ship Mode",""),IF(P418&lt;0,"Negative Discount",""),IF(P418&gt;0.7,"High Discount",""),IF(C418&lt;B418,"Ship Before Order",""))</f>
        <v>Ship Before Order</v>
      </c>
      <c r="Z418" s="2">
        <f>IFERROR(
  IF(ISNUMBER(B418),B418,
    IF(ISNUMBER(SEARCH("-",B418)*1),
      IF(LEN(LEFT(B418,FIND("-",B418)-1))=4,
        DATE(VALUE(LEFT(B418,4)),VALUE(MID(B418,6,2)),VALUE(RIGHT(B418,2))),
        DATE(VALUE(RIGHT(B418,4)),VALUE(MID(B418,4,2)),VALUE(LEFT(B418,2)))
      ),
      IF(ISNUMBER(SEARCH("/",B418)*1),
        DATE(VALUE(RIGHT(B418,4)),VALUE(LEFT(B418,2)),VALUE(MID(B418,4,2))),
        DATEVALUE(B418)
      )
    )
  ),
"INVALID_DATE")</f>
        <v>45665</v>
      </c>
      <c r="AA418" s="2">
        <f>IFERROR(
  IF(ISNUMBER(C418),C418,
    IF(ISNUMBER(SEARCH("-",C418)*1),
      IF(LEN(LEFT(C418,FIND("-",C418)-1))=4,
        DATE(VALUE(LEFT(C418,4)),VALUE(MID(C418,6,2)),VALUE(RIGHT(C418,2))),
        DATE(VALUE(RIGHT(C418,4)),VALUE(MID(C418,4,2)),VALUE(LEFT(C418,2)))
      ),
      IF(ISNUMBER(SEARCH("/",C418)*1),
        DATE(VALUE(RIGHT(C418,4)),VALUE(LEFT(C418,2)),VALUE(MID(C418,4,2))),
        DATEVALUE(C418)
      )
    )
  ),
"INVALID_DATE")</f>
        <v>45673</v>
      </c>
      <c r="AB418">
        <f>AA418-Z418</f>
        <v>8</v>
      </c>
      <c r="AC418" t="str">
        <f>TEXT(Z418,"mmmm")</f>
        <v>January</v>
      </c>
      <c r="AD418">
        <f>YEAR(Z418)</f>
        <v>2025</v>
      </c>
      <c r="AE418" t="str">
        <f t="shared" si="20"/>
        <v>OK</v>
      </c>
    </row>
    <row r="419" spans="1:31">
      <c r="A419" t="s">
        <v>2067</v>
      </c>
      <c r="B419" t="s">
        <v>1802</v>
      </c>
      <c r="C419" t="s">
        <v>2068</v>
      </c>
      <c r="D419" t="s">
        <v>2069</v>
      </c>
      <c r="E419" t="s">
        <v>47</v>
      </c>
      <c r="F419" t="s">
        <v>33</v>
      </c>
      <c r="G419" t="s">
        <v>80</v>
      </c>
      <c r="H419" t="s">
        <v>242</v>
      </c>
      <c r="I419" t="s">
        <v>243</v>
      </c>
      <c r="J419" t="s">
        <v>37</v>
      </c>
      <c r="K419" t="s">
        <v>61</v>
      </c>
      <c r="L419" t="s">
        <v>2070</v>
      </c>
      <c r="M419" t="s">
        <v>63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41</v>
      </c>
      <c r="U419" t="s">
        <v>42</v>
      </c>
      <c r="V419">
        <f>O419*(1-P419)*N419</f>
        <v>18542.400000000001</v>
      </c>
      <c r="W419">
        <f t="shared" si="18"/>
        <v>7348.6500000000015</v>
      </c>
      <c r="X419">
        <f t="shared" si="19"/>
        <v>0.39631601087237894</v>
      </c>
      <c r="Y419" t="s">
        <v>4120</v>
      </c>
      <c r="Z419" s="2">
        <f>IFERROR(
  IF(ISNUMBER(B419),B419,
    IF(ISNUMBER(SEARCH("-",B419)*1),
      IF(LEN(LEFT(B419,FIND("-",B419)-1))=4,
        DATE(VALUE(LEFT(B419,4)),VALUE(MID(B419,6,2)),VALUE(RIGHT(B419,2))),
        DATE(VALUE(RIGHT(B419,4)),VALUE(MID(B419,4,2)),VALUE(LEFT(B419,2)))
      ),
      IF(ISNUMBER(SEARCH("/",B419)*1),
        DATE(VALUE(RIGHT(B419,4)),VALUE(LEFT(B419,2)),VALUE(MID(B419,4,2))),
        DATEVALUE(B419)
      )
    )
  ),
"INVALID_DATE")</f>
        <v>45686</v>
      </c>
      <c r="AA419" s="2">
        <f>IFERROR(
  IF(ISNUMBER(C419),C419,
    IF(ISNUMBER(SEARCH("-",C419)*1),
      IF(LEN(LEFT(C419,FIND("-",C419)-1))=4,
        DATE(VALUE(LEFT(C419,4)),VALUE(MID(C419,6,2)),VALUE(RIGHT(C419,2))),
        DATE(VALUE(RIGHT(C419,4)),VALUE(MID(C419,4,2)),VALUE(LEFT(C419,2)))
      ),
      IF(ISNUMBER(SEARCH("/",C419)*1),
        DATE(VALUE(RIGHT(C419,4)),VALUE(LEFT(C419,2)),VALUE(MID(C419,4,2))),
        DATEVALUE(C419)
      )
    )
  ),
"INVALID_DATE")</f>
        <v>45693</v>
      </c>
      <c r="AB419">
        <f>AA419-Z419</f>
        <v>7</v>
      </c>
      <c r="AC419" t="str">
        <f>TEXT(Z419,"mmmm")</f>
        <v>January</v>
      </c>
      <c r="AD419">
        <f>YEAR(Z419)</f>
        <v>2025</v>
      </c>
      <c r="AE419" t="str">
        <f t="shared" si="20"/>
        <v>OK</v>
      </c>
    </row>
    <row r="420" spans="1:31">
      <c r="A420" t="s">
        <v>2071</v>
      </c>
      <c r="B420" t="s">
        <v>2072</v>
      </c>
      <c r="C420" t="s">
        <v>2073</v>
      </c>
      <c r="D420" t="s">
        <v>2074</v>
      </c>
      <c r="E420" t="s">
        <v>175</v>
      </c>
      <c r="F420" t="s">
        <v>115</v>
      </c>
      <c r="G420" t="s">
        <v>49</v>
      </c>
      <c r="H420" t="s">
        <v>50</v>
      </c>
      <c r="I420" t="s">
        <v>51</v>
      </c>
      <c r="J420" t="s">
        <v>93</v>
      </c>
      <c r="K420" t="s">
        <v>101</v>
      </c>
      <c r="L420" t="s">
        <v>2075</v>
      </c>
      <c r="M420" t="s">
        <v>74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207</v>
      </c>
      <c r="U420" t="s">
        <v>85</v>
      </c>
      <c r="V420">
        <f>O420*(1-P420)*N420</f>
        <v>21962.400000000001</v>
      </c>
      <c r="W420">
        <f t="shared" si="18"/>
        <v>6630.4100000000017</v>
      </c>
      <c r="X420">
        <f t="shared" si="19"/>
        <v>0.30189824427202855</v>
      </c>
      <c r="Y420" t="s">
        <v>4120</v>
      </c>
      <c r="Z420" s="2">
        <f>IFERROR(
  IF(ISNUMBER(B420),B420,
    IF(ISNUMBER(SEARCH("-",B420)*1),
      IF(LEN(LEFT(B420,FIND("-",B420)-1))=4,
        DATE(VALUE(LEFT(B420,4)),VALUE(MID(B420,6,2)),VALUE(RIGHT(B420,2))),
        DATE(VALUE(RIGHT(B420,4)),VALUE(MID(B420,4,2)),VALUE(LEFT(B420,2)))
      ),
      IF(ISNUMBER(SEARCH("/",B420)*1),
        DATE(VALUE(RIGHT(B420,4)),VALUE(LEFT(B420,2)),VALUE(MID(B420,4,2))),
        DATEVALUE(B420)
      )
    )
  ),
"INVALID_DATE")</f>
        <v>45605</v>
      </c>
      <c r="AA420" s="2">
        <f>IFERROR(
  IF(ISNUMBER(C420),C420,
    IF(ISNUMBER(SEARCH("-",C420)*1),
      IF(LEN(LEFT(C420,FIND("-",C420)-1))=4,
        DATE(VALUE(LEFT(C420,4)),VALUE(MID(C420,6,2)),VALUE(RIGHT(C420,2))),
        DATE(VALUE(RIGHT(C420,4)),VALUE(MID(C420,4,2)),VALUE(LEFT(C420,2)))
      ),
      IF(ISNUMBER(SEARCH("/",C420)*1),
        DATE(VALUE(RIGHT(C420,4)),VALUE(LEFT(C420,2)),VALUE(MID(C420,4,2))),
        DATEVALUE(C420)
      )
    )
  ),
"INVALID_DATE")</f>
        <v>45613</v>
      </c>
      <c r="AB420">
        <f>AA420-Z420</f>
        <v>8</v>
      </c>
      <c r="AC420" t="str">
        <f>TEXT(Z420,"mmmm")</f>
        <v>November</v>
      </c>
      <c r="AD420">
        <f>YEAR(Z420)</f>
        <v>2024</v>
      </c>
      <c r="AE420" t="str">
        <f t="shared" si="20"/>
        <v>OK</v>
      </c>
    </row>
    <row r="421" spans="1:31">
      <c r="A421" t="s">
        <v>2076</v>
      </c>
      <c r="B421" t="s">
        <v>2077</v>
      </c>
      <c r="C421" t="s">
        <v>2078</v>
      </c>
      <c r="D421" t="s">
        <v>2079</v>
      </c>
      <c r="E421" t="s">
        <v>175</v>
      </c>
      <c r="F421" t="s">
        <v>122</v>
      </c>
      <c r="G421" t="s">
        <v>34</v>
      </c>
      <c r="H421" t="s">
        <v>331</v>
      </c>
      <c r="I421" t="s">
        <v>332</v>
      </c>
      <c r="J421" t="s">
        <v>93</v>
      </c>
      <c r="K421" t="s">
        <v>230</v>
      </c>
      <c r="L421" t="s">
        <v>2080</v>
      </c>
      <c r="M421" t="s">
        <v>55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41</v>
      </c>
      <c r="U421" t="s">
        <v>42</v>
      </c>
      <c r="V421">
        <f>O421*(1-P421)*N421</f>
        <v>1308.777</v>
      </c>
      <c r="W421">
        <f t="shared" si="18"/>
        <v>465.77700000000004</v>
      </c>
      <c r="X421">
        <f t="shared" si="19"/>
        <v>0.35588869023059644</v>
      </c>
      <c r="Y421" t="str">
        <f>_xlfn.TEXTJOIN(", ",TRUE,IF(G421="Unknown","Missing Region",""),IF(M421="Unknown","Missing Ship Mode",""),IF(P421&lt;0,"Negative Discount",""),IF(P421&gt;0.7,"High Discount",""),IF(C421&lt;B421,"Ship Before Order",""))</f>
        <v>Ship Before Order</v>
      </c>
      <c r="Z421" s="2">
        <f>IFERROR(
  IF(ISNUMBER(B421),B421,
    IF(ISNUMBER(SEARCH("-",B421)*1),
      IF(LEN(LEFT(B421,FIND("-",B421)-1))=4,
        DATE(VALUE(LEFT(B421,4)),VALUE(MID(B421,6,2)),VALUE(RIGHT(B421,2))),
        DATE(VALUE(RIGHT(B421,4)),VALUE(MID(B421,4,2)),VALUE(LEFT(B421,2)))
      ),
      IF(ISNUMBER(SEARCH("/",B421)*1),
        DATE(VALUE(RIGHT(B421,4)),VALUE(LEFT(B421,2)),VALUE(MID(B421,4,2))),
        DATEVALUE(B421)
      )
    )
  ),
"INVALID_DATE")</f>
        <v>45926</v>
      </c>
      <c r="AA421" s="2">
        <f>IFERROR(
  IF(ISNUMBER(C421),C421,
    IF(ISNUMBER(SEARCH("-",C421)*1),
      IF(LEN(LEFT(C421,FIND("-",C421)-1))=4,
        DATE(VALUE(LEFT(C421,4)),VALUE(MID(C421,6,2)),VALUE(RIGHT(C421,2))),
        DATE(VALUE(RIGHT(C421,4)),VALUE(MID(C421,4,2)),VALUE(LEFT(C421,2)))
      ),
      IF(ISNUMBER(SEARCH("/",C421)*1),
        DATE(VALUE(RIGHT(C421,4)),VALUE(LEFT(C421,2)),VALUE(MID(C421,4,2))),
        DATEVALUE(C421)
      )
    )
  ),
"INVALID_DATE")</f>
        <v>45930</v>
      </c>
      <c r="AB421">
        <f>AA421-Z421</f>
        <v>4</v>
      </c>
      <c r="AC421" t="str">
        <f>TEXT(Z421,"mmmm")</f>
        <v>September</v>
      </c>
      <c r="AD421">
        <f>YEAR(Z421)</f>
        <v>2025</v>
      </c>
      <c r="AE421" t="str">
        <f t="shared" si="20"/>
        <v>OK</v>
      </c>
    </row>
    <row r="422" spans="1:31">
      <c r="A422" t="s">
        <v>2081</v>
      </c>
      <c r="B422" t="s">
        <v>971</v>
      </c>
      <c r="C422" t="s">
        <v>2082</v>
      </c>
      <c r="D422" t="s">
        <v>2083</v>
      </c>
      <c r="E422" t="s">
        <v>60</v>
      </c>
      <c r="F422" t="s">
        <v>115</v>
      </c>
      <c r="G422" t="s">
        <v>69</v>
      </c>
      <c r="H422" t="s">
        <v>347</v>
      </c>
      <c r="I422" t="s">
        <v>348</v>
      </c>
      <c r="J422" t="s">
        <v>93</v>
      </c>
      <c r="K422" t="s">
        <v>390</v>
      </c>
      <c r="L422" t="s">
        <v>2084</v>
      </c>
      <c r="M422" t="s">
        <v>74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144</v>
      </c>
      <c r="U422" t="s">
        <v>85</v>
      </c>
      <c r="V422">
        <f>O422*(1-P422)*N422</f>
        <v>1814.9850000000001</v>
      </c>
      <c r="W422">
        <f t="shared" si="18"/>
        <v>694.92500000000018</v>
      </c>
      <c r="X422">
        <f t="shared" si="19"/>
        <v>0.38288365225152754</v>
      </c>
      <c r="Y422" t="s">
        <v>4120</v>
      </c>
      <c r="Z422" s="2">
        <f>IFERROR(
  IF(ISNUMBER(B422),B422,
    IF(ISNUMBER(SEARCH("-",B422)*1),
      IF(LEN(LEFT(B422,FIND("-",B422)-1))=4,
        DATE(VALUE(LEFT(B422,4)),VALUE(MID(B422,6,2)),VALUE(RIGHT(B422,2))),
        DATE(VALUE(RIGHT(B422,4)),VALUE(MID(B422,4,2)),VALUE(LEFT(B422,2)))
      ),
      IF(ISNUMBER(SEARCH("/",B422)*1),
        DATE(VALUE(RIGHT(B422,4)),VALUE(LEFT(B422,2)),VALUE(MID(B422,4,2))),
        DATEVALUE(B422)
      )
    )
  ),
"INVALID_DATE")</f>
        <v>45734</v>
      </c>
      <c r="AA422" s="2">
        <f>IFERROR(
  IF(ISNUMBER(C422),C422,
    IF(ISNUMBER(SEARCH("-",C422)*1),
      IF(LEN(LEFT(C422,FIND("-",C422)-1))=4,
        DATE(VALUE(LEFT(C422,4)),VALUE(MID(C422,6,2)),VALUE(RIGHT(C422,2))),
        DATE(VALUE(RIGHT(C422,4)),VALUE(MID(C422,4,2)),VALUE(LEFT(C422,2)))
      ),
      IF(ISNUMBER(SEARCH("/",C422)*1),
        DATE(VALUE(RIGHT(C422,4)),VALUE(LEFT(C422,2)),VALUE(MID(C422,4,2))),
        DATEVALUE(C422)
      )
    )
  ),
"INVALID_DATE")</f>
        <v>45735</v>
      </c>
      <c r="AB422">
        <f>AA422-Z422</f>
        <v>1</v>
      </c>
      <c r="AC422" t="str">
        <f>TEXT(Z422,"mmmm")</f>
        <v>March</v>
      </c>
      <c r="AD422">
        <f>YEAR(Z422)</f>
        <v>2025</v>
      </c>
      <c r="AE422" t="str">
        <f t="shared" si="20"/>
        <v>OK</v>
      </c>
    </row>
    <row r="423" spans="1:31">
      <c r="A423" t="s">
        <v>2085</v>
      </c>
      <c r="B423" t="s">
        <v>2086</v>
      </c>
      <c r="C423" t="s">
        <v>2087</v>
      </c>
      <c r="D423" t="s">
        <v>2088</v>
      </c>
      <c r="E423" t="s">
        <v>187</v>
      </c>
      <c r="F423" t="s">
        <v>48</v>
      </c>
      <c r="G423" t="s">
        <v>34</v>
      </c>
      <c r="H423" t="s">
        <v>514</v>
      </c>
      <c r="I423" t="s">
        <v>515</v>
      </c>
      <c r="J423" t="s">
        <v>37</v>
      </c>
      <c r="K423" t="s">
        <v>205</v>
      </c>
      <c r="L423" t="s">
        <v>2089</v>
      </c>
      <c r="M423" t="s">
        <v>55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144</v>
      </c>
      <c r="U423" t="s">
        <v>132</v>
      </c>
      <c r="V423">
        <f>O423*(1-P423)*N423</f>
        <v>2489.88</v>
      </c>
      <c r="W423">
        <f t="shared" si="18"/>
        <v>782.36000000000013</v>
      </c>
      <c r="X423">
        <f t="shared" si="19"/>
        <v>0.31421594615001525</v>
      </c>
      <c r="Y423" t="s">
        <v>4120</v>
      </c>
      <c r="Z423" s="2">
        <f>IFERROR(
  IF(ISNUMBER(B423),B423,
    IF(ISNUMBER(SEARCH("-",B423)*1),
      IF(LEN(LEFT(B423,FIND("-",B423)-1))=4,
        DATE(VALUE(LEFT(B423,4)),VALUE(MID(B423,6,2)),VALUE(RIGHT(B423,2))),
        DATE(VALUE(RIGHT(B423,4)),VALUE(MID(B423,4,2)),VALUE(LEFT(B423,2)))
      ),
      IF(ISNUMBER(SEARCH("/",B423)*1),
        DATE(VALUE(RIGHT(B423,4)),VALUE(LEFT(B423,2)),VALUE(MID(B423,4,2))),
        DATEVALUE(B423)
      )
    )
  ),
"INVALID_DATE")</f>
        <v>45822</v>
      </c>
      <c r="AA423" s="2">
        <f>IFERROR(
  IF(ISNUMBER(C423),C423,
    IF(ISNUMBER(SEARCH("-",C423)*1),
      IF(LEN(LEFT(C423,FIND("-",C423)-1))=4,
        DATE(VALUE(LEFT(C423,4)),VALUE(MID(C423,6,2)),VALUE(RIGHT(C423,2))),
        DATE(VALUE(RIGHT(C423,4)),VALUE(MID(C423,4,2)),VALUE(LEFT(C423,2)))
      ),
      IF(ISNUMBER(SEARCH("/",C423)*1),
        DATE(VALUE(RIGHT(C423,4)),VALUE(LEFT(C423,2)),VALUE(MID(C423,4,2))),
        DATEVALUE(C423)
      )
    )
  ),
"INVALID_DATE")</f>
        <v>45827</v>
      </c>
      <c r="AB423">
        <f>AA423-Z423</f>
        <v>5</v>
      </c>
      <c r="AC423" t="str">
        <f>TEXT(Z423,"mmmm")</f>
        <v>June</v>
      </c>
      <c r="AD423">
        <f>YEAR(Z423)</f>
        <v>2025</v>
      </c>
      <c r="AE423" t="str">
        <f t="shared" si="20"/>
        <v>OK</v>
      </c>
    </row>
    <row r="424" spans="1:31">
      <c r="A424" t="s">
        <v>2090</v>
      </c>
      <c r="B424" t="s">
        <v>2091</v>
      </c>
      <c r="C424" t="s">
        <v>2092</v>
      </c>
      <c r="D424" t="s">
        <v>2093</v>
      </c>
      <c r="E424" t="s">
        <v>374</v>
      </c>
      <c r="F424" t="s">
        <v>33</v>
      </c>
      <c r="G424" t="s">
        <v>80</v>
      </c>
      <c r="H424" t="s">
        <v>91</v>
      </c>
      <c r="I424" t="s">
        <v>92</v>
      </c>
      <c r="J424" t="s">
        <v>93</v>
      </c>
      <c r="K424" t="s">
        <v>101</v>
      </c>
      <c r="L424" t="s">
        <v>2094</v>
      </c>
      <c r="M424" t="s">
        <v>55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41</v>
      </c>
      <c r="U424" t="s">
        <v>42</v>
      </c>
      <c r="V424">
        <f>O424*(1-P424)*N424</f>
        <v>4098.6575000000003</v>
      </c>
      <c r="W424">
        <f t="shared" si="18"/>
        <v>1420.5975000000003</v>
      </c>
      <c r="X424">
        <f t="shared" si="19"/>
        <v>0.34660108425680586</v>
      </c>
      <c r="Y424" t="str">
        <f>_xlfn.TEXTJOIN(", ",TRUE,IF(G424="Unknown","Missing Region",""),IF(M424="Unknown","Missing Ship Mode",""),IF(P424&lt;0,"Negative Discount",""),IF(P424&gt;0.7,"High Discount",""),IF(C424&lt;B424,"Ship Before Order",""))</f>
        <v>Ship Before Order</v>
      </c>
      <c r="Z424" s="2">
        <f>IFERROR(
  IF(ISNUMBER(B424),B424,
    IF(ISNUMBER(SEARCH("-",B424)*1),
      IF(LEN(LEFT(B424,FIND("-",B424)-1))=4,
        DATE(VALUE(LEFT(B424,4)),VALUE(MID(B424,6,2)),VALUE(RIGHT(B424,2))),
        DATE(VALUE(RIGHT(B424,4)),VALUE(MID(B424,4,2)),VALUE(LEFT(B424,2)))
      ),
      IF(ISNUMBER(SEARCH("/",B424)*1),
        DATE(VALUE(RIGHT(B424,4)),VALUE(LEFT(B424,2)),VALUE(MID(B424,4,2))),
        DATEVALUE(B424)
      )
    )
  ),
"INVALID_DATE")</f>
        <v>45903</v>
      </c>
      <c r="AA424" s="2">
        <f>IFERROR(
  IF(ISNUMBER(C424),C424,
    IF(ISNUMBER(SEARCH("-",C424)*1),
      IF(LEN(LEFT(C424,FIND("-",C424)-1))=4,
        DATE(VALUE(LEFT(C424,4)),VALUE(MID(C424,6,2)),VALUE(RIGHT(C424,2))),
        DATE(VALUE(RIGHT(C424,4)),VALUE(MID(C424,4,2)),VALUE(LEFT(C424,2)))
      ),
      IF(ISNUMBER(SEARCH("/",C424)*1),
        DATE(VALUE(RIGHT(C424,4)),VALUE(LEFT(C424,2)),VALUE(MID(C424,4,2))),
        DATEVALUE(C424)
      )
    )
  ),
"INVALID_DATE")</f>
        <v>45906</v>
      </c>
      <c r="AB424">
        <f>AA424-Z424</f>
        <v>3</v>
      </c>
      <c r="AC424" t="str">
        <f>TEXT(Z424,"mmmm")</f>
        <v>September</v>
      </c>
      <c r="AD424">
        <f>YEAR(Z424)</f>
        <v>2025</v>
      </c>
      <c r="AE424" t="str">
        <f t="shared" si="20"/>
        <v>OK</v>
      </c>
    </row>
    <row r="425" spans="1:31">
      <c r="A425" t="s">
        <v>2095</v>
      </c>
      <c r="B425" t="s">
        <v>2096</v>
      </c>
      <c r="C425" t="s">
        <v>2097</v>
      </c>
      <c r="D425" t="s">
        <v>2098</v>
      </c>
      <c r="E425" t="s">
        <v>217</v>
      </c>
      <c r="F425" t="s">
        <v>33</v>
      </c>
      <c r="G425" t="s">
        <v>69</v>
      </c>
      <c r="H425" t="s">
        <v>249</v>
      </c>
      <c r="I425" t="s">
        <v>250</v>
      </c>
      <c r="J425" t="s">
        <v>93</v>
      </c>
      <c r="K425" t="s">
        <v>94</v>
      </c>
      <c r="L425" t="s">
        <v>2099</v>
      </c>
      <c r="M425" t="s">
        <v>2100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41</v>
      </c>
      <c r="U425" t="s">
        <v>42</v>
      </c>
      <c r="V425">
        <f>O425*(1-P425)*N425</f>
        <v>27211.032000000003</v>
      </c>
      <c r="W425">
        <f t="shared" si="18"/>
        <v>9270.6020000000026</v>
      </c>
      <c r="X425">
        <f t="shared" si="19"/>
        <v>0.34069272644218174</v>
      </c>
      <c r="Y425" t="s">
        <v>4120</v>
      </c>
      <c r="Z425" s="2">
        <f>IFERROR(
  IF(ISNUMBER(B425),B425,
    IF(ISNUMBER(SEARCH("-",B425)*1),
      IF(LEN(LEFT(B425,FIND("-",B425)-1))=4,
        DATE(VALUE(LEFT(B425,4)),VALUE(MID(B425,6,2)),VALUE(RIGHT(B425,2))),
        DATE(VALUE(RIGHT(B425,4)),VALUE(MID(B425,4,2)),VALUE(LEFT(B425,2)))
      ),
      IF(ISNUMBER(SEARCH("/",B425)*1),
        DATE(VALUE(RIGHT(B425,4)),VALUE(LEFT(B425,2)),VALUE(MID(B425,4,2))),
        DATEVALUE(B425)
      )
    )
  ),
"INVALID_DATE")</f>
        <v>45342</v>
      </c>
      <c r="AA425" s="2">
        <f>IFERROR(
  IF(ISNUMBER(C425),C425,
    IF(ISNUMBER(SEARCH("-",C425)*1),
      IF(LEN(LEFT(C425,FIND("-",C425)-1))=4,
        DATE(VALUE(LEFT(C425,4)),VALUE(MID(C425,6,2)),VALUE(RIGHT(C425,2))),
        DATE(VALUE(RIGHT(C425,4)),VALUE(MID(C425,4,2)),VALUE(LEFT(C425,2)))
      ),
      IF(ISNUMBER(SEARCH("/",C425)*1),
        DATE(VALUE(RIGHT(C425,4)),VALUE(LEFT(C425,2)),VALUE(MID(C425,4,2))),
        DATEVALUE(C425)
      )
    )
  ),
"INVALID_DATE")</f>
        <v>45349</v>
      </c>
      <c r="AB425">
        <f>AA425-Z425</f>
        <v>7</v>
      </c>
      <c r="AC425" t="str">
        <f>TEXT(Z425,"mmmm")</f>
        <v>February</v>
      </c>
      <c r="AD425">
        <f>YEAR(Z425)</f>
        <v>2024</v>
      </c>
      <c r="AE425" t="str">
        <f t="shared" si="20"/>
        <v>OK</v>
      </c>
    </row>
    <row r="426" spans="1:31">
      <c r="A426" t="s">
        <v>2101</v>
      </c>
      <c r="B426" t="s">
        <v>2102</v>
      </c>
      <c r="C426" t="s">
        <v>2103</v>
      </c>
      <c r="D426" t="s">
        <v>2104</v>
      </c>
      <c r="E426" t="s">
        <v>100</v>
      </c>
      <c r="F426" t="s">
        <v>115</v>
      </c>
      <c r="G426" t="s">
        <v>34</v>
      </c>
      <c r="H426" t="s">
        <v>161</v>
      </c>
      <c r="I426" t="s">
        <v>162</v>
      </c>
      <c r="J426" t="s">
        <v>93</v>
      </c>
      <c r="K426" t="s">
        <v>230</v>
      </c>
      <c r="L426" t="s">
        <v>2105</v>
      </c>
      <c r="M426" t="s">
        <v>74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41</v>
      </c>
      <c r="U426" t="s">
        <v>42</v>
      </c>
      <c r="V426">
        <f>O426*(1-P426)*N426</f>
        <v>6436.16</v>
      </c>
      <c r="W426">
        <f t="shared" si="18"/>
        <v>2172.33</v>
      </c>
      <c r="X426">
        <f t="shared" si="19"/>
        <v>0.33751957689056827</v>
      </c>
      <c r="Y426" t="s">
        <v>4120</v>
      </c>
      <c r="Z426" s="2">
        <f>IFERROR(
  IF(ISNUMBER(B426),B426,
    IF(ISNUMBER(SEARCH("-",B426)*1),
      IF(LEN(LEFT(B426,FIND("-",B426)-1))=4,
        DATE(VALUE(LEFT(B426,4)),VALUE(MID(B426,6,2)),VALUE(RIGHT(B426,2))),
        DATE(VALUE(RIGHT(B426,4)),VALUE(MID(B426,4,2)),VALUE(LEFT(B426,2)))
      ),
      IF(ISNUMBER(SEARCH("/",B426)*1),
        DATE(VALUE(RIGHT(B426,4)),VALUE(LEFT(B426,2)),VALUE(MID(B426,4,2))),
        DATEVALUE(B426)
      )
    )
  ),
"INVALID_DATE")</f>
        <v>45469</v>
      </c>
      <c r="AA426" s="2">
        <f>IFERROR(
  IF(ISNUMBER(C426),C426,
    IF(ISNUMBER(SEARCH("-",C426)*1),
      IF(LEN(LEFT(C426,FIND("-",C426)-1))=4,
        DATE(VALUE(LEFT(C426,4)),VALUE(MID(C426,6,2)),VALUE(RIGHT(C426,2))),
        DATE(VALUE(RIGHT(C426,4)),VALUE(MID(C426,4,2)),VALUE(LEFT(C426,2)))
      ),
      IF(ISNUMBER(SEARCH("/",C426)*1),
        DATE(VALUE(RIGHT(C426,4)),VALUE(LEFT(C426,2)),VALUE(MID(C426,4,2))),
        DATEVALUE(C426)
      )
    )
  ),
"INVALID_DATE")</f>
        <v>45472</v>
      </c>
      <c r="AB426">
        <f>AA426-Z426</f>
        <v>3</v>
      </c>
      <c r="AC426" t="str">
        <f>TEXT(Z426,"mmmm")</f>
        <v>June</v>
      </c>
      <c r="AD426">
        <f>YEAR(Z426)</f>
        <v>2024</v>
      </c>
      <c r="AE426" t="str">
        <f t="shared" si="20"/>
        <v>OK</v>
      </c>
    </row>
    <row r="427" spans="1:31">
      <c r="A427" t="s">
        <v>2106</v>
      </c>
      <c r="B427" t="s">
        <v>2107</v>
      </c>
      <c r="C427" t="s">
        <v>2108</v>
      </c>
      <c r="D427" t="s">
        <v>2109</v>
      </c>
      <c r="E427" t="s">
        <v>60</v>
      </c>
      <c r="F427" t="s">
        <v>122</v>
      </c>
      <c r="G427" t="s">
        <v>34</v>
      </c>
      <c r="H427" t="s">
        <v>514</v>
      </c>
      <c r="I427" t="s">
        <v>515</v>
      </c>
      <c r="J427" t="s">
        <v>37</v>
      </c>
      <c r="K427" t="s">
        <v>116</v>
      </c>
      <c r="L427" t="s">
        <v>2110</v>
      </c>
      <c r="M427" t="s">
        <v>63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131</v>
      </c>
      <c r="U427" t="s">
        <v>85</v>
      </c>
      <c r="V427">
        <f>O427*(1-P427)*N427</f>
        <v>1918.2420000000002</v>
      </c>
      <c r="W427">
        <f t="shared" si="18"/>
        <v>544.72200000000021</v>
      </c>
      <c r="X427">
        <f t="shared" si="19"/>
        <v>0.28396863791809157</v>
      </c>
      <c r="Y427" t="str">
        <f>_xlfn.TEXTJOIN(", ",TRUE,IF(G427="Unknown","Missing Region",""),IF(M427="Unknown","Missing Ship Mode",""),IF(P427&lt;0,"Negative Discount",""),IF(P427&gt;0.7,"High Discount",""),IF(C427&lt;B427,"Ship Before Order",""))</f>
        <v>Ship Before Order</v>
      </c>
      <c r="Z427" s="2">
        <f>IFERROR(
  IF(ISNUMBER(B427),B427,
    IF(ISNUMBER(SEARCH("-",B427)*1),
      IF(LEN(LEFT(B427,FIND("-",B427)-1))=4,
        DATE(VALUE(LEFT(B427,4)),VALUE(MID(B427,6,2)),VALUE(RIGHT(B427,2))),
        DATE(VALUE(RIGHT(B427,4)),VALUE(MID(B427,4,2)),VALUE(LEFT(B427,2)))
      ),
      IF(ISNUMBER(SEARCH("/",B427)*1),
        DATE(VALUE(RIGHT(B427,4)),VALUE(LEFT(B427,2)),VALUE(MID(B427,4,2))),
        DATEVALUE(B427)
      )
    )
  ),
"INVALID_DATE")</f>
        <v>45561</v>
      </c>
      <c r="AA427" s="2">
        <f>IFERROR(
  IF(ISNUMBER(C427),C427,
    IF(ISNUMBER(SEARCH("-",C427)*1),
      IF(LEN(LEFT(C427,FIND("-",C427)-1))=4,
        DATE(VALUE(LEFT(C427,4)),VALUE(MID(C427,6,2)),VALUE(RIGHT(C427,2))),
        DATE(VALUE(RIGHT(C427,4)),VALUE(MID(C427,4,2)),VALUE(LEFT(C427,2)))
      ),
      IF(ISNUMBER(SEARCH("/",C427)*1),
        DATE(VALUE(RIGHT(C427,4)),VALUE(LEFT(C427,2)),VALUE(MID(C427,4,2))),
        DATEVALUE(C427)
      )
    )
  ),
"INVALID_DATE")</f>
        <v>45562</v>
      </c>
      <c r="AB427">
        <f>AA427-Z427</f>
        <v>1</v>
      </c>
      <c r="AC427" t="str">
        <f>TEXT(Z427,"mmmm")</f>
        <v>September</v>
      </c>
      <c r="AD427">
        <f>YEAR(Z427)</f>
        <v>2024</v>
      </c>
      <c r="AE427" t="str">
        <f t="shared" si="20"/>
        <v>OK</v>
      </c>
    </row>
    <row r="428" spans="1:31">
      <c r="A428" t="s">
        <v>2111</v>
      </c>
      <c r="B428" t="s">
        <v>2112</v>
      </c>
      <c r="C428" t="s">
        <v>2113</v>
      </c>
      <c r="D428" t="s">
        <v>2114</v>
      </c>
      <c r="E428" t="s">
        <v>114</v>
      </c>
      <c r="F428" t="s">
        <v>33</v>
      </c>
      <c r="G428" t="s">
        <v>34</v>
      </c>
      <c r="H428" t="s">
        <v>331</v>
      </c>
      <c r="I428" t="s">
        <v>332</v>
      </c>
      <c r="J428" t="s">
        <v>93</v>
      </c>
      <c r="K428" t="s">
        <v>101</v>
      </c>
      <c r="L428" t="s">
        <v>2115</v>
      </c>
      <c r="M428" t="s">
        <v>55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41</v>
      </c>
      <c r="U428" t="s">
        <v>42</v>
      </c>
      <c r="V428">
        <f>O428*(1-P428)*N428</f>
        <v>27047.952000000001</v>
      </c>
      <c r="W428">
        <f t="shared" si="18"/>
        <v>8616.6219999999994</v>
      </c>
      <c r="X428">
        <f t="shared" si="19"/>
        <v>0.3185683203348128</v>
      </c>
      <c r="Y428" t="str">
        <f>_xlfn.TEXTJOIN(", ",TRUE,IF(G428="Unknown","Missing Region",""),IF(M428="Unknown","Missing Ship Mode",""),IF(P428&lt;0,"Negative Discount",""),IF(P428&gt;0.7,"High Discount",""),IF(C428&lt;B428,"Ship Before Order",""))</f>
        <v>Ship Before Order</v>
      </c>
      <c r="Z428" s="2">
        <f>IFERROR(
  IF(ISNUMBER(B428),B428,
    IF(ISNUMBER(SEARCH("-",B428)*1),
      IF(LEN(LEFT(B428,FIND("-",B428)-1))=4,
        DATE(VALUE(LEFT(B428,4)),VALUE(MID(B428,6,2)),VALUE(RIGHT(B428,2))),
        DATE(VALUE(RIGHT(B428,4)),VALUE(MID(B428,4,2)),VALUE(LEFT(B428,2)))
      ),
      IF(ISNUMBER(SEARCH("/",B428)*1),
        DATE(VALUE(RIGHT(B428,4)),VALUE(LEFT(B428,2)),VALUE(MID(B428,4,2))),
        DATEVALUE(B428)
      )
    )
  ),
"INVALID_DATE")</f>
        <v>45473</v>
      </c>
      <c r="AA428" s="2">
        <f>IFERROR(
  IF(ISNUMBER(C428),C428,
    IF(ISNUMBER(SEARCH("-",C428)*1),
      IF(LEN(LEFT(C428,FIND("-",C428)-1))=4,
        DATE(VALUE(LEFT(C428,4)),VALUE(MID(C428,6,2)),VALUE(RIGHT(C428,2))),
        DATE(VALUE(RIGHT(C428,4)),VALUE(MID(C428,4,2)),VALUE(LEFT(C428,2)))
      ),
      IF(ISNUMBER(SEARCH("/",C428)*1),
        DATE(VALUE(RIGHT(C428,4)),VALUE(LEFT(C428,2)),VALUE(MID(C428,4,2))),
        DATEVALUE(C428)
      )
    )
  ),
"INVALID_DATE")</f>
        <v>45474</v>
      </c>
      <c r="AB428">
        <f>AA428-Z428</f>
        <v>1</v>
      </c>
      <c r="AC428" t="str">
        <f>TEXT(Z428,"mmmm")</f>
        <v>June</v>
      </c>
      <c r="AD428">
        <f>YEAR(Z428)</f>
        <v>2024</v>
      </c>
      <c r="AE428" t="str">
        <f t="shared" si="20"/>
        <v>OK</v>
      </c>
    </row>
    <row r="429" spans="1:31">
      <c r="A429" t="s">
        <v>2116</v>
      </c>
      <c r="B429" t="s">
        <v>2117</v>
      </c>
      <c r="C429" t="s">
        <v>2118</v>
      </c>
      <c r="D429" t="s">
        <v>2119</v>
      </c>
      <c r="E429" t="s">
        <v>60</v>
      </c>
      <c r="F429" t="s">
        <v>115</v>
      </c>
      <c r="G429" t="s">
        <v>279</v>
      </c>
      <c r="H429" t="s">
        <v>319</v>
      </c>
      <c r="I429" t="s">
        <v>320</v>
      </c>
      <c r="J429" t="s">
        <v>93</v>
      </c>
      <c r="K429" t="s">
        <v>94</v>
      </c>
      <c r="L429" t="s">
        <v>2120</v>
      </c>
      <c r="M429" t="s">
        <v>294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41</v>
      </c>
      <c r="U429" t="s">
        <v>42</v>
      </c>
      <c r="V429">
        <f>O429*(1-P429)*N429</f>
        <v>26454.959999999999</v>
      </c>
      <c r="W429">
        <f t="shared" si="18"/>
        <v>8824.7099999999991</v>
      </c>
      <c r="X429">
        <f t="shared" si="19"/>
        <v>0.33357487594008833</v>
      </c>
      <c r="Y429" t="str">
        <f>_xlfn.TEXTJOIN(", ",TRUE,IF(G429="Unknown","Missing Region",""),IF(M429="Unknown","Missing Ship Mode",""),IF(P429&lt;0,"Negative Discount",""),IF(P429&gt;0.7,"High Discount",""),IF(C429&lt;B429,"Ship Before Order",""))</f>
        <v>Missing Region</v>
      </c>
      <c r="Z429" s="2">
        <f>IFERROR(
  IF(ISNUMBER(B429),B429,
    IF(ISNUMBER(SEARCH("-",B429)*1),
      IF(LEN(LEFT(B429,FIND("-",B429)-1))=4,
        DATE(VALUE(LEFT(B429,4)),VALUE(MID(B429,6,2)),VALUE(RIGHT(B429,2))),
        DATE(VALUE(RIGHT(B429,4)),VALUE(MID(B429,4,2)),VALUE(LEFT(B429,2)))
      ),
      IF(ISNUMBER(SEARCH("/",B429)*1),
        DATE(VALUE(RIGHT(B429,4)),VALUE(LEFT(B429,2)),VALUE(MID(B429,4,2))),
        DATEVALUE(B429)
      )
    )
  ),
"INVALID_DATE")</f>
        <v>45769</v>
      </c>
      <c r="AA429" s="2">
        <f>IFERROR(
  IF(ISNUMBER(C429),C429,
    IF(ISNUMBER(SEARCH("-",C429)*1),
      IF(LEN(LEFT(C429,FIND("-",C429)-1))=4,
        DATE(VALUE(LEFT(C429,4)),VALUE(MID(C429,6,2)),VALUE(RIGHT(C429,2))),
        DATE(VALUE(RIGHT(C429,4)),VALUE(MID(C429,4,2)),VALUE(LEFT(C429,2)))
      ),
      IF(ISNUMBER(SEARCH("/",C429)*1),
        DATE(VALUE(RIGHT(C429,4)),VALUE(LEFT(C429,2)),VALUE(MID(C429,4,2))),
        DATEVALUE(C429)
      )
    )
  ),
"INVALID_DATE")</f>
        <v>45771</v>
      </c>
      <c r="AB429">
        <f>AA429-Z429</f>
        <v>2</v>
      </c>
      <c r="AC429" t="str">
        <f>TEXT(Z429,"mmmm")</f>
        <v>April</v>
      </c>
      <c r="AD429">
        <f>YEAR(Z429)</f>
        <v>2025</v>
      </c>
      <c r="AE429" t="str">
        <f t="shared" si="20"/>
        <v>OK</v>
      </c>
    </row>
    <row r="430" spans="1:31">
      <c r="A430" t="s">
        <v>2121</v>
      </c>
      <c r="B430" t="s">
        <v>2122</v>
      </c>
      <c r="C430" t="s">
        <v>2123</v>
      </c>
      <c r="D430" t="s">
        <v>2124</v>
      </c>
      <c r="E430" t="s">
        <v>32</v>
      </c>
      <c r="F430" t="s">
        <v>48</v>
      </c>
      <c r="G430" t="s">
        <v>49</v>
      </c>
      <c r="H430" t="s">
        <v>128</v>
      </c>
      <c r="I430" t="s">
        <v>129</v>
      </c>
      <c r="J430" t="s">
        <v>93</v>
      </c>
      <c r="K430" t="s">
        <v>230</v>
      </c>
      <c r="L430" t="s">
        <v>2125</v>
      </c>
      <c r="M430" t="s">
        <v>55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144</v>
      </c>
      <c r="U430" t="s">
        <v>85</v>
      </c>
      <c r="V430">
        <f>O430*(1-P430)*N430</f>
        <v>1853.895</v>
      </c>
      <c r="W430">
        <f t="shared" si="18"/>
        <v>752.66499999999996</v>
      </c>
      <c r="X430">
        <f t="shared" si="19"/>
        <v>0.40598956788158946</v>
      </c>
      <c r="Y430" t="s">
        <v>4120</v>
      </c>
      <c r="Z430" s="2">
        <f>IFERROR(
  IF(ISNUMBER(B430),B430,
    IF(ISNUMBER(SEARCH("-",B430)*1),
      IF(LEN(LEFT(B430,FIND("-",B430)-1))=4,
        DATE(VALUE(LEFT(B430,4)),VALUE(MID(B430,6,2)),VALUE(RIGHT(B430,2))),
        DATE(VALUE(RIGHT(B430,4)),VALUE(MID(B430,4,2)),VALUE(LEFT(B430,2)))
      ),
      IF(ISNUMBER(SEARCH("/",B430)*1),
        DATE(VALUE(RIGHT(B430,4)),VALUE(LEFT(B430,2)),VALUE(MID(B430,4,2))),
        DATEVALUE(B430)
      )
    )
  ),
"INVALID_DATE")</f>
        <v>45731</v>
      </c>
      <c r="AA430" s="2">
        <f>IFERROR(
  IF(ISNUMBER(C430),C430,
    IF(ISNUMBER(SEARCH("-",C430)*1),
      IF(LEN(LEFT(C430,FIND("-",C430)-1))=4,
        DATE(VALUE(LEFT(C430,4)),VALUE(MID(C430,6,2)),VALUE(RIGHT(C430,2))),
        DATE(VALUE(RIGHT(C430,4)),VALUE(MID(C430,4,2)),VALUE(LEFT(C430,2)))
      ),
      IF(ISNUMBER(SEARCH("/",C430)*1),
        DATE(VALUE(RIGHT(C430,4)),VALUE(LEFT(C430,2)),VALUE(MID(C430,4,2))),
        DATEVALUE(C430)
      )
    )
  ),
"INVALID_DATE")</f>
        <v>45738</v>
      </c>
      <c r="AB430">
        <f>AA430-Z430</f>
        <v>7</v>
      </c>
      <c r="AC430" t="str">
        <f>TEXT(Z430,"mmmm")</f>
        <v>March</v>
      </c>
      <c r="AD430">
        <f>YEAR(Z430)</f>
        <v>2025</v>
      </c>
      <c r="AE430" t="str">
        <f t="shared" si="20"/>
        <v>OK</v>
      </c>
    </row>
    <row r="431" spans="1:31">
      <c r="A431" t="s">
        <v>2126</v>
      </c>
      <c r="B431" t="s">
        <v>2127</v>
      </c>
      <c r="C431" t="s">
        <v>2128</v>
      </c>
      <c r="D431" t="s">
        <v>2129</v>
      </c>
      <c r="E431" t="s">
        <v>100</v>
      </c>
      <c r="F431" t="s">
        <v>122</v>
      </c>
      <c r="G431" t="s">
        <v>34</v>
      </c>
      <c r="H431" t="s">
        <v>35</v>
      </c>
      <c r="I431" t="s">
        <v>36</v>
      </c>
      <c r="J431" t="s">
        <v>93</v>
      </c>
      <c r="K431" t="s">
        <v>101</v>
      </c>
      <c r="L431" t="s">
        <v>2130</v>
      </c>
      <c r="M431" t="s">
        <v>55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41</v>
      </c>
      <c r="U431" t="s">
        <v>42</v>
      </c>
      <c r="V431">
        <f>O431*(1-P431)*N431</f>
        <v>17658.599999999999</v>
      </c>
      <c r="W431">
        <f t="shared" si="18"/>
        <v>3816.119999999999</v>
      </c>
      <c r="X431">
        <f t="shared" si="19"/>
        <v>0.21610546702456596</v>
      </c>
      <c r="Y431" t="s">
        <v>4120</v>
      </c>
      <c r="Z431" s="2">
        <f>IFERROR(
  IF(ISNUMBER(B431),B431,
    IF(ISNUMBER(SEARCH("-",B431)*1),
      IF(LEN(LEFT(B431,FIND("-",B431)-1))=4,
        DATE(VALUE(LEFT(B431,4)),VALUE(MID(B431,6,2)),VALUE(RIGHT(B431,2))),
        DATE(VALUE(RIGHT(B431,4)),VALUE(MID(B431,4,2)),VALUE(LEFT(B431,2)))
      ),
      IF(ISNUMBER(SEARCH("/",B431)*1),
        DATE(VALUE(RIGHT(B431,4)),VALUE(LEFT(B431,2)),VALUE(MID(B431,4,2))),
        DATEVALUE(B431)
      )
    )
  ),
"INVALID_DATE")</f>
        <v>45717</v>
      </c>
      <c r="AA431" s="2">
        <f>IFERROR(
  IF(ISNUMBER(C431),C431,
    IF(ISNUMBER(SEARCH("-",C431)*1),
      IF(LEN(LEFT(C431,FIND("-",C431)-1))=4,
        DATE(VALUE(LEFT(C431,4)),VALUE(MID(C431,6,2)),VALUE(RIGHT(C431,2))),
        DATE(VALUE(RIGHT(C431,4)),VALUE(MID(C431,4,2)),VALUE(LEFT(C431,2)))
      ),
      IF(ISNUMBER(SEARCH("/",C431)*1),
        DATE(VALUE(RIGHT(C431,4)),VALUE(LEFT(C431,2)),VALUE(MID(C431,4,2))),
        DATEVALUE(C431)
      )
    )
  ),
"INVALID_DATE")</f>
        <v>45724</v>
      </c>
      <c r="AB431">
        <f>AA431-Z431</f>
        <v>7</v>
      </c>
      <c r="AC431" t="str">
        <f>TEXT(Z431,"mmmm")</f>
        <v>March</v>
      </c>
      <c r="AD431">
        <f>YEAR(Z431)</f>
        <v>2025</v>
      </c>
      <c r="AE431" t="str">
        <f t="shared" si="20"/>
        <v>OK</v>
      </c>
    </row>
    <row r="432" spans="1:31">
      <c r="A432" t="s">
        <v>2131</v>
      </c>
      <c r="B432" t="s">
        <v>2132</v>
      </c>
      <c r="C432" t="s">
        <v>2133</v>
      </c>
      <c r="D432" t="s">
        <v>2134</v>
      </c>
      <c r="E432" t="s">
        <v>100</v>
      </c>
      <c r="F432" t="s">
        <v>48</v>
      </c>
      <c r="G432" t="s">
        <v>34</v>
      </c>
      <c r="H432" t="s">
        <v>331</v>
      </c>
      <c r="I432" t="s">
        <v>332</v>
      </c>
      <c r="J432" t="s">
        <v>37</v>
      </c>
      <c r="K432" t="s">
        <v>38</v>
      </c>
      <c r="L432" t="s">
        <v>2135</v>
      </c>
      <c r="M432" t="s">
        <v>40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41</v>
      </c>
      <c r="U432" t="s">
        <v>42</v>
      </c>
      <c r="V432">
        <f>O432*(1-P432)*N432</f>
        <v>3672.7139999999999</v>
      </c>
      <c r="W432">
        <f t="shared" si="18"/>
        <v>958.48399999999992</v>
      </c>
      <c r="X432">
        <f t="shared" si="19"/>
        <v>0.20785196762063979</v>
      </c>
      <c r="Y432" t="str">
        <f>_xlfn.TEXTJOIN(", ",TRUE,IF(G432="Unknown","Missing Region",""),IF(M432="Unknown","Missing Ship Mode",""),IF(P432&lt;0,"Negative Discount",""),IF(P432&gt;0.7,"High Discount",""),IF(C432&lt;B432,"Ship Before Order",""))</f>
        <v>Ship Before Order</v>
      </c>
      <c r="Z432" s="2">
        <f>IFERROR(
  IF(ISNUMBER(B432),B432,
    IF(ISNUMBER(SEARCH("-",B432)*1),
      IF(LEN(LEFT(B432,FIND("-",B432)-1))=4,
        DATE(VALUE(LEFT(B432,4)),VALUE(MID(B432,6,2)),VALUE(RIGHT(B432,2))),
        DATE(VALUE(RIGHT(B432,4)),VALUE(MID(B432,4,2)),VALUE(LEFT(B432,2)))
      ),
      IF(ISNUMBER(SEARCH("/",B432)*1),
        DATE(VALUE(RIGHT(B432,4)),VALUE(LEFT(B432,2)),VALUE(MID(B432,4,2))),
        DATEVALUE(B432)
      )
    )
  ),
"INVALID_DATE")</f>
        <v>45534</v>
      </c>
      <c r="AA432" s="2">
        <f>IFERROR(
  IF(ISNUMBER(C432),C432,
    IF(ISNUMBER(SEARCH("-",C432)*1),
      IF(LEN(LEFT(C432,FIND("-",C432)-1))=4,
        DATE(VALUE(LEFT(C432,4)),VALUE(MID(C432,6,2)),VALUE(RIGHT(C432,2))),
        DATE(VALUE(RIGHT(C432,4)),VALUE(MID(C432,4,2)),VALUE(LEFT(C432,2)))
      ),
      IF(ISNUMBER(SEARCH("/",C432)*1),
        DATE(VALUE(RIGHT(C432,4)),VALUE(LEFT(C432,2)),VALUE(MID(C432,4,2))),
        DATEVALUE(C432)
      )
    )
  ),
"INVALID_DATE")</f>
        <v>45537</v>
      </c>
      <c r="AB432">
        <f>AA432-Z432</f>
        <v>3</v>
      </c>
      <c r="AC432" t="str">
        <f>TEXT(Z432,"mmmm")</f>
        <v>August</v>
      </c>
      <c r="AD432">
        <f>YEAR(Z432)</f>
        <v>2024</v>
      </c>
      <c r="AE432" t="str">
        <f t="shared" si="20"/>
        <v>OK</v>
      </c>
    </row>
    <row r="433" spans="1:31">
      <c r="A433" t="s">
        <v>2136</v>
      </c>
      <c r="B433" t="s">
        <v>2137</v>
      </c>
      <c r="C433" t="s">
        <v>2138</v>
      </c>
      <c r="D433" t="s">
        <v>2139</v>
      </c>
      <c r="E433" t="s">
        <v>32</v>
      </c>
      <c r="F433" t="s">
        <v>122</v>
      </c>
      <c r="G433" t="s">
        <v>80</v>
      </c>
      <c r="H433" t="s">
        <v>256</v>
      </c>
      <c r="I433" t="s">
        <v>257</v>
      </c>
      <c r="J433" t="s">
        <v>93</v>
      </c>
      <c r="K433" t="s">
        <v>390</v>
      </c>
      <c r="L433" t="s">
        <v>2140</v>
      </c>
      <c r="M433" t="s">
        <v>55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41</v>
      </c>
      <c r="U433" t="s">
        <v>42</v>
      </c>
      <c r="V433">
        <f>O433*(1-P433)*N433</f>
        <v>6177.6749999999993</v>
      </c>
      <c r="W433">
        <f t="shared" si="18"/>
        <v>1656.9249999999993</v>
      </c>
      <c r="X433">
        <f t="shared" si="19"/>
        <v>0.26821115404351481</v>
      </c>
      <c r="Y433" t="str">
        <f>_xlfn.TEXTJOIN(", ",TRUE,IF(G433="Unknown","Missing Region",""),IF(M433="Unknown","Missing Ship Mode",""),IF(P433&lt;0,"Negative Discount",""),IF(P433&gt;0.7,"High Discount",""),IF(C433&lt;B433,"Ship Before Order",""))</f>
        <v>Ship Before Order</v>
      </c>
      <c r="Z433" s="2">
        <f>IFERROR(
  IF(ISNUMBER(B433),B433,
    IF(ISNUMBER(SEARCH("-",B433)*1),
      IF(LEN(LEFT(B433,FIND("-",B433)-1))=4,
        DATE(VALUE(LEFT(B433,4)),VALUE(MID(B433,6,2)),VALUE(RIGHT(B433,2))),
        DATE(VALUE(RIGHT(B433,4)),VALUE(MID(B433,4,2)),VALUE(LEFT(B433,2)))
      ),
      IF(ISNUMBER(SEARCH("/",B433)*1),
        DATE(VALUE(RIGHT(B433,4)),VALUE(LEFT(B433,2)),VALUE(MID(B433,4,2))),
        DATEVALUE(B433)
      )
    )
  ),
"INVALID_DATE")</f>
        <v>45332</v>
      </c>
      <c r="AA433" s="2">
        <f>IFERROR(
  IF(ISNUMBER(C433),C433,
    IF(ISNUMBER(SEARCH("-",C433)*1),
      IF(LEN(LEFT(C433,FIND("-",C433)-1))=4,
        DATE(VALUE(LEFT(C433,4)),VALUE(MID(C433,6,2)),VALUE(RIGHT(C433,2))),
        DATE(VALUE(RIGHT(C433,4)),VALUE(MID(C433,4,2)),VALUE(LEFT(C433,2)))
      ),
      IF(ISNUMBER(SEARCH("/",C433)*1),
        DATE(VALUE(RIGHT(C433,4)),VALUE(LEFT(C433,2)),VALUE(MID(C433,4,2))),
        DATEVALUE(C433)
      )
    )
  ),
"INVALID_DATE")</f>
        <v>45335</v>
      </c>
      <c r="AB433">
        <f>AA433-Z433</f>
        <v>3</v>
      </c>
      <c r="AC433" t="str">
        <f>TEXT(Z433,"mmmm")</f>
        <v>February</v>
      </c>
      <c r="AD433">
        <f>YEAR(Z433)</f>
        <v>2024</v>
      </c>
      <c r="AE433" t="str">
        <f t="shared" si="20"/>
        <v>OK</v>
      </c>
    </row>
    <row r="434" spans="1:31">
      <c r="A434" t="s">
        <v>2141</v>
      </c>
      <c r="B434" t="s">
        <v>1958</v>
      </c>
      <c r="C434" t="s">
        <v>2133</v>
      </c>
      <c r="D434" t="s">
        <v>2142</v>
      </c>
      <c r="E434" t="s">
        <v>149</v>
      </c>
      <c r="F434" t="s">
        <v>48</v>
      </c>
      <c r="G434" t="s">
        <v>80</v>
      </c>
      <c r="H434" t="s">
        <v>81</v>
      </c>
      <c r="I434" t="s">
        <v>82</v>
      </c>
      <c r="J434" t="s">
        <v>52</v>
      </c>
      <c r="K434" t="s">
        <v>211</v>
      </c>
      <c r="L434" t="s">
        <v>2143</v>
      </c>
      <c r="M434" t="s">
        <v>74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41</v>
      </c>
      <c r="U434" t="s">
        <v>42</v>
      </c>
      <c r="V434">
        <f>O434*(1-P434)*N434</f>
        <v>985.07399999999984</v>
      </c>
      <c r="W434">
        <f t="shared" si="18"/>
        <v>140.59399999999982</v>
      </c>
      <c r="X434">
        <f t="shared" si="19"/>
        <v>0.14272082187052695</v>
      </c>
      <c r="Y434" t="str">
        <f>_xlfn.TEXTJOIN(", ",TRUE,IF(G434="Unknown","Missing Region",""),IF(M434="Unknown","Missing Ship Mode",""),IF(P434&lt;0,"Negative Discount",""),IF(P434&gt;0.7,"High Discount",""),IF(C434&lt;B434,"Ship Before Order",""))</f>
        <v>Ship Before Order</v>
      </c>
      <c r="Z434" s="2">
        <f>IFERROR(
  IF(ISNUMBER(B434),B434,
    IF(ISNUMBER(SEARCH("-",B434)*1),
      IF(LEN(LEFT(B434,FIND("-",B434)-1))=4,
        DATE(VALUE(LEFT(B434,4)),VALUE(MID(B434,6,2)),VALUE(RIGHT(B434,2))),
        DATE(VALUE(RIGHT(B434,4)),VALUE(MID(B434,4,2)),VALUE(LEFT(B434,2)))
      ),
      IF(ISNUMBER(SEARCH("/",B434)*1),
        DATE(VALUE(RIGHT(B434,4)),VALUE(LEFT(B434,2)),VALUE(MID(B434,4,2))),
        DATEVALUE(B434)
      )
    )
  ),
"INVALID_DATE")</f>
        <v>45533</v>
      </c>
      <c r="AA434" s="2">
        <f>IFERROR(
  IF(ISNUMBER(C434),C434,
    IF(ISNUMBER(SEARCH("-",C434)*1),
      IF(LEN(LEFT(C434,FIND("-",C434)-1))=4,
        DATE(VALUE(LEFT(C434,4)),VALUE(MID(C434,6,2)),VALUE(RIGHT(C434,2))),
        DATE(VALUE(RIGHT(C434,4)),VALUE(MID(C434,4,2)),VALUE(LEFT(C434,2)))
      ),
      IF(ISNUMBER(SEARCH("/",C434)*1),
        DATE(VALUE(RIGHT(C434,4)),VALUE(LEFT(C434,2)),VALUE(MID(C434,4,2))),
        DATEVALUE(C434)
      )
    )
  ),
"INVALID_DATE")</f>
        <v>45537</v>
      </c>
      <c r="AB434">
        <f>AA434-Z434</f>
        <v>4</v>
      </c>
      <c r="AC434" t="str">
        <f>TEXT(Z434,"mmmm")</f>
        <v>August</v>
      </c>
      <c r="AD434">
        <f>YEAR(Z434)</f>
        <v>2024</v>
      </c>
      <c r="AE434" t="str">
        <f t="shared" si="20"/>
        <v>OK</v>
      </c>
    </row>
    <row r="435" spans="1:31">
      <c r="A435" t="s">
        <v>2144</v>
      </c>
      <c r="B435" t="s">
        <v>2145</v>
      </c>
      <c r="C435" t="s">
        <v>2146</v>
      </c>
      <c r="D435" t="s">
        <v>2147</v>
      </c>
      <c r="E435" t="s">
        <v>149</v>
      </c>
      <c r="F435" t="s">
        <v>115</v>
      </c>
      <c r="G435" t="s">
        <v>69</v>
      </c>
      <c r="H435" t="s">
        <v>249</v>
      </c>
      <c r="I435" t="s">
        <v>250</v>
      </c>
      <c r="J435" t="s">
        <v>37</v>
      </c>
      <c r="K435" t="s">
        <v>61</v>
      </c>
      <c r="L435" t="s">
        <v>2148</v>
      </c>
      <c r="M435" t="s">
        <v>40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131</v>
      </c>
      <c r="U435" t="s">
        <v>132</v>
      </c>
      <c r="V435">
        <f>O435*(1-P435)*N435</f>
        <v>6160.88</v>
      </c>
      <c r="W435">
        <f t="shared" si="18"/>
        <v>1222.1800000000003</v>
      </c>
      <c r="X435">
        <f t="shared" si="19"/>
        <v>0.1983775045123424</v>
      </c>
      <c r="Y435" t="s">
        <v>4120</v>
      </c>
      <c r="Z435" s="2">
        <f>IFERROR(
  IF(ISNUMBER(B435),B435,
    IF(ISNUMBER(SEARCH("-",B435)*1),
      IF(LEN(LEFT(B435,FIND("-",B435)-1))=4,
        DATE(VALUE(LEFT(B435,4)),VALUE(MID(B435,6,2)),VALUE(RIGHT(B435,2))),
        DATE(VALUE(RIGHT(B435,4)),VALUE(MID(B435,4,2)),VALUE(LEFT(B435,2)))
      ),
      IF(ISNUMBER(SEARCH("/",B435)*1),
        DATE(VALUE(RIGHT(B435,4)),VALUE(LEFT(B435,2)),VALUE(MID(B435,4,2))),
        DATEVALUE(B435)
      )
    )
  ),
"INVALID_DATE")</f>
        <v>45401</v>
      </c>
      <c r="AA435" s="2">
        <f>IFERROR(
  IF(ISNUMBER(C435),C435,
    IF(ISNUMBER(SEARCH("-",C435)*1),
      IF(LEN(LEFT(C435,FIND("-",C435)-1))=4,
        DATE(VALUE(LEFT(C435,4)),VALUE(MID(C435,6,2)),VALUE(RIGHT(C435,2))),
        DATE(VALUE(RIGHT(C435,4)),VALUE(MID(C435,4,2)),VALUE(LEFT(C435,2)))
      ),
      IF(ISNUMBER(SEARCH("/",C435)*1),
        DATE(VALUE(RIGHT(C435,4)),VALUE(LEFT(C435,2)),VALUE(MID(C435,4,2))),
        DATEVALUE(C435)
      )
    )
  ),
"INVALID_DATE")</f>
        <v>45402</v>
      </c>
      <c r="AB435">
        <f>AA435-Z435</f>
        <v>1</v>
      </c>
      <c r="AC435" t="str">
        <f>TEXT(Z435,"mmmm")</f>
        <v>April</v>
      </c>
      <c r="AD435">
        <f>YEAR(Z435)</f>
        <v>2024</v>
      </c>
      <c r="AE435" t="str">
        <f t="shared" si="20"/>
        <v>OK</v>
      </c>
    </row>
    <row r="436" spans="1:31">
      <c r="A436" t="s">
        <v>2149</v>
      </c>
      <c r="B436" t="s">
        <v>2150</v>
      </c>
      <c r="C436" t="s">
        <v>2151</v>
      </c>
      <c r="D436" t="s">
        <v>2152</v>
      </c>
      <c r="E436" t="s">
        <v>47</v>
      </c>
      <c r="F436" t="s">
        <v>122</v>
      </c>
      <c r="G436" t="s">
        <v>34</v>
      </c>
      <c r="H436" t="s">
        <v>181</v>
      </c>
      <c r="I436" t="s">
        <v>182</v>
      </c>
      <c r="J436" t="s">
        <v>93</v>
      </c>
      <c r="K436" t="s">
        <v>94</v>
      </c>
      <c r="L436" t="s">
        <v>2153</v>
      </c>
      <c r="M436" t="s">
        <v>40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41</v>
      </c>
      <c r="U436" t="s">
        <v>42</v>
      </c>
      <c r="V436">
        <f>O436*(1-P436)*N436</f>
        <v>3263.8999999999996</v>
      </c>
      <c r="W436">
        <f t="shared" si="18"/>
        <v>1195.4599999999996</v>
      </c>
      <c r="X436">
        <f t="shared" si="19"/>
        <v>0.36626734887711021</v>
      </c>
      <c r="Y436" t="s">
        <v>4120</v>
      </c>
      <c r="Z436" s="2">
        <f>IFERROR(
  IF(ISNUMBER(B436),B436,
    IF(ISNUMBER(SEARCH("-",B436)*1),
      IF(LEN(LEFT(B436,FIND("-",B436)-1))=4,
        DATE(VALUE(LEFT(B436,4)),VALUE(MID(B436,6,2)),VALUE(RIGHT(B436,2))),
        DATE(VALUE(RIGHT(B436,4)),VALUE(MID(B436,4,2)),VALUE(LEFT(B436,2)))
      ),
      IF(ISNUMBER(SEARCH("/",B436)*1),
        DATE(VALUE(RIGHT(B436,4)),VALUE(LEFT(B436,2)),VALUE(MID(B436,4,2))),
        DATEVALUE(B436)
      )
    )
  ),
"INVALID_DATE")</f>
        <v>45758</v>
      </c>
      <c r="AA436" s="2">
        <f>IFERROR(
  IF(ISNUMBER(C436),C436,
    IF(ISNUMBER(SEARCH("-",C436)*1),
      IF(LEN(LEFT(C436,FIND("-",C436)-1))=4,
        DATE(VALUE(LEFT(C436,4)),VALUE(MID(C436,6,2)),VALUE(RIGHT(C436,2))),
        DATE(VALUE(RIGHT(C436,4)),VALUE(MID(C436,4,2)),VALUE(LEFT(C436,2)))
      ),
      IF(ISNUMBER(SEARCH("/",C436)*1),
        DATE(VALUE(RIGHT(C436,4)),VALUE(LEFT(C436,2)),VALUE(MID(C436,4,2))),
        DATEVALUE(C436)
      )
    )
  ),
"INVALID_DATE")</f>
        <v>45762</v>
      </c>
      <c r="AB436">
        <f>AA436-Z436</f>
        <v>4</v>
      </c>
      <c r="AC436" t="str">
        <f>TEXT(Z436,"mmmm")</f>
        <v>April</v>
      </c>
      <c r="AD436">
        <f>YEAR(Z436)</f>
        <v>2025</v>
      </c>
      <c r="AE436" t="str">
        <f t="shared" si="20"/>
        <v>OK</v>
      </c>
    </row>
    <row r="437" spans="1:31">
      <c r="A437" t="s">
        <v>2154</v>
      </c>
      <c r="B437" t="s">
        <v>2155</v>
      </c>
      <c r="C437" t="s">
        <v>1036</v>
      </c>
      <c r="D437" t="s">
        <v>2156</v>
      </c>
      <c r="E437" t="s">
        <v>374</v>
      </c>
      <c r="F437" t="s">
        <v>122</v>
      </c>
      <c r="G437" t="s">
        <v>34</v>
      </c>
      <c r="H437" t="s">
        <v>514</v>
      </c>
      <c r="I437" t="s">
        <v>515</v>
      </c>
      <c r="J437" t="s">
        <v>93</v>
      </c>
      <c r="K437" t="s">
        <v>390</v>
      </c>
      <c r="L437" t="s">
        <v>2157</v>
      </c>
      <c r="M437" t="s">
        <v>74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41</v>
      </c>
      <c r="U437" t="s">
        <v>85</v>
      </c>
      <c r="V437">
        <f>O437*(1-P437)*N437</f>
        <v>2327.0535</v>
      </c>
      <c r="W437">
        <f t="shared" si="18"/>
        <v>407.63349999999991</v>
      </c>
      <c r="X437">
        <f t="shared" si="19"/>
        <v>0.17517027996820006</v>
      </c>
      <c r="Y437" t="str">
        <f>_xlfn.TEXTJOIN(", ",TRUE,IF(G437="Unknown","Missing Region",""),IF(M437="Unknown","Missing Ship Mode",""),IF(P437&lt;0,"Negative Discount",""),IF(P437&gt;0.7,"High Discount",""),IF(C437&lt;B437,"Ship Before Order",""))</f>
        <v>Ship Before Order</v>
      </c>
      <c r="Z437" s="2">
        <f>IFERROR(
  IF(ISNUMBER(B437),B437,
    IF(ISNUMBER(SEARCH("-",B437)*1),
      IF(LEN(LEFT(B437,FIND("-",B437)-1))=4,
        DATE(VALUE(LEFT(B437,4)),VALUE(MID(B437,6,2)),VALUE(RIGHT(B437,2))),
        DATE(VALUE(RIGHT(B437,4)),VALUE(MID(B437,4,2)),VALUE(LEFT(B437,2)))
      ),
      IF(ISNUMBER(SEARCH("/",B437)*1),
        DATE(VALUE(RIGHT(B437,4)),VALUE(LEFT(B437,2)),VALUE(MID(B437,4,2))),
        DATEVALUE(B437)
      )
    )
  ),
"INVALID_DATE")</f>
        <v>45759</v>
      </c>
      <c r="AA437" s="2">
        <f>IFERROR(
  IF(ISNUMBER(C437),C437,
    IF(ISNUMBER(SEARCH("-",C437)*1),
      IF(LEN(LEFT(C437,FIND("-",C437)-1))=4,
        DATE(VALUE(LEFT(C437,4)),VALUE(MID(C437,6,2)),VALUE(RIGHT(C437,2))),
        DATE(VALUE(RIGHT(C437,4)),VALUE(MID(C437,4,2)),VALUE(LEFT(C437,2)))
      ),
      IF(ISNUMBER(SEARCH("/",C437)*1),
        DATE(VALUE(RIGHT(C437,4)),VALUE(LEFT(C437,2)),VALUE(MID(C437,4,2))),
        DATEVALUE(C437)
      )
    )
  ),
"INVALID_DATE")</f>
        <v>45767</v>
      </c>
      <c r="AB437">
        <f>AA437-Z437</f>
        <v>8</v>
      </c>
      <c r="AC437" t="str">
        <f>TEXT(Z437,"mmmm")</f>
        <v>April</v>
      </c>
      <c r="AD437">
        <f>YEAR(Z437)</f>
        <v>2025</v>
      </c>
      <c r="AE437" t="str">
        <f t="shared" si="20"/>
        <v>OK</v>
      </c>
    </row>
    <row r="438" spans="1:31">
      <c r="A438" t="s">
        <v>2158</v>
      </c>
      <c r="B438" t="s">
        <v>2159</v>
      </c>
      <c r="C438" t="s">
        <v>2160</v>
      </c>
      <c r="D438" t="s">
        <v>2161</v>
      </c>
      <c r="E438" t="s">
        <v>100</v>
      </c>
      <c r="F438" t="s">
        <v>33</v>
      </c>
      <c r="G438" t="s">
        <v>69</v>
      </c>
      <c r="H438" t="s">
        <v>249</v>
      </c>
      <c r="I438" t="s">
        <v>250</v>
      </c>
      <c r="J438" t="s">
        <v>52</v>
      </c>
      <c r="K438" t="s">
        <v>72</v>
      </c>
      <c r="L438" t="s">
        <v>2162</v>
      </c>
      <c r="M438" t="s">
        <v>55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41</v>
      </c>
      <c r="U438" t="s">
        <v>132</v>
      </c>
      <c r="V438">
        <f>O438*(1-P438)*N438</f>
        <v>6593.6460000000006</v>
      </c>
      <c r="W438">
        <f t="shared" si="18"/>
        <v>2234.2560000000003</v>
      </c>
      <c r="X438">
        <f t="shared" si="19"/>
        <v>0.33885025744466274</v>
      </c>
      <c r="Y438" t="s">
        <v>4120</v>
      </c>
      <c r="Z438" s="2">
        <f>IFERROR(
  IF(ISNUMBER(B438),B438,
    IF(ISNUMBER(SEARCH("-",B438)*1),
      IF(LEN(LEFT(B438,FIND("-",B438)-1))=4,
        DATE(VALUE(LEFT(B438,4)),VALUE(MID(B438,6,2)),VALUE(RIGHT(B438,2))),
        DATE(VALUE(RIGHT(B438,4)),VALUE(MID(B438,4,2)),VALUE(LEFT(B438,2)))
      ),
      IF(ISNUMBER(SEARCH("/",B438)*1),
        DATE(VALUE(RIGHT(B438,4)),VALUE(LEFT(B438,2)),VALUE(MID(B438,4,2))),
        DATEVALUE(B438)
      )
    )
  ),
"INVALID_DATE")</f>
        <v>45459</v>
      </c>
      <c r="AA438" s="2">
        <f>IFERROR(
  IF(ISNUMBER(C438),C438,
    IF(ISNUMBER(SEARCH("-",C438)*1),
      IF(LEN(LEFT(C438,FIND("-",C438)-1))=4,
        DATE(VALUE(LEFT(C438,4)),VALUE(MID(C438,6,2)),VALUE(RIGHT(C438,2))),
        DATE(VALUE(RIGHT(C438,4)),VALUE(MID(C438,4,2)),VALUE(LEFT(C438,2)))
      ),
      IF(ISNUMBER(SEARCH("/",C438)*1),
        DATE(VALUE(RIGHT(C438,4)),VALUE(LEFT(C438,2)),VALUE(MID(C438,4,2))),
        DATEVALUE(C438)
      )
    )
  ),
"INVALID_DATE")</f>
        <v>45464</v>
      </c>
      <c r="AB438">
        <f>AA438-Z438</f>
        <v>5</v>
      </c>
      <c r="AC438" t="str">
        <f>TEXT(Z438,"mmmm")</f>
        <v>June</v>
      </c>
      <c r="AD438">
        <f>YEAR(Z438)</f>
        <v>2024</v>
      </c>
      <c r="AE438" t="str">
        <f t="shared" si="20"/>
        <v>OK</v>
      </c>
    </row>
    <row r="439" spans="1:31">
      <c r="A439" t="s">
        <v>2163</v>
      </c>
      <c r="B439" t="s">
        <v>2164</v>
      </c>
      <c r="C439" t="s">
        <v>2165</v>
      </c>
      <c r="D439" t="s">
        <v>2166</v>
      </c>
      <c r="E439" t="s">
        <v>114</v>
      </c>
      <c r="F439" t="s">
        <v>48</v>
      </c>
      <c r="G439" t="s">
        <v>69</v>
      </c>
      <c r="H439" t="s">
        <v>249</v>
      </c>
      <c r="I439" t="s">
        <v>250</v>
      </c>
      <c r="J439" t="s">
        <v>93</v>
      </c>
      <c r="K439" t="s">
        <v>94</v>
      </c>
      <c r="L439" t="s">
        <v>2167</v>
      </c>
      <c r="M439" t="s">
        <v>55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207</v>
      </c>
      <c r="U439" t="s">
        <v>132</v>
      </c>
      <c r="V439">
        <f>O439*(1-P439)*N439</f>
        <v>2886.6319999999996</v>
      </c>
      <c r="W439">
        <f t="shared" si="18"/>
        <v>1298.4019999999996</v>
      </c>
      <c r="X439">
        <f t="shared" si="19"/>
        <v>0.44979786117375625</v>
      </c>
      <c r="Y439" t="s">
        <v>4120</v>
      </c>
      <c r="Z439" s="2">
        <f>IFERROR(
  IF(ISNUMBER(B439),B439,
    IF(ISNUMBER(SEARCH("-",B439)*1),
      IF(LEN(LEFT(B439,FIND("-",B439)-1))=4,
        DATE(VALUE(LEFT(B439,4)),VALUE(MID(B439,6,2)),VALUE(RIGHT(B439,2))),
        DATE(VALUE(RIGHT(B439,4)),VALUE(MID(B439,4,2)),VALUE(LEFT(B439,2)))
      ),
      IF(ISNUMBER(SEARCH("/",B439)*1),
        DATE(VALUE(RIGHT(B439,4)),VALUE(LEFT(B439,2)),VALUE(MID(B439,4,2))),
        DATEVALUE(B439)
      )
    )
  ),
"INVALID_DATE")</f>
        <v>45337</v>
      </c>
      <c r="AA439" s="2">
        <f>IFERROR(
  IF(ISNUMBER(C439),C439,
    IF(ISNUMBER(SEARCH("-",C439)*1),
      IF(LEN(LEFT(C439,FIND("-",C439)-1))=4,
        DATE(VALUE(LEFT(C439,4)),VALUE(MID(C439,6,2)),VALUE(RIGHT(C439,2))),
        DATE(VALUE(RIGHT(C439,4)),VALUE(MID(C439,4,2)),VALUE(LEFT(C439,2)))
      ),
      IF(ISNUMBER(SEARCH("/",C439)*1),
        DATE(VALUE(RIGHT(C439,4)),VALUE(LEFT(C439,2)),VALUE(MID(C439,4,2))),
        DATEVALUE(C439)
      )
    )
  ),
"INVALID_DATE")</f>
        <v>45340</v>
      </c>
      <c r="AB439">
        <f>AA439-Z439</f>
        <v>3</v>
      </c>
      <c r="AC439" t="str">
        <f>TEXT(Z439,"mmmm")</f>
        <v>February</v>
      </c>
      <c r="AD439">
        <f>YEAR(Z439)</f>
        <v>2024</v>
      </c>
      <c r="AE439" t="str">
        <f t="shared" si="20"/>
        <v>OK</v>
      </c>
    </row>
    <row r="440" spans="1:31">
      <c r="A440" t="s">
        <v>2168</v>
      </c>
      <c r="B440" t="s">
        <v>1031</v>
      </c>
      <c r="C440" t="s">
        <v>2169</v>
      </c>
      <c r="D440" t="s">
        <v>2170</v>
      </c>
      <c r="E440" t="s">
        <v>100</v>
      </c>
      <c r="F440" t="s">
        <v>115</v>
      </c>
      <c r="G440" t="s">
        <v>49</v>
      </c>
      <c r="H440" t="s">
        <v>319</v>
      </c>
      <c r="I440" t="s">
        <v>320</v>
      </c>
      <c r="J440" t="s">
        <v>93</v>
      </c>
      <c r="K440" t="s">
        <v>230</v>
      </c>
      <c r="L440" t="s">
        <v>2171</v>
      </c>
      <c r="M440" t="s">
        <v>74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41</v>
      </c>
      <c r="U440" t="s">
        <v>42</v>
      </c>
      <c r="V440">
        <f>O440*(1-P440)*N440</f>
        <v>1813.1759999999999</v>
      </c>
      <c r="W440">
        <f t="shared" si="18"/>
        <v>449.53599999999983</v>
      </c>
      <c r="X440">
        <f t="shared" si="19"/>
        <v>0.24792905282431971</v>
      </c>
      <c r="Y440" t="str">
        <f>_xlfn.TEXTJOIN(", ",TRUE,IF(G440="Unknown","Missing Region",""),IF(M440="Unknown","Missing Ship Mode",""),IF(P440&lt;0,"Negative Discount",""),IF(P440&gt;0.7,"High Discount",""),IF(C440&lt;B440,"Ship Before Order",""))</f>
        <v>Ship Before Order</v>
      </c>
      <c r="Z440" s="2">
        <f>IFERROR(
  IF(ISNUMBER(B440),B440,
    IF(ISNUMBER(SEARCH("-",B440)*1),
      IF(LEN(LEFT(B440,FIND("-",B440)-1))=4,
        DATE(VALUE(LEFT(B440,4)),VALUE(MID(B440,6,2)),VALUE(RIGHT(B440,2))),
        DATE(VALUE(RIGHT(B440,4)),VALUE(MID(B440,4,2)),VALUE(LEFT(B440,2)))
      ),
      IF(ISNUMBER(SEARCH("/",B440)*1),
        DATE(VALUE(RIGHT(B440,4)),VALUE(LEFT(B440,2)),VALUE(MID(B440,4,2))),
        DATEVALUE(B440)
      )
    )
  ),
"INVALID_DATE")</f>
        <v>45784</v>
      </c>
      <c r="AA440" s="2">
        <f>IFERROR(
  IF(ISNUMBER(C440),C440,
    IF(ISNUMBER(SEARCH("-",C440)*1),
      IF(LEN(LEFT(C440,FIND("-",C440)-1))=4,
        DATE(VALUE(LEFT(C440,4)),VALUE(MID(C440,6,2)),VALUE(RIGHT(C440,2))),
        DATE(VALUE(RIGHT(C440,4)),VALUE(MID(C440,4,2)),VALUE(LEFT(C440,2)))
      ),
      IF(ISNUMBER(SEARCH("/",C440)*1),
        DATE(VALUE(RIGHT(C440,4)),VALUE(LEFT(C440,2)),VALUE(MID(C440,4,2))),
        DATEVALUE(C440)
      )
    )
  ),
"INVALID_DATE")</f>
        <v>45782</v>
      </c>
      <c r="AB440">
        <f>AA440-Z440</f>
        <v>-2</v>
      </c>
      <c r="AC440" t="str">
        <f>TEXT(Z440,"mmmm")</f>
        <v>May</v>
      </c>
      <c r="AD440">
        <f>YEAR(Z440)</f>
        <v>2025</v>
      </c>
      <c r="AE440" t="str">
        <f t="shared" si="20"/>
        <v>Ship Before Order</v>
      </c>
    </row>
    <row r="441" spans="1:31">
      <c r="A441" t="s">
        <v>2172</v>
      </c>
      <c r="B441" t="s">
        <v>2173</v>
      </c>
      <c r="C441" t="s">
        <v>2174</v>
      </c>
      <c r="D441" t="s">
        <v>2175</v>
      </c>
      <c r="E441" t="s">
        <v>169</v>
      </c>
      <c r="F441" t="s">
        <v>122</v>
      </c>
      <c r="G441" t="s">
        <v>80</v>
      </c>
      <c r="H441" t="s">
        <v>256</v>
      </c>
      <c r="I441" t="s">
        <v>257</v>
      </c>
      <c r="J441" t="s">
        <v>37</v>
      </c>
      <c r="K441" t="s">
        <v>163</v>
      </c>
      <c r="L441" t="s">
        <v>2176</v>
      </c>
      <c r="M441" t="s">
        <v>55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131</v>
      </c>
      <c r="U441" t="s">
        <v>132</v>
      </c>
      <c r="V441">
        <f>O441*(1-P441)*N441</f>
        <v>3326.25</v>
      </c>
      <c r="W441">
        <f t="shared" si="18"/>
        <v>636.88999999999987</v>
      </c>
      <c r="X441">
        <f t="shared" si="19"/>
        <v>0.19147388199924839</v>
      </c>
      <c r="Y441" t="str">
        <f>_xlfn.TEXTJOIN(", ",TRUE,IF(G441="Unknown","Missing Region",""),IF(M441="Unknown","Missing Ship Mode",""),IF(P441&lt;0,"Negative Discount",""),IF(P441&gt;0.7,"High Discount",""),IF(C441&lt;B441,"Ship Before Order",""))</f>
        <v>Ship Before Order</v>
      </c>
      <c r="Z441" s="2">
        <f>IFERROR(
  IF(ISNUMBER(B441),B441,
    IF(ISNUMBER(SEARCH("-",B441)*1),
      IF(LEN(LEFT(B441,FIND("-",B441)-1))=4,
        DATE(VALUE(LEFT(B441,4)),VALUE(MID(B441,6,2)),VALUE(RIGHT(B441,2))),
        DATE(VALUE(RIGHT(B441,4)),VALUE(MID(B441,4,2)),VALUE(LEFT(B441,2)))
      ),
      IF(ISNUMBER(SEARCH("/",B441)*1),
        DATE(VALUE(RIGHT(B441,4)),VALUE(LEFT(B441,2)),VALUE(MID(B441,4,2))),
        DATEVALUE(B441)
      )
    )
  ),
"INVALID_DATE")</f>
        <v>45838</v>
      </c>
      <c r="AA441" s="2">
        <f>IFERROR(
  IF(ISNUMBER(C441),C441,
    IF(ISNUMBER(SEARCH("-",C441)*1),
      IF(LEN(LEFT(C441,FIND("-",C441)-1))=4,
        DATE(VALUE(LEFT(C441,4)),VALUE(MID(C441,6,2)),VALUE(RIGHT(C441,2))),
        DATE(VALUE(RIGHT(C441,4)),VALUE(MID(C441,4,2)),VALUE(LEFT(C441,2)))
      ),
      IF(ISNUMBER(SEARCH("/",C441)*1),
        DATE(VALUE(RIGHT(C441,4)),VALUE(LEFT(C441,2)),VALUE(MID(C441,4,2))),
        DATEVALUE(C441)
      )
    )
  ),
"INVALID_DATE")</f>
        <v>45841</v>
      </c>
      <c r="AB441">
        <f>AA441-Z441</f>
        <v>3</v>
      </c>
      <c r="AC441" t="str">
        <f>TEXT(Z441,"mmmm")</f>
        <v>June</v>
      </c>
      <c r="AD441">
        <f>YEAR(Z441)</f>
        <v>2025</v>
      </c>
      <c r="AE441" t="str">
        <f t="shared" si="20"/>
        <v>OK</v>
      </c>
    </row>
    <row r="442" spans="1:31">
      <c r="A442" t="s">
        <v>2177</v>
      </c>
      <c r="B442" t="s">
        <v>2178</v>
      </c>
      <c r="C442" t="s">
        <v>2179</v>
      </c>
      <c r="D442" t="s">
        <v>384</v>
      </c>
      <c r="E442" t="s">
        <v>90</v>
      </c>
      <c r="F442" t="s">
        <v>115</v>
      </c>
      <c r="G442" t="s">
        <v>49</v>
      </c>
      <c r="H442" t="s">
        <v>50</v>
      </c>
      <c r="I442" t="s">
        <v>51</v>
      </c>
      <c r="J442" t="s">
        <v>93</v>
      </c>
      <c r="K442" t="s">
        <v>390</v>
      </c>
      <c r="L442" t="s">
        <v>2180</v>
      </c>
      <c r="M442" t="s">
        <v>40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41</v>
      </c>
      <c r="U442" t="s">
        <v>42</v>
      </c>
      <c r="V442">
        <f>O442*(1-P442)*N442</f>
        <v>17869.632000000001</v>
      </c>
      <c r="W442">
        <f t="shared" si="18"/>
        <v>5705.8320000000022</v>
      </c>
      <c r="X442">
        <f t="shared" si="19"/>
        <v>0.31930319765994031</v>
      </c>
      <c r="Y442" t="s">
        <v>4120</v>
      </c>
      <c r="Z442" s="2">
        <f>IFERROR(
  IF(ISNUMBER(B442),B442,
    IF(ISNUMBER(SEARCH("-",B442)*1),
      IF(LEN(LEFT(B442,FIND("-",B442)-1))=4,
        DATE(VALUE(LEFT(B442,4)),VALUE(MID(B442,6,2)),VALUE(RIGHT(B442,2))),
        DATE(VALUE(RIGHT(B442,4)),VALUE(MID(B442,4,2)),VALUE(LEFT(B442,2)))
      ),
      IF(ISNUMBER(SEARCH("/",B442)*1),
        DATE(VALUE(RIGHT(B442,4)),VALUE(LEFT(B442,2)),VALUE(MID(B442,4,2))),
        DATEVALUE(B442)
      )
    )
  ),
"INVALID_DATE")</f>
        <v>45384</v>
      </c>
      <c r="AA442" s="2">
        <f>IFERROR(
  IF(ISNUMBER(C442),C442,
    IF(ISNUMBER(SEARCH("-",C442)*1),
      IF(LEN(LEFT(C442,FIND("-",C442)-1))=4,
        DATE(VALUE(LEFT(C442,4)),VALUE(MID(C442,6,2)),VALUE(RIGHT(C442,2))),
        DATE(VALUE(RIGHT(C442,4)),VALUE(MID(C442,4,2)),VALUE(LEFT(C442,2)))
      ),
      IF(ISNUMBER(SEARCH("/",C442)*1),
        DATE(VALUE(RIGHT(C442,4)),VALUE(LEFT(C442,2)),VALUE(MID(C442,4,2))),
        DATEVALUE(C442)
      )
    )
  ),
"INVALID_DATE")</f>
        <v>45390</v>
      </c>
      <c r="AB442">
        <f>AA442-Z442</f>
        <v>6</v>
      </c>
      <c r="AC442" t="str">
        <f>TEXT(Z442,"mmmm")</f>
        <v>April</v>
      </c>
      <c r="AD442">
        <f>YEAR(Z442)</f>
        <v>2024</v>
      </c>
      <c r="AE442" t="str">
        <f t="shared" si="20"/>
        <v>OK</v>
      </c>
    </row>
    <row r="443" spans="1:31">
      <c r="A443" t="s">
        <v>2181</v>
      </c>
      <c r="B443" t="s">
        <v>2182</v>
      </c>
      <c r="C443" t="s">
        <v>533</v>
      </c>
      <c r="D443" t="s">
        <v>2183</v>
      </c>
      <c r="E443" t="s">
        <v>32</v>
      </c>
      <c r="F443" t="s">
        <v>33</v>
      </c>
      <c r="G443" t="s">
        <v>49</v>
      </c>
      <c r="H443" t="s">
        <v>193</v>
      </c>
      <c r="I443" t="s">
        <v>194</v>
      </c>
      <c r="J443" t="s">
        <v>52</v>
      </c>
      <c r="K443" t="s">
        <v>211</v>
      </c>
      <c r="L443" t="s">
        <v>2184</v>
      </c>
      <c r="M443" t="s">
        <v>74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41</v>
      </c>
      <c r="U443" t="s">
        <v>85</v>
      </c>
      <c r="V443">
        <f>O443*(1-P443)*N443</f>
        <v>25304.94</v>
      </c>
      <c r="W443">
        <f t="shared" si="18"/>
        <v>4532.989999999998</v>
      </c>
      <c r="X443">
        <f t="shared" si="19"/>
        <v>0.17913458795002082</v>
      </c>
      <c r="Y443" t="s">
        <v>4120</v>
      </c>
      <c r="Z443" s="2">
        <f>IFERROR(
  IF(ISNUMBER(B443),B443,
    IF(ISNUMBER(SEARCH("-",B443)*1),
      IF(LEN(LEFT(B443,FIND("-",B443)-1))=4,
        DATE(VALUE(LEFT(B443,4)),VALUE(MID(B443,6,2)),VALUE(RIGHT(B443,2))),
        DATE(VALUE(RIGHT(B443,4)),VALUE(MID(B443,4,2)),VALUE(LEFT(B443,2)))
      ),
      IF(ISNUMBER(SEARCH("/",B443)*1),
        DATE(VALUE(RIGHT(B443,4)),VALUE(LEFT(B443,2)),VALUE(MID(B443,4,2))),
        DATEVALUE(B443)
      )
    )
  ),
"INVALID_DATE")</f>
        <v>45568</v>
      </c>
      <c r="AA443" s="2">
        <f>IFERROR(
  IF(ISNUMBER(C443),C443,
    IF(ISNUMBER(SEARCH("-",C443)*1),
      IF(LEN(LEFT(C443,FIND("-",C443)-1))=4,
        DATE(VALUE(LEFT(C443,4)),VALUE(MID(C443,6,2)),VALUE(RIGHT(C443,2))),
        DATE(VALUE(RIGHT(C443,4)),VALUE(MID(C443,4,2)),VALUE(LEFT(C443,2)))
      ),
      IF(ISNUMBER(SEARCH("/",C443)*1),
        DATE(VALUE(RIGHT(C443,4)),VALUE(LEFT(C443,2)),VALUE(MID(C443,4,2))),
        DATEVALUE(C443)
      )
    )
  ),
"INVALID_DATE")</f>
        <v>45568</v>
      </c>
      <c r="AB443">
        <f>AA443-Z443</f>
        <v>0</v>
      </c>
      <c r="AC443" t="str">
        <f>TEXT(Z443,"mmmm")</f>
        <v>October</v>
      </c>
      <c r="AD443">
        <f>YEAR(Z443)</f>
        <v>2024</v>
      </c>
      <c r="AE443" t="str">
        <f t="shared" si="20"/>
        <v>OK</v>
      </c>
    </row>
    <row r="444" spans="1:31">
      <c r="A444" t="s">
        <v>2185</v>
      </c>
      <c r="B444" t="s">
        <v>2186</v>
      </c>
      <c r="C444" t="s">
        <v>2187</v>
      </c>
      <c r="D444" t="s">
        <v>2188</v>
      </c>
      <c r="E444" t="s">
        <v>169</v>
      </c>
      <c r="F444" t="s">
        <v>33</v>
      </c>
      <c r="G444" t="s">
        <v>49</v>
      </c>
      <c r="H444" t="s">
        <v>319</v>
      </c>
      <c r="I444" t="s">
        <v>320</v>
      </c>
      <c r="J444" t="s">
        <v>52</v>
      </c>
      <c r="K444" t="s">
        <v>53</v>
      </c>
      <c r="L444" t="s">
        <v>2189</v>
      </c>
      <c r="M444" t="s">
        <v>63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41</v>
      </c>
      <c r="U444" t="s">
        <v>42</v>
      </c>
      <c r="V444">
        <f>O444*(1-P444)*N444</f>
        <v>1842.31</v>
      </c>
      <c r="W444">
        <f t="shared" si="18"/>
        <v>823.14</v>
      </c>
      <c r="X444">
        <f t="shared" si="19"/>
        <v>0.44679777019068451</v>
      </c>
      <c r="Y444" t="s">
        <v>4120</v>
      </c>
      <c r="Z444" s="2">
        <f>IFERROR(
  IF(ISNUMBER(B444),B444,
    IF(ISNUMBER(SEARCH("-",B444)*1),
      IF(LEN(LEFT(B444,FIND("-",B444)-1))=4,
        DATE(VALUE(LEFT(B444,4)),VALUE(MID(B444,6,2)),VALUE(RIGHT(B444,2))),
        DATE(VALUE(RIGHT(B444,4)),VALUE(MID(B444,4,2)),VALUE(LEFT(B444,2)))
      ),
      IF(ISNUMBER(SEARCH("/",B444)*1),
        DATE(VALUE(RIGHT(B444,4)),VALUE(LEFT(B444,2)),VALUE(MID(B444,4,2))),
        DATEVALUE(B444)
      )
    )
  ),
"INVALID_DATE")</f>
        <v>45669</v>
      </c>
      <c r="AA444" s="2">
        <f>IFERROR(
  IF(ISNUMBER(C444),C444,
    IF(ISNUMBER(SEARCH("-",C444)*1),
      IF(LEN(LEFT(C444,FIND("-",C444)-1))=4,
        DATE(VALUE(LEFT(C444,4)),VALUE(MID(C444,6,2)),VALUE(RIGHT(C444,2))),
        DATE(VALUE(RIGHT(C444,4)),VALUE(MID(C444,4,2)),VALUE(LEFT(C444,2)))
      ),
      IF(ISNUMBER(SEARCH("/",C444)*1),
        DATE(VALUE(RIGHT(C444,4)),VALUE(LEFT(C444,2)),VALUE(MID(C444,4,2))),
        DATEVALUE(C444)
      )
    )
  ),
"INVALID_DATE")</f>
        <v>45676</v>
      </c>
      <c r="AB444">
        <f>AA444-Z444</f>
        <v>7</v>
      </c>
      <c r="AC444" t="str">
        <f>TEXT(Z444,"mmmm")</f>
        <v>January</v>
      </c>
      <c r="AD444">
        <f>YEAR(Z444)</f>
        <v>2025</v>
      </c>
      <c r="AE444" t="str">
        <f t="shared" si="20"/>
        <v>OK</v>
      </c>
    </row>
    <row r="445" spans="1:31">
      <c r="A445" t="s">
        <v>2190</v>
      </c>
      <c r="B445" t="s">
        <v>2191</v>
      </c>
      <c r="C445" t="s">
        <v>1902</v>
      </c>
      <c r="D445" t="s">
        <v>2192</v>
      </c>
      <c r="E445" t="s">
        <v>187</v>
      </c>
      <c r="F445" t="s">
        <v>122</v>
      </c>
      <c r="G445" t="s">
        <v>49</v>
      </c>
      <c r="H445" t="s">
        <v>50</v>
      </c>
      <c r="I445" t="s">
        <v>51</v>
      </c>
      <c r="J445" t="s">
        <v>52</v>
      </c>
      <c r="K445" t="s">
        <v>72</v>
      </c>
      <c r="L445" t="s">
        <v>2193</v>
      </c>
      <c r="M445" t="s">
        <v>63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41</v>
      </c>
      <c r="U445" t="s">
        <v>42</v>
      </c>
      <c r="V445">
        <f>O445*(1-P445)*N445</f>
        <v>3315.375</v>
      </c>
      <c r="W445">
        <f t="shared" si="18"/>
        <v>967.69500000000016</v>
      </c>
      <c r="X445">
        <f t="shared" si="19"/>
        <v>0.29188207686600026</v>
      </c>
      <c r="Y445" t="s">
        <v>4120</v>
      </c>
      <c r="Z445" s="2">
        <f>IFERROR(
  IF(ISNUMBER(B445),B445,
    IF(ISNUMBER(SEARCH("-",B445)*1),
      IF(LEN(LEFT(B445,FIND("-",B445)-1))=4,
        DATE(VALUE(LEFT(B445,4)),VALUE(MID(B445,6,2)),VALUE(RIGHT(B445,2))),
        DATE(VALUE(RIGHT(B445,4)),VALUE(MID(B445,4,2)),VALUE(LEFT(B445,2)))
      ),
      IF(ISNUMBER(SEARCH("/",B445)*1),
        DATE(VALUE(RIGHT(B445,4)),VALUE(LEFT(B445,2)),VALUE(MID(B445,4,2))),
        DATEVALUE(B445)
      )
    )
  ),
"INVALID_DATE")</f>
        <v>45386</v>
      </c>
      <c r="AA445" s="2">
        <f>IFERROR(
  IF(ISNUMBER(C445),C445,
    IF(ISNUMBER(SEARCH("-",C445)*1),
      IF(LEN(LEFT(C445,FIND("-",C445)-1))=4,
        DATE(VALUE(LEFT(C445,4)),VALUE(MID(C445,6,2)),VALUE(RIGHT(C445,2))),
        DATE(VALUE(RIGHT(C445,4)),VALUE(MID(C445,4,2)),VALUE(LEFT(C445,2)))
      ),
      IF(ISNUMBER(SEARCH("/",C445)*1),
        DATE(VALUE(RIGHT(C445,4)),VALUE(LEFT(C445,2)),VALUE(MID(C445,4,2))),
        DATEVALUE(C445)
      )
    )
  ),
"INVALID_DATE")</f>
        <v>45389</v>
      </c>
      <c r="AB445">
        <f>AA445-Z445</f>
        <v>3</v>
      </c>
      <c r="AC445" t="str">
        <f>TEXT(Z445,"mmmm")</f>
        <v>April</v>
      </c>
      <c r="AD445">
        <f>YEAR(Z445)</f>
        <v>2024</v>
      </c>
      <c r="AE445" t="str">
        <f t="shared" si="20"/>
        <v>OK</v>
      </c>
    </row>
    <row r="446" spans="1:31">
      <c r="A446" t="s">
        <v>2194</v>
      </c>
      <c r="B446" t="s">
        <v>2195</v>
      </c>
      <c r="C446" t="s">
        <v>1867</v>
      </c>
      <c r="D446" t="s">
        <v>2196</v>
      </c>
      <c r="E446" t="s">
        <v>79</v>
      </c>
      <c r="F446" t="s">
        <v>33</v>
      </c>
      <c r="G446" t="s">
        <v>49</v>
      </c>
      <c r="H446" t="s">
        <v>223</v>
      </c>
      <c r="I446" t="s">
        <v>224</v>
      </c>
      <c r="J446" t="s">
        <v>93</v>
      </c>
      <c r="K446" t="s">
        <v>94</v>
      </c>
      <c r="L446" t="s">
        <v>2197</v>
      </c>
      <c r="M446" t="s">
        <v>55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41</v>
      </c>
      <c r="U446" t="s">
        <v>42</v>
      </c>
      <c r="V446">
        <f>O446*(1-P446)*N446</f>
        <v>20342.501999999997</v>
      </c>
      <c r="W446">
        <f t="shared" si="18"/>
        <v>7934.9919999999966</v>
      </c>
      <c r="X446">
        <f t="shared" si="19"/>
        <v>0.39006955880545657</v>
      </c>
      <c r="Y446" t="s">
        <v>4120</v>
      </c>
      <c r="Z446" s="2">
        <f>IFERROR(
  IF(ISNUMBER(B446),B446,
    IF(ISNUMBER(SEARCH("-",B446)*1),
      IF(LEN(LEFT(B446,FIND("-",B446)-1))=4,
        DATE(VALUE(LEFT(B446,4)),VALUE(MID(B446,6,2)),VALUE(RIGHT(B446,2))),
        DATE(VALUE(RIGHT(B446,4)),VALUE(MID(B446,4,2)),VALUE(LEFT(B446,2)))
      ),
      IF(ISNUMBER(SEARCH("/",B446)*1),
        DATE(VALUE(RIGHT(B446,4)),VALUE(LEFT(B446,2)),VALUE(MID(B446,4,2))),
        DATEVALUE(B446)
      )
    )
  ),
"INVALID_DATE")</f>
        <v>45881</v>
      </c>
      <c r="AA446" s="2">
        <f>IFERROR(
  IF(ISNUMBER(C446),C446,
    IF(ISNUMBER(SEARCH("-",C446)*1),
      IF(LEN(LEFT(C446,FIND("-",C446)-1))=4,
        DATE(VALUE(LEFT(C446,4)),VALUE(MID(C446,6,2)),VALUE(RIGHT(C446,2))),
        DATE(VALUE(RIGHT(C446,4)),VALUE(MID(C446,4,2)),VALUE(LEFT(C446,2)))
      ),
      IF(ISNUMBER(SEARCH("/",C446)*1),
        DATE(VALUE(RIGHT(C446,4)),VALUE(LEFT(C446,2)),VALUE(MID(C446,4,2))),
        DATEVALUE(C446)
      )
    )
  ),
"INVALID_DATE")</f>
        <v>45885</v>
      </c>
      <c r="AB446">
        <f>AA446-Z446</f>
        <v>4</v>
      </c>
      <c r="AC446" t="str">
        <f>TEXT(Z446,"mmmm")</f>
        <v>August</v>
      </c>
      <c r="AD446">
        <f>YEAR(Z446)</f>
        <v>2025</v>
      </c>
      <c r="AE446" t="str">
        <f t="shared" si="20"/>
        <v>OK</v>
      </c>
    </row>
    <row r="447" spans="1:31">
      <c r="A447" t="s">
        <v>2198</v>
      </c>
      <c r="B447" t="s">
        <v>2199</v>
      </c>
      <c r="C447" t="s">
        <v>2200</v>
      </c>
      <c r="D447" t="s">
        <v>2201</v>
      </c>
      <c r="E447" t="s">
        <v>68</v>
      </c>
      <c r="F447" t="s">
        <v>33</v>
      </c>
      <c r="G447" t="s">
        <v>49</v>
      </c>
      <c r="H447" t="s">
        <v>223</v>
      </c>
      <c r="I447" t="s">
        <v>224</v>
      </c>
      <c r="J447" t="s">
        <v>52</v>
      </c>
      <c r="K447" t="s">
        <v>211</v>
      </c>
      <c r="L447" t="s">
        <v>2202</v>
      </c>
      <c r="M447" t="s">
        <v>55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41</v>
      </c>
      <c r="U447" t="s">
        <v>42</v>
      </c>
      <c r="V447">
        <f>O447*(1-P447)*N447</f>
        <v>3377.9680000000003</v>
      </c>
      <c r="W447">
        <f t="shared" si="18"/>
        <v>881.67800000000034</v>
      </c>
      <c r="X447">
        <f t="shared" si="19"/>
        <v>0.26100883074746073</v>
      </c>
      <c r="Y447" t="s">
        <v>4120</v>
      </c>
      <c r="Z447" s="2">
        <f>IFERROR(
  IF(ISNUMBER(B447),B447,
    IF(ISNUMBER(SEARCH("-",B447)*1),
      IF(LEN(LEFT(B447,FIND("-",B447)-1))=4,
        DATE(VALUE(LEFT(B447,4)),VALUE(MID(B447,6,2)),VALUE(RIGHT(B447,2))),
        DATE(VALUE(RIGHT(B447,4)),VALUE(MID(B447,4,2)),VALUE(LEFT(B447,2)))
      ),
      IF(ISNUMBER(SEARCH("/",B447)*1),
        DATE(VALUE(RIGHT(B447,4)),VALUE(LEFT(B447,2)),VALUE(MID(B447,4,2))),
        DATEVALUE(B447)
      )
    )
  ),
"INVALID_DATE")</f>
        <v>45421</v>
      </c>
      <c r="AA447" s="2">
        <f>IFERROR(
  IF(ISNUMBER(C447),C447,
    IF(ISNUMBER(SEARCH("-",C447)*1),
      IF(LEN(LEFT(C447,FIND("-",C447)-1))=4,
        DATE(VALUE(LEFT(C447,4)),VALUE(MID(C447,6,2)),VALUE(RIGHT(C447,2))),
        DATE(VALUE(RIGHT(C447,4)),VALUE(MID(C447,4,2)),VALUE(LEFT(C447,2)))
      ),
      IF(ISNUMBER(SEARCH("/",C447)*1),
        DATE(VALUE(RIGHT(C447,4)),VALUE(LEFT(C447,2)),VALUE(MID(C447,4,2))),
        DATEVALUE(C447)
      )
    )
  ),
"INVALID_DATE")</f>
        <v>45417</v>
      </c>
      <c r="AB447">
        <f>AA447-Z447</f>
        <v>-4</v>
      </c>
      <c r="AC447" t="str">
        <f>TEXT(Z447,"mmmm")</f>
        <v>May</v>
      </c>
      <c r="AD447">
        <f>YEAR(Z447)</f>
        <v>2024</v>
      </c>
      <c r="AE447" t="str">
        <f t="shared" si="20"/>
        <v>Ship Before Order</v>
      </c>
    </row>
    <row r="448" spans="1:31">
      <c r="A448" t="s">
        <v>2203</v>
      </c>
      <c r="B448" t="s">
        <v>2204</v>
      </c>
      <c r="C448" t="s">
        <v>2205</v>
      </c>
      <c r="D448" t="s">
        <v>2206</v>
      </c>
      <c r="E448" t="s">
        <v>175</v>
      </c>
      <c r="F448" t="s">
        <v>122</v>
      </c>
      <c r="G448" t="s">
        <v>69</v>
      </c>
      <c r="H448" t="s">
        <v>107</v>
      </c>
      <c r="I448" t="s">
        <v>108</v>
      </c>
      <c r="J448" t="s">
        <v>37</v>
      </c>
      <c r="K448" t="s">
        <v>163</v>
      </c>
      <c r="L448" t="s">
        <v>2207</v>
      </c>
      <c r="M448" t="s">
        <v>55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41</v>
      </c>
      <c r="U448" t="s">
        <v>42</v>
      </c>
      <c r="V448">
        <f>O448*(1-P448)*N448</f>
        <v>33940.080000000002</v>
      </c>
      <c r="W448">
        <f t="shared" si="18"/>
        <v>10185.890000000003</v>
      </c>
      <c r="X448">
        <f t="shared" si="19"/>
        <v>0.30011390662603032</v>
      </c>
      <c r="Y448" t="s">
        <v>4120</v>
      </c>
      <c r="Z448" s="2">
        <f>IFERROR(
  IF(ISNUMBER(B448),B448,
    IF(ISNUMBER(SEARCH("-",B448)*1),
      IF(LEN(LEFT(B448,FIND("-",B448)-1))=4,
        DATE(VALUE(LEFT(B448,4)),VALUE(MID(B448,6,2)),VALUE(RIGHT(B448,2))),
        DATE(VALUE(RIGHT(B448,4)),VALUE(MID(B448,4,2)),VALUE(LEFT(B448,2)))
      ),
      IF(ISNUMBER(SEARCH("/",B448)*1),
        DATE(VALUE(RIGHT(B448,4)),VALUE(LEFT(B448,2)),VALUE(MID(B448,4,2))),
        DATEVALUE(B448)
      )
    )
  ),
"INVALID_DATE")</f>
        <v>45918</v>
      </c>
      <c r="AA448" s="2">
        <f>IFERROR(
  IF(ISNUMBER(C448),C448,
    IF(ISNUMBER(SEARCH("-",C448)*1),
      IF(LEN(LEFT(C448,FIND("-",C448)-1))=4,
        DATE(VALUE(LEFT(C448,4)),VALUE(MID(C448,6,2)),VALUE(RIGHT(C448,2))),
        DATE(VALUE(RIGHT(C448,4)),VALUE(MID(C448,4,2)),VALUE(LEFT(C448,2)))
      ),
      IF(ISNUMBER(SEARCH("/",C448)*1),
        DATE(VALUE(RIGHT(C448,4)),VALUE(LEFT(C448,2)),VALUE(MID(C448,4,2))),
        DATEVALUE(C448)
      )
    )
  ),
"INVALID_DATE")</f>
        <v>45919</v>
      </c>
      <c r="AB448">
        <f>AA448-Z448</f>
        <v>1</v>
      </c>
      <c r="AC448" t="str">
        <f>TEXT(Z448,"mmmm")</f>
        <v>September</v>
      </c>
      <c r="AD448">
        <f>YEAR(Z448)</f>
        <v>2025</v>
      </c>
      <c r="AE448" t="str">
        <f t="shared" si="20"/>
        <v>OK</v>
      </c>
    </row>
    <row r="449" spans="1:31">
      <c r="A449" t="s">
        <v>2208</v>
      </c>
      <c r="B449" t="s">
        <v>952</v>
      </c>
      <c r="C449" t="s">
        <v>2209</v>
      </c>
      <c r="D449" t="s">
        <v>2210</v>
      </c>
      <c r="E449" t="s">
        <v>187</v>
      </c>
      <c r="F449" t="s">
        <v>122</v>
      </c>
      <c r="G449" t="s">
        <v>69</v>
      </c>
      <c r="H449" t="s">
        <v>70</v>
      </c>
      <c r="I449" t="s">
        <v>71</v>
      </c>
      <c r="J449" t="s">
        <v>52</v>
      </c>
      <c r="K449" t="s">
        <v>211</v>
      </c>
      <c r="L449" t="s">
        <v>2211</v>
      </c>
      <c r="M449" t="s">
        <v>74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144</v>
      </c>
      <c r="U449" t="s">
        <v>132</v>
      </c>
      <c r="V449">
        <f>O449*(1-P449)*N449</f>
        <v>21872.369999999995</v>
      </c>
      <c r="W449">
        <f t="shared" si="18"/>
        <v>8042.8699999999953</v>
      </c>
      <c r="X449">
        <f t="shared" si="19"/>
        <v>0.36771826738483304</v>
      </c>
      <c r="Y449" t="str">
        <f>_xlfn.TEXTJOIN(", ",TRUE,IF(G449="Unknown","Missing Region",""),IF(M449="Unknown","Missing Ship Mode",""),IF(P449&lt;0,"Negative Discount",""),IF(P449&gt;0.7,"High Discount",""),IF(C449&lt;B449,"Ship Before Order",""))</f>
        <v>Ship Before Order</v>
      </c>
      <c r="Z449" s="2">
        <f>IFERROR(
  IF(ISNUMBER(B449),B449,
    IF(ISNUMBER(SEARCH("-",B449)*1),
      IF(LEN(LEFT(B449,FIND("-",B449)-1))=4,
        DATE(VALUE(LEFT(B449,4)),VALUE(MID(B449,6,2)),VALUE(RIGHT(B449,2))),
        DATE(VALUE(RIGHT(B449,4)),VALUE(MID(B449,4,2)),VALUE(LEFT(B449,2)))
      ),
      IF(ISNUMBER(SEARCH("/",B449)*1),
        DATE(VALUE(RIGHT(B449,4)),VALUE(LEFT(B449,2)),VALUE(MID(B449,4,2))),
        DATEVALUE(B449)
      )
    )
  ),
"INVALID_DATE")</f>
        <v>45879</v>
      </c>
      <c r="AA449" s="2">
        <f>IFERROR(
  IF(ISNUMBER(C449),C449,
    IF(ISNUMBER(SEARCH("-",C449)*1),
      IF(LEN(LEFT(C449,FIND("-",C449)-1))=4,
        DATE(VALUE(LEFT(C449,4)),VALUE(MID(C449,6,2)),VALUE(RIGHT(C449,2))),
        DATE(VALUE(RIGHT(C449,4)),VALUE(MID(C449,4,2)),VALUE(LEFT(C449,2)))
      ),
      IF(ISNUMBER(SEARCH("/",C449)*1),
        DATE(VALUE(RIGHT(C449,4)),VALUE(LEFT(C449,2)),VALUE(MID(C449,4,2))),
        DATEVALUE(C449)
      )
    )
  ),
"INVALID_DATE")</f>
        <v>45879</v>
      </c>
      <c r="AB449">
        <f>AA449-Z449</f>
        <v>0</v>
      </c>
      <c r="AC449" t="str">
        <f>TEXT(Z449,"mmmm")</f>
        <v>August</v>
      </c>
      <c r="AD449">
        <f>YEAR(Z449)</f>
        <v>2025</v>
      </c>
      <c r="AE449" t="str">
        <f t="shared" si="20"/>
        <v>OK</v>
      </c>
    </row>
    <row r="450" spans="1:31">
      <c r="A450" t="s">
        <v>2212</v>
      </c>
      <c r="B450" t="s">
        <v>2213</v>
      </c>
      <c r="C450" t="s">
        <v>335</v>
      </c>
      <c r="D450" t="s">
        <v>2214</v>
      </c>
      <c r="E450" t="s">
        <v>47</v>
      </c>
      <c r="F450" t="s">
        <v>48</v>
      </c>
      <c r="G450" t="s">
        <v>69</v>
      </c>
      <c r="H450" t="s">
        <v>107</v>
      </c>
      <c r="I450" t="s">
        <v>108</v>
      </c>
      <c r="J450" t="s">
        <v>52</v>
      </c>
      <c r="K450" t="s">
        <v>83</v>
      </c>
      <c r="L450" t="s">
        <v>2215</v>
      </c>
      <c r="M450" t="s">
        <v>63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41</v>
      </c>
      <c r="U450" t="s">
        <v>42</v>
      </c>
      <c r="V450">
        <f>O450*(1-P450)*N450</f>
        <v>342.05700000000002</v>
      </c>
      <c r="W450">
        <f t="shared" si="18"/>
        <v>97.487000000000023</v>
      </c>
      <c r="X450">
        <f t="shared" si="19"/>
        <v>0.28500847804478746</v>
      </c>
      <c r="Y450" t="s">
        <v>4120</v>
      </c>
      <c r="Z450" s="2">
        <f>IFERROR(
  IF(ISNUMBER(B450),B450,
    IF(ISNUMBER(SEARCH("-",B450)*1),
      IF(LEN(LEFT(B450,FIND("-",B450)-1))=4,
        DATE(VALUE(LEFT(B450,4)),VALUE(MID(B450,6,2)),VALUE(RIGHT(B450,2))),
        DATE(VALUE(RIGHT(B450,4)),VALUE(MID(B450,4,2)),VALUE(LEFT(B450,2)))
      ),
      IF(ISNUMBER(SEARCH("/",B450)*1),
        DATE(VALUE(RIGHT(B450,4)),VALUE(LEFT(B450,2)),VALUE(MID(B450,4,2))),
        DATEVALUE(B450)
      )
    )
  ),
"INVALID_DATE")</f>
        <v>45306</v>
      </c>
      <c r="AA450" s="2">
        <f>IFERROR(
  IF(ISNUMBER(C450),C450,
    IF(ISNUMBER(SEARCH("-",C450)*1),
      IF(LEN(LEFT(C450,FIND("-",C450)-1))=4,
        DATE(VALUE(LEFT(C450,4)),VALUE(MID(C450,6,2)),VALUE(RIGHT(C450,2))),
        DATE(VALUE(RIGHT(C450,4)),VALUE(MID(C450,4,2)),VALUE(LEFT(C450,2)))
      ),
      IF(ISNUMBER(SEARCH("/",C450)*1),
        DATE(VALUE(RIGHT(C450,4)),VALUE(LEFT(C450,2)),VALUE(MID(C450,4,2))),
        DATEVALUE(C450)
      )
    )
  ),
"INVALID_DATE")</f>
        <v>45309</v>
      </c>
      <c r="AB450">
        <f>AA450-Z450</f>
        <v>3</v>
      </c>
      <c r="AC450" t="str">
        <f>TEXT(Z450,"mmmm")</f>
        <v>January</v>
      </c>
      <c r="AD450">
        <f>YEAR(Z450)</f>
        <v>2024</v>
      </c>
      <c r="AE450" t="str">
        <f t="shared" si="20"/>
        <v>OK</v>
      </c>
    </row>
    <row r="451" spans="1:31">
      <c r="A451" t="s">
        <v>2216</v>
      </c>
      <c r="B451" t="s">
        <v>2217</v>
      </c>
      <c r="C451" t="s">
        <v>2218</v>
      </c>
      <c r="D451" t="s">
        <v>2051</v>
      </c>
      <c r="E451" t="s">
        <v>114</v>
      </c>
      <c r="F451" t="s">
        <v>115</v>
      </c>
      <c r="G451" t="s">
        <v>49</v>
      </c>
      <c r="H451" t="s">
        <v>223</v>
      </c>
      <c r="I451" t="s">
        <v>224</v>
      </c>
      <c r="J451" t="s">
        <v>93</v>
      </c>
      <c r="K451" t="s">
        <v>390</v>
      </c>
      <c r="L451" t="s">
        <v>2219</v>
      </c>
      <c r="M451" t="s">
        <v>40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41</v>
      </c>
      <c r="U451" t="s">
        <v>42</v>
      </c>
      <c r="V451">
        <f>O451*(1-P451)*N451</f>
        <v>19622.16</v>
      </c>
      <c r="W451">
        <f t="shared" ref="W451:W514" si="21">V451-R451</f>
        <v>5350.8899999999994</v>
      </c>
      <c r="X451">
        <f t="shared" ref="X451:X514" si="22">S451/Q451</f>
        <v>0.27269627808559305</v>
      </c>
      <c r="Y451" t="s">
        <v>4120</v>
      </c>
      <c r="Z451" s="2">
        <f>IFERROR(
  IF(ISNUMBER(B451),B451,
    IF(ISNUMBER(SEARCH("-",B451)*1),
      IF(LEN(LEFT(B451,FIND("-",B451)-1))=4,
        DATE(VALUE(LEFT(B451,4)),VALUE(MID(B451,6,2)),VALUE(RIGHT(B451,2))),
        DATE(VALUE(RIGHT(B451,4)),VALUE(MID(B451,4,2)),VALUE(LEFT(B451,2)))
      ),
      IF(ISNUMBER(SEARCH("/",B451)*1),
        DATE(VALUE(RIGHT(B451,4)),VALUE(LEFT(B451,2)),VALUE(MID(B451,4,2))),
        DATEVALUE(B451)
      )
    )
  ),
"INVALID_DATE")</f>
        <v>45449</v>
      </c>
      <c r="AA451" s="2">
        <f>IFERROR(
  IF(ISNUMBER(C451),C451,
    IF(ISNUMBER(SEARCH("-",C451)*1),
      IF(LEN(LEFT(C451,FIND("-",C451)-1))=4,
        DATE(VALUE(LEFT(C451,4)),VALUE(MID(C451,6,2)),VALUE(RIGHT(C451,2))),
        DATE(VALUE(RIGHT(C451,4)),VALUE(MID(C451,4,2)),VALUE(LEFT(C451,2)))
      ),
      IF(ISNUMBER(SEARCH("/",C451)*1),
        DATE(VALUE(RIGHT(C451,4)),VALUE(LEFT(C451,2)),VALUE(MID(C451,4,2))),
        DATEVALUE(C451)
      )
    )
  ),
"INVALID_DATE")</f>
        <v>45456</v>
      </c>
      <c r="AB451">
        <f>AA451-Z451</f>
        <v>7</v>
      </c>
      <c r="AC451" t="str">
        <f>TEXT(Z451,"mmmm")</f>
        <v>June</v>
      </c>
      <c r="AD451">
        <f>YEAR(Z451)</f>
        <v>2024</v>
      </c>
      <c r="AE451" t="str">
        <f t="shared" ref="AE451:AE514" si="23">IF(OR(Z451="INVALID_DATE",AA451="INVALID_DATE"),"Invalid Date",IF(AA451&lt;Z451,"Ship Before Order","OK"))</f>
        <v>OK</v>
      </c>
    </row>
    <row r="452" spans="1:31">
      <c r="A452" t="s">
        <v>2220</v>
      </c>
      <c r="B452" t="s">
        <v>2221</v>
      </c>
      <c r="C452" t="s">
        <v>1585</v>
      </c>
      <c r="D452" t="s">
        <v>2222</v>
      </c>
      <c r="E452" t="s">
        <v>79</v>
      </c>
      <c r="F452" t="s">
        <v>115</v>
      </c>
      <c r="G452" t="s">
        <v>34</v>
      </c>
      <c r="H452" t="s">
        <v>514</v>
      </c>
      <c r="I452" t="s">
        <v>515</v>
      </c>
      <c r="J452" t="s">
        <v>52</v>
      </c>
      <c r="K452" t="s">
        <v>83</v>
      </c>
      <c r="L452" t="s">
        <v>2223</v>
      </c>
      <c r="M452" t="s">
        <v>74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41</v>
      </c>
      <c r="U452" t="s">
        <v>42</v>
      </c>
      <c r="V452">
        <f>O452*(1-P452)*N452</f>
        <v>15380.347500000002</v>
      </c>
      <c r="W452">
        <f t="shared" si="21"/>
        <v>5472.9775000000009</v>
      </c>
      <c r="X452">
        <f t="shared" si="22"/>
        <v>0.35584235729355962</v>
      </c>
      <c r="Y452" t="s">
        <v>4120</v>
      </c>
      <c r="Z452" s="2">
        <f>IFERROR(
  IF(ISNUMBER(B452),B452,
    IF(ISNUMBER(SEARCH("-",B452)*1),
      IF(LEN(LEFT(B452,FIND("-",B452)-1))=4,
        DATE(VALUE(LEFT(B452,4)),VALUE(MID(B452,6,2)),VALUE(RIGHT(B452,2))),
        DATE(VALUE(RIGHT(B452,4)),VALUE(MID(B452,4,2)),VALUE(LEFT(B452,2)))
      ),
      IF(ISNUMBER(SEARCH("/",B452)*1),
        DATE(VALUE(RIGHT(B452,4)),VALUE(LEFT(B452,2)),VALUE(MID(B452,4,2))),
        DATEVALUE(B452)
      )
    )
  ),
"INVALID_DATE")</f>
        <v>45820</v>
      </c>
      <c r="AA452" s="2">
        <f>IFERROR(
  IF(ISNUMBER(C452),C452,
    IF(ISNUMBER(SEARCH("-",C452)*1),
      IF(LEN(LEFT(C452,FIND("-",C452)-1))=4,
        DATE(VALUE(LEFT(C452,4)),VALUE(MID(C452,6,2)),VALUE(RIGHT(C452,2))),
        DATE(VALUE(RIGHT(C452,4)),VALUE(MID(C452,4,2)),VALUE(LEFT(C452,2)))
      ),
      IF(ISNUMBER(SEARCH("/",C452)*1),
        DATE(VALUE(RIGHT(C452,4)),VALUE(LEFT(C452,2)),VALUE(MID(C452,4,2))),
        DATEVALUE(C452)
      )
    )
  ),
"INVALID_DATE")</f>
        <v>45827</v>
      </c>
      <c r="AB452">
        <f>AA452-Z452</f>
        <v>7</v>
      </c>
      <c r="AC452" t="str">
        <f>TEXT(Z452,"mmmm")</f>
        <v>June</v>
      </c>
      <c r="AD452">
        <f>YEAR(Z452)</f>
        <v>2025</v>
      </c>
      <c r="AE452" t="str">
        <f t="shared" si="23"/>
        <v>OK</v>
      </c>
    </row>
    <row r="453" spans="1:31">
      <c r="A453" t="s">
        <v>2224</v>
      </c>
      <c r="B453" t="s">
        <v>2225</v>
      </c>
      <c r="C453" t="s">
        <v>2226</v>
      </c>
      <c r="D453" t="s">
        <v>2227</v>
      </c>
      <c r="E453" t="s">
        <v>187</v>
      </c>
      <c r="F453" t="s">
        <v>48</v>
      </c>
      <c r="G453" t="s">
        <v>34</v>
      </c>
      <c r="H453" t="s">
        <v>331</v>
      </c>
      <c r="I453" t="s">
        <v>332</v>
      </c>
      <c r="J453" t="s">
        <v>37</v>
      </c>
      <c r="K453" t="s">
        <v>38</v>
      </c>
      <c r="L453" t="s">
        <v>2228</v>
      </c>
      <c r="M453" t="s">
        <v>40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41</v>
      </c>
      <c r="U453" t="s">
        <v>85</v>
      </c>
      <c r="V453">
        <f>O453*(1-P453)*N453</f>
        <v>13039.952000000001</v>
      </c>
      <c r="W453">
        <f t="shared" si="21"/>
        <v>1912.1320000000014</v>
      </c>
      <c r="X453">
        <f t="shared" si="22"/>
        <v>0.14663629845206461</v>
      </c>
      <c r="Y453" t="s">
        <v>4120</v>
      </c>
      <c r="Z453" s="2">
        <f>IFERROR(
  IF(ISNUMBER(B453),B453,
    IF(ISNUMBER(SEARCH("-",B453)*1),
      IF(LEN(LEFT(B453,FIND("-",B453)-1))=4,
        DATE(VALUE(LEFT(B453,4)),VALUE(MID(B453,6,2)),VALUE(RIGHT(B453,2))),
        DATE(VALUE(RIGHT(B453,4)),VALUE(MID(B453,4,2)),VALUE(LEFT(B453,2)))
      ),
      IF(ISNUMBER(SEARCH("/",B453)*1),
        DATE(VALUE(RIGHT(B453,4)),VALUE(LEFT(B453,2)),VALUE(MID(B453,4,2))),
        DATEVALUE(B453)
      )
    )
  ),
"INVALID_DATE")</f>
        <v>45375</v>
      </c>
      <c r="AA453" s="2">
        <f>IFERROR(
  IF(ISNUMBER(C453),C453,
    IF(ISNUMBER(SEARCH("-",C453)*1),
      IF(LEN(LEFT(C453,FIND("-",C453)-1))=4,
        DATE(VALUE(LEFT(C453,4)),VALUE(MID(C453,6,2)),VALUE(RIGHT(C453,2))),
        DATE(VALUE(RIGHT(C453,4)),VALUE(MID(C453,4,2)),VALUE(LEFT(C453,2)))
      ),
      IF(ISNUMBER(SEARCH("/",C453)*1),
        DATE(VALUE(RIGHT(C453,4)),VALUE(LEFT(C453,2)),VALUE(MID(C453,4,2))),
        DATEVALUE(C453)
      )
    )
  ),
"INVALID_DATE")</f>
        <v>45377</v>
      </c>
      <c r="AB453">
        <f>AA453-Z453</f>
        <v>2</v>
      </c>
      <c r="AC453" t="str">
        <f>TEXT(Z453,"mmmm")</f>
        <v>March</v>
      </c>
      <c r="AD453">
        <f>YEAR(Z453)</f>
        <v>2024</v>
      </c>
      <c r="AE453" t="str">
        <f t="shared" si="23"/>
        <v>OK</v>
      </c>
    </row>
    <row r="454" spans="1:31">
      <c r="A454" t="s">
        <v>2229</v>
      </c>
      <c r="B454" t="s">
        <v>2230</v>
      </c>
      <c r="C454" t="s">
        <v>1383</v>
      </c>
      <c r="D454" t="s">
        <v>2231</v>
      </c>
      <c r="E454" t="s">
        <v>217</v>
      </c>
      <c r="F454" t="s">
        <v>122</v>
      </c>
      <c r="G454" t="s">
        <v>49</v>
      </c>
      <c r="H454" t="s">
        <v>319</v>
      </c>
      <c r="I454" t="s">
        <v>320</v>
      </c>
      <c r="J454" t="s">
        <v>93</v>
      </c>
      <c r="K454" t="s">
        <v>94</v>
      </c>
      <c r="L454" t="s">
        <v>2232</v>
      </c>
      <c r="M454" t="s">
        <v>40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41</v>
      </c>
      <c r="U454" t="s">
        <v>42</v>
      </c>
      <c r="V454">
        <f>O454*(1-P454)*N454</f>
        <v>9663.9840000000004</v>
      </c>
      <c r="W454">
        <f t="shared" si="21"/>
        <v>4035.0540000000001</v>
      </c>
      <c r="X454">
        <f t="shared" si="22"/>
        <v>0.41753501145490785</v>
      </c>
      <c r="Y454" t="s">
        <v>4120</v>
      </c>
      <c r="Z454" s="2">
        <f>IFERROR(
  IF(ISNUMBER(B454),B454,
    IF(ISNUMBER(SEARCH("-",B454)*1),
      IF(LEN(LEFT(B454,FIND("-",B454)-1))=4,
        DATE(VALUE(LEFT(B454,4)),VALUE(MID(B454,6,2)),VALUE(RIGHT(B454,2))),
        DATE(VALUE(RIGHT(B454,4)),VALUE(MID(B454,4,2)),VALUE(LEFT(B454,2)))
      ),
      IF(ISNUMBER(SEARCH("/",B454)*1),
        DATE(VALUE(RIGHT(B454,4)),VALUE(LEFT(B454,2)),VALUE(MID(B454,4,2))),
        DATEVALUE(B454)
      )
    )
  ),
"INVALID_DATE")</f>
        <v>45422</v>
      </c>
      <c r="AA454" s="2">
        <f>IFERROR(
  IF(ISNUMBER(C454),C454,
    IF(ISNUMBER(SEARCH("-",C454)*1),
      IF(LEN(LEFT(C454,FIND("-",C454)-1))=4,
        DATE(VALUE(LEFT(C454,4)),VALUE(MID(C454,6,2)),VALUE(RIGHT(C454,2))),
        DATE(VALUE(RIGHT(C454,4)),VALUE(MID(C454,4,2)),VALUE(LEFT(C454,2)))
      ),
      IF(ISNUMBER(SEARCH("/",C454)*1),
        DATE(VALUE(RIGHT(C454,4)),VALUE(LEFT(C454,2)),VALUE(MID(C454,4,2))),
        DATEVALUE(C454)
      )
    )
  ),
"INVALID_DATE")</f>
        <v>45428</v>
      </c>
      <c r="AB454">
        <f>AA454-Z454</f>
        <v>6</v>
      </c>
      <c r="AC454" t="str">
        <f>TEXT(Z454,"mmmm")</f>
        <v>May</v>
      </c>
      <c r="AD454">
        <f>YEAR(Z454)</f>
        <v>2024</v>
      </c>
      <c r="AE454" t="str">
        <f t="shared" si="23"/>
        <v>OK</v>
      </c>
    </row>
    <row r="455" spans="1:31">
      <c r="A455" t="s">
        <v>2233</v>
      </c>
      <c r="B455" t="s">
        <v>2234</v>
      </c>
      <c r="C455" t="s">
        <v>2235</v>
      </c>
      <c r="D455" t="s">
        <v>2236</v>
      </c>
      <c r="E455" t="s">
        <v>187</v>
      </c>
      <c r="F455" t="s">
        <v>48</v>
      </c>
      <c r="G455" t="s">
        <v>80</v>
      </c>
      <c r="H455" t="s">
        <v>91</v>
      </c>
      <c r="I455" t="s">
        <v>92</v>
      </c>
      <c r="J455" t="s">
        <v>37</v>
      </c>
      <c r="K455" t="s">
        <v>116</v>
      </c>
      <c r="L455" t="s">
        <v>2237</v>
      </c>
      <c r="M455" t="s">
        <v>55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41</v>
      </c>
      <c r="U455" t="s">
        <v>42</v>
      </c>
      <c r="V455">
        <f>O455*(1-P455)*N455</f>
        <v>7417.6</v>
      </c>
      <c r="W455">
        <f t="shared" si="21"/>
        <v>2461.7400000000007</v>
      </c>
      <c r="X455">
        <f t="shared" si="22"/>
        <v>0.33187823554788604</v>
      </c>
      <c r="Y455" t="s">
        <v>4120</v>
      </c>
      <c r="Z455" s="2">
        <f>IFERROR(
  IF(ISNUMBER(B455),B455,
    IF(ISNUMBER(SEARCH("-",B455)*1),
      IF(LEN(LEFT(B455,FIND("-",B455)-1))=4,
        DATE(VALUE(LEFT(B455,4)),VALUE(MID(B455,6,2)),VALUE(RIGHT(B455,2))),
        DATE(VALUE(RIGHT(B455,4)),VALUE(MID(B455,4,2)),VALUE(LEFT(B455,2)))
      ),
      IF(ISNUMBER(SEARCH("/",B455)*1),
        DATE(VALUE(RIGHT(B455,4)),VALUE(LEFT(B455,2)),VALUE(MID(B455,4,2))),
        DATEVALUE(B455)
      )
    )
  ),
"INVALID_DATE")</f>
        <v>45780</v>
      </c>
      <c r="AA455" s="2">
        <f>IFERROR(
  IF(ISNUMBER(C455),C455,
    IF(ISNUMBER(SEARCH("-",C455)*1),
      IF(LEN(LEFT(C455,FIND("-",C455)-1))=4,
        DATE(VALUE(LEFT(C455,4)),VALUE(MID(C455,6,2)),VALUE(RIGHT(C455,2))),
        DATE(VALUE(RIGHT(C455,4)),VALUE(MID(C455,4,2)),VALUE(LEFT(C455,2)))
      ),
      IF(ISNUMBER(SEARCH("/",C455)*1),
        DATE(VALUE(RIGHT(C455,4)),VALUE(LEFT(C455,2)),VALUE(MID(C455,4,2))),
        DATEVALUE(C455)
      )
    )
  ),
"INVALID_DATE")</f>
        <v>45788</v>
      </c>
      <c r="AB455">
        <f>AA455-Z455</f>
        <v>8</v>
      </c>
      <c r="AC455" t="str">
        <f>TEXT(Z455,"mmmm")</f>
        <v>May</v>
      </c>
      <c r="AD455">
        <f>YEAR(Z455)</f>
        <v>2025</v>
      </c>
      <c r="AE455" t="str">
        <f t="shared" si="23"/>
        <v>OK</v>
      </c>
    </row>
    <row r="456" spans="1:31">
      <c r="A456" t="s">
        <v>2238</v>
      </c>
      <c r="B456" t="s">
        <v>2239</v>
      </c>
      <c r="C456" t="s">
        <v>2240</v>
      </c>
      <c r="D456" t="s">
        <v>2241</v>
      </c>
      <c r="E456" t="s">
        <v>90</v>
      </c>
      <c r="F456" t="s">
        <v>48</v>
      </c>
      <c r="G456" t="s">
        <v>34</v>
      </c>
      <c r="H456" t="s">
        <v>35</v>
      </c>
      <c r="I456" t="s">
        <v>36</v>
      </c>
      <c r="J456" t="s">
        <v>52</v>
      </c>
      <c r="K456" t="s">
        <v>72</v>
      </c>
      <c r="L456" t="s">
        <v>2242</v>
      </c>
      <c r="M456" t="s">
        <v>74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41</v>
      </c>
      <c r="U456" t="s">
        <v>42</v>
      </c>
      <c r="V456">
        <f>O456*(1-P456)*N456</f>
        <v>25229.699999999997</v>
      </c>
      <c r="W456">
        <f t="shared" si="21"/>
        <v>5059.2699999999968</v>
      </c>
      <c r="X456">
        <f t="shared" si="22"/>
        <v>0.20052834556098567</v>
      </c>
      <c r="Y456" t="s">
        <v>4120</v>
      </c>
      <c r="Z456" s="2">
        <f>IFERROR(
  IF(ISNUMBER(B456),B456,
    IF(ISNUMBER(SEARCH("-",B456)*1),
      IF(LEN(LEFT(B456,FIND("-",B456)-1))=4,
        DATE(VALUE(LEFT(B456,4)),VALUE(MID(B456,6,2)),VALUE(RIGHT(B456,2))),
        DATE(VALUE(RIGHT(B456,4)),VALUE(MID(B456,4,2)),VALUE(LEFT(B456,2)))
      ),
      IF(ISNUMBER(SEARCH("/",B456)*1),
        DATE(VALUE(RIGHT(B456,4)),VALUE(LEFT(B456,2)),VALUE(MID(B456,4,2))),
        DATEVALUE(B456)
      )
    )
  ),
"INVALID_DATE")</f>
        <v>45739</v>
      </c>
      <c r="AA456" s="2">
        <f>IFERROR(
  IF(ISNUMBER(C456),C456,
    IF(ISNUMBER(SEARCH("-",C456)*1),
      IF(LEN(LEFT(C456,FIND("-",C456)-1))=4,
        DATE(VALUE(LEFT(C456,4)),VALUE(MID(C456,6,2)),VALUE(RIGHT(C456,2))),
        DATE(VALUE(RIGHT(C456,4)),VALUE(MID(C456,4,2)),VALUE(LEFT(C456,2)))
      ),
      IF(ISNUMBER(SEARCH("/",C456)*1),
        DATE(VALUE(RIGHT(C456,4)),VALUE(LEFT(C456,2)),VALUE(MID(C456,4,2))),
        DATEVALUE(C456)
      )
    )
  ),
"INVALID_DATE")</f>
        <v>45744</v>
      </c>
      <c r="AB456">
        <f>AA456-Z456</f>
        <v>5</v>
      </c>
      <c r="AC456" t="str">
        <f>TEXT(Z456,"mmmm")</f>
        <v>March</v>
      </c>
      <c r="AD456">
        <f>YEAR(Z456)</f>
        <v>2025</v>
      </c>
      <c r="AE456" t="str">
        <f t="shared" si="23"/>
        <v>OK</v>
      </c>
    </row>
    <row r="457" spans="1:31">
      <c r="A457" t="s">
        <v>2243</v>
      </c>
      <c r="B457" t="s">
        <v>2244</v>
      </c>
      <c r="C457" t="s">
        <v>2245</v>
      </c>
      <c r="D457" t="s">
        <v>2246</v>
      </c>
      <c r="E457" t="s">
        <v>100</v>
      </c>
      <c r="F457" t="s">
        <v>48</v>
      </c>
      <c r="G457" t="s">
        <v>69</v>
      </c>
      <c r="H457" t="s">
        <v>70</v>
      </c>
      <c r="I457" t="s">
        <v>71</v>
      </c>
      <c r="J457" t="s">
        <v>37</v>
      </c>
      <c r="K457" t="s">
        <v>61</v>
      </c>
      <c r="L457" t="s">
        <v>2247</v>
      </c>
      <c r="M457" t="s">
        <v>74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41</v>
      </c>
      <c r="U457" t="s">
        <v>42</v>
      </c>
      <c r="V457">
        <f>O457*(1-P457)*N457</f>
        <v>3235.08</v>
      </c>
      <c r="W457">
        <f t="shared" si="21"/>
        <v>1386.48</v>
      </c>
      <c r="X457">
        <f t="shared" si="22"/>
        <v>0.42857672762342819</v>
      </c>
      <c r="Y457" t="s">
        <v>4120</v>
      </c>
      <c r="Z457" s="2">
        <f>IFERROR(
  IF(ISNUMBER(B457),B457,
    IF(ISNUMBER(SEARCH("-",B457)*1),
      IF(LEN(LEFT(B457,FIND("-",B457)-1))=4,
        DATE(VALUE(LEFT(B457,4)),VALUE(MID(B457,6,2)),VALUE(RIGHT(B457,2))),
        DATE(VALUE(RIGHT(B457,4)),VALUE(MID(B457,4,2)),VALUE(LEFT(B457,2)))
      ),
      IF(ISNUMBER(SEARCH("/",B457)*1),
        DATE(VALUE(RIGHT(B457,4)),VALUE(LEFT(B457,2)),VALUE(MID(B457,4,2))),
        DATEVALUE(B457)
      )
    )
  ),
"INVALID_DATE")</f>
        <v>45491</v>
      </c>
      <c r="AA457" s="2">
        <f>IFERROR(
  IF(ISNUMBER(C457),C457,
    IF(ISNUMBER(SEARCH("-",C457)*1),
      IF(LEN(LEFT(C457,FIND("-",C457)-1))=4,
        DATE(VALUE(LEFT(C457,4)),VALUE(MID(C457,6,2)),VALUE(RIGHT(C457,2))),
        DATE(VALUE(RIGHT(C457,4)),VALUE(MID(C457,4,2)),VALUE(LEFT(C457,2)))
      ),
      IF(ISNUMBER(SEARCH("/",C457)*1),
        DATE(VALUE(RIGHT(C457,4)),VALUE(LEFT(C457,2)),VALUE(MID(C457,4,2))),
        DATEVALUE(C457)
      )
    )
  ),
"INVALID_DATE")</f>
        <v>45495</v>
      </c>
      <c r="AB457">
        <f>AA457-Z457</f>
        <v>4</v>
      </c>
      <c r="AC457" t="str">
        <f>TEXT(Z457,"mmmm")</f>
        <v>July</v>
      </c>
      <c r="AD457">
        <f>YEAR(Z457)</f>
        <v>2024</v>
      </c>
      <c r="AE457" t="str">
        <f t="shared" si="23"/>
        <v>OK</v>
      </c>
    </row>
    <row r="458" spans="1:31">
      <c r="A458" t="s">
        <v>2248</v>
      </c>
      <c r="B458" t="s">
        <v>2096</v>
      </c>
      <c r="C458" t="s">
        <v>2096</v>
      </c>
      <c r="D458" t="s">
        <v>2249</v>
      </c>
      <c r="E458" t="s">
        <v>100</v>
      </c>
      <c r="F458" t="s">
        <v>115</v>
      </c>
      <c r="G458" t="s">
        <v>34</v>
      </c>
      <c r="H458" t="s">
        <v>181</v>
      </c>
      <c r="I458" t="s">
        <v>182</v>
      </c>
      <c r="J458" t="s">
        <v>93</v>
      </c>
      <c r="K458" t="s">
        <v>94</v>
      </c>
      <c r="L458" t="s">
        <v>2250</v>
      </c>
      <c r="M458" t="s">
        <v>55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41</v>
      </c>
      <c r="U458" t="s">
        <v>132</v>
      </c>
      <c r="V458">
        <f>O458*(1-P458)*N458</f>
        <v>11070.8675</v>
      </c>
      <c r="W458">
        <f t="shared" si="21"/>
        <v>4447.2575000000006</v>
      </c>
      <c r="X458">
        <f t="shared" si="22"/>
        <v>0.40170826682997812</v>
      </c>
      <c r="Y458" t="s">
        <v>4120</v>
      </c>
      <c r="Z458" s="2">
        <f>IFERROR(
  IF(ISNUMBER(B458),B458,
    IF(ISNUMBER(SEARCH("-",B458)*1),
      IF(LEN(LEFT(B458,FIND("-",B458)-1))=4,
        DATE(VALUE(LEFT(B458,4)),VALUE(MID(B458,6,2)),VALUE(RIGHT(B458,2))),
        DATE(VALUE(RIGHT(B458,4)),VALUE(MID(B458,4,2)),VALUE(LEFT(B458,2)))
      ),
      IF(ISNUMBER(SEARCH("/",B458)*1),
        DATE(VALUE(RIGHT(B458,4)),VALUE(LEFT(B458,2)),VALUE(MID(B458,4,2))),
        DATEVALUE(B458)
      )
    )
  ),
"INVALID_DATE")</f>
        <v>45342</v>
      </c>
      <c r="AA458" s="2">
        <f>IFERROR(
  IF(ISNUMBER(C458),C458,
    IF(ISNUMBER(SEARCH("-",C458)*1),
      IF(LEN(LEFT(C458,FIND("-",C458)-1))=4,
        DATE(VALUE(LEFT(C458,4)),VALUE(MID(C458,6,2)),VALUE(RIGHT(C458,2))),
        DATE(VALUE(RIGHT(C458,4)),VALUE(MID(C458,4,2)),VALUE(LEFT(C458,2)))
      ),
      IF(ISNUMBER(SEARCH("/",C458)*1),
        DATE(VALUE(RIGHT(C458,4)),VALUE(LEFT(C458,2)),VALUE(MID(C458,4,2))),
        DATEVALUE(C458)
      )
    )
  ),
"INVALID_DATE")</f>
        <v>45342</v>
      </c>
      <c r="AB458">
        <f>AA458-Z458</f>
        <v>0</v>
      </c>
      <c r="AC458" t="str">
        <f>TEXT(Z458,"mmmm")</f>
        <v>February</v>
      </c>
      <c r="AD458">
        <f>YEAR(Z458)</f>
        <v>2024</v>
      </c>
      <c r="AE458" t="str">
        <f t="shared" si="23"/>
        <v>OK</v>
      </c>
    </row>
    <row r="459" spans="1:31">
      <c r="A459" t="s">
        <v>2251</v>
      </c>
      <c r="B459" t="s">
        <v>2252</v>
      </c>
      <c r="C459" t="s">
        <v>2253</v>
      </c>
      <c r="D459" t="s">
        <v>2254</v>
      </c>
      <c r="E459" t="s">
        <v>47</v>
      </c>
      <c r="F459" t="s">
        <v>48</v>
      </c>
      <c r="G459" t="s">
        <v>80</v>
      </c>
      <c r="H459" t="s">
        <v>256</v>
      </c>
      <c r="I459" t="s">
        <v>257</v>
      </c>
      <c r="J459" t="s">
        <v>52</v>
      </c>
      <c r="K459" t="s">
        <v>53</v>
      </c>
      <c r="L459" t="s">
        <v>2255</v>
      </c>
      <c r="M459" t="s">
        <v>74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41</v>
      </c>
      <c r="U459" t="s">
        <v>42</v>
      </c>
      <c r="V459">
        <f>O459*(1-P459)*N459</f>
        <v>19960.57</v>
      </c>
      <c r="W459">
        <f t="shared" si="21"/>
        <v>3356.9700000000012</v>
      </c>
      <c r="X459">
        <f t="shared" si="22"/>
        <v>0.16818006700209462</v>
      </c>
      <c r="Y459" t="s">
        <v>4120</v>
      </c>
      <c r="Z459" s="2">
        <f>IFERROR(
  IF(ISNUMBER(B459),B459,
    IF(ISNUMBER(SEARCH("-",B459)*1),
      IF(LEN(LEFT(B459,FIND("-",B459)-1))=4,
        DATE(VALUE(LEFT(B459,4)),VALUE(MID(B459,6,2)),VALUE(RIGHT(B459,2))),
        DATE(VALUE(RIGHT(B459,4)),VALUE(MID(B459,4,2)),VALUE(LEFT(B459,2)))
      ),
      IF(ISNUMBER(SEARCH("/",B459)*1),
        DATE(VALUE(RIGHT(B459,4)),VALUE(LEFT(B459,2)),VALUE(MID(B459,4,2))),
        DATEVALUE(B459)
      )
    )
  ),
"INVALID_DATE")</f>
        <v>45416</v>
      </c>
      <c r="AA459" s="2">
        <f>IFERROR(
  IF(ISNUMBER(C459),C459,
    IF(ISNUMBER(SEARCH("-",C459)*1),
      IF(LEN(LEFT(C459,FIND("-",C459)-1))=4,
        DATE(VALUE(LEFT(C459,4)),VALUE(MID(C459,6,2)),VALUE(RIGHT(C459,2))),
        DATE(VALUE(RIGHT(C459,4)),VALUE(MID(C459,4,2)),VALUE(LEFT(C459,2)))
      ),
      IF(ISNUMBER(SEARCH("/",C459)*1),
        DATE(VALUE(RIGHT(C459,4)),VALUE(LEFT(C459,2)),VALUE(MID(C459,4,2))),
        DATEVALUE(C459)
      )
    )
  ),
"INVALID_DATE")</f>
        <v>45416</v>
      </c>
      <c r="AB459">
        <f>AA459-Z459</f>
        <v>0</v>
      </c>
      <c r="AC459" t="str">
        <f>TEXT(Z459,"mmmm")</f>
        <v>May</v>
      </c>
      <c r="AD459">
        <f>YEAR(Z459)</f>
        <v>2024</v>
      </c>
      <c r="AE459" t="str">
        <f t="shared" si="23"/>
        <v>OK</v>
      </c>
    </row>
    <row r="460" spans="1:31">
      <c r="A460" t="s">
        <v>2256</v>
      </c>
      <c r="B460" t="s">
        <v>2257</v>
      </c>
      <c r="C460" t="s">
        <v>868</v>
      </c>
      <c r="D460" t="s">
        <v>2258</v>
      </c>
      <c r="E460" t="s">
        <v>32</v>
      </c>
      <c r="F460" t="s">
        <v>115</v>
      </c>
      <c r="G460" t="s">
        <v>34</v>
      </c>
      <c r="H460" t="s">
        <v>35</v>
      </c>
      <c r="I460" t="s">
        <v>36</v>
      </c>
      <c r="J460" t="s">
        <v>93</v>
      </c>
      <c r="K460" t="s">
        <v>230</v>
      </c>
      <c r="L460" t="s">
        <v>2259</v>
      </c>
      <c r="M460" t="s">
        <v>40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41</v>
      </c>
      <c r="U460" t="s">
        <v>42</v>
      </c>
      <c r="V460">
        <f>O460*(1-P460)*N460</f>
        <v>8596.0439999999999</v>
      </c>
      <c r="W460">
        <f t="shared" si="21"/>
        <v>3217.884</v>
      </c>
      <c r="X460">
        <f t="shared" si="22"/>
        <v>0.37434446559113266</v>
      </c>
      <c r="Y460" t="str">
        <f>_xlfn.TEXTJOIN(", ",TRUE,IF(G460="Unknown","Missing Region",""),IF(M460="Unknown","Missing Ship Mode",""),IF(P460&lt;0,"Negative Discount",""),IF(P460&gt;0.7,"High Discount",""),IF(C460&lt;B460,"Ship Before Order",""))</f>
        <v>Ship Before Order</v>
      </c>
      <c r="Z460" s="2">
        <f>IFERROR(
  IF(ISNUMBER(B460),B460,
    IF(ISNUMBER(SEARCH("-",B460)*1),
      IF(LEN(LEFT(B460,FIND("-",B460)-1))=4,
        DATE(VALUE(LEFT(B460,4)),VALUE(MID(B460,6,2)),VALUE(RIGHT(B460,2))),
        DATE(VALUE(RIGHT(B460,4)),VALUE(MID(B460,4,2)),VALUE(LEFT(B460,2)))
      ),
      IF(ISNUMBER(SEARCH("/",B460)*1),
        DATE(VALUE(RIGHT(B460,4)),VALUE(LEFT(B460,2)),VALUE(MID(B460,4,2))),
        DATEVALUE(B460)
      )
    )
  ),
"INVALID_DATE")</f>
        <v>45332</v>
      </c>
      <c r="AA460" s="2">
        <f>IFERROR(
  IF(ISNUMBER(C460),C460,
    IF(ISNUMBER(SEARCH("-",C460)*1),
      IF(LEN(LEFT(C460,FIND("-",C460)-1))=4,
        DATE(VALUE(LEFT(C460,4)),VALUE(MID(C460,6,2)),VALUE(RIGHT(C460,2))),
        DATE(VALUE(RIGHT(C460,4)),VALUE(MID(C460,4,2)),VALUE(LEFT(C460,2)))
      ),
      IF(ISNUMBER(SEARCH("/",C460)*1),
        DATE(VALUE(RIGHT(C460,4)),VALUE(LEFT(C460,2)),VALUE(MID(C460,4,2))),
        DATEVALUE(C460)
      )
    )
  ),
"INVALID_DATE")</f>
        <v>45333</v>
      </c>
      <c r="AB460">
        <f>AA460-Z460</f>
        <v>1</v>
      </c>
      <c r="AC460" t="str">
        <f>TEXT(Z460,"mmmm")</f>
        <v>February</v>
      </c>
      <c r="AD460">
        <f>YEAR(Z460)</f>
        <v>2024</v>
      </c>
      <c r="AE460" t="str">
        <f t="shared" si="23"/>
        <v>OK</v>
      </c>
    </row>
    <row r="461" spans="1:31">
      <c r="A461" t="s">
        <v>2260</v>
      </c>
      <c r="B461" t="s">
        <v>2261</v>
      </c>
      <c r="C461" t="s">
        <v>2191</v>
      </c>
      <c r="D461" t="s">
        <v>2262</v>
      </c>
      <c r="E461" t="s">
        <v>79</v>
      </c>
      <c r="F461" t="s">
        <v>122</v>
      </c>
      <c r="G461" t="s">
        <v>80</v>
      </c>
      <c r="H461" t="s">
        <v>256</v>
      </c>
      <c r="I461" t="s">
        <v>257</v>
      </c>
      <c r="J461" t="s">
        <v>37</v>
      </c>
      <c r="K461" t="s">
        <v>38</v>
      </c>
      <c r="L461" t="s">
        <v>2263</v>
      </c>
      <c r="M461" t="s">
        <v>63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41</v>
      </c>
      <c r="U461" t="s">
        <v>42</v>
      </c>
      <c r="V461">
        <f>O461*(1-P461)*N461</f>
        <v>3452.76</v>
      </c>
      <c r="W461">
        <f t="shared" si="21"/>
        <v>1374.8000000000002</v>
      </c>
      <c r="X461">
        <f t="shared" si="22"/>
        <v>0.39817421425178695</v>
      </c>
      <c r="Y461" t="s">
        <v>4120</v>
      </c>
      <c r="Z461" s="2">
        <f>IFERROR(
  IF(ISNUMBER(B461),B461,
    IF(ISNUMBER(SEARCH("-",B461)*1),
      IF(LEN(LEFT(B461,FIND("-",B461)-1))=4,
        DATE(VALUE(LEFT(B461,4)),VALUE(MID(B461,6,2)),VALUE(RIGHT(B461,2))),
        DATE(VALUE(RIGHT(B461,4)),VALUE(MID(B461,4,2)),VALUE(LEFT(B461,2)))
      ),
      IF(ISNUMBER(SEARCH("/",B461)*1),
        DATE(VALUE(RIGHT(B461,4)),VALUE(LEFT(B461,2)),VALUE(MID(B461,4,2))),
        DATEVALUE(B461)
      )
    )
  ),
"INVALID_DATE")</f>
        <v>45379</v>
      </c>
      <c r="AA461" s="2">
        <f>IFERROR(
  IF(ISNUMBER(C461),C461,
    IF(ISNUMBER(SEARCH("-",C461)*1),
      IF(LEN(LEFT(C461,FIND("-",C461)-1))=4,
        DATE(VALUE(LEFT(C461,4)),VALUE(MID(C461,6,2)),VALUE(RIGHT(C461,2))),
        DATE(VALUE(RIGHT(C461,4)),VALUE(MID(C461,4,2)),VALUE(LEFT(C461,2)))
      ),
      IF(ISNUMBER(SEARCH("/",C461)*1),
        DATE(VALUE(RIGHT(C461,4)),VALUE(LEFT(C461,2)),VALUE(MID(C461,4,2))),
        DATEVALUE(C461)
      )
    )
  ),
"INVALID_DATE")</f>
        <v>45386</v>
      </c>
      <c r="AB461">
        <f>AA461-Z461</f>
        <v>7</v>
      </c>
      <c r="AC461" t="str">
        <f>TEXT(Z461,"mmmm")</f>
        <v>March</v>
      </c>
      <c r="AD461">
        <f>YEAR(Z461)</f>
        <v>2024</v>
      </c>
      <c r="AE461" t="str">
        <f t="shared" si="23"/>
        <v>OK</v>
      </c>
    </row>
    <row r="462" spans="1:31">
      <c r="A462" t="s">
        <v>2264</v>
      </c>
      <c r="B462" t="s">
        <v>2265</v>
      </c>
      <c r="C462" t="s">
        <v>2266</v>
      </c>
      <c r="D462" t="s">
        <v>2267</v>
      </c>
      <c r="E462" t="s">
        <v>169</v>
      </c>
      <c r="F462" t="s">
        <v>115</v>
      </c>
      <c r="G462" t="s">
        <v>279</v>
      </c>
      <c r="H462" t="s">
        <v>35</v>
      </c>
      <c r="I462" t="s">
        <v>36</v>
      </c>
      <c r="J462" t="s">
        <v>93</v>
      </c>
      <c r="K462" t="s">
        <v>101</v>
      </c>
      <c r="L462" t="s">
        <v>2268</v>
      </c>
      <c r="M462" t="s">
        <v>40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41</v>
      </c>
      <c r="U462" t="s">
        <v>42</v>
      </c>
      <c r="V462">
        <f>O462*(1-P462)*N462</f>
        <v>11626.974</v>
      </c>
      <c r="W462">
        <f t="shared" si="21"/>
        <v>4232.9040000000005</v>
      </c>
      <c r="X462">
        <f t="shared" si="22"/>
        <v>0.36405873585293502</v>
      </c>
      <c r="Y462" t="str">
        <f>_xlfn.TEXTJOIN(", ",TRUE,IF(G462="Unknown","Missing Region",""),IF(M462="Unknown","Missing Ship Mode",""),IF(P462&lt;0,"Negative Discount",""),IF(P462&gt;0.7,"High Discount",""),IF(C462&lt;B462,"Ship Before Order",""))</f>
        <v>Missing Region, Ship Before Order</v>
      </c>
      <c r="Z462" s="2">
        <f>IFERROR(
  IF(ISNUMBER(B462),B462,
    IF(ISNUMBER(SEARCH("-",B462)*1),
      IF(LEN(LEFT(B462,FIND("-",B462)-1))=4,
        DATE(VALUE(LEFT(B462,4)),VALUE(MID(B462,6,2)),VALUE(RIGHT(B462,2))),
        DATE(VALUE(RIGHT(B462,4)),VALUE(MID(B462,4,2)),VALUE(LEFT(B462,2)))
      ),
      IF(ISNUMBER(SEARCH("/",B462)*1),
        DATE(VALUE(RIGHT(B462,4)),VALUE(LEFT(B462,2)),VALUE(MID(B462,4,2))),
        DATEVALUE(B462)
      )
    )
  ),
"INVALID_DATE")</f>
        <v>45930</v>
      </c>
      <c r="AA462" s="2">
        <f>IFERROR(
  IF(ISNUMBER(C462),C462,
    IF(ISNUMBER(SEARCH("-",C462)*1),
      IF(LEN(LEFT(C462,FIND("-",C462)-1))=4,
        DATE(VALUE(LEFT(C462,4)),VALUE(MID(C462,6,2)),VALUE(RIGHT(C462,2))),
        DATE(VALUE(RIGHT(C462,4)),VALUE(MID(C462,4,2)),VALUE(LEFT(C462,2)))
      ),
      IF(ISNUMBER(SEARCH("/",C462)*1),
        DATE(VALUE(RIGHT(C462,4)),VALUE(LEFT(C462,2)),VALUE(MID(C462,4,2))),
        DATEVALUE(C462)
      )
    )
  ),
"INVALID_DATE")</f>
        <v>45936</v>
      </c>
      <c r="AB462">
        <f>AA462-Z462</f>
        <v>6</v>
      </c>
      <c r="AC462" t="str">
        <f>TEXT(Z462,"mmmm")</f>
        <v>September</v>
      </c>
      <c r="AD462">
        <f>YEAR(Z462)</f>
        <v>2025</v>
      </c>
      <c r="AE462" t="str">
        <f t="shared" si="23"/>
        <v>OK</v>
      </c>
    </row>
    <row r="463" spans="1:31">
      <c r="A463" t="s">
        <v>2269</v>
      </c>
      <c r="B463" t="s">
        <v>2270</v>
      </c>
      <c r="C463" t="s">
        <v>1530</v>
      </c>
      <c r="D463" t="s">
        <v>2271</v>
      </c>
      <c r="E463" t="s">
        <v>100</v>
      </c>
      <c r="F463" t="s">
        <v>115</v>
      </c>
      <c r="G463" t="s">
        <v>69</v>
      </c>
      <c r="H463" t="s">
        <v>107</v>
      </c>
      <c r="I463" t="s">
        <v>108</v>
      </c>
      <c r="J463" t="s">
        <v>37</v>
      </c>
      <c r="K463" t="s">
        <v>38</v>
      </c>
      <c r="L463" t="s">
        <v>2272</v>
      </c>
      <c r="M463" t="s">
        <v>74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41</v>
      </c>
      <c r="U463" t="s">
        <v>42</v>
      </c>
      <c r="V463">
        <f>O463*(1-P463)*N463</f>
        <v>8614.2824999999993</v>
      </c>
      <c r="W463">
        <f t="shared" si="21"/>
        <v>1562.2024999999994</v>
      </c>
      <c r="X463">
        <f t="shared" si="22"/>
        <v>0.18135003737979261</v>
      </c>
      <c r="Y463" t="s">
        <v>4120</v>
      </c>
      <c r="Z463" s="2">
        <f>IFERROR(
  IF(ISNUMBER(B463),B463,
    IF(ISNUMBER(SEARCH("-",B463)*1),
      IF(LEN(LEFT(B463,FIND("-",B463)-1))=4,
        DATE(VALUE(LEFT(B463,4)),VALUE(MID(B463,6,2)),VALUE(RIGHT(B463,2))),
        DATE(VALUE(RIGHT(B463,4)),VALUE(MID(B463,4,2)),VALUE(LEFT(B463,2)))
      ),
      IF(ISNUMBER(SEARCH("/",B463)*1),
        DATE(VALUE(RIGHT(B463,4)),VALUE(LEFT(B463,2)),VALUE(MID(B463,4,2))),
        DATEVALUE(B463)
      )
    )
  ),
"INVALID_DATE")</f>
        <v>45802</v>
      </c>
      <c r="AA463" s="2">
        <f>IFERROR(
  IF(ISNUMBER(C463),C463,
    IF(ISNUMBER(SEARCH("-",C463)*1),
      IF(LEN(LEFT(C463,FIND("-",C463)-1))=4,
        DATE(VALUE(LEFT(C463,4)),VALUE(MID(C463,6,2)),VALUE(RIGHT(C463,2))),
        DATE(VALUE(RIGHT(C463,4)),VALUE(MID(C463,4,2)),VALUE(LEFT(C463,2)))
      ),
      IF(ISNUMBER(SEARCH("/",C463)*1),
        DATE(VALUE(RIGHT(C463,4)),VALUE(LEFT(C463,2)),VALUE(MID(C463,4,2))),
        DATEVALUE(C463)
      )
    )
  ),
"INVALID_DATE")</f>
        <v>45803</v>
      </c>
      <c r="AB463">
        <f>AA463-Z463</f>
        <v>1</v>
      </c>
      <c r="AC463" t="str">
        <f>TEXT(Z463,"mmmm")</f>
        <v>May</v>
      </c>
      <c r="AD463">
        <f>YEAR(Z463)</f>
        <v>2025</v>
      </c>
      <c r="AE463" t="str">
        <f t="shared" si="23"/>
        <v>OK</v>
      </c>
    </row>
    <row r="464" spans="1:31">
      <c r="A464" t="s">
        <v>2273</v>
      </c>
      <c r="B464" t="s">
        <v>2016</v>
      </c>
      <c r="C464" t="s">
        <v>2274</v>
      </c>
      <c r="D464" t="s">
        <v>2275</v>
      </c>
      <c r="E464" t="s">
        <v>169</v>
      </c>
      <c r="F464" t="s">
        <v>122</v>
      </c>
      <c r="G464" t="s">
        <v>34</v>
      </c>
      <c r="H464" t="s">
        <v>514</v>
      </c>
      <c r="I464" t="s">
        <v>515</v>
      </c>
      <c r="J464" t="s">
        <v>37</v>
      </c>
      <c r="K464" t="s">
        <v>205</v>
      </c>
      <c r="L464" t="s">
        <v>2276</v>
      </c>
      <c r="M464" t="s">
        <v>63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41</v>
      </c>
      <c r="U464" t="s">
        <v>42</v>
      </c>
      <c r="V464">
        <f>O464*(1-P464)*N464</f>
        <v>2040.2240000000002</v>
      </c>
      <c r="W464">
        <f t="shared" si="21"/>
        <v>644.51400000000012</v>
      </c>
      <c r="X464">
        <f t="shared" si="22"/>
        <v>0.31590220662477575</v>
      </c>
      <c r="Y464" t="s">
        <v>4120</v>
      </c>
      <c r="Z464" s="2">
        <f>IFERROR(
  IF(ISNUMBER(B464),B464,
    IF(ISNUMBER(SEARCH("-",B464)*1),
      IF(LEN(LEFT(B464,FIND("-",B464)-1))=4,
        DATE(VALUE(LEFT(B464,4)),VALUE(MID(B464,6,2)),VALUE(RIGHT(B464,2))),
        DATE(VALUE(RIGHT(B464,4)),VALUE(MID(B464,4,2)),VALUE(LEFT(B464,2)))
      ),
      IF(ISNUMBER(SEARCH("/",B464)*1),
        DATE(VALUE(RIGHT(B464,4)),VALUE(LEFT(B464,2)),VALUE(MID(B464,4,2))),
        DATEVALUE(B464)
      )
    )
  ),
"INVALID_DATE")</f>
        <v>45558</v>
      </c>
      <c r="AA464" s="2">
        <f>IFERROR(
  IF(ISNUMBER(C464),C464,
    IF(ISNUMBER(SEARCH("-",C464)*1),
      IF(LEN(LEFT(C464,FIND("-",C464)-1))=4,
        DATE(VALUE(LEFT(C464,4)),VALUE(MID(C464,6,2)),VALUE(RIGHT(C464,2))),
        DATE(VALUE(RIGHT(C464,4)),VALUE(MID(C464,4,2)),VALUE(LEFT(C464,2)))
      ),
      IF(ISNUMBER(SEARCH("/",C464)*1),
        DATE(VALUE(RIGHT(C464,4)),VALUE(LEFT(C464,2)),VALUE(MID(C464,4,2))),
        DATEVALUE(C464)
      )
    )
  ),
"INVALID_DATE")</f>
        <v>45560</v>
      </c>
      <c r="AB464">
        <f>AA464-Z464</f>
        <v>2</v>
      </c>
      <c r="AC464" t="str">
        <f>TEXT(Z464,"mmmm")</f>
        <v>September</v>
      </c>
      <c r="AD464">
        <f>YEAR(Z464)</f>
        <v>2024</v>
      </c>
      <c r="AE464" t="str">
        <f t="shared" si="23"/>
        <v>OK</v>
      </c>
    </row>
    <row r="465" spans="1:31">
      <c r="A465" t="s">
        <v>2277</v>
      </c>
      <c r="B465" t="s">
        <v>449</v>
      </c>
      <c r="C465" t="s">
        <v>2278</v>
      </c>
      <c r="D465" t="s">
        <v>2279</v>
      </c>
      <c r="E465" t="s">
        <v>68</v>
      </c>
      <c r="F465" t="s">
        <v>115</v>
      </c>
      <c r="G465" t="s">
        <v>80</v>
      </c>
      <c r="H465" t="s">
        <v>91</v>
      </c>
      <c r="I465" t="s">
        <v>92</v>
      </c>
      <c r="J465" t="s">
        <v>93</v>
      </c>
      <c r="K465" t="s">
        <v>230</v>
      </c>
      <c r="L465" t="s">
        <v>2280</v>
      </c>
      <c r="M465" t="s">
        <v>74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41</v>
      </c>
      <c r="U465" t="s">
        <v>42</v>
      </c>
      <c r="V465">
        <f>O465*(1-P465)*N465</f>
        <v>2846.4</v>
      </c>
      <c r="W465">
        <f t="shared" si="21"/>
        <v>714.0300000000002</v>
      </c>
      <c r="X465">
        <f t="shared" si="22"/>
        <v>0.25085370994940975</v>
      </c>
      <c r="Y465" t="s">
        <v>4120</v>
      </c>
      <c r="Z465" s="2">
        <f>IFERROR(
  IF(ISNUMBER(B465),B465,
    IF(ISNUMBER(SEARCH("-",B465)*1),
      IF(LEN(LEFT(B465,FIND("-",B465)-1))=4,
        DATE(VALUE(LEFT(B465,4)),VALUE(MID(B465,6,2)),VALUE(RIGHT(B465,2))),
        DATE(VALUE(RIGHT(B465,4)),VALUE(MID(B465,4,2)),VALUE(LEFT(B465,2)))
      ),
      IF(ISNUMBER(SEARCH("/",B465)*1),
        DATE(VALUE(RIGHT(B465,4)),VALUE(LEFT(B465,2)),VALUE(MID(B465,4,2))),
        DATEVALUE(B465)
      )
    )
  ),
"INVALID_DATE")</f>
        <v>45695</v>
      </c>
      <c r="AA465" s="2">
        <f>IFERROR(
  IF(ISNUMBER(C465),C465,
    IF(ISNUMBER(SEARCH("-",C465)*1),
      IF(LEN(LEFT(C465,FIND("-",C465)-1))=4,
        DATE(VALUE(LEFT(C465,4)),VALUE(MID(C465,6,2)),VALUE(RIGHT(C465,2))),
        DATE(VALUE(RIGHT(C465,4)),VALUE(MID(C465,4,2)),VALUE(LEFT(C465,2)))
      ),
      IF(ISNUMBER(SEARCH("/",C465)*1),
        DATE(VALUE(RIGHT(C465,4)),VALUE(LEFT(C465,2)),VALUE(MID(C465,4,2))),
        DATEVALUE(C465)
      )
    )
  ),
"INVALID_DATE")</f>
        <v>45696</v>
      </c>
      <c r="AB465">
        <f>AA465-Z465</f>
        <v>1</v>
      </c>
      <c r="AC465" t="str">
        <f>TEXT(Z465,"mmmm")</f>
        <v>February</v>
      </c>
      <c r="AD465">
        <f>YEAR(Z465)</f>
        <v>2025</v>
      </c>
      <c r="AE465" t="str">
        <f t="shared" si="23"/>
        <v>OK</v>
      </c>
    </row>
    <row r="466" spans="1:31">
      <c r="A466" t="s">
        <v>2281</v>
      </c>
      <c r="B466" t="s">
        <v>2282</v>
      </c>
      <c r="C466" t="s">
        <v>2283</v>
      </c>
      <c r="D466" t="s">
        <v>2284</v>
      </c>
      <c r="E466" t="s">
        <v>68</v>
      </c>
      <c r="F466" t="s">
        <v>115</v>
      </c>
      <c r="G466" t="s">
        <v>49</v>
      </c>
      <c r="H466" t="s">
        <v>193</v>
      </c>
      <c r="I466" t="s">
        <v>194</v>
      </c>
      <c r="J466" t="s">
        <v>37</v>
      </c>
      <c r="K466" t="s">
        <v>38</v>
      </c>
      <c r="L466" t="s">
        <v>2285</v>
      </c>
      <c r="M466" t="s">
        <v>55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144</v>
      </c>
      <c r="U466" t="s">
        <v>85</v>
      </c>
      <c r="V466">
        <f>O466*(1-P466)*N466</f>
        <v>10331.477999999999</v>
      </c>
      <c r="W466">
        <f t="shared" si="21"/>
        <v>3199.5679999999993</v>
      </c>
      <c r="X466">
        <f t="shared" si="22"/>
        <v>0.30969135109393819</v>
      </c>
      <c r="Y466" t="str">
        <f>_xlfn.TEXTJOIN(", ",TRUE,IF(G466="Unknown","Missing Region",""),IF(M466="Unknown","Missing Ship Mode",""),IF(P466&lt;0,"Negative Discount",""),IF(P466&gt;0.7,"High Discount",""),IF(C466&lt;B466,"Ship Before Order",""))</f>
        <v>Ship Before Order</v>
      </c>
      <c r="Z466" s="2">
        <f>IFERROR(
  IF(ISNUMBER(B466),B466,
    IF(ISNUMBER(SEARCH("-",B466)*1),
      IF(LEN(LEFT(B466,FIND("-",B466)-1))=4,
        DATE(VALUE(LEFT(B466,4)),VALUE(MID(B466,6,2)),VALUE(RIGHT(B466,2))),
        DATE(VALUE(RIGHT(B466,4)),VALUE(MID(B466,4,2)),VALUE(LEFT(B466,2)))
      ),
      IF(ISNUMBER(SEARCH("/",B466)*1),
        DATE(VALUE(RIGHT(B466,4)),VALUE(LEFT(B466,2)),VALUE(MID(B466,4,2))),
        DATEVALUE(B466)
      )
    )
  ),
"INVALID_DATE")</f>
        <v>45727</v>
      </c>
      <c r="AA466" s="2">
        <f>IFERROR(
  IF(ISNUMBER(C466),C466,
    IF(ISNUMBER(SEARCH("-",C466)*1),
      IF(LEN(LEFT(C466,FIND("-",C466)-1))=4,
        DATE(VALUE(LEFT(C466,4)),VALUE(MID(C466,6,2)),VALUE(RIGHT(C466,2))),
        DATE(VALUE(RIGHT(C466,4)),VALUE(MID(C466,4,2)),VALUE(LEFT(C466,2)))
      ),
      IF(ISNUMBER(SEARCH("/",C466)*1),
        DATE(VALUE(RIGHT(C466,4)),VALUE(LEFT(C466,2)),VALUE(MID(C466,4,2))),
        DATEVALUE(C466)
      )
    )
  ),
"INVALID_DATE")</f>
        <v>45731</v>
      </c>
      <c r="AB466">
        <f>AA466-Z466</f>
        <v>4</v>
      </c>
      <c r="AC466" t="str">
        <f>TEXT(Z466,"mmmm")</f>
        <v>March</v>
      </c>
      <c r="AD466">
        <f>YEAR(Z466)</f>
        <v>2025</v>
      </c>
      <c r="AE466" t="str">
        <f t="shared" si="23"/>
        <v>OK</v>
      </c>
    </row>
    <row r="467" spans="1:31">
      <c r="A467" t="s">
        <v>2286</v>
      </c>
      <c r="B467" t="s">
        <v>2287</v>
      </c>
      <c r="C467" t="s">
        <v>2288</v>
      </c>
      <c r="D467" t="s">
        <v>2289</v>
      </c>
      <c r="E467" t="s">
        <v>169</v>
      </c>
      <c r="F467" t="s">
        <v>48</v>
      </c>
      <c r="G467" t="s">
        <v>80</v>
      </c>
      <c r="H467" t="s">
        <v>91</v>
      </c>
      <c r="I467" t="s">
        <v>92</v>
      </c>
      <c r="J467" t="s">
        <v>37</v>
      </c>
      <c r="K467" t="s">
        <v>116</v>
      </c>
      <c r="L467" t="s">
        <v>2290</v>
      </c>
      <c r="M467" t="s">
        <v>74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41</v>
      </c>
      <c r="U467" t="s">
        <v>42</v>
      </c>
      <c r="V467">
        <f>O467*(1-P467)*N467</f>
        <v>2517.8000000000002</v>
      </c>
      <c r="W467">
        <f t="shared" si="21"/>
        <v>1039.2600000000002</v>
      </c>
      <c r="X467">
        <f t="shared" si="22"/>
        <v>0.41276511239971403</v>
      </c>
      <c r="Y467" t="str">
        <f>_xlfn.TEXTJOIN(", ",TRUE,IF(G467="Unknown","Missing Region",""),IF(M467="Unknown","Missing Ship Mode",""),IF(P467&lt;0,"Negative Discount",""),IF(P467&gt;0.7,"High Discount",""),IF(C467&lt;B467,"Ship Before Order",""))</f>
        <v>Ship Before Order</v>
      </c>
      <c r="Z467" s="2">
        <f>IFERROR(
  IF(ISNUMBER(B467),B467,
    IF(ISNUMBER(SEARCH("-",B467)*1),
      IF(LEN(LEFT(B467,FIND("-",B467)-1))=4,
        DATE(VALUE(LEFT(B467,4)),VALUE(MID(B467,6,2)),VALUE(RIGHT(B467,2))),
        DATE(VALUE(RIGHT(B467,4)),VALUE(MID(B467,4,2)),VALUE(LEFT(B467,2)))
      ),
      IF(ISNUMBER(SEARCH("/",B467)*1),
        DATE(VALUE(RIGHT(B467,4)),VALUE(LEFT(B467,2)),VALUE(MID(B467,4,2))),
        DATEVALUE(B467)
      )
    )
  ),
"INVALID_DATE")</f>
        <v>45320</v>
      </c>
      <c r="AA467" s="2">
        <f>IFERROR(
  IF(ISNUMBER(C467),C467,
    IF(ISNUMBER(SEARCH("-",C467)*1),
      IF(LEN(LEFT(C467,FIND("-",C467)-1))=4,
        DATE(VALUE(LEFT(C467,4)),VALUE(MID(C467,6,2)),VALUE(RIGHT(C467,2))),
        DATE(VALUE(RIGHT(C467,4)),VALUE(MID(C467,4,2)),VALUE(LEFT(C467,2)))
      ),
      IF(ISNUMBER(SEARCH("/",C467)*1),
        DATE(VALUE(RIGHT(C467,4)),VALUE(LEFT(C467,2)),VALUE(MID(C467,4,2))),
        DATEVALUE(C467)
      )
    )
  ),
"INVALID_DATE")</f>
        <v>45328</v>
      </c>
      <c r="AB467">
        <f>AA467-Z467</f>
        <v>8</v>
      </c>
      <c r="AC467" t="str">
        <f>TEXT(Z467,"mmmm")</f>
        <v>January</v>
      </c>
      <c r="AD467">
        <f>YEAR(Z467)</f>
        <v>2024</v>
      </c>
      <c r="AE467" t="str">
        <f t="shared" si="23"/>
        <v>OK</v>
      </c>
    </row>
    <row r="468" spans="1:31">
      <c r="A468" t="s">
        <v>2291</v>
      </c>
      <c r="B468" t="s">
        <v>2292</v>
      </c>
      <c r="C468" t="s">
        <v>2293</v>
      </c>
      <c r="D468" t="s">
        <v>2294</v>
      </c>
      <c r="E468" t="s">
        <v>47</v>
      </c>
      <c r="F468" t="s">
        <v>48</v>
      </c>
      <c r="G468" t="s">
        <v>49</v>
      </c>
      <c r="H468" t="s">
        <v>193</v>
      </c>
      <c r="I468" t="s">
        <v>194</v>
      </c>
      <c r="J468" t="s">
        <v>93</v>
      </c>
      <c r="K468" t="s">
        <v>94</v>
      </c>
      <c r="L468" t="s">
        <v>2295</v>
      </c>
      <c r="M468" t="s">
        <v>55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41</v>
      </c>
      <c r="U468" t="s">
        <v>42</v>
      </c>
      <c r="V468">
        <f>O468*(1-P468)*N468</f>
        <v>11462.112000000001</v>
      </c>
      <c r="W468">
        <f t="shared" si="21"/>
        <v>4356.6320000000014</v>
      </c>
      <c r="X468">
        <f t="shared" si="22"/>
        <v>0.38008970425166044</v>
      </c>
      <c r="Y468" t="str">
        <f>_xlfn.TEXTJOIN(", ",TRUE,IF(G468="Unknown","Missing Region",""),IF(M468="Unknown","Missing Ship Mode",""),IF(P468&lt;0,"Negative Discount",""),IF(P468&gt;0.7,"High Discount",""),IF(C468&lt;B468,"Ship Before Order",""))</f>
        <v>Ship Before Order</v>
      </c>
      <c r="Z468" s="2">
        <f>IFERROR(
  IF(ISNUMBER(B468),B468,
    IF(ISNUMBER(SEARCH("-",B468)*1),
      IF(LEN(LEFT(B468,FIND("-",B468)-1))=4,
        DATE(VALUE(LEFT(B468,4)),VALUE(MID(B468,6,2)),VALUE(RIGHT(B468,2))),
        DATE(VALUE(RIGHT(B468,4)),VALUE(MID(B468,4,2)),VALUE(LEFT(B468,2)))
      ),
      IF(ISNUMBER(SEARCH("/",B468)*1),
        DATE(VALUE(RIGHT(B468,4)),VALUE(LEFT(B468,2)),VALUE(MID(B468,4,2))),
        DATEVALUE(B468)
      )
    )
  ),
"INVALID_DATE")</f>
        <v>45295</v>
      </c>
      <c r="AA468" s="2">
        <f>IFERROR(
  IF(ISNUMBER(C468),C468,
    IF(ISNUMBER(SEARCH("-",C468)*1),
      IF(LEN(LEFT(C468,FIND("-",C468)-1))=4,
        DATE(VALUE(LEFT(C468,4)),VALUE(MID(C468,6,2)),VALUE(RIGHT(C468,2))),
        DATE(VALUE(RIGHT(C468,4)),VALUE(MID(C468,4,2)),VALUE(LEFT(C468,2)))
      ),
      IF(ISNUMBER(SEARCH("/",C468)*1),
        DATE(VALUE(RIGHT(C468,4)),VALUE(LEFT(C468,2)),VALUE(MID(C468,4,2))),
        DATEVALUE(C468)
      )
    )
  ),
"INVALID_DATE")</f>
        <v>45299</v>
      </c>
      <c r="AB468">
        <f>AA468-Z468</f>
        <v>4</v>
      </c>
      <c r="AC468" t="str">
        <f>TEXT(Z468,"mmmm")</f>
        <v>January</v>
      </c>
      <c r="AD468">
        <f>YEAR(Z468)</f>
        <v>2024</v>
      </c>
      <c r="AE468" t="str">
        <f t="shared" si="23"/>
        <v>OK</v>
      </c>
    </row>
    <row r="469" spans="1:31">
      <c r="A469" t="s">
        <v>2296</v>
      </c>
      <c r="B469" t="s">
        <v>2297</v>
      </c>
      <c r="C469" t="s">
        <v>1634</v>
      </c>
      <c r="D469" t="s">
        <v>2298</v>
      </c>
      <c r="E469" t="s">
        <v>114</v>
      </c>
      <c r="F469" t="s">
        <v>115</v>
      </c>
      <c r="G469" t="s">
        <v>49</v>
      </c>
      <c r="H469" t="s">
        <v>50</v>
      </c>
      <c r="I469" t="s">
        <v>51</v>
      </c>
      <c r="J469" t="s">
        <v>93</v>
      </c>
      <c r="K469" t="s">
        <v>101</v>
      </c>
      <c r="L469" t="s">
        <v>2299</v>
      </c>
      <c r="M469" t="s">
        <v>63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131</v>
      </c>
      <c r="U469" t="s">
        <v>85</v>
      </c>
      <c r="V469">
        <f>O469*(1-P469)*N469</f>
        <v>19297.485000000001</v>
      </c>
      <c r="W469">
        <f t="shared" si="21"/>
        <v>3845.8250000000007</v>
      </c>
      <c r="X469">
        <f t="shared" si="22"/>
        <v>0.19929172135858081</v>
      </c>
      <c r="Y469" t="s">
        <v>4120</v>
      </c>
      <c r="Z469" s="2">
        <f>IFERROR(
  IF(ISNUMBER(B469),B469,
    IF(ISNUMBER(SEARCH("-",B469)*1),
      IF(LEN(LEFT(B469,FIND("-",B469)-1))=4,
        DATE(VALUE(LEFT(B469,4)),VALUE(MID(B469,6,2)),VALUE(RIGHT(B469,2))),
        DATE(VALUE(RIGHT(B469,4)),VALUE(MID(B469,4,2)),VALUE(LEFT(B469,2)))
      ),
      IF(ISNUMBER(SEARCH("/",B469)*1),
        DATE(VALUE(RIGHT(B469,4)),VALUE(LEFT(B469,2)),VALUE(MID(B469,4,2))),
        DATEVALUE(B469)
      )
    )
  ),
"INVALID_DATE")</f>
        <v>45524</v>
      </c>
      <c r="AA469" s="2">
        <f>IFERROR(
  IF(ISNUMBER(C469),C469,
    IF(ISNUMBER(SEARCH("-",C469)*1),
      IF(LEN(LEFT(C469,FIND("-",C469)-1))=4,
        DATE(VALUE(LEFT(C469,4)),VALUE(MID(C469,6,2)),VALUE(RIGHT(C469,2))),
        DATE(VALUE(RIGHT(C469,4)),VALUE(MID(C469,4,2)),VALUE(LEFT(C469,2)))
      ),
      IF(ISNUMBER(SEARCH("/",C469)*1),
        DATE(VALUE(RIGHT(C469,4)),VALUE(LEFT(C469,2)),VALUE(MID(C469,4,2))),
        DATEVALUE(C469)
      )
    )
  ),
"INVALID_DATE")</f>
        <v>45525</v>
      </c>
      <c r="AB469">
        <f>AA469-Z469</f>
        <v>1</v>
      </c>
      <c r="AC469" t="str">
        <f>TEXT(Z469,"mmmm")</f>
        <v>August</v>
      </c>
      <c r="AD469">
        <f>YEAR(Z469)</f>
        <v>2024</v>
      </c>
      <c r="AE469" t="str">
        <f t="shared" si="23"/>
        <v>OK</v>
      </c>
    </row>
    <row r="470" spans="1:31">
      <c r="A470" t="s">
        <v>2300</v>
      </c>
      <c r="B470" t="s">
        <v>2301</v>
      </c>
      <c r="C470" t="s">
        <v>2302</v>
      </c>
      <c r="D470" t="s">
        <v>2303</v>
      </c>
      <c r="E470" t="s">
        <v>169</v>
      </c>
      <c r="F470" t="s">
        <v>122</v>
      </c>
      <c r="G470" t="s">
        <v>49</v>
      </c>
      <c r="H470" t="s">
        <v>128</v>
      </c>
      <c r="I470" t="s">
        <v>129</v>
      </c>
      <c r="J470" t="s">
        <v>37</v>
      </c>
      <c r="K470" t="s">
        <v>205</v>
      </c>
      <c r="L470" t="s">
        <v>2304</v>
      </c>
      <c r="M470" t="s">
        <v>40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41</v>
      </c>
      <c r="U470" t="s">
        <v>42</v>
      </c>
      <c r="V470">
        <f>O470*(1-P470)*N470</f>
        <v>6564.99</v>
      </c>
      <c r="W470">
        <f t="shared" si="21"/>
        <v>1157.75</v>
      </c>
      <c r="X470">
        <f t="shared" si="22"/>
        <v>0.17635213458055535</v>
      </c>
      <c r="Y470" t="str">
        <f>_xlfn.TEXTJOIN(", ",TRUE,IF(G470="Unknown","Missing Region",""),IF(M470="Unknown","Missing Ship Mode",""),IF(P470&lt;0,"Negative Discount",""),IF(P470&gt;0.7,"High Discount",""),IF(C470&lt;B470,"Ship Before Order",""))</f>
        <v>Ship Before Order</v>
      </c>
      <c r="Z470" s="2">
        <f>IFERROR(
  IF(ISNUMBER(B470),B470,
    IF(ISNUMBER(SEARCH("-",B470)*1),
      IF(LEN(LEFT(B470,FIND("-",B470)-1))=4,
        DATE(VALUE(LEFT(B470,4)),VALUE(MID(B470,6,2)),VALUE(RIGHT(B470,2))),
        DATE(VALUE(RIGHT(B470,4)),VALUE(MID(B470,4,2)),VALUE(LEFT(B470,2)))
      ),
      IF(ISNUMBER(SEARCH("/",B470)*1),
        DATE(VALUE(RIGHT(B470,4)),VALUE(LEFT(B470,2)),VALUE(MID(B470,4,2))),
        DATEVALUE(B470)
      )
    )
  ),
"INVALID_DATE")</f>
        <v>45666</v>
      </c>
      <c r="AA470" s="2">
        <f>IFERROR(
  IF(ISNUMBER(C470),C470,
    IF(ISNUMBER(SEARCH("-",C470)*1),
      IF(LEN(LEFT(C470,FIND("-",C470)-1))=4,
        DATE(VALUE(LEFT(C470,4)),VALUE(MID(C470,6,2)),VALUE(RIGHT(C470,2))),
        DATE(VALUE(RIGHT(C470,4)),VALUE(MID(C470,4,2)),VALUE(LEFT(C470,2)))
      ),
      IF(ISNUMBER(SEARCH("/",C470)*1),
        DATE(VALUE(RIGHT(C470,4)),VALUE(LEFT(C470,2)),VALUE(MID(C470,4,2))),
        DATEVALUE(C470)
      )
    )
  ),
"INVALID_DATE")</f>
        <v>45664</v>
      </c>
      <c r="AB470">
        <f>AA470-Z470</f>
        <v>-2</v>
      </c>
      <c r="AC470" t="str">
        <f>TEXT(Z470,"mmmm")</f>
        <v>January</v>
      </c>
      <c r="AD470">
        <f>YEAR(Z470)</f>
        <v>2025</v>
      </c>
      <c r="AE470" t="str">
        <f t="shared" si="23"/>
        <v>Ship Before Order</v>
      </c>
    </row>
    <row r="471" spans="1:31">
      <c r="A471" t="s">
        <v>2305</v>
      </c>
      <c r="B471" t="s">
        <v>2306</v>
      </c>
      <c r="C471" t="s">
        <v>2059</v>
      </c>
      <c r="D471" t="s">
        <v>2307</v>
      </c>
      <c r="E471" t="s">
        <v>114</v>
      </c>
      <c r="F471" t="s">
        <v>115</v>
      </c>
      <c r="G471" t="s">
        <v>80</v>
      </c>
      <c r="H471" t="s">
        <v>256</v>
      </c>
      <c r="I471" t="s">
        <v>257</v>
      </c>
      <c r="J471" t="s">
        <v>93</v>
      </c>
      <c r="K471" t="s">
        <v>101</v>
      </c>
      <c r="L471" t="s">
        <v>2308</v>
      </c>
      <c r="M471" t="s">
        <v>63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41</v>
      </c>
      <c r="U471" t="s">
        <v>42</v>
      </c>
      <c r="V471">
        <f>O471*(1-P471)*N471</f>
        <v>2812.4820000000004</v>
      </c>
      <c r="W471">
        <f t="shared" si="21"/>
        <v>530.36200000000053</v>
      </c>
      <c r="X471">
        <f t="shared" si="22"/>
        <v>0.18857378541358516</v>
      </c>
      <c r="Y471" t="str">
        <f>_xlfn.TEXTJOIN(", ",TRUE,IF(G471="Unknown","Missing Region",""),IF(M471="Unknown","Missing Ship Mode",""),IF(P471&lt;0,"Negative Discount",""),IF(P471&gt;0.7,"High Discount",""),IF(C471&lt;B471,"Ship Before Order",""))</f>
        <v>Ship Before Order</v>
      </c>
      <c r="Z471" s="2">
        <f>IFERROR(
  IF(ISNUMBER(B471),B471,
    IF(ISNUMBER(SEARCH("-",B471)*1),
      IF(LEN(LEFT(B471,FIND("-",B471)-1))=4,
        DATE(VALUE(LEFT(B471,4)),VALUE(MID(B471,6,2)),VALUE(RIGHT(B471,2))),
        DATE(VALUE(RIGHT(B471,4)),VALUE(MID(B471,4,2)),VALUE(LEFT(B471,2)))
      ),
      IF(ISNUMBER(SEARCH("/",B471)*1),
        DATE(VALUE(RIGHT(B471,4)),VALUE(LEFT(B471,2)),VALUE(MID(B471,4,2))),
        DATEVALUE(B471)
      )
    )
  ),
"INVALID_DATE")</f>
        <v>45310</v>
      </c>
      <c r="AA471" s="2">
        <f>IFERROR(
  IF(ISNUMBER(C471),C471,
    IF(ISNUMBER(SEARCH("-",C471)*1),
      IF(LEN(LEFT(C471,FIND("-",C471)-1))=4,
        DATE(VALUE(LEFT(C471,4)),VALUE(MID(C471,6,2)),VALUE(RIGHT(C471,2))),
        DATE(VALUE(RIGHT(C471,4)),VALUE(MID(C471,4,2)),VALUE(LEFT(C471,2)))
      ),
      IF(ISNUMBER(SEARCH("/",C471)*1),
        DATE(VALUE(RIGHT(C471,4)),VALUE(LEFT(C471,2)),VALUE(MID(C471,4,2))),
        DATEVALUE(C471)
      )
    )
  ),
"INVALID_DATE")</f>
        <v>45316</v>
      </c>
      <c r="AB471">
        <f>AA471-Z471</f>
        <v>6</v>
      </c>
      <c r="AC471" t="str">
        <f>TEXT(Z471,"mmmm")</f>
        <v>January</v>
      </c>
      <c r="AD471">
        <f>YEAR(Z471)</f>
        <v>2024</v>
      </c>
      <c r="AE471" t="str">
        <f t="shared" si="23"/>
        <v>OK</v>
      </c>
    </row>
    <row r="472" spans="1:31">
      <c r="A472" t="s">
        <v>2309</v>
      </c>
      <c r="B472" t="s">
        <v>2310</v>
      </c>
      <c r="C472" t="s">
        <v>1602</v>
      </c>
      <c r="D472" t="s">
        <v>2311</v>
      </c>
      <c r="E472" t="s">
        <v>114</v>
      </c>
      <c r="F472" t="s">
        <v>33</v>
      </c>
      <c r="G472" t="s">
        <v>34</v>
      </c>
      <c r="H472" t="s">
        <v>35</v>
      </c>
      <c r="I472" t="s">
        <v>36</v>
      </c>
      <c r="J472" t="s">
        <v>52</v>
      </c>
      <c r="K472" t="s">
        <v>53</v>
      </c>
      <c r="L472" t="s">
        <v>2312</v>
      </c>
      <c r="M472" t="s">
        <v>55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41</v>
      </c>
      <c r="U472" t="s">
        <v>42</v>
      </c>
      <c r="V472">
        <f>O472*(1-P472)*N472</f>
        <v>7079.6480000000001</v>
      </c>
      <c r="W472">
        <f t="shared" si="21"/>
        <v>2613.7380000000003</v>
      </c>
      <c r="X472">
        <f t="shared" si="22"/>
        <v>0.36919056733030586</v>
      </c>
      <c r="Y472" t="str">
        <f>_xlfn.TEXTJOIN(", ",TRUE,IF(G472="Unknown","Missing Region",""),IF(M472="Unknown","Missing Ship Mode",""),IF(P472&lt;0,"Negative Discount",""),IF(P472&gt;0.7,"High Discount",""),IF(C472&lt;B472,"Ship Before Order",""))</f>
        <v>Ship Before Order</v>
      </c>
      <c r="Z472" s="2">
        <f>IFERROR(
  IF(ISNUMBER(B472),B472,
    IF(ISNUMBER(SEARCH("-",B472)*1),
      IF(LEN(LEFT(B472,FIND("-",B472)-1))=4,
        DATE(VALUE(LEFT(B472,4)),VALUE(MID(B472,6,2)),VALUE(RIGHT(B472,2))),
        DATE(VALUE(RIGHT(B472,4)),VALUE(MID(B472,4,2)),VALUE(LEFT(B472,2)))
      ),
      IF(ISNUMBER(SEARCH("/",B472)*1),
        DATE(VALUE(RIGHT(B472,4)),VALUE(LEFT(B472,2)),VALUE(MID(B472,4,2))),
        DATEVALUE(B472)
      )
    )
  ),
"INVALID_DATE")</f>
        <v>45501</v>
      </c>
      <c r="AA472" s="2">
        <f>IFERROR(
  IF(ISNUMBER(C472),C472,
    IF(ISNUMBER(SEARCH("-",C472)*1),
      IF(LEN(LEFT(C472,FIND("-",C472)-1))=4,
        DATE(VALUE(LEFT(C472,4)),VALUE(MID(C472,6,2)),VALUE(RIGHT(C472,2))),
        DATE(VALUE(RIGHT(C472,4)),VALUE(MID(C472,4,2)),VALUE(LEFT(C472,2)))
      ),
      IF(ISNUMBER(SEARCH("/",C472)*1),
        DATE(VALUE(RIGHT(C472,4)),VALUE(LEFT(C472,2)),VALUE(MID(C472,4,2))),
        DATEVALUE(C472)
      )
    )
  ),
"INVALID_DATE")</f>
        <v>45504</v>
      </c>
      <c r="AB472">
        <f>AA472-Z472</f>
        <v>3</v>
      </c>
      <c r="AC472" t="str">
        <f>TEXT(Z472,"mmmm")</f>
        <v>July</v>
      </c>
      <c r="AD472">
        <f>YEAR(Z472)</f>
        <v>2024</v>
      </c>
      <c r="AE472" t="str">
        <f t="shared" si="23"/>
        <v>OK</v>
      </c>
    </row>
    <row r="473" spans="1:31">
      <c r="A473" t="s">
        <v>2313</v>
      </c>
      <c r="B473" t="s">
        <v>2314</v>
      </c>
      <c r="C473" t="s">
        <v>2315</v>
      </c>
      <c r="D473" t="s">
        <v>2316</v>
      </c>
      <c r="E473" t="s">
        <v>374</v>
      </c>
      <c r="F473" t="s">
        <v>33</v>
      </c>
      <c r="G473" t="s">
        <v>69</v>
      </c>
      <c r="H473" t="s">
        <v>70</v>
      </c>
      <c r="I473" t="s">
        <v>71</v>
      </c>
      <c r="J473" t="s">
        <v>37</v>
      </c>
      <c r="K473" t="s">
        <v>205</v>
      </c>
      <c r="L473" t="s">
        <v>2317</v>
      </c>
      <c r="M473" t="s">
        <v>74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41</v>
      </c>
      <c r="U473" t="s">
        <v>42</v>
      </c>
      <c r="V473">
        <f>O473*(1-P473)*N473</f>
        <v>6793.0650000000005</v>
      </c>
      <c r="W473">
        <f t="shared" si="21"/>
        <v>1807.8450000000003</v>
      </c>
      <c r="X473">
        <f t="shared" si="22"/>
        <v>0.26613151343943164</v>
      </c>
      <c r="Y473" t="str">
        <f>_xlfn.TEXTJOIN(", ",TRUE,IF(G473="Unknown","Missing Region",""),IF(M473="Unknown","Missing Ship Mode",""),IF(P473&lt;0,"Negative Discount",""),IF(P473&gt;0.7,"High Discount",""),IF(C473&lt;B473,"Ship Before Order",""))</f>
        <v>Ship Before Order</v>
      </c>
      <c r="Z473" s="2">
        <f>IFERROR(
  IF(ISNUMBER(B473),B473,
    IF(ISNUMBER(SEARCH("-",B473)*1),
      IF(LEN(LEFT(B473,FIND("-",B473)-1))=4,
        DATE(VALUE(LEFT(B473,4)),VALUE(MID(B473,6,2)),VALUE(RIGHT(B473,2))),
        DATE(VALUE(RIGHT(B473,4)),VALUE(MID(B473,4,2)),VALUE(LEFT(B473,2)))
      ),
      IF(ISNUMBER(SEARCH("/",B473)*1),
        DATE(VALUE(RIGHT(B473,4)),VALUE(LEFT(B473,2)),VALUE(MID(B473,4,2))),
        DATEVALUE(B473)
      )
    )
  ),
"INVALID_DATE")</f>
        <v>45333</v>
      </c>
      <c r="AA473" s="2">
        <f>IFERROR(
  IF(ISNUMBER(C473),C473,
    IF(ISNUMBER(SEARCH("-",C473)*1),
      IF(LEN(LEFT(C473,FIND("-",C473)-1))=4,
        DATE(VALUE(LEFT(C473,4)),VALUE(MID(C473,6,2)),VALUE(RIGHT(C473,2))),
        DATE(VALUE(RIGHT(C473,4)),VALUE(MID(C473,4,2)),VALUE(LEFT(C473,2)))
      ),
      IF(ISNUMBER(SEARCH("/",C473)*1),
        DATE(VALUE(RIGHT(C473,4)),VALUE(LEFT(C473,2)),VALUE(MID(C473,4,2))),
        DATEVALUE(C473)
      )
    )
  ),
"INVALID_DATE")</f>
        <v>45337</v>
      </c>
      <c r="AB473">
        <f>AA473-Z473</f>
        <v>4</v>
      </c>
      <c r="AC473" t="str">
        <f>TEXT(Z473,"mmmm")</f>
        <v>February</v>
      </c>
      <c r="AD473">
        <f>YEAR(Z473)</f>
        <v>2024</v>
      </c>
      <c r="AE473" t="str">
        <f t="shared" si="23"/>
        <v>OK</v>
      </c>
    </row>
    <row r="474" spans="1:31">
      <c r="A474" t="s">
        <v>2318</v>
      </c>
      <c r="B474" t="s">
        <v>2319</v>
      </c>
      <c r="C474" t="s">
        <v>1514</v>
      </c>
      <c r="D474" t="s">
        <v>2320</v>
      </c>
      <c r="E474" t="s">
        <v>187</v>
      </c>
      <c r="F474" t="s">
        <v>115</v>
      </c>
      <c r="G474" t="s">
        <v>49</v>
      </c>
      <c r="H474" t="s">
        <v>50</v>
      </c>
      <c r="I474" t="s">
        <v>51</v>
      </c>
      <c r="J474" t="s">
        <v>37</v>
      </c>
      <c r="K474" t="s">
        <v>163</v>
      </c>
      <c r="L474" t="s">
        <v>2321</v>
      </c>
      <c r="M474" t="s">
        <v>74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41</v>
      </c>
      <c r="U474" t="s">
        <v>42</v>
      </c>
      <c r="V474">
        <f>O474*(1-P474)*N474</f>
        <v>1844.2199999999998</v>
      </c>
      <c r="W474">
        <f t="shared" si="21"/>
        <v>750.00999999999976</v>
      </c>
      <c r="X474">
        <f t="shared" si="22"/>
        <v>0.40668141544934983</v>
      </c>
      <c r="Y474" t="s">
        <v>4120</v>
      </c>
      <c r="Z474" s="2">
        <f>IFERROR(
  IF(ISNUMBER(B474),B474,
    IF(ISNUMBER(SEARCH("-",B474)*1),
      IF(LEN(LEFT(B474,FIND("-",B474)-1))=4,
        DATE(VALUE(LEFT(B474,4)),VALUE(MID(B474,6,2)),VALUE(RIGHT(B474,2))),
        DATE(VALUE(RIGHT(B474,4)),VALUE(MID(B474,4,2)),VALUE(LEFT(B474,2)))
      ),
      IF(ISNUMBER(SEARCH("/",B474)*1),
        DATE(VALUE(RIGHT(B474,4)),VALUE(LEFT(B474,2)),VALUE(MID(B474,4,2))),
        DATEVALUE(B474)
      )
    )
  ),
"INVALID_DATE")</f>
        <v>45353</v>
      </c>
      <c r="AA474" s="2">
        <f>IFERROR(
  IF(ISNUMBER(C474),C474,
    IF(ISNUMBER(SEARCH("-",C474)*1),
      IF(LEN(LEFT(C474,FIND("-",C474)-1))=4,
        DATE(VALUE(LEFT(C474,4)),VALUE(MID(C474,6,2)),VALUE(RIGHT(C474,2))),
        DATE(VALUE(RIGHT(C474,4)),VALUE(MID(C474,4,2)),VALUE(LEFT(C474,2)))
      ),
      IF(ISNUMBER(SEARCH("/",C474)*1),
        DATE(VALUE(RIGHT(C474,4)),VALUE(LEFT(C474,2)),VALUE(MID(C474,4,2))),
        DATEVALUE(C474)
      )
    )
  ),
"INVALID_DATE")</f>
        <v>45358</v>
      </c>
      <c r="AB474">
        <f>AA474-Z474</f>
        <v>5</v>
      </c>
      <c r="AC474" t="str">
        <f>TEXT(Z474,"mmmm")</f>
        <v>March</v>
      </c>
      <c r="AD474">
        <f>YEAR(Z474)</f>
        <v>2024</v>
      </c>
      <c r="AE474" t="str">
        <f t="shared" si="23"/>
        <v>OK</v>
      </c>
    </row>
    <row r="475" spans="1:31">
      <c r="A475" t="s">
        <v>2322</v>
      </c>
      <c r="B475" t="s">
        <v>2323</v>
      </c>
      <c r="C475" t="s">
        <v>453</v>
      </c>
      <c r="D475" t="s">
        <v>2324</v>
      </c>
      <c r="E475" t="s">
        <v>149</v>
      </c>
      <c r="F475" t="s">
        <v>33</v>
      </c>
      <c r="G475" t="s">
        <v>80</v>
      </c>
      <c r="H475" t="s">
        <v>256</v>
      </c>
      <c r="I475" t="s">
        <v>257</v>
      </c>
      <c r="J475" t="s">
        <v>93</v>
      </c>
      <c r="K475" t="s">
        <v>101</v>
      </c>
      <c r="L475" t="s">
        <v>2325</v>
      </c>
      <c r="M475" t="s">
        <v>74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41</v>
      </c>
      <c r="U475" t="s">
        <v>42</v>
      </c>
      <c r="V475">
        <f>O475*(1-P475)*N475</f>
        <v>918.96</v>
      </c>
      <c r="W475">
        <f t="shared" si="21"/>
        <v>364.78000000000009</v>
      </c>
      <c r="X475">
        <f t="shared" si="22"/>
        <v>0.39694872464525111</v>
      </c>
      <c r="Y475" t="str">
        <f>_xlfn.TEXTJOIN(", ",TRUE,IF(G475="Unknown","Missing Region",""),IF(M475="Unknown","Missing Ship Mode",""),IF(P475&lt;0,"Negative Discount",""),IF(P475&gt;0.7,"High Discount",""),IF(C475&lt;B475,"Ship Before Order",""))</f>
        <v>Ship Before Order</v>
      </c>
      <c r="Z475" s="2">
        <f>IFERROR(
  IF(ISNUMBER(B475),B475,
    IF(ISNUMBER(SEARCH("-",B475)*1),
      IF(LEN(LEFT(B475,FIND("-",B475)-1))=4,
        DATE(VALUE(LEFT(B475,4)),VALUE(MID(B475,6,2)),VALUE(RIGHT(B475,2))),
        DATE(VALUE(RIGHT(B475,4)),VALUE(MID(B475,4,2)),VALUE(LEFT(B475,2)))
      ),
      IF(ISNUMBER(SEARCH("/",B475)*1),
        DATE(VALUE(RIGHT(B475,4)),VALUE(LEFT(B475,2)),VALUE(MID(B475,4,2))),
        DATEVALUE(B475)
      )
    )
  ),
"INVALID_DATE")</f>
        <v>45609</v>
      </c>
      <c r="AA475" s="2">
        <f>IFERROR(
  IF(ISNUMBER(C475),C475,
    IF(ISNUMBER(SEARCH("-",C475)*1),
      IF(LEN(LEFT(C475,FIND("-",C475)-1))=4,
        DATE(VALUE(LEFT(C475,4)),VALUE(MID(C475,6,2)),VALUE(RIGHT(C475,2))),
        DATE(VALUE(RIGHT(C475,4)),VALUE(MID(C475,4,2)),VALUE(LEFT(C475,2)))
      ),
      IF(ISNUMBER(SEARCH("/",C475)*1),
        DATE(VALUE(RIGHT(C475,4)),VALUE(LEFT(C475,2)),VALUE(MID(C475,4,2))),
        DATEVALUE(C475)
      )
    )
  ),
"INVALID_DATE")</f>
        <v>45609</v>
      </c>
      <c r="AB475">
        <f>AA475-Z475</f>
        <v>0</v>
      </c>
      <c r="AC475" t="str">
        <f>TEXT(Z475,"mmmm")</f>
        <v>November</v>
      </c>
      <c r="AD475">
        <f>YEAR(Z475)</f>
        <v>2024</v>
      </c>
      <c r="AE475" t="str">
        <f t="shared" si="23"/>
        <v>OK</v>
      </c>
    </row>
    <row r="476" spans="1:31">
      <c r="A476" t="s">
        <v>2326</v>
      </c>
      <c r="B476" t="s">
        <v>1228</v>
      </c>
      <c r="C476" t="s">
        <v>2327</v>
      </c>
      <c r="D476" t="s">
        <v>2328</v>
      </c>
      <c r="E476" t="s">
        <v>217</v>
      </c>
      <c r="F476" t="s">
        <v>115</v>
      </c>
      <c r="G476" t="s">
        <v>34</v>
      </c>
      <c r="H476" t="s">
        <v>161</v>
      </c>
      <c r="I476" t="s">
        <v>162</v>
      </c>
      <c r="J476" t="s">
        <v>52</v>
      </c>
      <c r="K476" t="s">
        <v>72</v>
      </c>
      <c r="L476" t="s">
        <v>2329</v>
      </c>
      <c r="M476" t="s">
        <v>74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41</v>
      </c>
      <c r="U476" t="s">
        <v>42</v>
      </c>
      <c r="V476">
        <f>O476*(1-P476)*N476</f>
        <v>4900.71</v>
      </c>
      <c r="W476">
        <f t="shared" si="21"/>
        <v>2186.81</v>
      </c>
      <c r="X476">
        <f t="shared" si="22"/>
        <v>0.44622309828575857</v>
      </c>
      <c r="Y476" t="s">
        <v>4120</v>
      </c>
      <c r="Z476" s="2">
        <f>IFERROR(
  IF(ISNUMBER(B476),B476,
    IF(ISNUMBER(SEARCH("-",B476)*1),
      IF(LEN(LEFT(B476,FIND("-",B476)-1))=4,
        DATE(VALUE(LEFT(B476,4)),VALUE(MID(B476,6,2)),VALUE(RIGHT(B476,2))),
        DATE(VALUE(RIGHT(B476,4)),VALUE(MID(B476,4,2)),VALUE(LEFT(B476,2)))
      ),
      IF(ISNUMBER(SEARCH("/",B476)*1),
        DATE(VALUE(RIGHT(B476,4)),VALUE(LEFT(B476,2)),VALUE(MID(B476,4,2))),
        DATEVALUE(B476)
      )
    )
  ),
"INVALID_DATE")</f>
        <v>45446</v>
      </c>
      <c r="AA476" s="2">
        <f>IFERROR(
  IF(ISNUMBER(C476),C476,
    IF(ISNUMBER(SEARCH("-",C476)*1),
      IF(LEN(LEFT(C476,FIND("-",C476)-1))=4,
        DATE(VALUE(LEFT(C476,4)),VALUE(MID(C476,6,2)),VALUE(RIGHT(C476,2))),
        DATE(VALUE(RIGHT(C476,4)),VALUE(MID(C476,4,2)),VALUE(LEFT(C476,2)))
      ),
      IF(ISNUMBER(SEARCH("/",C476)*1),
        DATE(VALUE(RIGHT(C476,4)),VALUE(LEFT(C476,2)),VALUE(MID(C476,4,2))),
        DATEVALUE(C476)
      )
    )
  ),
"INVALID_DATE")</f>
        <v>45453</v>
      </c>
      <c r="AB476">
        <f>AA476-Z476</f>
        <v>7</v>
      </c>
      <c r="AC476" t="str">
        <f>TEXT(Z476,"mmmm")</f>
        <v>June</v>
      </c>
      <c r="AD476">
        <f>YEAR(Z476)</f>
        <v>2024</v>
      </c>
      <c r="AE476" t="str">
        <f t="shared" si="23"/>
        <v>OK</v>
      </c>
    </row>
    <row r="477" spans="1:31">
      <c r="A477" t="s">
        <v>2330</v>
      </c>
      <c r="B477" t="s">
        <v>2331</v>
      </c>
      <c r="C477" t="s">
        <v>2332</v>
      </c>
      <c r="D477" t="s">
        <v>2333</v>
      </c>
      <c r="E477" t="s">
        <v>90</v>
      </c>
      <c r="F477" t="s">
        <v>33</v>
      </c>
      <c r="G477" t="s">
        <v>49</v>
      </c>
      <c r="H477" t="s">
        <v>128</v>
      </c>
      <c r="I477" t="s">
        <v>129</v>
      </c>
      <c r="J477" t="s">
        <v>52</v>
      </c>
      <c r="K477" t="s">
        <v>83</v>
      </c>
      <c r="L477" t="s">
        <v>2334</v>
      </c>
      <c r="M477" t="s">
        <v>55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144</v>
      </c>
      <c r="U477" t="s">
        <v>132</v>
      </c>
      <c r="V477">
        <f>O477*(1-P477)*N477</f>
        <v>20272.920000000002</v>
      </c>
      <c r="W477">
        <f t="shared" si="21"/>
        <v>4399.5400000000027</v>
      </c>
      <c r="X477">
        <f t="shared" si="22"/>
        <v>0.21701560505344075</v>
      </c>
      <c r="Y477" t="s">
        <v>4120</v>
      </c>
      <c r="Z477" s="2">
        <f>IFERROR(
  IF(ISNUMBER(B477),B477,
    IF(ISNUMBER(SEARCH("-",B477)*1),
      IF(LEN(LEFT(B477,FIND("-",B477)-1))=4,
        DATE(VALUE(LEFT(B477,4)),VALUE(MID(B477,6,2)),VALUE(RIGHT(B477,2))),
        DATE(VALUE(RIGHT(B477,4)),VALUE(MID(B477,4,2)),VALUE(LEFT(B477,2)))
      ),
      IF(ISNUMBER(SEARCH("/",B477)*1),
        DATE(VALUE(RIGHT(B477,4)),VALUE(LEFT(B477,2)),VALUE(MID(B477,4,2))),
        DATEVALUE(B477)
      )
    )
  ),
"INVALID_DATE")</f>
        <v>45717</v>
      </c>
      <c r="AA477" s="2">
        <f>IFERROR(
  IF(ISNUMBER(C477),C477,
    IF(ISNUMBER(SEARCH("-",C477)*1),
      IF(LEN(LEFT(C477,FIND("-",C477)-1))=4,
        DATE(VALUE(LEFT(C477,4)),VALUE(MID(C477,6,2)),VALUE(RIGHT(C477,2))),
        DATE(VALUE(RIGHT(C477,4)),VALUE(MID(C477,4,2)),VALUE(LEFT(C477,2)))
      ),
      IF(ISNUMBER(SEARCH("/",C477)*1),
        DATE(VALUE(RIGHT(C477,4)),VALUE(LEFT(C477,2)),VALUE(MID(C477,4,2))),
        DATEVALUE(C477)
      )
    )
  ),
"INVALID_DATE")</f>
        <v>45724</v>
      </c>
      <c r="AB477">
        <f>AA477-Z477</f>
        <v>7</v>
      </c>
      <c r="AC477" t="str">
        <f>TEXT(Z477,"mmmm")</f>
        <v>March</v>
      </c>
      <c r="AD477">
        <f>YEAR(Z477)</f>
        <v>2025</v>
      </c>
      <c r="AE477" t="str">
        <f t="shared" si="23"/>
        <v>OK</v>
      </c>
    </row>
    <row r="478" spans="1:31">
      <c r="A478" t="s">
        <v>2335</v>
      </c>
      <c r="B478" t="s">
        <v>2336</v>
      </c>
      <c r="C478" t="s">
        <v>2337</v>
      </c>
      <c r="D478" t="s">
        <v>2338</v>
      </c>
      <c r="E478" t="s">
        <v>175</v>
      </c>
      <c r="F478" t="s">
        <v>48</v>
      </c>
      <c r="G478" t="s">
        <v>34</v>
      </c>
      <c r="H478" t="s">
        <v>35</v>
      </c>
      <c r="I478" t="s">
        <v>36</v>
      </c>
      <c r="J478" t="s">
        <v>37</v>
      </c>
      <c r="K478" t="s">
        <v>163</v>
      </c>
      <c r="L478" t="s">
        <v>2339</v>
      </c>
      <c r="M478" t="s">
        <v>63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41</v>
      </c>
      <c r="U478" t="s">
        <v>42</v>
      </c>
      <c r="V478">
        <f>O478*(1-P478)*N478</f>
        <v>1035.6659999999999</v>
      </c>
      <c r="W478">
        <f t="shared" si="21"/>
        <v>440.24599999999998</v>
      </c>
      <c r="X478">
        <f t="shared" si="22"/>
        <v>0.42508714165709149</v>
      </c>
      <c r="Y478" t="s">
        <v>4120</v>
      </c>
      <c r="Z478" s="2">
        <f>IFERROR(
  IF(ISNUMBER(B478),B478,
    IF(ISNUMBER(SEARCH("-",B478)*1),
      IF(LEN(LEFT(B478,FIND("-",B478)-1))=4,
        DATE(VALUE(LEFT(B478,4)),VALUE(MID(B478,6,2)),VALUE(RIGHT(B478,2))),
        DATE(VALUE(RIGHT(B478,4)),VALUE(MID(B478,4,2)),VALUE(LEFT(B478,2)))
      ),
      IF(ISNUMBER(SEARCH("/",B478)*1),
        DATE(VALUE(RIGHT(B478,4)),VALUE(LEFT(B478,2)),VALUE(MID(B478,4,2))),
        DATEVALUE(B478)
      )
    )
  ),
"INVALID_DATE")</f>
        <v>45419</v>
      </c>
      <c r="AA478" s="2">
        <f>IFERROR(
  IF(ISNUMBER(C478),C478,
    IF(ISNUMBER(SEARCH("-",C478)*1),
      IF(LEN(LEFT(C478,FIND("-",C478)-1))=4,
        DATE(VALUE(LEFT(C478,4)),VALUE(MID(C478,6,2)),VALUE(RIGHT(C478,2))),
        DATE(VALUE(RIGHT(C478,4)),VALUE(MID(C478,4,2)),VALUE(LEFT(C478,2)))
      ),
      IF(ISNUMBER(SEARCH("/",C478)*1),
        DATE(VALUE(RIGHT(C478,4)),VALUE(LEFT(C478,2)),VALUE(MID(C478,4,2))),
        DATEVALUE(C478)
      )
    )
  ),
"INVALID_DATE")</f>
        <v>45426</v>
      </c>
      <c r="AB478">
        <f>AA478-Z478</f>
        <v>7</v>
      </c>
      <c r="AC478" t="str">
        <f>TEXT(Z478,"mmmm")</f>
        <v>May</v>
      </c>
      <c r="AD478">
        <f>YEAR(Z478)</f>
        <v>2024</v>
      </c>
      <c r="AE478" t="str">
        <f t="shared" si="23"/>
        <v>OK</v>
      </c>
    </row>
    <row r="479" spans="1:31">
      <c r="A479" t="s">
        <v>2340</v>
      </c>
      <c r="B479" t="s">
        <v>2341</v>
      </c>
      <c r="C479" t="s">
        <v>2342</v>
      </c>
      <c r="D479" t="s">
        <v>2343</v>
      </c>
      <c r="E479" t="s">
        <v>90</v>
      </c>
      <c r="F479" t="s">
        <v>115</v>
      </c>
      <c r="G479" t="s">
        <v>80</v>
      </c>
      <c r="H479" t="s">
        <v>242</v>
      </c>
      <c r="I479" t="s">
        <v>243</v>
      </c>
      <c r="J479" t="s">
        <v>52</v>
      </c>
      <c r="K479" t="s">
        <v>83</v>
      </c>
      <c r="L479" t="s">
        <v>2344</v>
      </c>
      <c r="M479" t="s">
        <v>74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41</v>
      </c>
      <c r="U479" t="s">
        <v>85</v>
      </c>
      <c r="V479">
        <f>O479*(1-P479)*N479</f>
        <v>11843.442000000001</v>
      </c>
      <c r="W479">
        <f t="shared" si="21"/>
        <v>2486.5620000000017</v>
      </c>
      <c r="X479">
        <f t="shared" si="22"/>
        <v>0.20995251379666718</v>
      </c>
      <c r="Y479" t="s">
        <v>4120</v>
      </c>
      <c r="Z479" s="2">
        <f>IFERROR(
  IF(ISNUMBER(B479),B479,
    IF(ISNUMBER(SEARCH("-",B479)*1),
      IF(LEN(LEFT(B479,FIND("-",B479)-1))=4,
        DATE(VALUE(LEFT(B479,4)),VALUE(MID(B479,6,2)),VALUE(RIGHT(B479,2))),
        DATE(VALUE(RIGHT(B479,4)),VALUE(MID(B479,4,2)),VALUE(LEFT(B479,2)))
      ),
      IF(ISNUMBER(SEARCH("/",B479)*1),
        DATE(VALUE(RIGHT(B479,4)),VALUE(LEFT(B479,2)),VALUE(MID(B479,4,2))),
        DATEVALUE(B479)
      )
    )
  ),
"INVALID_DATE")</f>
        <v>45892</v>
      </c>
      <c r="AA479" s="2">
        <f>IFERROR(
  IF(ISNUMBER(C479),C479,
    IF(ISNUMBER(SEARCH("-",C479)*1),
      IF(LEN(LEFT(C479,FIND("-",C479)-1))=4,
        DATE(VALUE(LEFT(C479,4)),VALUE(MID(C479,6,2)),VALUE(RIGHT(C479,2))),
        DATE(VALUE(RIGHT(C479,4)),VALUE(MID(C479,4,2)),VALUE(LEFT(C479,2)))
      ),
      IF(ISNUMBER(SEARCH("/",C479)*1),
        DATE(VALUE(RIGHT(C479,4)),VALUE(LEFT(C479,2)),VALUE(MID(C479,4,2))),
        DATEVALUE(C479)
      )
    )
  ),
"INVALID_DATE")</f>
        <v>45897</v>
      </c>
      <c r="AB479">
        <f>AA479-Z479</f>
        <v>5</v>
      </c>
      <c r="AC479" t="str">
        <f>TEXT(Z479,"mmmm")</f>
        <v>August</v>
      </c>
      <c r="AD479">
        <f>YEAR(Z479)</f>
        <v>2025</v>
      </c>
      <c r="AE479" t="str">
        <f t="shared" si="23"/>
        <v>OK</v>
      </c>
    </row>
    <row r="480" spans="1:31">
      <c r="A480" t="s">
        <v>2345</v>
      </c>
      <c r="B480" t="s">
        <v>2346</v>
      </c>
      <c r="C480" t="s">
        <v>2347</v>
      </c>
      <c r="D480" t="s">
        <v>2348</v>
      </c>
      <c r="E480" t="s">
        <v>47</v>
      </c>
      <c r="F480" t="s">
        <v>122</v>
      </c>
      <c r="G480" t="s">
        <v>279</v>
      </c>
      <c r="H480" t="s">
        <v>181</v>
      </c>
      <c r="I480" t="s">
        <v>182</v>
      </c>
      <c r="J480" t="s">
        <v>93</v>
      </c>
      <c r="K480" t="s">
        <v>390</v>
      </c>
      <c r="L480" t="s">
        <v>2349</v>
      </c>
      <c r="M480" t="s">
        <v>55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131</v>
      </c>
      <c r="U480" t="s">
        <v>132</v>
      </c>
      <c r="V480">
        <f>O480*(1-P480)*N480</f>
        <v>25702.172999999999</v>
      </c>
      <c r="W480">
        <f t="shared" si="21"/>
        <v>11130.692999999999</v>
      </c>
      <c r="X480">
        <f t="shared" si="22"/>
        <v>0.43306421208792883</v>
      </c>
      <c r="Y480" t="str">
        <f>_xlfn.TEXTJOIN(", ",TRUE,IF(G480="Unknown","Missing Region",""),IF(M480="Unknown","Missing Ship Mode",""),IF(P480&lt;0,"Negative Discount",""),IF(P480&gt;0.7,"High Discount",""),IF(C480&lt;B480,"Ship Before Order",""))</f>
        <v>Missing Region</v>
      </c>
      <c r="Z480" s="2">
        <f>IFERROR(
  IF(ISNUMBER(B480),B480,
    IF(ISNUMBER(SEARCH("-",B480)*1),
      IF(LEN(LEFT(B480,FIND("-",B480)-1))=4,
        DATE(VALUE(LEFT(B480,4)),VALUE(MID(B480,6,2)),VALUE(RIGHT(B480,2))),
        DATE(VALUE(RIGHT(B480,4)),VALUE(MID(B480,4,2)),VALUE(LEFT(B480,2)))
      ),
      IF(ISNUMBER(SEARCH("/",B480)*1),
        DATE(VALUE(RIGHT(B480,4)),VALUE(LEFT(B480,2)),VALUE(MID(B480,4,2))),
        DATEVALUE(B480)
      )
    )
  ),
"INVALID_DATE")</f>
        <v>45452</v>
      </c>
      <c r="AA480" s="2">
        <f>IFERROR(
  IF(ISNUMBER(C480),C480,
    IF(ISNUMBER(SEARCH("-",C480)*1),
      IF(LEN(LEFT(C480,FIND("-",C480)-1))=4,
        DATE(VALUE(LEFT(C480,4)),VALUE(MID(C480,6,2)),VALUE(RIGHT(C480,2))),
        DATE(VALUE(RIGHT(C480,4)),VALUE(MID(C480,4,2)),VALUE(LEFT(C480,2)))
      ),
      IF(ISNUMBER(SEARCH("/",C480)*1),
        DATE(VALUE(RIGHT(C480,4)),VALUE(LEFT(C480,2)),VALUE(MID(C480,4,2))),
        DATEVALUE(C480)
      )
    )
  ),
"INVALID_DATE")</f>
        <v>45456</v>
      </c>
      <c r="AB480">
        <f>AA480-Z480</f>
        <v>4</v>
      </c>
      <c r="AC480" t="str">
        <f>TEXT(Z480,"mmmm")</f>
        <v>June</v>
      </c>
      <c r="AD480">
        <f>YEAR(Z480)</f>
        <v>2024</v>
      </c>
      <c r="AE480" t="str">
        <f t="shared" si="23"/>
        <v>OK</v>
      </c>
    </row>
    <row r="481" spans="1:31">
      <c r="A481" t="s">
        <v>2350</v>
      </c>
      <c r="B481" t="s">
        <v>2351</v>
      </c>
      <c r="C481" t="s">
        <v>2096</v>
      </c>
      <c r="D481" t="s">
        <v>2352</v>
      </c>
      <c r="E481" t="s">
        <v>68</v>
      </c>
      <c r="F481" t="s">
        <v>115</v>
      </c>
      <c r="G481" t="s">
        <v>49</v>
      </c>
      <c r="H481" t="s">
        <v>50</v>
      </c>
      <c r="I481" t="s">
        <v>51</v>
      </c>
      <c r="J481" t="s">
        <v>52</v>
      </c>
      <c r="K481" t="s">
        <v>83</v>
      </c>
      <c r="L481" t="s">
        <v>2353</v>
      </c>
      <c r="M481" t="s">
        <v>40</v>
      </c>
      <c r="N481">
        <v>1</v>
      </c>
      <c r="O481">
        <v>2202.5500000000002</v>
      </c>
      <c r="P481">
        <v>0</v>
      </c>
      <c r="Q481">
        <v>1651.91</v>
      </c>
      <c r="R481">
        <v>1034.57</v>
      </c>
      <c r="S481">
        <v>617.34</v>
      </c>
      <c r="T481" t="s">
        <v>41</v>
      </c>
      <c r="U481" t="s">
        <v>42</v>
      </c>
      <c r="V481">
        <f>O481*(1-P481)*N481</f>
        <v>2202.5500000000002</v>
      </c>
      <c r="W481">
        <f t="shared" si="21"/>
        <v>1167.9800000000002</v>
      </c>
      <c r="X481">
        <f t="shared" si="22"/>
        <v>0.37371285360582596</v>
      </c>
      <c r="Y481" t="str">
        <f>_xlfn.TEXTJOIN(", ",TRUE,IF(G481="Unknown","Missing Region",""),IF(M481="Unknown","Missing Ship Mode",""),IF(P481&lt;0,"Negative Discount",""),IF(P481&gt;0.7,"High Discount",""),IF(C481&lt;B481,"Ship Before Order",""))</f>
        <v>Ship Before Order</v>
      </c>
      <c r="Z481" s="2">
        <f>IFERROR(
  IF(ISNUMBER(B481),B481,
    IF(ISNUMBER(SEARCH("-",B481)*1),
      IF(LEN(LEFT(B481,FIND("-",B481)-1))=4,
        DATE(VALUE(LEFT(B481,4)),VALUE(MID(B481,6,2)),VALUE(RIGHT(B481,2))),
        DATE(VALUE(RIGHT(B481,4)),VALUE(MID(B481,4,2)),VALUE(LEFT(B481,2)))
      ),
      IF(ISNUMBER(SEARCH("/",B481)*1),
        DATE(VALUE(RIGHT(B481,4)),VALUE(LEFT(B481,2)),VALUE(MID(B481,4,2))),
        DATEVALUE(B481)
      )
    )
  ),
"INVALID_DATE")</f>
        <v>45345</v>
      </c>
      <c r="AA481" s="2">
        <f>IFERROR(
  IF(ISNUMBER(C481),C481,
    IF(ISNUMBER(SEARCH("-",C481)*1),
      IF(LEN(LEFT(C481,FIND("-",C481)-1))=4,
        DATE(VALUE(LEFT(C481,4)),VALUE(MID(C481,6,2)),VALUE(RIGHT(C481,2))),
        DATE(VALUE(RIGHT(C481,4)),VALUE(MID(C481,4,2)),VALUE(LEFT(C481,2)))
      ),
      IF(ISNUMBER(SEARCH("/",C481)*1),
        DATE(VALUE(RIGHT(C481,4)),VALUE(LEFT(C481,2)),VALUE(MID(C481,4,2))),
        DATEVALUE(C481)
      )
    )
  ),
"INVALID_DATE")</f>
        <v>45342</v>
      </c>
      <c r="AB481">
        <f>AA481-Z481</f>
        <v>-3</v>
      </c>
      <c r="AC481" t="str">
        <f>TEXT(Z481,"mmmm")</f>
        <v>February</v>
      </c>
      <c r="AD481">
        <f>YEAR(Z481)</f>
        <v>2024</v>
      </c>
      <c r="AE481" t="str">
        <f t="shared" si="23"/>
        <v>Ship Before Order</v>
      </c>
    </row>
    <row r="482" spans="1:31">
      <c r="A482" t="s">
        <v>2354</v>
      </c>
      <c r="B482" t="s">
        <v>393</v>
      </c>
      <c r="C482" t="s">
        <v>2301</v>
      </c>
      <c r="D482" t="s">
        <v>2355</v>
      </c>
      <c r="E482" t="s">
        <v>100</v>
      </c>
      <c r="F482" t="s">
        <v>48</v>
      </c>
      <c r="G482" t="s">
        <v>69</v>
      </c>
      <c r="H482" t="s">
        <v>347</v>
      </c>
      <c r="I482" t="s">
        <v>348</v>
      </c>
      <c r="J482" t="s">
        <v>37</v>
      </c>
      <c r="K482" t="s">
        <v>163</v>
      </c>
      <c r="L482" t="s">
        <v>2356</v>
      </c>
      <c r="M482" t="s">
        <v>279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41</v>
      </c>
      <c r="U482" t="s">
        <v>42</v>
      </c>
      <c r="V482">
        <f>O482*(1-P482)*N482</f>
        <v>4525.8</v>
      </c>
      <c r="W482">
        <f t="shared" si="21"/>
        <v>1811.29</v>
      </c>
      <c r="X482">
        <f t="shared" si="22"/>
        <v>0.40021432674886204</v>
      </c>
      <c r="Y482" t="str">
        <f>_xlfn.TEXTJOIN(", ",TRUE,IF(G482="Unknown","Missing Region",""),IF(M482="Unknown","Missing Ship Mode",""),IF(P482&lt;0,"Negative Discount",""),IF(P482&gt;0.7,"High Discount",""),IF(C482&lt;B482,"Ship Before Order",""))</f>
        <v>Missing Ship Mode, Ship Before Order</v>
      </c>
      <c r="Z482" s="2">
        <f>IFERROR(
  IF(ISNUMBER(B482),B482,
    IF(ISNUMBER(SEARCH("-",B482)*1),
      IF(LEN(LEFT(B482,FIND("-",B482)-1))=4,
        DATE(VALUE(LEFT(B482,4)),VALUE(MID(B482,6,2)),VALUE(RIGHT(B482,2))),
        DATE(VALUE(RIGHT(B482,4)),VALUE(MID(B482,4,2)),VALUE(LEFT(B482,2)))
      ),
      IF(ISNUMBER(SEARCH("/",B482)*1),
        DATE(VALUE(RIGHT(B482,4)),VALUE(LEFT(B482,2)),VALUE(MID(B482,4,2))),
        DATEVALUE(B482)
      )
    )
  ),
"INVALID_DATE")</f>
        <v>45662</v>
      </c>
      <c r="AA482" s="2">
        <f>IFERROR(
  IF(ISNUMBER(C482),C482,
    IF(ISNUMBER(SEARCH("-",C482)*1),
      IF(LEN(LEFT(C482,FIND("-",C482)-1))=4,
        DATE(VALUE(LEFT(C482,4)),VALUE(MID(C482,6,2)),VALUE(RIGHT(C482,2))),
        DATE(VALUE(RIGHT(C482,4)),VALUE(MID(C482,4,2)),VALUE(LEFT(C482,2)))
      ),
      IF(ISNUMBER(SEARCH("/",C482)*1),
        DATE(VALUE(RIGHT(C482,4)),VALUE(LEFT(C482,2)),VALUE(MID(C482,4,2))),
        DATEVALUE(C482)
      )
    )
  ),
"INVALID_DATE")</f>
        <v>45666</v>
      </c>
      <c r="AB482">
        <f>AA482-Z482</f>
        <v>4</v>
      </c>
      <c r="AC482" t="str">
        <f>TEXT(Z482,"mmmm")</f>
        <v>January</v>
      </c>
      <c r="AD482">
        <f>YEAR(Z482)</f>
        <v>2025</v>
      </c>
      <c r="AE482" t="str">
        <f t="shared" si="23"/>
        <v>OK</v>
      </c>
    </row>
    <row r="483" spans="1:31">
      <c r="A483" t="s">
        <v>2357</v>
      </c>
      <c r="B483" t="s">
        <v>2358</v>
      </c>
      <c r="C483" t="s">
        <v>2359</v>
      </c>
      <c r="D483" t="s">
        <v>2360</v>
      </c>
      <c r="E483" t="s">
        <v>60</v>
      </c>
      <c r="F483" t="s">
        <v>33</v>
      </c>
      <c r="G483" t="s">
        <v>34</v>
      </c>
      <c r="H483" t="s">
        <v>181</v>
      </c>
      <c r="I483" t="s">
        <v>182</v>
      </c>
      <c r="J483" t="s">
        <v>93</v>
      </c>
      <c r="K483" t="s">
        <v>390</v>
      </c>
      <c r="L483" t="s">
        <v>2361</v>
      </c>
      <c r="M483" t="s">
        <v>55</v>
      </c>
      <c r="N483">
        <v>4</v>
      </c>
      <c r="O483">
        <v>2793.88</v>
      </c>
      <c r="P483" t="s">
        <v>1178</v>
      </c>
      <c r="Q483">
        <v>10616.74</v>
      </c>
      <c r="R483">
        <v>6353.59</v>
      </c>
      <c r="S483">
        <v>4263.1499999999996</v>
      </c>
      <c r="T483" t="s">
        <v>41</v>
      </c>
      <c r="U483" t="s">
        <v>42</v>
      </c>
      <c r="V483">
        <f>O483*(1-P483)*N483</f>
        <v>1676.3280000000002</v>
      </c>
      <c r="W483">
        <f t="shared" si="21"/>
        <v>-4677.2619999999997</v>
      </c>
      <c r="X483">
        <f t="shared" si="22"/>
        <v>0.40154981661037192</v>
      </c>
      <c r="Y483" t="str">
        <f>_xlfn.TEXTJOIN(", ",TRUE,IF(G483="Unknown","Missing Region",""),IF(M483="Unknown","Missing Ship Mode",""),IF(P483&lt;0,"Negative Discount",""),IF(P483&gt;0.7,"High Discount",""),IF(C483&lt;B483,"Ship Before Order",""))</f>
        <v>High Discount, Ship Before Order</v>
      </c>
      <c r="Z483" s="2">
        <f>IFERROR(
  IF(ISNUMBER(B483),B483,
    IF(ISNUMBER(SEARCH("-",B483)*1),
      IF(LEN(LEFT(B483,FIND("-",B483)-1))=4,
        DATE(VALUE(LEFT(B483,4)),VALUE(MID(B483,6,2)),VALUE(RIGHT(B483,2))),
        DATE(VALUE(RIGHT(B483,4)),VALUE(MID(B483,4,2)),VALUE(LEFT(B483,2)))
      ),
      IF(ISNUMBER(SEARCH("/",B483)*1),
        DATE(VALUE(RIGHT(B483,4)),VALUE(LEFT(B483,2)),VALUE(MID(B483,4,2))),
        DATEVALUE(B483)
      )
    )
  ),
"INVALID_DATE")</f>
        <v>45813</v>
      </c>
      <c r="AA483" s="2">
        <f>IFERROR(
  IF(ISNUMBER(C483),C483,
    IF(ISNUMBER(SEARCH("-",C483)*1),
      IF(LEN(LEFT(C483,FIND("-",C483)-1))=4,
        DATE(VALUE(LEFT(C483,4)),VALUE(MID(C483,6,2)),VALUE(RIGHT(C483,2))),
        DATE(VALUE(RIGHT(C483,4)),VALUE(MID(C483,4,2)),VALUE(LEFT(C483,2)))
      ),
      IF(ISNUMBER(SEARCH("/",C483)*1),
        DATE(VALUE(RIGHT(C483,4)),VALUE(LEFT(C483,2)),VALUE(MID(C483,4,2))),
        DATEVALUE(C483)
      )
    )
  ),
"INVALID_DATE")</f>
        <v>45821</v>
      </c>
      <c r="AB483">
        <f>AA483-Z483</f>
        <v>8</v>
      </c>
      <c r="AC483" t="str">
        <f>TEXT(Z483,"mmmm")</f>
        <v>June</v>
      </c>
      <c r="AD483">
        <f>YEAR(Z483)</f>
        <v>2025</v>
      </c>
      <c r="AE483" t="str">
        <f t="shared" si="23"/>
        <v>OK</v>
      </c>
    </row>
    <row r="484" spans="1:31">
      <c r="A484" t="s">
        <v>2362</v>
      </c>
      <c r="B484" t="s">
        <v>270</v>
      </c>
      <c r="C484" t="s">
        <v>270</v>
      </c>
      <c r="D484" t="s">
        <v>2363</v>
      </c>
      <c r="E484" t="s">
        <v>149</v>
      </c>
      <c r="F484" t="s">
        <v>33</v>
      </c>
      <c r="G484" t="s">
        <v>69</v>
      </c>
      <c r="H484" t="s">
        <v>236</v>
      </c>
      <c r="I484" t="s">
        <v>237</v>
      </c>
      <c r="J484" t="s">
        <v>93</v>
      </c>
      <c r="K484" t="s">
        <v>94</v>
      </c>
      <c r="L484" t="s">
        <v>2364</v>
      </c>
      <c r="M484" t="s">
        <v>40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41</v>
      </c>
      <c r="U484" t="s">
        <v>42</v>
      </c>
      <c r="V484">
        <f>O484*(1-P484)*N484</f>
        <v>2893.9949999999999</v>
      </c>
      <c r="W484">
        <f t="shared" si="21"/>
        <v>1037.9649999999999</v>
      </c>
      <c r="X484">
        <f t="shared" si="22"/>
        <v>0.35866053441787987</v>
      </c>
      <c r="Y484" t="s">
        <v>4120</v>
      </c>
      <c r="Z484" s="2">
        <f>IFERROR(
  IF(ISNUMBER(B484),B484,
    IF(ISNUMBER(SEARCH("-",B484)*1),
      IF(LEN(LEFT(B484,FIND("-",B484)-1))=4,
        DATE(VALUE(LEFT(B484,4)),VALUE(MID(B484,6,2)),VALUE(RIGHT(B484,2))),
        DATE(VALUE(RIGHT(B484,4)),VALUE(MID(B484,4,2)),VALUE(LEFT(B484,2)))
      ),
      IF(ISNUMBER(SEARCH("/",B484)*1),
        DATE(VALUE(RIGHT(B484,4)),VALUE(LEFT(B484,2)),VALUE(MID(B484,4,2))),
        DATEVALUE(B484)
      )
    )
  ),
"INVALID_DATE")</f>
        <v>45495</v>
      </c>
      <c r="AA484" s="2">
        <f>IFERROR(
  IF(ISNUMBER(C484),C484,
    IF(ISNUMBER(SEARCH("-",C484)*1),
      IF(LEN(LEFT(C484,FIND("-",C484)-1))=4,
        DATE(VALUE(LEFT(C484,4)),VALUE(MID(C484,6,2)),VALUE(RIGHT(C484,2))),
        DATE(VALUE(RIGHT(C484,4)),VALUE(MID(C484,4,2)),VALUE(LEFT(C484,2)))
      ),
      IF(ISNUMBER(SEARCH("/",C484)*1),
        DATE(VALUE(RIGHT(C484,4)),VALUE(LEFT(C484,2)),VALUE(MID(C484,4,2))),
        DATEVALUE(C484)
      )
    )
  ),
"INVALID_DATE")</f>
        <v>45495</v>
      </c>
      <c r="AB484">
        <f>AA484-Z484</f>
        <v>0</v>
      </c>
      <c r="AC484" t="str">
        <f>TEXT(Z484,"mmmm")</f>
        <v>July</v>
      </c>
      <c r="AD484">
        <f>YEAR(Z484)</f>
        <v>2024</v>
      </c>
      <c r="AE484" t="str">
        <f t="shared" si="23"/>
        <v>OK</v>
      </c>
    </row>
    <row r="485" spans="1:31">
      <c r="A485" t="s">
        <v>2365</v>
      </c>
      <c r="B485" t="s">
        <v>1413</v>
      </c>
      <c r="C485" t="s">
        <v>2366</v>
      </c>
      <c r="D485" t="s">
        <v>2367</v>
      </c>
      <c r="E485" t="s">
        <v>47</v>
      </c>
      <c r="F485" t="s">
        <v>115</v>
      </c>
      <c r="G485" t="s">
        <v>49</v>
      </c>
      <c r="H485" t="s">
        <v>193</v>
      </c>
      <c r="I485" t="s">
        <v>194</v>
      </c>
      <c r="J485" t="s">
        <v>93</v>
      </c>
      <c r="K485" t="s">
        <v>101</v>
      </c>
      <c r="L485" t="s">
        <v>2368</v>
      </c>
      <c r="M485" t="s">
        <v>74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41</v>
      </c>
      <c r="U485" t="s">
        <v>42</v>
      </c>
      <c r="V485">
        <f>O485*(1-P485)*N485</f>
        <v>705.2109999999999</v>
      </c>
      <c r="W485">
        <f t="shared" si="21"/>
        <v>266.89099999999991</v>
      </c>
      <c r="X485">
        <f t="shared" si="22"/>
        <v>0.3784546447157584</v>
      </c>
      <c r="Y485" t="s">
        <v>4120</v>
      </c>
      <c r="Z485" s="2">
        <f>IFERROR(
  IF(ISNUMBER(B485),B485,
    IF(ISNUMBER(SEARCH("-",B485)*1),
      IF(LEN(LEFT(B485,FIND("-",B485)-1))=4,
        DATE(VALUE(LEFT(B485,4)),VALUE(MID(B485,6,2)),VALUE(RIGHT(B485,2))),
        DATE(VALUE(RIGHT(B485,4)),VALUE(MID(B485,4,2)),VALUE(LEFT(B485,2)))
      ),
      IF(ISNUMBER(SEARCH("/",B485)*1),
        DATE(VALUE(RIGHT(B485,4)),VALUE(LEFT(B485,2)),VALUE(MID(B485,4,2))),
        DATEVALUE(B485)
      )
    )
  ),
"INVALID_DATE")</f>
        <v>45651</v>
      </c>
      <c r="AA485" s="2">
        <f>IFERROR(
  IF(ISNUMBER(C485),C485,
    IF(ISNUMBER(SEARCH("-",C485)*1),
      IF(LEN(LEFT(C485,FIND("-",C485)-1))=4,
        DATE(VALUE(LEFT(C485,4)),VALUE(MID(C485,6,2)),VALUE(RIGHT(C485,2))),
        DATE(VALUE(RIGHT(C485,4)),VALUE(MID(C485,4,2)),VALUE(LEFT(C485,2)))
      ),
      IF(ISNUMBER(SEARCH("/",C485)*1),
        DATE(VALUE(RIGHT(C485,4)),VALUE(LEFT(C485,2)),VALUE(MID(C485,4,2))),
        DATEVALUE(C485)
      )
    )
  ),
"INVALID_DATE")</f>
        <v>45651</v>
      </c>
      <c r="AB485">
        <f>AA485-Z485</f>
        <v>0</v>
      </c>
      <c r="AC485" t="str">
        <f>TEXT(Z485,"mmmm")</f>
        <v>December</v>
      </c>
      <c r="AD485">
        <f>YEAR(Z485)</f>
        <v>2024</v>
      </c>
      <c r="AE485" t="str">
        <f t="shared" si="23"/>
        <v>OK</v>
      </c>
    </row>
    <row r="486" spans="1:31">
      <c r="A486" t="s">
        <v>2369</v>
      </c>
      <c r="B486" t="s">
        <v>2370</v>
      </c>
      <c r="C486" t="s">
        <v>2371</v>
      </c>
      <c r="D486" t="s">
        <v>2372</v>
      </c>
      <c r="E486" t="s">
        <v>47</v>
      </c>
      <c r="F486" t="s">
        <v>48</v>
      </c>
      <c r="G486" t="s">
        <v>69</v>
      </c>
      <c r="H486" t="s">
        <v>107</v>
      </c>
      <c r="I486" t="s">
        <v>108</v>
      </c>
      <c r="J486" t="s">
        <v>52</v>
      </c>
      <c r="K486" t="s">
        <v>72</v>
      </c>
      <c r="L486" t="s">
        <v>2373</v>
      </c>
      <c r="M486" t="s">
        <v>63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41</v>
      </c>
      <c r="U486" t="s">
        <v>42</v>
      </c>
      <c r="V486">
        <f>O486*(1-P486)*N486</f>
        <v>16385.489999999998</v>
      </c>
      <c r="W486">
        <f t="shared" si="21"/>
        <v>2706.2499999999982</v>
      </c>
      <c r="X486">
        <f t="shared" si="22"/>
        <v>0.1651613714328958</v>
      </c>
      <c r="Y486" t="str">
        <f>_xlfn.TEXTJOIN(", ",TRUE,IF(G486="Unknown","Missing Region",""),IF(M486="Unknown","Missing Ship Mode",""),IF(P486&lt;0,"Negative Discount",""),IF(P486&gt;0.7,"High Discount",""),IF(C486&lt;B486,"Ship Before Order",""))</f>
        <v>Ship Before Order</v>
      </c>
      <c r="Z486" s="2">
        <f>IFERROR(
  IF(ISNUMBER(B486),B486,
    IF(ISNUMBER(SEARCH("-",B486)*1),
      IF(LEN(LEFT(B486,FIND("-",B486)-1))=4,
        DATE(VALUE(LEFT(B486,4)),VALUE(MID(B486,6,2)),VALUE(RIGHT(B486,2))),
        DATE(VALUE(RIGHT(B486,4)),VALUE(MID(B486,4,2)),VALUE(LEFT(B486,2)))
      ),
      IF(ISNUMBER(SEARCH("/",B486)*1),
        DATE(VALUE(RIGHT(B486,4)),VALUE(LEFT(B486,2)),VALUE(MID(B486,4,2))),
        DATEVALUE(B486)
      )
    )
  ),
"INVALID_DATE")</f>
        <v>45654</v>
      </c>
      <c r="AA486" s="2">
        <f>IFERROR(
  IF(ISNUMBER(C486),C486,
    IF(ISNUMBER(SEARCH("-",C486)*1),
      IF(LEN(LEFT(C486,FIND("-",C486)-1))=4,
        DATE(VALUE(LEFT(C486,4)),VALUE(MID(C486,6,2)),VALUE(RIGHT(C486,2))),
        DATE(VALUE(RIGHT(C486,4)),VALUE(MID(C486,4,2)),VALUE(LEFT(C486,2)))
      ),
      IF(ISNUMBER(SEARCH("/",C486)*1),
        DATE(VALUE(RIGHT(C486,4)),VALUE(LEFT(C486,2)),VALUE(MID(C486,4,2))),
        DATEVALUE(C486)
      )
    )
  ),
"INVALID_DATE")</f>
        <v>45657</v>
      </c>
      <c r="AB486">
        <f>AA486-Z486</f>
        <v>3</v>
      </c>
      <c r="AC486" t="str">
        <f>TEXT(Z486,"mmmm")</f>
        <v>December</v>
      </c>
      <c r="AD486">
        <f>YEAR(Z486)</f>
        <v>2024</v>
      </c>
      <c r="AE486" t="str">
        <f t="shared" si="23"/>
        <v>OK</v>
      </c>
    </row>
    <row r="487" spans="1:31">
      <c r="A487" t="s">
        <v>2374</v>
      </c>
      <c r="B487" t="s">
        <v>1845</v>
      </c>
      <c r="C487" t="s">
        <v>191</v>
      </c>
      <c r="D487" t="s">
        <v>2375</v>
      </c>
      <c r="E487" t="s">
        <v>155</v>
      </c>
      <c r="F487" t="s">
        <v>115</v>
      </c>
      <c r="G487" t="s">
        <v>80</v>
      </c>
      <c r="H487" t="s">
        <v>256</v>
      </c>
      <c r="I487" t="s">
        <v>257</v>
      </c>
      <c r="J487" t="s">
        <v>52</v>
      </c>
      <c r="K487" t="s">
        <v>211</v>
      </c>
      <c r="L487" t="s">
        <v>2376</v>
      </c>
      <c r="M487" t="s">
        <v>74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41</v>
      </c>
      <c r="U487" t="s">
        <v>42</v>
      </c>
      <c r="V487">
        <f>O487*(1-P487)*N487</f>
        <v>7665.57</v>
      </c>
      <c r="W487">
        <f t="shared" si="21"/>
        <v>2069.9699999999993</v>
      </c>
      <c r="X487">
        <f t="shared" si="22"/>
        <v>0.27003471366121501</v>
      </c>
      <c r="Y487" t="s">
        <v>4120</v>
      </c>
      <c r="Z487" s="2">
        <f>IFERROR(
  IF(ISNUMBER(B487),B487,
    IF(ISNUMBER(SEARCH("-",B487)*1),
      IF(LEN(LEFT(B487,FIND("-",B487)-1))=4,
        DATE(VALUE(LEFT(B487,4)),VALUE(MID(B487,6,2)),VALUE(RIGHT(B487,2))),
        DATE(VALUE(RIGHT(B487,4)),VALUE(MID(B487,4,2)),VALUE(LEFT(B487,2)))
      ),
      IF(ISNUMBER(SEARCH("/",B487)*1),
        DATE(VALUE(RIGHT(B487,4)),VALUE(LEFT(B487,2)),VALUE(MID(B487,4,2))),
        DATEVALUE(B487)
      )
    )
  ),
"INVALID_DATE")</f>
        <v>45679</v>
      </c>
      <c r="AA487" s="2">
        <f>IFERROR(
  IF(ISNUMBER(C487),C487,
    IF(ISNUMBER(SEARCH("-",C487)*1),
      IF(LEN(LEFT(C487,FIND("-",C487)-1))=4,
        DATE(VALUE(LEFT(C487,4)),VALUE(MID(C487,6,2)),VALUE(RIGHT(C487,2))),
        DATE(VALUE(RIGHT(C487,4)),VALUE(MID(C487,4,2)),VALUE(LEFT(C487,2)))
      ),
      IF(ISNUMBER(SEARCH("/",C487)*1),
        DATE(VALUE(RIGHT(C487,4)),VALUE(LEFT(C487,2)),VALUE(MID(C487,4,2))),
        DATEVALUE(C487)
      )
    )
  ),
"INVALID_DATE")</f>
        <v>45680</v>
      </c>
      <c r="AB487">
        <f>AA487-Z487</f>
        <v>1</v>
      </c>
      <c r="AC487" t="str">
        <f>TEXT(Z487,"mmmm")</f>
        <v>January</v>
      </c>
      <c r="AD487">
        <f>YEAR(Z487)</f>
        <v>2025</v>
      </c>
      <c r="AE487" t="str">
        <f t="shared" si="23"/>
        <v>OK</v>
      </c>
    </row>
    <row r="488" spans="1:31">
      <c r="A488" t="s">
        <v>2377</v>
      </c>
      <c r="B488" t="s">
        <v>2378</v>
      </c>
      <c r="C488" t="s">
        <v>2379</v>
      </c>
      <c r="D488" t="s">
        <v>2380</v>
      </c>
      <c r="E488" t="s">
        <v>155</v>
      </c>
      <c r="F488" t="s">
        <v>115</v>
      </c>
      <c r="G488" t="s">
        <v>80</v>
      </c>
      <c r="H488" t="s">
        <v>256</v>
      </c>
      <c r="I488" t="s">
        <v>257</v>
      </c>
      <c r="J488" t="s">
        <v>52</v>
      </c>
      <c r="K488" t="s">
        <v>53</v>
      </c>
      <c r="L488" t="s">
        <v>2381</v>
      </c>
      <c r="M488" t="s">
        <v>74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41</v>
      </c>
      <c r="U488" t="s">
        <v>42</v>
      </c>
      <c r="V488">
        <f>O488*(1-P488)*N488</f>
        <v>4670.8320000000003</v>
      </c>
      <c r="W488">
        <f t="shared" si="21"/>
        <v>1504.3420000000006</v>
      </c>
      <c r="X488">
        <f t="shared" si="22"/>
        <v>0.32207123787421077</v>
      </c>
      <c r="Y488" t="str">
        <f>_xlfn.TEXTJOIN(", ",TRUE,IF(G488="Unknown","Missing Region",""),IF(M488="Unknown","Missing Ship Mode",""),IF(P488&lt;0,"Negative Discount",""),IF(P488&gt;0.7,"High Discount",""),IF(C488&lt;B488,"Ship Before Order",""))</f>
        <v>Ship Before Order</v>
      </c>
      <c r="Z488" s="2">
        <f>IFERROR(
  IF(ISNUMBER(B488),B488,
    IF(ISNUMBER(SEARCH("-",B488)*1),
      IF(LEN(LEFT(B488,FIND("-",B488)-1))=4,
        DATE(VALUE(LEFT(B488,4)),VALUE(MID(B488,6,2)),VALUE(RIGHT(B488,2))),
        DATE(VALUE(RIGHT(B488,4)),VALUE(MID(B488,4,2)),VALUE(LEFT(B488,2)))
      ),
      IF(ISNUMBER(SEARCH("/",B488)*1),
        DATE(VALUE(RIGHT(B488,4)),VALUE(LEFT(B488,2)),VALUE(MID(B488,4,2))),
        DATEVALUE(B488)
      )
    )
  ),
"INVALID_DATE")</f>
        <v>45830</v>
      </c>
      <c r="AA488" s="2">
        <f>IFERROR(
  IF(ISNUMBER(C488),C488,
    IF(ISNUMBER(SEARCH("-",C488)*1),
      IF(LEN(LEFT(C488,FIND("-",C488)-1))=4,
        DATE(VALUE(LEFT(C488,4)),VALUE(MID(C488,6,2)),VALUE(RIGHT(C488,2))),
        DATE(VALUE(RIGHT(C488,4)),VALUE(MID(C488,4,2)),VALUE(LEFT(C488,2)))
      ),
      IF(ISNUMBER(SEARCH("/",C488)*1),
        DATE(VALUE(RIGHT(C488,4)),VALUE(LEFT(C488,2)),VALUE(MID(C488,4,2))),
        DATEVALUE(C488)
      )
    )
  ),
"INVALID_DATE")</f>
        <v>45834</v>
      </c>
      <c r="AB488">
        <f>AA488-Z488</f>
        <v>4</v>
      </c>
      <c r="AC488" t="str">
        <f>TEXT(Z488,"mmmm")</f>
        <v>June</v>
      </c>
      <c r="AD488">
        <f>YEAR(Z488)</f>
        <v>2025</v>
      </c>
      <c r="AE488" t="str">
        <f t="shared" si="23"/>
        <v>OK</v>
      </c>
    </row>
    <row r="489" spans="1:31">
      <c r="A489" t="s">
        <v>2382</v>
      </c>
      <c r="B489" t="s">
        <v>1976</v>
      </c>
      <c r="C489" t="s">
        <v>2383</v>
      </c>
      <c r="D489" t="s">
        <v>2384</v>
      </c>
      <c r="E489" t="s">
        <v>155</v>
      </c>
      <c r="F489" t="s">
        <v>115</v>
      </c>
      <c r="G489" t="s">
        <v>69</v>
      </c>
      <c r="H489" t="s">
        <v>70</v>
      </c>
      <c r="I489" t="s">
        <v>71</v>
      </c>
      <c r="J489" t="s">
        <v>52</v>
      </c>
      <c r="K489" t="s">
        <v>72</v>
      </c>
      <c r="L489" t="s">
        <v>2385</v>
      </c>
      <c r="M489" t="s">
        <v>74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131</v>
      </c>
      <c r="U489" t="s">
        <v>132</v>
      </c>
      <c r="V489">
        <f>O489*(1-P489)*N489</f>
        <v>6155.5</v>
      </c>
      <c r="W489">
        <f t="shared" si="21"/>
        <v>1873.4099999999999</v>
      </c>
      <c r="X489">
        <f t="shared" si="22"/>
        <v>0.30434733165461786</v>
      </c>
      <c r="Y489" t="str">
        <f>_xlfn.TEXTJOIN(", ",TRUE,IF(G489="Unknown","Missing Region",""),IF(M489="Unknown","Missing Ship Mode",""),IF(P489&lt;0,"Negative Discount",""),IF(P489&gt;0.7,"High Discount",""),IF(C489&lt;B489,"Ship Before Order",""))</f>
        <v>Ship Before Order</v>
      </c>
      <c r="Z489" s="2">
        <f>IFERROR(
  IF(ISNUMBER(B489),B489,
    IF(ISNUMBER(SEARCH("-",B489)*1),
      IF(LEN(LEFT(B489,FIND("-",B489)-1))=4,
        DATE(VALUE(LEFT(B489,4)),VALUE(MID(B489,6,2)),VALUE(RIGHT(B489,2))),
        DATE(VALUE(RIGHT(B489,4)),VALUE(MID(B489,4,2)),VALUE(LEFT(B489,2)))
      ),
      IF(ISNUMBER(SEARCH("/",B489)*1),
        DATE(VALUE(RIGHT(B489,4)),VALUE(LEFT(B489,2)),VALUE(MID(B489,4,2))),
        DATEVALUE(B489)
      )
    )
  ),
"INVALID_DATE")</f>
        <v>45818</v>
      </c>
      <c r="AA489" s="2">
        <f>IFERROR(
  IF(ISNUMBER(C489),C489,
    IF(ISNUMBER(SEARCH("-",C489)*1),
      IF(LEN(LEFT(C489,FIND("-",C489)-1))=4,
        DATE(VALUE(LEFT(C489,4)),VALUE(MID(C489,6,2)),VALUE(RIGHT(C489,2))),
        DATE(VALUE(RIGHT(C489,4)),VALUE(MID(C489,4,2)),VALUE(LEFT(C489,2)))
      ),
      IF(ISNUMBER(SEARCH("/",C489)*1),
        DATE(VALUE(RIGHT(C489,4)),VALUE(LEFT(C489,2)),VALUE(MID(C489,4,2))),
        DATEVALUE(C489)
      )
    )
  ),
"INVALID_DATE")</f>
        <v>45825</v>
      </c>
      <c r="AB489">
        <f>AA489-Z489</f>
        <v>7</v>
      </c>
      <c r="AC489" t="str">
        <f>TEXT(Z489,"mmmm")</f>
        <v>June</v>
      </c>
      <c r="AD489">
        <f>YEAR(Z489)</f>
        <v>2025</v>
      </c>
      <c r="AE489" t="str">
        <f t="shared" si="23"/>
        <v>OK</v>
      </c>
    </row>
    <row r="490" spans="1:31">
      <c r="A490" t="s">
        <v>2386</v>
      </c>
      <c r="B490" t="s">
        <v>2387</v>
      </c>
      <c r="C490" t="s">
        <v>2388</v>
      </c>
      <c r="D490" t="s">
        <v>2389</v>
      </c>
      <c r="E490" t="s">
        <v>114</v>
      </c>
      <c r="F490" t="s">
        <v>48</v>
      </c>
      <c r="G490" t="s">
        <v>34</v>
      </c>
      <c r="H490" t="s">
        <v>35</v>
      </c>
      <c r="I490" t="s">
        <v>36</v>
      </c>
      <c r="J490" t="s">
        <v>52</v>
      </c>
      <c r="K490" t="s">
        <v>53</v>
      </c>
      <c r="L490" t="s">
        <v>2390</v>
      </c>
      <c r="M490" t="s">
        <v>55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41</v>
      </c>
      <c r="U490" t="s">
        <v>42</v>
      </c>
      <c r="V490">
        <f>O490*(1-P490)*N490</f>
        <v>8666.56</v>
      </c>
      <c r="W490">
        <f t="shared" si="21"/>
        <v>2699.12</v>
      </c>
      <c r="X490">
        <f t="shared" si="22"/>
        <v>0.31144075619392242</v>
      </c>
      <c r="Y490" t="s">
        <v>4120</v>
      </c>
      <c r="Z490" s="2">
        <f>IFERROR(
  IF(ISNUMBER(B490),B490,
    IF(ISNUMBER(SEARCH("-",B490)*1),
      IF(LEN(LEFT(B490,FIND("-",B490)-1))=4,
        DATE(VALUE(LEFT(B490,4)),VALUE(MID(B490,6,2)),VALUE(RIGHT(B490,2))),
        DATE(VALUE(RIGHT(B490,4)),VALUE(MID(B490,4,2)),VALUE(LEFT(B490,2)))
      ),
      IF(ISNUMBER(SEARCH("/",B490)*1),
        DATE(VALUE(RIGHT(B490,4)),VALUE(LEFT(B490,2)),VALUE(MID(B490,4,2))),
        DATEVALUE(B490)
      )
    )
  ),
"INVALID_DATE")</f>
        <v>45579</v>
      </c>
      <c r="AA490" s="2">
        <f>IFERROR(
  IF(ISNUMBER(C490),C490,
    IF(ISNUMBER(SEARCH("-",C490)*1),
      IF(LEN(LEFT(C490,FIND("-",C490)-1))=4,
        DATE(VALUE(LEFT(C490,4)),VALUE(MID(C490,6,2)),VALUE(RIGHT(C490,2))),
        DATE(VALUE(RIGHT(C490,4)),VALUE(MID(C490,4,2)),VALUE(LEFT(C490,2)))
      ),
      IF(ISNUMBER(SEARCH("/",C490)*1),
        DATE(VALUE(RIGHT(C490,4)),VALUE(LEFT(C490,2)),VALUE(MID(C490,4,2))),
        DATEVALUE(C490)
      )
    )
  ),
"INVALID_DATE")</f>
        <v>45585</v>
      </c>
      <c r="AB490">
        <f>AA490-Z490</f>
        <v>6</v>
      </c>
      <c r="AC490" t="str">
        <f>TEXT(Z490,"mmmm")</f>
        <v>October</v>
      </c>
      <c r="AD490">
        <f>YEAR(Z490)</f>
        <v>2024</v>
      </c>
      <c r="AE490" t="str">
        <f t="shared" si="23"/>
        <v>OK</v>
      </c>
    </row>
    <row r="491" spans="1:31">
      <c r="A491" t="s">
        <v>2391</v>
      </c>
      <c r="B491" t="s">
        <v>398</v>
      </c>
      <c r="C491" t="s">
        <v>2392</v>
      </c>
      <c r="D491" t="s">
        <v>2393</v>
      </c>
      <c r="E491" t="s">
        <v>68</v>
      </c>
      <c r="F491" t="s">
        <v>122</v>
      </c>
      <c r="G491" t="s">
        <v>49</v>
      </c>
      <c r="H491" t="s">
        <v>128</v>
      </c>
      <c r="I491" t="s">
        <v>129</v>
      </c>
      <c r="J491" t="s">
        <v>93</v>
      </c>
      <c r="K491" t="s">
        <v>94</v>
      </c>
      <c r="L491" t="s">
        <v>2394</v>
      </c>
      <c r="M491" t="s">
        <v>40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41</v>
      </c>
      <c r="U491" t="s">
        <v>42</v>
      </c>
      <c r="V491">
        <f>O491*(1-P491)*N491</f>
        <v>361.75200000000001</v>
      </c>
      <c r="W491">
        <f t="shared" si="21"/>
        <v>99.222000000000037</v>
      </c>
      <c r="X491">
        <f t="shared" si="22"/>
        <v>0.27427781617138908</v>
      </c>
      <c r="Y491" t="s">
        <v>4120</v>
      </c>
      <c r="Z491" s="2">
        <f>IFERROR(
  IF(ISNUMBER(B491),B491,
    IF(ISNUMBER(SEARCH("-",B491)*1),
      IF(LEN(LEFT(B491,FIND("-",B491)-1))=4,
        DATE(VALUE(LEFT(B491,4)),VALUE(MID(B491,6,2)),VALUE(RIGHT(B491,2))),
        DATE(VALUE(RIGHT(B491,4)),VALUE(MID(B491,4,2)),VALUE(LEFT(B491,2)))
      ),
      IF(ISNUMBER(SEARCH("/",B491)*1),
        DATE(VALUE(RIGHT(B491,4)),VALUE(LEFT(B491,2)),VALUE(MID(B491,4,2))),
        DATEVALUE(B491)
      )
    )
  ),
"INVALID_DATE")</f>
        <v>45329</v>
      </c>
      <c r="AA491" s="2">
        <f>IFERROR(
  IF(ISNUMBER(C491),C491,
    IF(ISNUMBER(SEARCH("-",C491)*1),
      IF(LEN(LEFT(C491,FIND("-",C491)-1))=4,
        DATE(VALUE(LEFT(C491,4)),VALUE(MID(C491,6,2)),VALUE(RIGHT(C491,2))),
        DATE(VALUE(RIGHT(C491,4)),VALUE(MID(C491,4,2)),VALUE(LEFT(C491,2)))
      ),
      IF(ISNUMBER(SEARCH("/",C491)*1),
        DATE(VALUE(RIGHT(C491,4)),VALUE(LEFT(C491,2)),VALUE(MID(C491,4,2))),
        DATEVALUE(C491)
      )
    )
  ),
"INVALID_DATE")</f>
        <v>45334</v>
      </c>
      <c r="AB491">
        <f>AA491-Z491</f>
        <v>5</v>
      </c>
      <c r="AC491" t="str">
        <f>TEXT(Z491,"mmmm")</f>
        <v>February</v>
      </c>
      <c r="AD491">
        <f>YEAR(Z491)</f>
        <v>2024</v>
      </c>
      <c r="AE491" t="str">
        <f t="shared" si="23"/>
        <v>OK</v>
      </c>
    </row>
    <row r="492" spans="1:31">
      <c r="A492" t="s">
        <v>2395</v>
      </c>
      <c r="B492" t="s">
        <v>2396</v>
      </c>
      <c r="C492" t="s">
        <v>1897</v>
      </c>
      <c r="D492" t="s">
        <v>2397</v>
      </c>
      <c r="E492" t="s">
        <v>114</v>
      </c>
      <c r="F492" t="s">
        <v>33</v>
      </c>
      <c r="G492" t="s">
        <v>80</v>
      </c>
      <c r="H492" t="s">
        <v>35</v>
      </c>
      <c r="I492" t="s">
        <v>142</v>
      </c>
      <c r="J492" t="s">
        <v>37</v>
      </c>
      <c r="K492" t="s">
        <v>205</v>
      </c>
      <c r="L492" t="s">
        <v>2398</v>
      </c>
      <c r="M492" t="s">
        <v>63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41</v>
      </c>
      <c r="U492" t="s">
        <v>42</v>
      </c>
      <c r="V492">
        <f>O492*(1-P492)*N492</f>
        <v>2418.1990000000001</v>
      </c>
      <c r="W492">
        <f t="shared" si="21"/>
        <v>804.37900000000013</v>
      </c>
      <c r="X492">
        <f t="shared" si="22"/>
        <v>0.33263584484327186</v>
      </c>
      <c r="Y492" t="str">
        <f>_xlfn.TEXTJOIN(", ",TRUE,IF(G492="Unknown","Missing Region",""),IF(M492="Unknown","Missing Ship Mode",""),IF(P492&lt;0,"Negative Discount",""),IF(P492&gt;0.7,"High Discount",""),IF(C492&lt;B492,"Ship Before Order",""))</f>
        <v>Ship Before Order</v>
      </c>
      <c r="Z492" s="2">
        <f>IFERROR(
  IF(ISNUMBER(B492),B492,
    IF(ISNUMBER(SEARCH("-",B492)*1),
      IF(LEN(LEFT(B492,FIND("-",B492)-1))=4,
        DATE(VALUE(LEFT(B492,4)),VALUE(MID(B492,6,2)),VALUE(RIGHT(B492,2))),
        DATE(VALUE(RIGHT(B492,4)),VALUE(MID(B492,4,2)),VALUE(LEFT(B492,2)))
      ),
      IF(ISNUMBER(SEARCH("/",B492)*1),
        DATE(VALUE(RIGHT(B492,4)),VALUE(LEFT(B492,2)),VALUE(MID(B492,4,2))),
        DATEVALUE(B492)
      )
    )
  ),
"INVALID_DATE")</f>
        <v>45551</v>
      </c>
      <c r="AA492" s="2">
        <f>IFERROR(
  IF(ISNUMBER(C492),C492,
    IF(ISNUMBER(SEARCH("-",C492)*1),
      IF(LEN(LEFT(C492,FIND("-",C492)-1))=4,
        DATE(VALUE(LEFT(C492,4)),VALUE(MID(C492,6,2)),VALUE(RIGHT(C492,2))),
        DATE(VALUE(RIGHT(C492,4)),VALUE(MID(C492,4,2)),VALUE(LEFT(C492,2)))
      ),
      IF(ISNUMBER(SEARCH("/",C492)*1),
        DATE(VALUE(RIGHT(C492,4)),VALUE(LEFT(C492,2)),VALUE(MID(C492,4,2))),
        DATEVALUE(C492)
      )
    )
  ),
"INVALID_DATE")</f>
        <v>45554</v>
      </c>
      <c r="AB492">
        <f>AA492-Z492</f>
        <v>3</v>
      </c>
      <c r="AC492" t="str">
        <f>TEXT(Z492,"mmmm")</f>
        <v>September</v>
      </c>
      <c r="AD492">
        <f>YEAR(Z492)</f>
        <v>2024</v>
      </c>
      <c r="AE492" t="str">
        <f t="shared" si="23"/>
        <v>OK</v>
      </c>
    </row>
    <row r="493" spans="1:31">
      <c r="A493" t="s">
        <v>2399</v>
      </c>
      <c r="B493" t="s">
        <v>1986</v>
      </c>
      <c r="C493" t="s">
        <v>2400</v>
      </c>
      <c r="D493" t="s">
        <v>2401</v>
      </c>
      <c r="E493" t="s">
        <v>47</v>
      </c>
      <c r="F493" t="s">
        <v>115</v>
      </c>
      <c r="G493" t="s">
        <v>69</v>
      </c>
      <c r="H493" t="s">
        <v>249</v>
      </c>
      <c r="I493" t="s">
        <v>250</v>
      </c>
      <c r="J493" t="s">
        <v>93</v>
      </c>
      <c r="K493" t="s">
        <v>94</v>
      </c>
      <c r="L493" t="s">
        <v>2402</v>
      </c>
      <c r="M493" t="s">
        <v>74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41</v>
      </c>
      <c r="U493" t="s">
        <v>42</v>
      </c>
      <c r="V493">
        <f>O493*(1-P493)*N493</f>
        <v>1941.0560000000003</v>
      </c>
      <c r="W493">
        <f t="shared" si="21"/>
        <v>733.63600000000019</v>
      </c>
      <c r="X493">
        <f t="shared" si="22"/>
        <v>0.3779584350818625</v>
      </c>
      <c r="Y493" t="s">
        <v>4120</v>
      </c>
      <c r="Z493" s="2">
        <f>IFERROR(
  IF(ISNUMBER(B493),B493,
    IF(ISNUMBER(SEARCH("-",B493)*1),
      IF(LEN(LEFT(B493,FIND("-",B493)-1))=4,
        DATE(VALUE(LEFT(B493,4)),VALUE(MID(B493,6,2)),VALUE(RIGHT(B493,2))),
        DATE(VALUE(RIGHT(B493,4)),VALUE(MID(B493,4,2)),VALUE(LEFT(B493,2)))
      ),
      IF(ISNUMBER(SEARCH("/",B493)*1),
        DATE(VALUE(RIGHT(B493,4)),VALUE(LEFT(B493,2)),VALUE(MID(B493,4,2))),
        DATEVALUE(B493)
      )
    )
  ),
"INVALID_DATE")</f>
        <v>45776</v>
      </c>
      <c r="AA493" s="2">
        <f>IFERROR(
  IF(ISNUMBER(C493),C493,
    IF(ISNUMBER(SEARCH("-",C493)*1),
      IF(LEN(LEFT(C493,FIND("-",C493)-1))=4,
        DATE(VALUE(LEFT(C493,4)),VALUE(MID(C493,6,2)),VALUE(RIGHT(C493,2))),
        DATE(VALUE(RIGHT(C493,4)),VALUE(MID(C493,4,2)),VALUE(LEFT(C493,2)))
      ),
      IF(ISNUMBER(SEARCH("/",C493)*1),
        DATE(VALUE(RIGHT(C493,4)),VALUE(LEFT(C493,2)),VALUE(MID(C493,4,2))),
        DATEVALUE(C493)
      )
    )
  ),
"INVALID_DATE")</f>
        <v>45777</v>
      </c>
      <c r="AB493">
        <f>AA493-Z493</f>
        <v>1</v>
      </c>
      <c r="AC493" t="str">
        <f>TEXT(Z493,"mmmm")</f>
        <v>April</v>
      </c>
      <c r="AD493">
        <f>YEAR(Z493)</f>
        <v>2025</v>
      </c>
      <c r="AE493" t="str">
        <f t="shared" si="23"/>
        <v>OK</v>
      </c>
    </row>
    <row r="494" spans="1:31">
      <c r="A494" t="s">
        <v>2403</v>
      </c>
      <c r="B494" t="s">
        <v>2404</v>
      </c>
      <c r="C494" t="s">
        <v>2405</v>
      </c>
      <c r="D494" t="s">
        <v>2406</v>
      </c>
      <c r="E494" t="s">
        <v>79</v>
      </c>
      <c r="F494" t="s">
        <v>115</v>
      </c>
      <c r="G494" t="s">
        <v>69</v>
      </c>
      <c r="H494" t="s">
        <v>107</v>
      </c>
      <c r="I494" t="s">
        <v>108</v>
      </c>
      <c r="J494" t="s">
        <v>37</v>
      </c>
      <c r="K494" t="s">
        <v>163</v>
      </c>
      <c r="L494" t="s">
        <v>2407</v>
      </c>
      <c r="M494" t="s">
        <v>40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41</v>
      </c>
      <c r="U494" t="s">
        <v>42</v>
      </c>
      <c r="V494">
        <f>O494*(1-P494)*N494</f>
        <v>4088.16</v>
      </c>
      <c r="W494">
        <f t="shared" si="21"/>
        <v>882.48</v>
      </c>
      <c r="X494">
        <f t="shared" si="22"/>
        <v>0.21586239286133616</v>
      </c>
      <c r="Y494" t="str">
        <f>_xlfn.TEXTJOIN(", ",TRUE,IF(G494="Unknown","Missing Region",""),IF(M494="Unknown","Missing Ship Mode",""),IF(P494&lt;0,"Negative Discount",""),IF(P494&gt;0.7,"High Discount",""),IF(C494&lt;B494,"Ship Before Order",""))</f>
        <v>Ship Before Order</v>
      </c>
      <c r="Z494" s="2">
        <f>IFERROR(
  IF(ISNUMBER(B494),B494,
    IF(ISNUMBER(SEARCH("-",B494)*1),
      IF(LEN(LEFT(B494,FIND("-",B494)-1))=4,
        DATE(VALUE(LEFT(B494,4)),VALUE(MID(B494,6,2)),VALUE(RIGHT(B494,2))),
        DATE(VALUE(RIGHT(B494,4)),VALUE(MID(B494,4,2)),VALUE(LEFT(B494,2)))
      ),
      IF(ISNUMBER(SEARCH("/",B494)*1),
        DATE(VALUE(RIGHT(B494,4)),VALUE(LEFT(B494,2)),VALUE(MID(B494,4,2))),
        DATEVALUE(B494)
      )
    )
  ),
"INVALID_DATE")</f>
        <v>45836</v>
      </c>
      <c r="AA494" s="2">
        <f>IFERROR(
  IF(ISNUMBER(C494),C494,
    IF(ISNUMBER(SEARCH("-",C494)*1),
      IF(LEN(LEFT(C494,FIND("-",C494)-1))=4,
        DATE(VALUE(LEFT(C494,4)),VALUE(MID(C494,6,2)),VALUE(RIGHT(C494,2))),
        DATE(VALUE(RIGHT(C494,4)),VALUE(MID(C494,4,2)),VALUE(LEFT(C494,2)))
      ),
      IF(ISNUMBER(SEARCH("/",C494)*1),
        DATE(VALUE(RIGHT(C494,4)),VALUE(LEFT(C494,2)),VALUE(MID(C494,4,2))),
        DATEVALUE(C494)
      )
    )
  ),
"INVALID_DATE")</f>
        <v>45840</v>
      </c>
      <c r="AB494">
        <f>AA494-Z494</f>
        <v>4</v>
      </c>
      <c r="AC494" t="str">
        <f>TEXT(Z494,"mmmm")</f>
        <v>June</v>
      </c>
      <c r="AD494">
        <f>YEAR(Z494)</f>
        <v>2025</v>
      </c>
      <c r="AE494" t="str">
        <f t="shared" si="23"/>
        <v>OK</v>
      </c>
    </row>
    <row r="495" spans="1:31">
      <c r="A495" t="s">
        <v>2408</v>
      </c>
      <c r="B495" t="s">
        <v>1423</v>
      </c>
      <c r="C495" t="s">
        <v>2409</v>
      </c>
      <c r="D495" t="s">
        <v>2410</v>
      </c>
      <c r="E495" t="s">
        <v>374</v>
      </c>
      <c r="F495" t="s">
        <v>115</v>
      </c>
      <c r="G495" t="s">
        <v>49</v>
      </c>
      <c r="H495" t="s">
        <v>50</v>
      </c>
      <c r="I495" t="s">
        <v>51</v>
      </c>
      <c r="J495" t="s">
        <v>37</v>
      </c>
      <c r="K495" t="s">
        <v>38</v>
      </c>
      <c r="L495" t="s">
        <v>2411</v>
      </c>
      <c r="M495" t="s">
        <v>40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41</v>
      </c>
      <c r="U495" t="s">
        <v>2412</v>
      </c>
      <c r="V495">
        <f>O495*(1-P495)*N495</f>
        <v>15273.054999999998</v>
      </c>
      <c r="W495">
        <f t="shared" si="21"/>
        <v>4184.2949999999983</v>
      </c>
      <c r="X495">
        <f t="shared" si="22"/>
        <v>0.27396557989399628</v>
      </c>
      <c r="Y495" t="s">
        <v>4120</v>
      </c>
      <c r="Z495" s="2">
        <f>IFERROR(
  IF(ISNUMBER(B495),B495,
    IF(ISNUMBER(SEARCH("-",B495)*1),
      IF(LEN(LEFT(B495,FIND("-",B495)-1))=4,
        DATE(VALUE(LEFT(B495,4)),VALUE(MID(B495,6,2)),VALUE(RIGHT(B495,2))),
        DATE(VALUE(RIGHT(B495,4)),VALUE(MID(B495,4,2)),VALUE(LEFT(B495,2)))
      ),
      IF(ISNUMBER(SEARCH("/",B495)*1),
        DATE(VALUE(RIGHT(B495,4)),VALUE(LEFT(B495,2)),VALUE(MID(B495,4,2))),
        DATEVALUE(B495)
      )
    )
  ),
"INVALID_DATE")</f>
        <v>45701</v>
      </c>
      <c r="AA495" s="2">
        <f>IFERROR(
  IF(ISNUMBER(C495),C495,
    IF(ISNUMBER(SEARCH("-",C495)*1),
      IF(LEN(LEFT(C495,FIND("-",C495)-1))=4,
        DATE(VALUE(LEFT(C495,4)),VALUE(MID(C495,6,2)),VALUE(RIGHT(C495,2))),
        DATE(VALUE(RIGHT(C495,4)),VALUE(MID(C495,4,2)),VALUE(LEFT(C495,2)))
      ),
      IF(ISNUMBER(SEARCH("/",C495)*1),
        DATE(VALUE(RIGHT(C495,4)),VALUE(LEFT(C495,2)),VALUE(MID(C495,4,2))),
        DATEVALUE(C495)
      )
    )
  ),
"INVALID_DATE")</f>
        <v>45701</v>
      </c>
      <c r="AB495">
        <f>AA495-Z495</f>
        <v>0</v>
      </c>
      <c r="AC495" t="str">
        <f>TEXT(Z495,"mmmm")</f>
        <v>February</v>
      </c>
      <c r="AD495">
        <f>YEAR(Z495)</f>
        <v>2025</v>
      </c>
      <c r="AE495" t="str">
        <f t="shared" si="23"/>
        <v>OK</v>
      </c>
    </row>
    <row r="496" spans="1:31">
      <c r="A496" t="s">
        <v>2413</v>
      </c>
      <c r="B496" t="s">
        <v>2414</v>
      </c>
      <c r="C496" t="s">
        <v>2415</v>
      </c>
      <c r="D496" t="s">
        <v>2416</v>
      </c>
      <c r="E496" t="s">
        <v>60</v>
      </c>
      <c r="F496" t="s">
        <v>33</v>
      </c>
      <c r="G496" t="s">
        <v>80</v>
      </c>
      <c r="H496" t="s">
        <v>91</v>
      </c>
      <c r="I496" t="s">
        <v>92</v>
      </c>
      <c r="J496" t="s">
        <v>93</v>
      </c>
      <c r="K496" t="s">
        <v>230</v>
      </c>
      <c r="L496" t="s">
        <v>2417</v>
      </c>
      <c r="M496" t="s">
        <v>74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207</v>
      </c>
      <c r="U496" t="s">
        <v>85</v>
      </c>
      <c r="V496">
        <f>O496*(1-P496)*N496</f>
        <v>2276.9951999999994</v>
      </c>
      <c r="W496">
        <f t="shared" si="21"/>
        <v>707.61519999999928</v>
      </c>
      <c r="X496">
        <f t="shared" si="22"/>
        <v>0.21056995060661615</v>
      </c>
      <c r="Y496" t="str">
        <f>_xlfn.TEXTJOIN(", ",TRUE,IF(G496="Unknown","Missing Region",""),IF(M496="Unknown","Missing Ship Mode",""),IF(P496&lt;0,"Negative Discount",""),IF(P496&gt;0.7,"High Discount",""),IF(C496&lt;B496,"Ship Before Order",""))</f>
        <v>Negative Discount</v>
      </c>
      <c r="Z496" s="2">
        <f>IFERROR(
  IF(ISNUMBER(B496),B496,
    IF(ISNUMBER(SEARCH("-",B496)*1),
      IF(LEN(LEFT(B496,FIND("-",B496)-1))=4,
        DATE(VALUE(LEFT(B496,4)),VALUE(MID(B496,6,2)),VALUE(RIGHT(B496,2))),
        DATE(VALUE(RIGHT(B496,4)),VALUE(MID(B496,4,2)),VALUE(LEFT(B496,2)))
      ),
      IF(ISNUMBER(SEARCH("/",B496)*1),
        DATE(VALUE(RIGHT(B496,4)),VALUE(LEFT(B496,2)),VALUE(MID(B496,4,2))),
        DATEVALUE(B496)
      )
    )
  ),
"INVALID_DATE")</f>
        <v>45610</v>
      </c>
      <c r="AA496" s="2">
        <f>IFERROR(
  IF(ISNUMBER(C496),C496,
    IF(ISNUMBER(SEARCH("-",C496)*1),
      IF(LEN(LEFT(C496,FIND("-",C496)-1))=4,
        DATE(VALUE(LEFT(C496,4)),VALUE(MID(C496,6,2)),VALUE(RIGHT(C496,2))),
        DATE(VALUE(RIGHT(C496,4)),VALUE(MID(C496,4,2)),VALUE(LEFT(C496,2)))
      ),
      IF(ISNUMBER(SEARCH("/",C496)*1),
        DATE(VALUE(RIGHT(C496,4)),VALUE(LEFT(C496,2)),VALUE(MID(C496,4,2))),
        DATEVALUE(C496)
      )
    )
  ),
"INVALID_DATE")</f>
        <v>45618</v>
      </c>
      <c r="AB496">
        <f>AA496-Z496</f>
        <v>8</v>
      </c>
      <c r="AC496" t="str">
        <f>TEXT(Z496,"mmmm")</f>
        <v>November</v>
      </c>
      <c r="AD496">
        <f>YEAR(Z496)</f>
        <v>2024</v>
      </c>
      <c r="AE496" t="str">
        <f t="shared" si="23"/>
        <v>OK</v>
      </c>
    </row>
    <row r="497" spans="1:31">
      <c r="A497" t="s">
        <v>2418</v>
      </c>
      <c r="B497" t="s">
        <v>2199</v>
      </c>
      <c r="C497" t="s">
        <v>2419</v>
      </c>
      <c r="D497" t="s">
        <v>2420</v>
      </c>
      <c r="E497" t="s">
        <v>47</v>
      </c>
      <c r="F497" t="s">
        <v>48</v>
      </c>
      <c r="G497" t="s">
        <v>49</v>
      </c>
      <c r="H497" t="s">
        <v>223</v>
      </c>
      <c r="I497" t="s">
        <v>224</v>
      </c>
      <c r="J497" t="s">
        <v>93</v>
      </c>
      <c r="K497" t="s">
        <v>230</v>
      </c>
      <c r="L497" t="s">
        <v>2421</v>
      </c>
      <c r="M497" t="s">
        <v>40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131</v>
      </c>
      <c r="U497" t="s">
        <v>132</v>
      </c>
      <c r="V497">
        <f>O497*(1-P497)*N497</f>
        <v>3784.7239999999997</v>
      </c>
      <c r="W497">
        <f t="shared" si="21"/>
        <v>1365.4839999999999</v>
      </c>
      <c r="X497">
        <f t="shared" si="22"/>
        <v>0.3607875879853728</v>
      </c>
      <c r="Y497" t="s">
        <v>4120</v>
      </c>
      <c r="Z497" s="2">
        <f>IFERROR(
  IF(ISNUMBER(B497),B497,
    IF(ISNUMBER(SEARCH("-",B497)*1),
      IF(LEN(LEFT(B497,FIND("-",B497)-1))=4,
        DATE(VALUE(LEFT(B497,4)),VALUE(MID(B497,6,2)),VALUE(RIGHT(B497,2))),
        DATE(VALUE(RIGHT(B497,4)),VALUE(MID(B497,4,2)),VALUE(LEFT(B497,2)))
      ),
      IF(ISNUMBER(SEARCH("/",B497)*1),
        DATE(VALUE(RIGHT(B497,4)),VALUE(LEFT(B497,2)),VALUE(MID(B497,4,2))),
        DATEVALUE(B497)
      )
    )
  ),
"INVALID_DATE")</f>
        <v>45421</v>
      </c>
      <c r="AA497" s="2">
        <f>IFERROR(
  IF(ISNUMBER(C497),C497,
    IF(ISNUMBER(SEARCH("-",C497)*1),
      IF(LEN(LEFT(C497,FIND("-",C497)-1))=4,
        DATE(VALUE(LEFT(C497,4)),VALUE(MID(C497,6,2)),VALUE(RIGHT(C497,2))),
        DATE(VALUE(RIGHT(C497,4)),VALUE(MID(C497,4,2)),VALUE(LEFT(C497,2)))
      ),
      IF(ISNUMBER(SEARCH("/",C497)*1),
        DATE(VALUE(RIGHT(C497,4)),VALUE(LEFT(C497,2)),VALUE(MID(C497,4,2))),
        DATEVALUE(C497)
      )
    )
  ),
"INVALID_DATE")</f>
        <v>45427</v>
      </c>
      <c r="AB497">
        <f>AA497-Z497</f>
        <v>6</v>
      </c>
      <c r="AC497" t="str">
        <f>TEXT(Z497,"mmmm")</f>
        <v>May</v>
      </c>
      <c r="AD497">
        <f>YEAR(Z497)</f>
        <v>2024</v>
      </c>
      <c r="AE497" t="str">
        <f t="shared" si="23"/>
        <v>OK</v>
      </c>
    </row>
    <row r="498" spans="1:31">
      <c r="A498" t="s">
        <v>2422</v>
      </c>
      <c r="B498" t="s">
        <v>2423</v>
      </c>
      <c r="C498" t="s">
        <v>2424</v>
      </c>
      <c r="D498" t="s">
        <v>2425</v>
      </c>
      <c r="E498" t="s">
        <v>374</v>
      </c>
      <c r="F498" t="s">
        <v>48</v>
      </c>
      <c r="G498" t="s">
        <v>49</v>
      </c>
      <c r="H498" t="s">
        <v>319</v>
      </c>
      <c r="I498" t="s">
        <v>320</v>
      </c>
      <c r="J498" t="s">
        <v>52</v>
      </c>
      <c r="K498" t="s">
        <v>83</v>
      </c>
      <c r="L498" t="s">
        <v>2426</v>
      </c>
      <c r="M498" t="s">
        <v>40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41</v>
      </c>
      <c r="U498" t="s">
        <v>42</v>
      </c>
      <c r="V498">
        <f>O498*(1-P498)*N498</f>
        <v>6635.5560000000005</v>
      </c>
      <c r="W498">
        <f t="shared" si="21"/>
        <v>2982.6460000000006</v>
      </c>
      <c r="X498">
        <f t="shared" si="22"/>
        <v>0.4494948429371447</v>
      </c>
      <c r="Y498" t="s">
        <v>4120</v>
      </c>
      <c r="Z498" s="2">
        <f>IFERROR(
  IF(ISNUMBER(B498),B498,
    IF(ISNUMBER(SEARCH("-",B498)*1),
      IF(LEN(LEFT(B498,FIND("-",B498)-1))=4,
        DATE(VALUE(LEFT(B498,4)),VALUE(MID(B498,6,2)),VALUE(RIGHT(B498,2))),
        DATE(VALUE(RIGHT(B498,4)),VALUE(MID(B498,4,2)),VALUE(LEFT(B498,2)))
      ),
      IF(ISNUMBER(SEARCH("/",B498)*1),
        DATE(VALUE(RIGHT(B498,4)),VALUE(LEFT(B498,2)),VALUE(MID(B498,4,2))),
        DATEVALUE(B498)
      )
    )
  ),
"INVALID_DATE")</f>
        <v>45842</v>
      </c>
      <c r="AA498" s="2">
        <f>IFERROR(
  IF(ISNUMBER(C498),C498,
    IF(ISNUMBER(SEARCH("-",C498)*1),
      IF(LEN(LEFT(C498,FIND("-",C498)-1))=4,
        DATE(VALUE(LEFT(C498,4)),VALUE(MID(C498,6,2)),VALUE(RIGHT(C498,2))),
        DATE(VALUE(RIGHT(C498,4)),VALUE(MID(C498,4,2)),VALUE(LEFT(C498,2)))
      ),
      IF(ISNUMBER(SEARCH("/",C498)*1),
        DATE(VALUE(RIGHT(C498,4)),VALUE(LEFT(C498,2)),VALUE(MID(C498,4,2))),
        DATEVALUE(C498)
      )
    )
  ),
"INVALID_DATE")</f>
        <v>45844</v>
      </c>
      <c r="AB498">
        <f>AA498-Z498</f>
        <v>2</v>
      </c>
      <c r="AC498" t="str">
        <f>TEXT(Z498,"mmmm")</f>
        <v>July</v>
      </c>
      <c r="AD498">
        <f>YEAR(Z498)</f>
        <v>2025</v>
      </c>
      <c r="AE498" t="str">
        <f t="shared" si="23"/>
        <v>OK</v>
      </c>
    </row>
    <row r="499" spans="1:31">
      <c r="A499" t="s">
        <v>2427</v>
      </c>
      <c r="B499" t="s">
        <v>2428</v>
      </c>
      <c r="C499" t="s">
        <v>2428</v>
      </c>
      <c r="D499" t="s">
        <v>2429</v>
      </c>
      <c r="E499" t="s">
        <v>175</v>
      </c>
      <c r="F499" t="s">
        <v>48</v>
      </c>
      <c r="G499" t="s">
        <v>720</v>
      </c>
      <c r="H499" t="s">
        <v>181</v>
      </c>
      <c r="I499" t="s">
        <v>182</v>
      </c>
      <c r="J499" t="s">
        <v>93</v>
      </c>
      <c r="K499" t="s">
        <v>94</v>
      </c>
      <c r="L499" t="s">
        <v>2430</v>
      </c>
      <c r="M499" t="s">
        <v>40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41</v>
      </c>
      <c r="U499" t="s">
        <v>85</v>
      </c>
      <c r="V499">
        <f>O499*(1-P499)*N499</f>
        <v>2485.5040000000004</v>
      </c>
      <c r="W499">
        <f t="shared" si="21"/>
        <v>457.0740000000003</v>
      </c>
      <c r="X499">
        <f t="shared" si="22"/>
        <v>0.18389458861396096</v>
      </c>
      <c r="Y499" t="s">
        <v>4120</v>
      </c>
      <c r="Z499" s="2">
        <f>IFERROR(
  IF(ISNUMBER(B499),B499,
    IF(ISNUMBER(SEARCH("-",B499)*1),
      IF(LEN(LEFT(B499,FIND("-",B499)-1))=4,
        DATE(VALUE(LEFT(B499,4)),VALUE(MID(B499,6,2)),VALUE(RIGHT(B499,2))),
        DATE(VALUE(RIGHT(B499,4)),VALUE(MID(B499,4,2)),VALUE(LEFT(B499,2)))
      ),
      IF(ISNUMBER(SEARCH("/",B499)*1),
        DATE(VALUE(RIGHT(B499,4)),VALUE(LEFT(B499,2)),VALUE(MID(B499,4,2))),
        DATEVALUE(B499)
      )
    )
  ),
"INVALID_DATE")</f>
        <v>45533</v>
      </c>
      <c r="AA499" s="2">
        <f>IFERROR(
  IF(ISNUMBER(C499),C499,
    IF(ISNUMBER(SEARCH("-",C499)*1),
      IF(LEN(LEFT(C499,FIND("-",C499)-1))=4,
        DATE(VALUE(LEFT(C499,4)),VALUE(MID(C499,6,2)),VALUE(RIGHT(C499,2))),
        DATE(VALUE(RIGHT(C499,4)),VALUE(MID(C499,4,2)),VALUE(LEFT(C499,2)))
      ),
      IF(ISNUMBER(SEARCH("/",C499)*1),
        DATE(VALUE(RIGHT(C499,4)),VALUE(LEFT(C499,2)),VALUE(MID(C499,4,2))),
        DATEVALUE(C499)
      )
    )
  ),
"INVALID_DATE")</f>
        <v>45533</v>
      </c>
      <c r="AB499">
        <f>AA499-Z499</f>
        <v>0</v>
      </c>
      <c r="AC499" t="str">
        <f>TEXT(Z499,"mmmm")</f>
        <v>August</v>
      </c>
      <c r="AD499">
        <f>YEAR(Z499)</f>
        <v>2024</v>
      </c>
      <c r="AE499" t="str">
        <f t="shared" si="23"/>
        <v>OK</v>
      </c>
    </row>
    <row r="500" spans="1:31">
      <c r="A500" t="s">
        <v>2431</v>
      </c>
      <c r="B500" t="s">
        <v>2432</v>
      </c>
      <c r="C500" t="s">
        <v>2433</v>
      </c>
      <c r="D500" t="s">
        <v>2434</v>
      </c>
      <c r="E500" t="s">
        <v>32</v>
      </c>
      <c r="F500" t="s">
        <v>33</v>
      </c>
      <c r="G500" t="s">
        <v>34</v>
      </c>
      <c r="H500" t="s">
        <v>161</v>
      </c>
      <c r="I500" t="s">
        <v>162</v>
      </c>
      <c r="J500" t="s">
        <v>52</v>
      </c>
      <c r="K500" t="s">
        <v>83</v>
      </c>
      <c r="L500" t="s">
        <v>2435</v>
      </c>
      <c r="M500" t="s">
        <v>55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131</v>
      </c>
      <c r="U500" t="s">
        <v>2436</v>
      </c>
      <c r="V500">
        <f>O500*(1-P500)*N500</f>
        <v>850.34500000000003</v>
      </c>
      <c r="W500">
        <f t="shared" si="21"/>
        <v>249.36500000000001</v>
      </c>
      <c r="X500">
        <f t="shared" si="22"/>
        <v>0.29325571823366847</v>
      </c>
      <c r="Y500" t="str">
        <f>_xlfn.TEXTJOIN(", ",TRUE,IF(G500="Unknown","Missing Region",""),IF(M500="Unknown","Missing Ship Mode",""),IF(P500&lt;0,"Negative Discount",""),IF(P500&gt;0.7,"High Discount",""),IF(C500&lt;B500,"Ship Before Order",""))</f>
        <v>Ship Before Order</v>
      </c>
      <c r="Z500" s="2">
        <f>IFERROR(
  IF(ISNUMBER(B500),B500,
    IF(ISNUMBER(SEARCH("-",B500)*1),
      IF(LEN(LEFT(B500,FIND("-",B500)-1))=4,
        DATE(VALUE(LEFT(B500,4)),VALUE(MID(B500,6,2)),VALUE(RIGHT(B500,2))),
        DATE(VALUE(RIGHT(B500,4)),VALUE(MID(B500,4,2)),VALUE(LEFT(B500,2)))
      ),
      IF(ISNUMBER(SEARCH("/",B500)*1),
        DATE(VALUE(RIGHT(B500,4)),VALUE(LEFT(B500,2)),VALUE(MID(B500,4,2))),
        DATEVALUE(B500)
      )
    )
  ),
"INVALID_DATE")</f>
        <v>45907</v>
      </c>
      <c r="AA500" s="2">
        <f>IFERROR(
  IF(ISNUMBER(C500),C500,
    IF(ISNUMBER(SEARCH("-",C500)*1),
      IF(LEN(LEFT(C500,FIND("-",C500)-1))=4,
        DATE(VALUE(LEFT(C500,4)),VALUE(MID(C500,6,2)),VALUE(RIGHT(C500,2))),
        DATE(VALUE(RIGHT(C500,4)),VALUE(MID(C500,4,2)),VALUE(LEFT(C500,2)))
      ),
      IF(ISNUMBER(SEARCH("/",C500)*1),
        DATE(VALUE(RIGHT(C500,4)),VALUE(LEFT(C500,2)),VALUE(MID(C500,4,2))),
        DATEVALUE(C500)
      )
    )
  ),
"INVALID_DATE")</f>
        <v>45910</v>
      </c>
      <c r="AB500">
        <f>AA500-Z500</f>
        <v>3</v>
      </c>
      <c r="AC500" t="str">
        <f>TEXT(Z500,"mmmm")</f>
        <v>September</v>
      </c>
      <c r="AD500">
        <f>YEAR(Z500)</f>
        <v>2025</v>
      </c>
      <c r="AE500" t="str">
        <f t="shared" si="23"/>
        <v>OK</v>
      </c>
    </row>
    <row r="501" spans="1:31">
      <c r="A501" t="s">
        <v>2437</v>
      </c>
      <c r="B501" t="s">
        <v>2438</v>
      </c>
      <c r="C501" t="s">
        <v>1453</v>
      </c>
      <c r="D501" t="s">
        <v>2439</v>
      </c>
      <c r="E501" t="s">
        <v>155</v>
      </c>
      <c r="F501" t="s">
        <v>122</v>
      </c>
      <c r="G501" t="s">
        <v>34</v>
      </c>
      <c r="H501" t="s">
        <v>181</v>
      </c>
      <c r="I501" t="s">
        <v>182</v>
      </c>
      <c r="J501" t="s">
        <v>52</v>
      </c>
      <c r="K501" t="s">
        <v>83</v>
      </c>
      <c r="L501" t="s">
        <v>2440</v>
      </c>
      <c r="M501" t="s">
        <v>74</v>
      </c>
      <c r="N501">
        <v>9</v>
      </c>
      <c r="O501">
        <v>1110.8699999999999</v>
      </c>
      <c r="P501">
        <v>0</v>
      </c>
      <c r="Q501">
        <v>7498.37</v>
      </c>
      <c r="R501">
        <v>6059.07</v>
      </c>
      <c r="S501">
        <v>1439.3</v>
      </c>
      <c r="T501" t="s">
        <v>41</v>
      </c>
      <c r="U501" t="s">
        <v>85</v>
      </c>
      <c r="V501">
        <f>O501*(1-P501)*N501</f>
        <v>9997.8299999999981</v>
      </c>
      <c r="W501">
        <f t="shared" si="21"/>
        <v>3938.7599999999984</v>
      </c>
      <c r="X501">
        <f t="shared" si="22"/>
        <v>0.19194838344866952</v>
      </c>
      <c r="Y501" t="s">
        <v>4120</v>
      </c>
      <c r="Z501" s="2">
        <f>IFERROR(
  IF(ISNUMBER(B501),B501,
    IF(ISNUMBER(SEARCH("-",B501)*1),
      IF(LEN(LEFT(B501,FIND("-",B501)-1))=4,
        DATE(VALUE(LEFT(B501,4)),VALUE(MID(B501,6,2)),VALUE(RIGHT(B501,2))),
        DATE(VALUE(RIGHT(B501,4)),VALUE(MID(B501,4,2)),VALUE(LEFT(B501,2)))
      ),
      IF(ISNUMBER(SEARCH("/",B501)*1),
        DATE(VALUE(RIGHT(B501,4)),VALUE(LEFT(B501,2)),VALUE(MID(B501,4,2))),
        DATEVALUE(B501)
      )
    )
  ),
"INVALID_DATE")</f>
        <v>45648</v>
      </c>
      <c r="AA501" s="2">
        <f>IFERROR(
  IF(ISNUMBER(C501),C501,
    IF(ISNUMBER(SEARCH("-",C501)*1),
      IF(LEN(LEFT(C501,FIND("-",C501)-1))=4,
        DATE(VALUE(LEFT(C501,4)),VALUE(MID(C501,6,2)),VALUE(RIGHT(C501,2))),
        DATE(VALUE(RIGHT(C501,4)),VALUE(MID(C501,4,2)),VALUE(LEFT(C501,2)))
      ),
      IF(ISNUMBER(SEARCH("/",C501)*1),
        DATE(VALUE(RIGHT(C501,4)),VALUE(LEFT(C501,2)),VALUE(MID(C501,4,2))),
        DATEVALUE(C501)
      )
    )
  ),
"INVALID_DATE")</f>
        <v>45652</v>
      </c>
      <c r="AB501">
        <f>AA501-Z501</f>
        <v>4</v>
      </c>
      <c r="AC501" t="str">
        <f>TEXT(Z501,"mmmm")</f>
        <v>December</v>
      </c>
      <c r="AD501">
        <f>YEAR(Z501)</f>
        <v>2024</v>
      </c>
      <c r="AE501" t="str">
        <f t="shared" si="23"/>
        <v>OK</v>
      </c>
    </row>
    <row r="502" spans="1:31">
      <c r="A502" t="s">
        <v>2441</v>
      </c>
      <c r="B502" t="s">
        <v>1137</v>
      </c>
      <c r="C502" t="s">
        <v>2442</v>
      </c>
      <c r="D502" t="s">
        <v>2443</v>
      </c>
      <c r="E502" t="s">
        <v>175</v>
      </c>
      <c r="F502" t="s">
        <v>33</v>
      </c>
      <c r="G502" t="s">
        <v>69</v>
      </c>
      <c r="H502" t="s">
        <v>249</v>
      </c>
      <c r="I502" t="s">
        <v>250</v>
      </c>
      <c r="J502" t="s">
        <v>93</v>
      </c>
      <c r="K502" t="s">
        <v>230</v>
      </c>
      <c r="L502" t="s">
        <v>2444</v>
      </c>
      <c r="M502" t="s">
        <v>55</v>
      </c>
      <c r="N502">
        <v>9</v>
      </c>
      <c r="O502">
        <v>3795.99</v>
      </c>
      <c r="P502" t="s">
        <v>1178</v>
      </c>
      <c r="Q502">
        <v>34163.910000000003</v>
      </c>
      <c r="R502">
        <v>28577.15</v>
      </c>
      <c r="S502">
        <v>5586.76</v>
      </c>
      <c r="T502" t="s">
        <v>41</v>
      </c>
      <c r="U502" t="s">
        <v>42</v>
      </c>
      <c r="V502">
        <f>O502*(1-P502)*N502</f>
        <v>5124.5865000000003</v>
      </c>
      <c r="W502">
        <f t="shared" si="21"/>
        <v>-23452.5635</v>
      </c>
      <c r="X502">
        <f t="shared" si="22"/>
        <v>0.16352812075666981</v>
      </c>
      <c r="Y502" t="str">
        <f>_xlfn.TEXTJOIN(", ",TRUE,IF(G502="Unknown","Missing Region",""),IF(M502="Unknown","Missing Ship Mode",""),IF(P502&lt;0,"Negative Discount",""),IF(P502&gt;0.7,"High Discount",""),IF(C502&lt;B502,"Ship Before Order",""))</f>
        <v>High Discount</v>
      </c>
      <c r="Z502" s="2">
        <f>IFERROR(
  IF(ISNUMBER(B502),B502,
    IF(ISNUMBER(SEARCH("-",B502)*1),
      IF(LEN(LEFT(B502,FIND("-",B502)-1))=4,
        DATE(VALUE(LEFT(B502,4)),VALUE(MID(B502,6,2)),VALUE(RIGHT(B502,2))),
        DATE(VALUE(RIGHT(B502,4)),VALUE(MID(B502,4,2)),VALUE(LEFT(B502,2)))
      ),
      IF(ISNUMBER(SEARCH("/",B502)*1),
        DATE(VALUE(RIGHT(B502,4)),VALUE(LEFT(B502,2)),VALUE(MID(B502,4,2))),
        DATEVALUE(B502)
      )
    )
  ),
"INVALID_DATE")</f>
        <v>45429</v>
      </c>
      <c r="AA502" s="2">
        <f>IFERROR(
  IF(ISNUMBER(C502),C502,
    IF(ISNUMBER(SEARCH("-",C502)*1),
      IF(LEN(LEFT(C502,FIND("-",C502)-1))=4,
        DATE(VALUE(LEFT(C502,4)),VALUE(MID(C502,6,2)),VALUE(RIGHT(C502,2))),
        DATE(VALUE(RIGHT(C502,4)),VALUE(MID(C502,4,2)),VALUE(LEFT(C502,2)))
      ),
      IF(ISNUMBER(SEARCH("/",C502)*1),
        DATE(VALUE(RIGHT(C502,4)),VALUE(LEFT(C502,2)),VALUE(MID(C502,4,2))),
        DATEVALUE(C502)
      )
    )
  ),
"INVALID_DATE")</f>
        <v>45434</v>
      </c>
      <c r="AB502">
        <f>AA502-Z502</f>
        <v>5</v>
      </c>
      <c r="AC502" t="str">
        <f>TEXT(Z502,"mmmm")</f>
        <v>May</v>
      </c>
      <c r="AD502">
        <f>YEAR(Z502)</f>
        <v>2024</v>
      </c>
      <c r="AE502" t="str">
        <f t="shared" si="23"/>
        <v>OK</v>
      </c>
    </row>
    <row r="503" spans="1:31">
      <c r="A503" t="s">
        <v>2445</v>
      </c>
      <c r="B503" t="s">
        <v>2446</v>
      </c>
      <c r="C503" t="s">
        <v>2447</v>
      </c>
      <c r="D503" t="s">
        <v>1245</v>
      </c>
      <c r="E503" t="s">
        <v>100</v>
      </c>
      <c r="F503" t="s">
        <v>33</v>
      </c>
      <c r="G503" t="s">
        <v>49</v>
      </c>
      <c r="H503" t="s">
        <v>319</v>
      </c>
      <c r="I503" t="s">
        <v>320</v>
      </c>
      <c r="J503" t="s">
        <v>37</v>
      </c>
      <c r="K503" t="s">
        <v>61</v>
      </c>
      <c r="L503" t="s">
        <v>2448</v>
      </c>
      <c r="M503" t="s">
        <v>40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41</v>
      </c>
      <c r="U503" t="s">
        <v>42</v>
      </c>
      <c r="V503">
        <f>O503*(1-P503)*N503</f>
        <v>17837.454000000002</v>
      </c>
      <c r="W503">
        <f t="shared" si="21"/>
        <v>4210.4340000000011</v>
      </c>
      <c r="X503">
        <f t="shared" si="22"/>
        <v>0.23604438975301964</v>
      </c>
      <c r="Y503" t="str">
        <f>_xlfn.TEXTJOIN(", ",TRUE,IF(G503="Unknown","Missing Region",""),IF(M503="Unknown","Missing Ship Mode",""),IF(P503&lt;0,"Negative Discount",""),IF(P503&gt;0.7,"High Discount",""),IF(C503&lt;B503,"Ship Before Order",""))</f>
        <v>Ship Before Order</v>
      </c>
      <c r="Z503" s="2">
        <f>IFERROR(
  IF(ISNUMBER(B503),B503,
    IF(ISNUMBER(SEARCH("-",B503)*1),
      IF(LEN(LEFT(B503,FIND("-",B503)-1))=4,
        DATE(VALUE(LEFT(B503,4)),VALUE(MID(B503,6,2)),VALUE(RIGHT(B503,2))),
        DATE(VALUE(RIGHT(B503,4)),VALUE(MID(B503,4,2)),VALUE(LEFT(B503,2)))
      ),
      IF(ISNUMBER(SEARCH("/",B503)*1),
        DATE(VALUE(RIGHT(B503,4)),VALUE(LEFT(B503,2)),VALUE(MID(B503,4,2))),
        DATEVALUE(B503)
      )
    )
  ),
"INVALID_DATE")</f>
        <v>45515</v>
      </c>
      <c r="AA503" s="2">
        <f>IFERROR(
  IF(ISNUMBER(C503),C503,
    IF(ISNUMBER(SEARCH("-",C503)*1),
      IF(LEN(LEFT(C503,FIND("-",C503)-1))=4,
        DATE(VALUE(LEFT(C503,4)),VALUE(MID(C503,6,2)),VALUE(RIGHT(C503,2))),
        DATE(VALUE(RIGHT(C503,4)),VALUE(MID(C503,4,2)),VALUE(LEFT(C503,2)))
      ),
      IF(ISNUMBER(SEARCH("/",C503)*1),
        DATE(VALUE(RIGHT(C503,4)),VALUE(LEFT(C503,2)),VALUE(MID(C503,4,2))),
        DATEVALUE(C503)
      )
    )
  ),
"INVALID_DATE")</f>
        <v>45521</v>
      </c>
      <c r="AB503">
        <f>AA503-Z503</f>
        <v>6</v>
      </c>
      <c r="AC503" t="str">
        <f>TEXT(Z503,"mmmm")</f>
        <v>August</v>
      </c>
      <c r="AD503">
        <f>YEAR(Z503)</f>
        <v>2024</v>
      </c>
      <c r="AE503" t="str">
        <f t="shared" si="23"/>
        <v>OK</v>
      </c>
    </row>
    <row r="504" spans="1:31">
      <c r="A504" t="s">
        <v>2449</v>
      </c>
      <c r="B504" t="s">
        <v>2450</v>
      </c>
      <c r="C504" t="s">
        <v>2451</v>
      </c>
      <c r="D504" t="s">
        <v>2452</v>
      </c>
      <c r="E504" t="s">
        <v>149</v>
      </c>
      <c r="F504" t="s">
        <v>48</v>
      </c>
      <c r="G504" t="s">
        <v>49</v>
      </c>
      <c r="H504" t="s">
        <v>50</v>
      </c>
      <c r="I504" t="s">
        <v>51</v>
      </c>
      <c r="J504" t="s">
        <v>93</v>
      </c>
      <c r="K504" t="s">
        <v>101</v>
      </c>
      <c r="L504" t="s">
        <v>2453</v>
      </c>
      <c r="M504" t="s">
        <v>40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41</v>
      </c>
      <c r="U504" t="s">
        <v>42</v>
      </c>
      <c r="V504">
        <f>O504*(1-P504)*N504</f>
        <v>4465.4219999999996</v>
      </c>
      <c r="W504">
        <f t="shared" si="21"/>
        <v>1088.3219999999997</v>
      </c>
      <c r="X504">
        <f t="shared" si="22"/>
        <v>0.24372175517644476</v>
      </c>
      <c r="Y504" t="s">
        <v>4120</v>
      </c>
      <c r="Z504" s="2">
        <f>IFERROR(
  IF(ISNUMBER(B504),B504,
    IF(ISNUMBER(SEARCH("-",B504)*1),
      IF(LEN(LEFT(B504,FIND("-",B504)-1))=4,
        DATE(VALUE(LEFT(B504,4)),VALUE(MID(B504,6,2)),VALUE(RIGHT(B504,2))),
        DATE(VALUE(RIGHT(B504,4)),VALUE(MID(B504,4,2)),VALUE(LEFT(B504,2)))
      ),
      IF(ISNUMBER(SEARCH("/",B504)*1),
        DATE(VALUE(RIGHT(B504,4)),VALUE(LEFT(B504,2)),VALUE(MID(B504,4,2))),
        DATEVALUE(B504)
      )
    )
  ),
"INVALID_DATE")</f>
        <v>45383</v>
      </c>
      <c r="AA504" s="2">
        <f>IFERROR(
  IF(ISNUMBER(C504),C504,
    IF(ISNUMBER(SEARCH("-",C504)*1),
      IF(LEN(LEFT(C504,FIND("-",C504)-1))=4,
        DATE(VALUE(LEFT(C504,4)),VALUE(MID(C504,6,2)),VALUE(RIGHT(C504,2))),
        DATE(VALUE(RIGHT(C504,4)),VALUE(MID(C504,4,2)),VALUE(LEFT(C504,2)))
      ),
      IF(ISNUMBER(SEARCH("/",C504)*1),
        DATE(VALUE(RIGHT(C504,4)),VALUE(LEFT(C504,2)),VALUE(MID(C504,4,2))),
        DATEVALUE(C504)
      )
    )
  ),
"INVALID_DATE")</f>
        <v>45391</v>
      </c>
      <c r="AB504">
        <f>AA504-Z504</f>
        <v>8</v>
      </c>
      <c r="AC504" t="str">
        <f>TEXT(Z504,"mmmm")</f>
        <v>April</v>
      </c>
      <c r="AD504">
        <f>YEAR(Z504)</f>
        <v>2024</v>
      </c>
      <c r="AE504" t="str">
        <f t="shared" si="23"/>
        <v>OK</v>
      </c>
    </row>
    <row r="505" spans="1:31">
      <c r="A505" t="s">
        <v>2454</v>
      </c>
      <c r="B505" t="s">
        <v>2455</v>
      </c>
      <c r="C505" t="s">
        <v>2456</v>
      </c>
      <c r="D505" t="s">
        <v>2457</v>
      </c>
      <c r="E505" t="s">
        <v>169</v>
      </c>
      <c r="F505" t="s">
        <v>33</v>
      </c>
      <c r="G505" t="s">
        <v>69</v>
      </c>
      <c r="H505" t="s">
        <v>347</v>
      </c>
      <c r="I505" t="s">
        <v>348</v>
      </c>
      <c r="J505" t="s">
        <v>93</v>
      </c>
      <c r="K505" t="s">
        <v>230</v>
      </c>
      <c r="L505" t="s">
        <v>2458</v>
      </c>
      <c r="M505" t="s">
        <v>74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41</v>
      </c>
      <c r="U505" t="s">
        <v>42</v>
      </c>
      <c r="V505">
        <f>O505*(1-P505)*N505</f>
        <v>10594.08</v>
      </c>
      <c r="W505">
        <f t="shared" si="21"/>
        <v>3433.7699999999995</v>
      </c>
      <c r="X505">
        <f t="shared" si="22"/>
        <v>0.32412158488514342</v>
      </c>
      <c r="Y505" t="s">
        <v>4120</v>
      </c>
      <c r="Z505" s="2">
        <f>IFERROR(
  IF(ISNUMBER(B505),B505,
    IF(ISNUMBER(SEARCH("-",B505)*1),
      IF(LEN(LEFT(B505,FIND("-",B505)-1))=4,
        DATE(VALUE(LEFT(B505,4)),VALUE(MID(B505,6,2)),VALUE(RIGHT(B505,2))),
        DATE(VALUE(RIGHT(B505,4)),VALUE(MID(B505,4,2)),VALUE(LEFT(B505,2)))
      ),
      IF(ISNUMBER(SEARCH("/",B505)*1),
        DATE(VALUE(RIGHT(B505,4)),VALUE(LEFT(B505,2)),VALUE(MID(B505,4,2))),
        DATEVALUE(B505)
      )
    )
  ),
"INVALID_DATE")</f>
        <v>45563</v>
      </c>
      <c r="AA505" s="2">
        <f>IFERROR(
  IF(ISNUMBER(C505),C505,
    IF(ISNUMBER(SEARCH("-",C505)*1),
      IF(LEN(LEFT(C505,FIND("-",C505)-1))=4,
        DATE(VALUE(LEFT(C505,4)),VALUE(MID(C505,6,2)),VALUE(RIGHT(C505,2))),
        DATE(VALUE(RIGHT(C505,4)),VALUE(MID(C505,4,2)),VALUE(LEFT(C505,2)))
      ),
      IF(ISNUMBER(SEARCH("/",C505)*1),
        DATE(VALUE(RIGHT(C505,4)),VALUE(LEFT(C505,2)),VALUE(MID(C505,4,2))),
        DATEVALUE(C505)
      )
    )
  ),
"INVALID_DATE")</f>
        <v>45570</v>
      </c>
      <c r="AB505">
        <f>AA505-Z505</f>
        <v>7</v>
      </c>
      <c r="AC505" t="str">
        <f>TEXT(Z505,"mmmm")</f>
        <v>September</v>
      </c>
      <c r="AD505">
        <f>YEAR(Z505)</f>
        <v>2024</v>
      </c>
      <c r="AE505" t="str">
        <f t="shared" si="23"/>
        <v>OK</v>
      </c>
    </row>
    <row r="506" spans="1:31">
      <c r="A506" t="s">
        <v>2459</v>
      </c>
      <c r="B506" t="s">
        <v>2460</v>
      </c>
      <c r="C506" t="s">
        <v>2461</v>
      </c>
      <c r="D506" t="s">
        <v>2462</v>
      </c>
      <c r="E506" t="s">
        <v>68</v>
      </c>
      <c r="F506" t="s">
        <v>115</v>
      </c>
      <c r="G506" t="s">
        <v>80</v>
      </c>
      <c r="H506" t="s">
        <v>242</v>
      </c>
      <c r="I506" t="s">
        <v>243</v>
      </c>
      <c r="J506" t="s">
        <v>37</v>
      </c>
      <c r="K506" t="s">
        <v>61</v>
      </c>
      <c r="L506" t="s">
        <v>2463</v>
      </c>
      <c r="M506" t="s">
        <v>74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41</v>
      </c>
      <c r="U506" t="s">
        <v>42</v>
      </c>
      <c r="V506">
        <f>O506*(1-P506)*N506</f>
        <v>17312.48</v>
      </c>
      <c r="W506">
        <f t="shared" si="21"/>
        <v>2888.26</v>
      </c>
      <c r="X506">
        <f t="shared" si="22"/>
        <v>0.16683109525613893</v>
      </c>
      <c r="Y506" t="s">
        <v>4120</v>
      </c>
      <c r="Z506" s="2">
        <f>IFERROR(
  IF(ISNUMBER(B506),B506,
    IF(ISNUMBER(SEARCH("-",B506)*1),
      IF(LEN(LEFT(B506,FIND("-",B506)-1))=4,
        DATE(VALUE(LEFT(B506,4)),VALUE(MID(B506,6,2)),VALUE(RIGHT(B506,2))),
        DATE(VALUE(RIGHT(B506,4)),VALUE(MID(B506,4,2)),VALUE(LEFT(B506,2)))
      ),
      IF(ISNUMBER(SEARCH("/",B506)*1),
        DATE(VALUE(RIGHT(B506,4)),VALUE(LEFT(B506,2)),VALUE(MID(B506,4,2))),
        DATEVALUE(B506)
      )
    )
  ),
"INVALID_DATE")</f>
        <v>45700</v>
      </c>
      <c r="AA506" s="2">
        <f>IFERROR(
  IF(ISNUMBER(C506),C506,
    IF(ISNUMBER(SEARCH("-",C506)*1),
      IF(LEN(LEFT(C506,FIND("-",C506)-1))=4,
        DATE(VALUE(LEFT(C506,4)),VALUE(MID(C506,6,2)),VALUE(RIGHT(C506,2))),
        DATE(VALUE(RIGHT(C506,4)),VALUE(MID(C506,4,2)),VALUE(LEFT(C506,2)))
      ),
      IF(ISNUMBER(SEARCH("/",C506)*1),
        DATE(VALUE(RIGHT(C506,4)),VALUE(LEFT(C506,2)),VALUE(MID(C506,4,2))),
        DATEVALUE(C506)
      )
    )
  ),
"INVALID_DATE")</f>
        <v>45705</v>
      </c>
      <c r="AB506">
        <f>AA506-Z506</f>
        <v>5</v>
      </c>
      <c r="AC506" t="str">
        <f>TEXT(Z506,"mmmm")</f>
        <v>February</v>
      </c>
      <c r="AD506">
        <f>YEAR(Z506)</f>
        <v>2025</v>
      </c>
      <c r="AE506" t="str">
        <f t="shared" si="23"/>
        <v>OK</v>
      </c>
    </row>
    <row r="507" spans="1:31">
      <c r="A507" t="s">
        <v>2464</v>
      </c>
      <c r="B507" t="s">
        <v>2465</v>
      </c>
      <c r="C507" t="s">
        <v>1388</v>
      </c>
      <c r="D507" t="s">
        <v>2466</v>
      </c>
      <c r="E507" t="s">
        <v>100</v>
      </c>
      <c r="F507" t="s">
        <v>115</v>
      </c>
      <c r="G507" t="s">
        <v>80</v>
      </c>
      <c r="H507" t="s">
        <v>91</v>
      </c>
      <c r="I507" t="s">
        <v>92</v>
      </c>
      <c r="J507" t="s">
        <v>37</v>
      </c>
      <c r="K507" t="s">
        <v>61</v>
      </c>
      <c r="L507" t="s">
        <v>2467</v>
      </c>
      <c r="M507" t="s">
        <v>63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41</v>
      </c>
      <c r="U507" t="s">
        <v>85</v>
      </c>
      <c r="V507">
        <f>O507*(1-P507)*N507</f>
        <v>17555.688000000002</v>
      </c>
      <c r="W507">
        <f t="shared" si="21"/>
        <v>4262.4880000000012</v>
      </c>
      <c r="X507">
        <f t="shared" si="22"/>
        <v>0.24279820388717277</v>
      </c>
      <c r="Y507" t="str">
        <f>_xlfn.TEXTJOIN(", ",TRUE,IF(G507="Unknown","Missing Region",""),IF(M507="Unknown","Missing Ship Mode",""),IF(P507&lt;0,"Negative Discount",""),IF(P507&gt;0.7,"High Discount",""),IF(C507&lt;B507,"Ship Before Order",""))</f>
        <v>Ship Before Order</v>
      </c>
      <c r="Z507" s="2">
        <f>IFERROR(
  IF(ISNUMBER(B507),B507,
    IF(ISNUMBER(SEARCH("-",B507)*1),
      IF(LEN(LEFT(B507,FIND("-",B507)-1))=4,
        DATE(VALUE(LEFT(B507,4)),VALUE(MID(B507,6,2)),VALUE(RIGHT(B507,2))),
        DATE(VALUE(RIGHT(B507,4)),VALUE(MID(B507,4,2)),VALUE(LEFT(B507,2)))
      ),
      IF(ISNUMBER(SEARCH("/",B507)*1),
        DATE(VALUE(RIGHT(B507,4)),VALUE(LEFT(B507,2)),VALUE(MID(B507,4,2))),
        DATEVALUE(B507)
      )
    )
  ),
"INVALID_DATE")</f>
        <v>45605</v>
      </c>
      <c r="AA507" s="2">
        <f>IFERROR(
  IF(ISNUMBER(C507),C507,
    IF(ISNUMBER(SEARCH("-",C507)*1),
      IF(LEN(LEFT(C507,FIND("-",C507)-1))=4,
        DATE(VALUE(LEFT(C507,4)),VALUE(MID(C507,6,2)),VALUE(RIGHT(C507,2))),
        DATE(VALUE(RIGHT(C507,4)),VALUE(MID(C507,4,2)),VALUE(LEFT(C507,2)))
      ),
      IF(ISNUMBER(SEARCH("/",C507)*1),
        DATE(VALUE(RIGHT(C507,4)),VALUE(LEFT(C507,2)),VALUE(MID(C507,4,2))),
        DATEVALUE(C507)
      )
    )
  ),
"INVALID_DATE")</f>
        <v>45610</v>
      </c>
      <c r="AB507">
        <f>AA507-Z507</f>
        <v>5</v>
      </c>
      <c r="AC507" t="str">
        <f>TEXT(Z507,"mmmm")</f>
        <v>November</v>
      </c>
      <c r="AD507">
        <f>YEAR(Z507)</f>
        <v>2024</v>
      </c>
      <c r="AE507" t="str">
        <f t="shared" si="23"/>
        <v>OK</v>
      </c>
    </row>
    <row r="508" spans="1:31">
      <c r="A508" t="s">
        <v>2468</v>
      </c>
      <c r="B508" t="s">
        <v>2469</v>
      </c>
      <c r="C508" t="s">
        <v>2470</v>
      </c>
      <c r="D508" t="s">
        <v>2471</v>
      </c>
      <c r="E508" t="s">
        <v>169</v>
      </c>
      <c r="F508" t="s">
        <v>48</v>
      </c>
      <c r="G508" t="s">
        <v>34</v>
      </c>
      <c r="H508" t="s">
        <v>161</v>
      </c>
      <c r="I508" t="s">
        <v>162</v>
      </c>
      <c r="J508" t="s">
        <v>52</v>
      </c>
      <c r="K508" t="s">
        <v>72</v>
      </c>
      <c r="L508" t="s">
        <v>2472</v>
      </c>
      <c r="M508" t="s">
        <v>63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131</v>
      </c>
      <c r="U508" t="s">
        <v>132</v>
      </c>
      <c r="V508">
        <f>O508*(1-P508)*N508</f>
        <v>1205.6399999999999</v>
      </c>
      <c r="W508">
        <f t="shared" si="21"/>
        <v>363.56999999999982</v>
      </c>
      <c r="X508">
        <f t="shared" si="22"/>
        <v>0.30155767890912705</v>
      </c>
      <c r="Y508" t="s">
        <v>4120</v>
      </c>
      <c r="Z508" s="2">
        <f>IFERROR(
  IF(ISNUMBER(B508),B508,
    IF(ISNUMBER(SEARCH("-",B508)*1),
      IF(LEN(LEFT(B508,FIND("-",B508)-1))=4,
        DATE(VALUE(LEFT(B508,4)),VALUE(MID(B508,6,2)),VALUE(RIGHT(B508,2))),
        DATE(VALUE(RIGHT(B508,4)),VALUE(MID(B508,4,2)),VALUE(LEFT(B508,2)))
      ),
      IF(ISNUMBER(SEARCH("/",B508)*1),
        DATE(VALUE(RIGHT(B508,4)),VALUE(LEFT(B508,2)),VALUE(MID(B508,4,2))),
        DATEVALUE(B508)
      )
    )
  ),
"INVALID_DATE")</f>
        <v>45641</v>
      </c>
      <c r="AA508" s="2">
        <f>IFERROR(
  IF(ISNUMBER(C508),C508,
    IF(ISNUMBER(SEARCH("-",C508)*1),
      IF(LEN(LEFT(C508,FIND("-",C508)-1))=4,
        DATE(VALUE(LEFT(C508,4)),VALUE(MID(C508,6,2)),VALUE(RIGHT(C508,2))),
        DATE(VALUE(RIGHT(C508,4)),VALUE(MID(C508,4,2)),VALUE(LEFT(C508,2)))
      ),
      IF(ISNUMBER(SEARCH("/",C508)*1),
        DATE(VALUE(RIGHT(C508,4)),VALUE(LEFT(C508,2)),VALUE(MID(C508,4,2))),
        DATEVALUE(C508)
      )
    )
  ),
"INVALID_DATE")</f>
        <v>45641</v>
      </c>
      <c r="AB508">
        <f>AA508-Z508</f>
        <v>0</v>
      </c>
      <c r="AC508" t="str">
        <f>TEXT(Z508,"mmmm")</f>
        <v>December</v>
      </c>
      <c r="AD508">
        <f>YEAR(Z508)</f>
        <v>2024</v>
      </c>
      <c r="AE508" t="str">
        <f t="shared" si="23"/>
        <v>OK</v>
      </c>
    </row>
    <row r="509" spans="1:31">
      <c r="A509" t="s">
        <v>2473</v>
      </c>
      <c r="B509" t="s">
        <v>2151</v>
      </c>
      <c r="C509" t="s">
        <v>2117</v>
      </c>
      <c r="D509" t="s">
        <v>2474</v>
      </c>
      <c r="E509" t="s">
        <v>60</v>
      </c>
      <c r="F509" t="s">
        <v>48</v>
      </c>
      <c r="G509" t="s">
        <v>34</v>
      </c>
      <c r="H509" t="s">
        <v>331</v>
      </c>
      <c r="I509" t="s">
        <v>332</v>
      </c>
      <c r="J509" t="s">
        <v>37</v>
      </c>
      <c r="K509" t="s">
        <v>205</v>
      </c>
      <c r="L509" t="s">
        <v>2475</v>
      </c>
      <c r="M509" t="s">
        <v>55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41</v>
      </c>
      <c r="U509" t="s">
        <v>42</v>
      </c>
      <c r="V509">
        <f>O509*(1-P509)*N509</f>
        <v>8971.26</v>
      </c>
      <c r="W509">
        <f t="shared" si="21"/>
        <v>2156.91</v>
      </c>
      <c r="X509">
        <f t="shared" si="22"/>
        <v>0.24042442198754688</v>
      </c>
      <c r="Y509" t="s">
        <v>4120</v>
      </c>
      <c r="Z509" s="2">
        <f>IFERROR(
  IF(ISNUMBER(B509),B509,
    IF(ISNUMBER(SEARCH("-",B509)*1),
      IF(LEN(LEFT(B509,FIND("-",B509)-1))=4,
        DATE(VALUE(LEFT(B509,4)),VALUE(MID(B509,6,2)),VALUE(RIGHT(B509,2))),
        DATE(VALUE(RIGHT(B509,4)),VALUE(MID(B509,4,2)),VALUE(LEFT(B509,2)))
      ),
      IF(ISNUMBER(SEARCH("/",B509)*1),
        DATE(VALUE(RIGHT(B509,4)),VALUE(LEFT(B509,2)),VALUE(MID(B509,4,2))),
        DATEVALUE(B509)
      )
    )
  ),
"INVALID_DATE")</f>
        <v>45762</v>
      </c>
      <c r="AA509" s="2">
        <f>IFERROR(
  IF(ISNUMBER(C509),C509,
    IF(ISNUMBER(SEARCH("-",C509)*1),
      IF(LEN(LEFT(C509,FIND("-",C509)-1))=4,
        DATE(VALUE(LEFT(C509,4)),VALUE(MID(C509,6,2)),VALUE(RIGHT(C509,2))),
        DATE(VALUE(RIGHT(C509,4)),VALUE(MID(C509,4,2)),VALUE(LEFT(C509,2)))
      ),
      IF(ISNUMBER(SEARCH("/",C509)*1),
        DATE(VALUE(RIGHT(C509,4)),VALUE(LEFT(C509,2)),VALUE(MID(C509,4,2))),
        DATEVALUE(C509)
      )
    )
  ),
"INVALID_DATE")</f>
        <v>45769</v>
      </c>
      <c r="AB509">
        <f>AA509-Z509</f>
        <v>7</v>
      </c>
      <c r="AC509" t="str">
        <f>TEXT(Z509,"mmmm")</f>
        <v>April</v>
      </c>
      <c r="AD509">
        <f>YEAR(Z509)</f>
        <v>2025</v>
      </c>
      <c r="AE509" t="str">
        <f t="shared" si="23"/>
        <v>OK</v>
      </c>
    </row>
    <row r="510" spans="1:31">
      <c r="A510" t="s">
        <v>2476</v>
      </c>
      <c r="B510" t="s">
        <v>2477</v>
      </c>
      <c r="C510" t="s">
        <v>1427</v>
      </c>
      <c r="D510" t="s">
        <v>2478</v>
      </c>
      <c r="E510" t="s">
        <v>60</v>
      </c>
      <c r="F510" t="s">
        <v>48</v>
      </c>
      <c r="G510" t="s">
        <v>34</v>
      </c>
      <c r="H510" t="s">
        <v>331</v>
      </c>
      <c r="I510" t="s">
        <v>332</v>
      </c>
      <c r="J510" t="s">
        <v>93</v>
      </c>
      <c r="K510" t="s">
        <v>390</v>
      </c>
      <c r="L510" t="s">
        <v>2479</v>
      </c>
      <c r="M510" t="s">
        <v>40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41</v>
      </c>
      <c r="U510" t="s">
        <v>42</v>
      </c>
      <c r="V510">
        <f>O510*(1-P510)*N510</f>
        <v>7324</v>
      </c>
      <c r="W510">
        <f t="shared" si="21"/>
        <v>3144.37</v>
      </c>
      <c r="X510">
        <f t="shared" si="22"/>
        <v>0.42932413981430911</v>
      </c>
      <c r="Y510" t="str">
        <f>_xlfn.TEXTJOIN(", ",TRUE,IF(G510="Unknown","Missing Region",""),IF(M510="Unknown","Missing Ship Mode",""),IF(P510&lt;0,"Negative Discount",""),IF(P510&gt;0.7,"High Discount",""),IF(C510&lt;B510,"Ship Before Order",""))</f>
        <v>Ship Before Order</v>
      </c>
      <c r="Z510" s="2">
        <f>IFERROR(
  IF(ISNUMBER(B510),B510,
    IF(ISNUMBER(SEARCH("-",B510)*1),
      IF(LEN(LEFT(B510,FIND("-",B510)-1))=4,
        DATE(VALUE(LEFT(B510,4)),VALUE(MID(B510,6,2)),VALUE(RIGHT(B510,2))),
        DATE(VALUE(RIGHT(B510,4)),VALUE(MID(B510,4,2)),VALUE(LEFT(B510,2)))
      ),
      IF(ISNUMBER(SEARCH("/",B510)*1),
        DATE(VALUE(RIGHT(B510,4)),VALUE(LEFT(B510,2)),VALUE(MID(B510,4,2))),
        DATEVALUE(B510)
      )
    )
  ),
"INVALID_DATE")</f>
        <v>45382</v>
      </c>
      <c r="AA510" s="2">
        <f>IFERROR(
  IF(ISNUMBER(C510),C510,
    IF(ISNUMBER(SEARCH("-",C510)*1),
      IF(LEN(LEFT(C510,FIND("-",C510)-1))=4,
        DATE(VALUE(LEFT(C510,4)),VALUE(MID(C510,6,2)),VALUE(RIGHT(C510,2))),
        DATE(VALUE(RIGHT(C510,4)),VALUE(MID(C510,4,2)),VALUE(LEFT(C510,2)))
      ),
      IF(ISNUMBER(SEARCH("/",C510)*1),
        DATE(VALUE(RIGHT(C510,4)),VALUE(LEFT(C510,2)),VALUE(MID(C510,4,2))),
        DATEVALUE(C510)
      )
    )
  ),
"INVALID_DATE")</f>
        <v>45389</v>
      </c>
      <c r="AB510">
        <f>AA510-Z510</f>
        <v>7</v>
      </c>
      <c r="AC510" t="str">
        <f>TEXT(Z510,"mmmm")</f>
        <v>March</v>
      </c>
      <c r="AD510">
        <f>YEAR(Z510)</f>
        <v>2024</v>
      </c>
      <c r="AE510" t="str">
        <f t="shared" si="23"/>
        <v>OK</v>
      </c>
    </row>
    <row r="511" spans="1:31">
      <c r="A511" t="s">
        <v>2480</v>
      </c>
      <c r="B511" t="s">
        <v>2481</v>
      </c>
      <c r="C511" t="s">
        <v>2482</v>
      </c>
      <c r="D511" t="s">
        <v>2483</v>
      </c>
      <c r="E511" t="s">
        <v>100</v>
      </c>
      <c r="F511" t="s">
        <v>33</v>
      </c>
      <c r="G511" t="s">
        <v>80</v>
      </c>
      <c r="H511" t="s">
        <v>242</v>
      </c>
      <c r="I511" t="s">
        <v>243</v>
      </c>
      <c r="J511" t="s">
        <v>93</v>
      </c>
      <c r="K511" t="s">
        <v>390</v>
      </c>
      <c r="L511" t="s">
        <v>2484</v>
      </c>
      <c r="M511" t="s">
        <v>55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41</v>
      </c>
      <c r="U511" t="s">
        <v>42</v>
      </c>
      <c r="V511">
        <f>O511*(1-P511)*N511</f>
        <v>23241.216</v>
      </c>
      <c r="W511">
        <f t="shared" si="21"/>
        <v>6020.3159999999989</v>
      </c>
      <c r="X511">
        <f t="shared" si="22"/>
        <v>0.25903631564952267</v>
      </c>
      <c r="Y511" t="str">
        <f>_xlfn.TEXTJOIN(", ",TRUE,IF(G511="Unknown","Missing Region",""),IF(M511="Unknown","Missing Ship Mode",""),IF(P511&lt;0,"Negative Discount",""),IF(P511&gt;0.7,"High Discount",""),IF(C511&lt;B511,"Ship Before Order",""))</f>
        <v>Ship Before Order</v>
      </c>
      <c r="Z511" s="2">
        <f>IFERROR(
  IF(ISNUMBER(B511),B511,
    IF(ISNUMBER(SEARCH("-",B511)*1),
      IF(LEN(LEFT(B511,FIND("-",B511)-1))=4,
        DATE(VALUE(LEFT(B511,4)),VALUE(MID(B511,6,2)),VALUE(RIGHT(B511,2))),
        DATE(VALUE(RIGHT(B511,4)),VALUE(MID(B511,4,2)),VALUE(LEFT(B511,2)))
      ),
      IF(ISNUMBER(SEARCH("/",B511)*1),
        DATE(VALUE(RIGHT(B511,4)),VALUE(LEFT(B511,2)),VALUE(MID(B511,4,2))),
        DATEVALUE(B511)
      )
    )
  ),
"INVALID_DATE")</f>
        <v>45789</v>
      </c>
      <c r="AA511" s="2">
        <f>IFERROR(
  IF(ISNUMBER(C511),C511,
    IF(ISNUMBER(SEARCH("-",C511)*1),
      IF(LEN(LEFT(C511,FIND("-",C511)-1))=4,
        DATE(VALUE(LEFT(C511,4)),VALUE(MID(C511,6,2)),VALUE(RIGHT(C511,2))),
        DATE(VALUE(RIGHT(C511,4)),VALUE(MID(C511,4,2)),VALUE(LEFT(C511,2)))
      ),
      IF(ISNUMBER(SEARCH("/",C511)*1),
        DATE(VALUE(RIGHT(C511,4)),VALUE(LEFT(C511,2)),VALUE(MID(C511,4,2))),
        DATEVALUE(C511)
      )
    )
  ),
"INVALID_DATE")</f>
        <v>45791</v>
      </c>
      <c r="AB511">
        <f>AA511-Z511</f>
        <v>2</v>
      </c>
      <c r="AC511" t="str">
        <f>TEXT(Z511,"mmmm")</f>
        <v>May</v>
      </c>
      <c r="AD511">
        <f>YEAR(Z511)</f>
        <v>2025</v>
      </c>
      <c r="AE511" t="str">
        <f t="shared" si="23"/>
        <v>OK</v>
      </c>
    </row>
    <row r="512" spans="1:31">
      <c r="A512" t="s">
        <v>2485</v>
      </c>
      <c r="B512" t="s">
        <v>652</v>
      </c>
      <c r="C512" t="s">
        <v>2486</v>
      </c>
      <c r="D512" t="s">
        <v>2487</v>
      </c>
      <c r="E512" t="s">
        <v>2488</v>
      </c>
      <c r="F512" t="s">
        <v>33</v>
      </c>
      <c r="G512" t="s">
        <v>69</v>
      </c>
      <c r="H512" t="s">
        <v>236</v>
      </c>
      <c r="I512" t="s">
        <v>237</v>
      </c>
      <c r="J512" t="s">
        <v>37</v>
      </c>
      <c r="K512" t="s">
        <v>163</v>
      </c>
      <c r="L512" t="s">
        <v>2489</v>
      </c>
      <c r="M512" t="s">
        <v>40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41</v>
      </c>
      <c r="U512" t="s">
        <v>42</v>
      </c>
      <c r="V512">
        <f>O512*(1-P512)*N512</f>
        <v>8477.02</v>
      </c>
      <c r="W512">
        <f t="shared" si="21"/>
        <v>1592.0600000000004</v>
      </c>
      <c r="X512">
        <f t="shared" si="22"/>
        <v>0.18780892341884292</v>
      </c>
      <c r="Y512" t="s">
        <v>4120</v>
      </c>
      <c r="Z512" s="2">
        <f>IFERROR(
  IF(ISNUMBER(B512),B512,
    IF(ISNUMBER(SEARCH("-",B512)*1),
      IF(LEN(LEFT(B512,FIND("-",B512)-1))=4,
        DATE(VALUE(LEFT(B512,4)),VALUE(MID(B512,6,2)),VALUE(RIGHT(B512,2))),
        DATE(VALUE(RIGHT(B512,4)),VALUE(MID(B512,4,2)),VALUE(LEFT(B512,2)))
      ),
      IF(ISNUMBER(SEARCH("/",B512)*1),
        DATE(VALUE(RIGHT(B512,4)),VALUE(LEFT(B512,2)),VALUE(MID(B512,4,2))),
        DATEVALUE(B512)
      )
    )
  ),
"INVALID_DATE")</f>
        <v>45583</v>
      </c>
      <c r="AA512" s="2">
        <f>IFERROR(
  IF(ISNUMBER(C512),C512,
    IF(ISNUMBER(SEARCH("-",C512)*1),
      IF(LEN(LEFT(C512,FIND("-",C512)-1))=4,
        DATE(VALUE(LEFT(C512,4)),VALUE(MID(C512,6,2)),VALUE(RIGHT(C512,2))),
        DATE(VALUE(RIGHT(C512,4)),VALUE(MID(C512,4,2)),VALUE(LEFT(C512,2)))
      ),
      IF(ISNUMBER(SEARCH("/",C512)*1),
        DATE(VALUE(RIGHT(C512,4)),VALUE(LEFT(C512,2)),VALUE(MID(C512,4,2))),
        DATEVALUE(C512)
      )
    )
  ),
"INVALID_DATE")</f>
        <v>45586</v>
      </c>
      <c r="AB512">
        <f>AA512-Z512</f>
        <v>3</v>
      </c>
      <c r="AC512" t="str">
        <f>TEXT(Z512,"mmmm")</f>
        <v>October</v>
      </c>
      <c r="AD512">
        <f>YEAR(Z512)</f>
        <v>2024</v>
      </c>
      <c r="AE512" t="str">
        <f t="shared" si="23"/>
        <v>OK</v>
      </c>
    </row>
    <row r="513" spans="1:31">
      <c r="A513" t="s">
        <v>2490</v>
      </c>
      <c r="B513" t="s">
        <v>2491</v>
      </c>
      <c r="C513" t="s">
        <v>2492</v>
      </c>
      <c r="D513" t="s">
        <v>2493</v>
      </c>
      <c r="E513" t="s">
        <v>175</v>
      </c>
      <c r="F513" t="s">
        <v>33</v>
      </c>
      <c r="G513" t="s">
        <v>80</v>
      </c>
      <c r="H513" t="s">
        <v>91</v>
      </c>
      <c r="I513" t="s">
        <v>92</v>
      </c>
      <c r="J513" t="s">
        <v>52</v>
      </c>
      <c r="K513" t="s">
        <v>211</v>
      </c>
      <c r="L513" t="s">
        <v>2494</v>
      </c>
      <c r="M513" t="s">
        <v>74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41</v>
      </c>
      <c r="U513" t="s">
        <v>42</v>
      </c>
      <c r="V513">
        <f>O513*(1-P513)*N513</f>
        <v>3673.8224999999998</v>
      </c>
      <c r="W513">
        <f t="shared" si="21"/>
        <v>1585.6724999999997</v>
      </c>
      <c r="X513">
        <f t="shared" si="22"/>
        <v>0.43161341600840541</v>
      </c>
      <c r="Y513" t="s">
        <v>4120</v>
      </c>
      <c r="Z513" s="2">
        <f>IFERROR(
  IF(ISNUMBER(B513),B513,
    IF(ISNUMBER(SEARCH("-",B513)*1),
      IF(LEN(LEFT(B513,FIND("-",B513)-1))=4,
        DATE(VALUE(LEFT(B513,4)),VALUE(MID(B513,6,2)),VALUE(RIGHT(B513,2))),
        DATE(VALUE(RIGHT(B513,4)),VALUE(MID(B513,4,2)),VALUE(LEFT(B513,2)))
      ),
      IF(ISNUMBER(SEARCH("/",B513)*1),
        DATE(VALUE(RIGHT(B513,4)),VALUE(LEFT(B513,2)),VALUE(MID(B513,4,2))),
        DATEVALUE(B513)
      )
    )
  ),
"INVALID_DATE")</f>
        <v>45588</v>
      </c>
      <c r="AA513" s="2">
        <f>IFERROR(
  IF(ISNUMBER(C513),C513,
    IF(ISNUMBER(SEARCH("-",C513)*1),
      IF(LEN(LEFT(C513,FIND("-",C513)-1))=4,
        DATE(VALUE(LEFT(C513,4)),VALUE(MID(C513,6,2)),VALUE(RIGHT(C513,2))),
        DATE(VALUE(RIGHT(C513,4)),VALUE(MID(C513,4,2)),VALUE(LEFT(C513,2)))
      ),
      IF(ISNUMBER(SEARCH("/",C513)*1),
        DATE(VALUE(RIGHT(C513,4)),VALUE(LEFT(C513,2)),VALUE(MID(C513,4,2))),
        DATEVALUE(C513)
      )
    )
  ),
"INVALID_DATE")</f>
        <v>45591</v>
      </c>
      <c r="AB513">
        <f>AA513-Z513</f>
        <v>3</v>
      </c>
      <c r="AC513" t="str">
        <f>TEXT(Z513,"mmmm")</f>
        <v>October</v>
      </c>
      <c r="AD513">
        <f>YEAR(Z513)</f>
        <v>2024</v>
      </c>
      <c r="AE513" t="str">
        <f t="shared" si="23"/>
        <v>OK</v>
      </c>
    </row>
    <row r="514" spans="1:31">
      <c r="A514" t="s">
        <v>2495</v>
      </c>
      <c r="B514" t="s">
        <v>794</v>
      </c>
      <c r="C514" t="s">
        <v>2496</v>
      </c>
      <c r="D514" t="s">
        <v>1908</v>
      </c>
      <c r="E514" t="s">
        <v>60</v>
      </c>
      <c r="F514" t="s">
        <v>115</v>
      </c>
      <c r="G514" t="s">
        <v>69</v>
      </c>
      <c r="H514" t="s">
        <v>249</v>
      </c>
      <c r="I514" t="s">
        <v>250</v>
      </c>
      <c r="J514" t="s">
        <v>37</v>
      </c>
      <c r="K514" t="s">
        <v>116</v>
      </c>
      <c r="L514" t="s">
        <v>2497</v>
      </c>
      <c r="M514" t="s">
        <v>40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41</v>
      </c>
      <c r="U514" t="s">
        <v>42</v>
      </c>
      <c r="V514">
        <f>O514*(1-P514)*N514</f>
        <v>6047.1749999999993</v>
      </c>
      <c r="W514">
        <f t="shared" si="21"/>
        <v>2678.3849999999993</v>
      </c>
      <c r="X514">
        <f t="shared" si="22"/>
        <v>0.44291461956584649</v>
      </c>
      <c r="Y514" t="s">
        <v>4120</v>
      </c>
      <c r="Z514" s="2">
        <f>IFERROR(
  IF(ISNUMBER(B514),B514,
    IF(ISNUMBER(SEARCH("-",B514)*1),
      IF(LEN(LEFT(B514,FIND("-",B514)-1))=4,
        DATE(VALUE(LEFT(B514,4)),VALUE(MID(B514,6,2)),VALUE(RIGHT(B514,2))),
        DATE(VALUE(RIGHT(B514,4)),VALUE(MID(B514,4,2)),VALUE(LEFT(B514,2)))
      ),
      IF(ISNUMBER(SEARCH("/",B514)*1),
        DATE(VALUE(RIGHT(B514,4)),VALUE(LEFT(B514,2)),VALUE(MID(B514,4,2))),
        DATEVALUE(B514)
      )
    )
  ),
"INVALID_DATE")</f>
        <v>45718</v>
      </c>
      <c r="AA514" s="2">
        <f>IFERROR(
  IF(ISNUMBER(C514),C514,
    IF(ISNUMBER(SEARCH("-",C514)*1),
      IF(LEN(LEFT(C514,FIND("-",C514)-1))=4,
        DATE(VALUE(LEFT(C514,4)),VALUE(MID(C514,6,2)),VALUE(RIGHT(C514,2))),
        DATE(VALUE(RIGHT(C514,4)),VALUE(MID(C514,4,2)),VALUE(LEFT(C514,2)))
      ),
      IF(ISNUMBER(SEARCH("/",C514)*1),
        DATE(VALUE(RIGHT(C514,4)),VALUE(LEFT(C514,2)),VALUE(MID(C514,4,2))),
        DATEVALUE(C514)
      )
    )
  ),
"INVALID_DATE")</f>
        <v>45719</v>
      </c>
      <c r="AB514">
        <f>AA514-Z514</f>
        <v>1</v>
      </c>
      <c r="AC514" t="str">
        <f>TEXT(Z514,"mmmm")</f>
        <v>March</v>
      </c>
      <c r="AD514">
        <f>YEAR(Z514)</f>
        <v>2025</v>
      </c>
      <c r="AE514" t="str">
        <f t="shared" si="23"/>
        <v>OK</v>
      </c>
    </row>
    <row r="515" spans="1:31">
      <c r="A515" t="s">
        <v>2498</v>
      </c>
      <c r="B515" t="s">
        <v>1005</v>
      </c>
      <c r="C515" t="s">
        <v>2405</v>
      </c>
      <c r="D515" t="s">
        <v>2499</v>
      </c>
      <c r="E515" t="s">
        <v>169</v>
      </c>
      <c r="F515" t="s">
        <v>115</v>
      </c>
      <c r="G515" t="s">
        <v>69</v>
      </c>
      <c r="H515" t="s">
        <v>249</v>
      </c>
      <c r="I515" t="s">
        <v>250</v>
      </c>
      <c r="J515" t="s">
        <v>93</v>
      </c>
      <c r="K515" t="s">
        <v>94</v>
      </c>
      <c r="L515" t="s">
        <v>2500</v>
      </c>
      <c r="M515" t="s">
        <v>63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41</v>
      </c>
      <c r="U515" t="s">
        <v>42</v>
      </c>
      <c r="V515">
        <f>O515*(1-P515)*N515</f>
        <v>5937.2460000000001</v>
      </c>
      <c r="W515">
        <f t="shared" ref="W515:W578" si="24">V515-R515</f>
        <v>1848.7860000000001</v>
      </c>
      <c r="X515">
        <f t="shared" ref="X515:X578" si="25">S515/Q515</f>
        <v>0.29759770007629927</v>
      </c>
      <c r="Y515" t="str">
        <f>_xlfn.TEXTJOIN(", ",TRUE,IF(G515="Unknown","Missing Region",""),IF(M515="Unknown","Missing Ship Mode",""),IF(P515&lt;0,"Negative Discount",""),IF(P515&gt;0.7,"High Discount",""),IF(C515&lt;B515,"Ship Before Order",""))</f>
        <v>Ship Before Order</v>
      </c>
      <c r="Z515" s="2">
        <f>IFERROR(
  IF(ISNUMBER(B515),B515,
    IF(ISNUMBER(SEARCH("-",B515)*1),
      IF(LEN(LEFT(B515,FIND("-",B515)-1))=4,
        DATE(VALUE(LEFT(B515,4)),VALUE(MID(B515,6,2)),VALUE(RIGHT(B515,2))),
        DATE(VALUE(RIGHT(B515,4)),VALUE(MID(B515,4,2)),VALUE(LEFT(B515,2)))
      ),
      IF(ISNUMBER(SEARCH("/",B515)*1),
        DATE(VALUE(RIGHT(B515,4)),VALUE(LEFT(B515,2)),VALUE(MID(B515,4,2))),
        DATEVALUE(B515)
      )
    )
  ),
"INVALID_DATE")</f>
        <v>45835</v>
      </c>
      <c r="AA515" s="2">
        <f>IFERROR(
  IF(ISNUMBER(C515),C515,
    IF(ISNUMBER(SEARCH("-",C515)*1),
      IF(LEN(LEFT(C515,FIND("-",C515)-1))=4,
        DATE(VALUE(LEFT(C515,4)),VALUE(MID(C515,6,2)),VALUE(RIGHT(C515,2))),
        DATE(VALUE(RIGHT(C515,4)),VALUE(MID(C515,4,2)),VALUE(LEFT(C515,2)))
      ),
      IF(ISNUMBER(SEARCH("/",C515)*1),
        DATE(VALUE(RIGHT(C515,4)),VALUE(LEFT(C515,2)),VALUE(MID(C515,4,2))),
        DATEVALUE(C515)
      )
    )
  ),
"INVALID_DATE")</f>
        <v>45840</v>
      </c>
      <c r="AB515">
        <f>AA515-Z515</f>
        <v>5</v>
      </c>
      <c r="AC515" t="str">
        <f>TEXT(Z515,"mmmm")</f>
        <v>June</v>
      </c>
      <c r="AD515">
        <f>YEAR(Z515)</f>
        <v>2025</v>
      </c>
      <c r="AE515" t="str">
        <f t="shared" ref="AE515:AE578" si="26">IF(OR(Z515="INVALID_DATE",AA515="INVALID_DATE"),"Invalid Date",IF(AA515&lt;Z515,"Ship Before Order","OK"))</f>
        <v>OK</v>
      </c>
    </row>
    <row r="516" spans="1:31">
      <c r="A516" t="s">
        <v>2501</v>
      </c>
      <c r="B516" t="s">
        <v>2502</v>
      </c>
      <c r="C516" t="s">
        <v>2415</v>
      </c>
      <c r="D516" t="s">
        <v>2503</v>
      </c>
      <c r="E516" t="s">
        <v>32</v>
      </c>
      <c r="F516" t="s">
        <v>122</v>
      </c>
      <c r="G516" t="s">
        <v>69</v>
      </c>
      <c r="H516" t="s">
        <v>249</v>
      </c>
      <c r="I516" t="s">
        <v>250</v>
      </c>
      <c r="J516" t="s">
        <v>93</v>
      </c>
      <c r="K516" t="s">
        <v>94</v>
      </c>
      <c r="L516" t="s">
        <v>2504</v>
      </c>
      <c r="M516" t="s">
        <v>74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41</v>
      </c>
      <c r="U516" t="s">
        <v>42</v>
      </c>
      <c r="V516">
        <f>O516*(1-P516)*N516</f>
        <v>20913.876</v>
      </c>
      <c r="W516">
        <f t="shared" si="24"/>
        <v>9229.1959999999999</v>
      </c>
      <c r="X516">
        <f t="shared" si="25"/>
        <v>0.44129544589526193</v>
      </c>
      <c r="Y516" t="s">
        <v>4120</v>
      </c>
      <c r="Z516" s="2">
        <f>IFERROR(
  IF(ISNUMBER(B516),B516,
    IF(ISNUMBER(SEARCH("-",B516)*1),
      IF(LEN(LEFT(B516,FIND("-",B516)-1))=4,
        DATE(VALUE(LEFT(B516,4)),VALUE(MID(B516,6,2)),VALUE(RIGHT(B516,2))),
        DATE(VALUE(RIGHT(B516,4)),VALUE(MID(B516,4,2)),VALUE(LEFT(B516,2)))
      ),
      IF(ISNUMBER(SEARCH("/",B516)*1),
        DATE(VALUE(RIGHT(B516,4)),VALUE(LEFT(B516,2)),VALUE(MID(B516,4,2))),
        DATEVALUE(B516)
      )
    )
  ),
"INVALID_DATE")</f>
        <v>45614</v>
      </c>
      <c r="AA516" s="2">
        <f>IFERROR(
  IF(ISNUMBER(C516),C516,
    IF(ISNUMBER(SEARCH("-",C516)*1),
      IF(LEN(LEFT(C516,FIND("-",C516)-1))=4,
        DATE(VALUE(LEFT(C516,4)),VALUE(MID(C516,6,2)),VALUE(RIGHT(C516,2))),
        DATE(VALUE(RIGHT(C516,4)),VALUE(MID(C516,4,2)),VALUE(LEFT(C516,2)))
      ),
      IF(ISNUMBER(SEARCH("/",C516)*1),
        DATE(VALUE(RIGHT(C516,4)),VALUE(LEFT(C516,2)),VALUE(MID(C516,4,2))),
        DATEVALUE(C516)
      )
    )
  ),
"INVALID_DATE")</f>
        <v>45618</v>
      </c>
      <c r="AB516">
        <f>AA516-Z516</f>
        <v>4</v>
      </c>
      <c r="AC516" t="str">
        <f>TEXT(Z516,"mmmm")</f>
        <v>November</v>
      </c>
      <c r="AD516">
        <f>YEAR(Z516)</f>
        <v>2024</v>
      </c>
      <c r="AE516" t="str">
        <f t="shared" si="26"/>
        <v>OK</v>
      </c>
    </row>
    <row r="517" spans="1:31">
      <c r="A517" t="s">
        <v>2505</v>
      </c>
      <c r="B517" t="s">
        <v>2150</v>
      </c>
      <c r="C517" t="s">
        <v>2506</v>
      </c>
      <c r="D517" t="s">
        <v>2507</v>
      </c>
      <c r="E517" t="s">
        <v>155</v>
      </c>
      <c r="F517" t="s">
        <v>115</v>
      </c>
      <c r="G517" t="s">
        <v>34</v>
      </c>
      <c r="H517" t="s">
        <v>514</v>
      </c>
      <c r="I517" t="s">
        <v>515</v>
      </c>
      <c r="J517" t="s">
        <v>37</v>
      </c>
      <c r="K517" t="s">
        <v>38</v>
      </c>
      <c r="L517" t="s">
        <v>2508</v>
      </c>
      <c r="M517" t="s">
        <v>74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41</v>
      </c>
      <c r="U517" t="s">
        <v>42</v>
      </c>
      <c r="V517">
        <f>O517*(1-P517)*N517</f>
        <v>4770.5843000000004</v>
      </c>
      <c r="W517">
        <f t="shared" si="24"/>
        <v>2687.1743000000006</v>
      </c>
      <c r="X517">
        <f t="shared" si="25"/>
        <v>0.41588655345562819</v>
      </c>
      <c r="Y517" t="str">
        <f>_xlfn.TEXTJOIN(", ",TRUE,IF(G517="Unknown","Missing Region",""),IF(M517="Unknown","Missing Ship Mode",""),IF(P517&lt;0,"Negative Discount",""),IF(P517&gt;0.7,"High Discount",""),IF(C517&lt;B517,"Ship Before Order",""))</f>
        <v>Negative Discount</v>
      </c>
      <c r="Z517" s="2">
        <f>IFERROR(
  IF(ISNUMBER(B517),B517,
    IF(ISNUMBER(SEARCH("-",B517)*1),
      IF(LEN(LEFT(B517,FIND("-",B517)-1))=4,
        DATE(VALUE(LEFT(B517,4)),VALUE(MID(B517,6,2)),VALUE(RIGHT(B517,2))),
        DATE(VALUE(RIGHT(B517,4)),VALUE(MID(B517,4,2)),VALUE(LEFT(B517,2)))
      ),
      IF(ISNUMBER(SEARCH("/",B517)*1),
        DATE(VALUE(RIGHT(B517,4)),VALUE(LEFT(B517,2)),VALUE(MID(B517,4,2))),
        DATEVALUE(B517)
      )
    )
  ),
"INVALID_DATE")</f>
        <v>45758</v>
      </c>
      <c r="AA517" s="2">
        <f>IFERROR(
  IF(ISNUMBER(C517),C517,
    IF(ISNUMBER(SEARCH("-",C517)*1),
      IF(LEN(LEFT(C517,FIND("-",C517)-1))=4,
        DATE(VALUE(LEFT(C517,4)),VALUE(MID(C517,6,2)),VALUE(RIGHT(C517,2))),
        DATE(VALUE(RIGHT(C517,4)),VALUE(MID(C517,4,2)),VALUE(LEFT(C517,2)))
      ),
      IF(ISNUMBER(SEARCH("/",C517)*1),
        DATE(VALUE(RIGHT(C517,4)),VALUE(LEFT(C517,2)),VALUE(MID(C517,4,2))),
        DATEVALUE(C517)
      )
    )
  ),
"INVALID_DATE")</f>
        <v>45758</v>
      </c>
      <c r="AB517">
        <f>AA517-Z517</f>
        <v>0</v>
      </c>
      <c r="AC517" t="str">
        <f>TEXT(Z517,"mmmm")</f>
        <v>April</v>
      </c>
      <c r="AD517">
        <f>YEAR(Z517)</f>
        <v>2025</v>
      </c>
      <c r="AE517" t="str">
        <f t="shared" si="26"/>
        <v>OK</v>
      </c>
    </row>
    <row r="518" spans="1:31">
      <c r="A518" t="s">
        <v>2509</v>
      </c>
      <c r="B518" t="s">
        <v>2510</v>
      </c>
      <c r="C518" t="s">
        <v>2511</v>
      </c>
      <c r="D518" t="s">
        <v>2512</v>
      </c>
      <c r="E518" t="s">
        <v>374</v>
      </c>
      <c r="F518" t="s">
        <v>122</v>
      </c>
      <c r="G518" t="s">
        <v>34</v>
      </c>
      <c r="H518" t="s">
        <v>514</v>
      </c>
      <c r="I518" t="s">
        <v>515</v>
      </c>
      <c r="J518" t="s">
        <v>93</v>
      </c>
      <c r="K518" t="s">
        <v>101</v>
      </c>
      <c r="L518" t="s">
        <v>2513</v>
      </c>
      <c r="M518" t="s">
        <v>74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207</v>
      </c>
      <c r="U518" t="s">
        <v>132</v>
      </c>
      <c r="V518">
        <f>O518*(1-P518)*N518</f>
        <v>2233.1799999999998</v>
      </c>
      <c r="W518">
        <f t="shared" si="24"/>
        <v>647.3599999999999</v>
      </c>
      <c r="X518">
        <f t="shared" si="25"/>
        <v>0.28988258895386848</v>
      </c>
      <c r="Y518" t="str">
        <f>_xlfn.TEXTJOIN(", ",TRUE,IF(G518="Unknown","Missing Region",""),IF(M518="Unknown","Missing Ship Mode",""),IF(P518&lt;0,"Negative Discount",""),IF(P518&gt;0.7,"High Discount",""),IF(C518&lt;B518,"Ship Before Order",""))</f>
        <v>Ship Before Order</v>
      </c>
      <c r="Z518" s="2">
        <f>IFERROR(
  IF(ISNUMBER(B518),B518,
    IF(ISNUMBER(SEARCH("-",B518)*1),
      IF(LEN(LEFT(B518,FIND("-",B518)-1))=4,
        DATE(VALUE(LEFT(B518,4)),VALUE(MID(B518,6,2)),VALUE(RIGHT(B518,2))),
        DATE(VALUE(RIGHT(B518,4)),VALUE(MID(B518,4,2)),VALUE(LEFT(B518,2)))
      ),
      IF(ISNUMBER(SEARCH("/",B518)*1),
        DATE(VALUE(RIGHT(B518,4)),VALUE(LEFT(B518,2)),VALUE(MID(B518,4,2))),
        DATEVALUE(B518)
      )
    )
  ),
"INVALID_DATE")</f>
        <v>45563</v>
      </c>
      <c r="AA518" s="2">
        <f>IFERROR(
  IF(ISNUMBER(C518),C518,
    IF(ISNUMBER(SEARCH("-",C518)*1),
      IF(LEN(LEFT(C518,FIND("-",C518)-1))=4,
        DATE(VALUE(LEFT(C518,4)),VALUE(MID(C518,6,2)),VALUE(RIGHT(C518,2))),
        DATE(VALUE(RIGHT(C518,4)),VALUE(MID(C518,4,2)),VALUE(LEFT(C518,2)))
      ),
      IF(ISNUMBER(SEARCH("/",C518)*1),
        DATE(VALUE(RIGHT(C518,4)),VALUE(LEFT(C518,2)),VALUE(MID(C518,4,2))),
        DATEVALUE(C518)
      )
    )
  ),
"INVALID_DATE")</f>
        <v>45569</v>
      </c>
      <c r="AB518">
        <f>AA518-Z518</f>
        <v>6</v>
      </c>
      <c r="AC518" t="str">
        <f>TEXT(Z518,"mmmm")</f>
        <v>September</v>
      </c>
      <c r="AD518">
        <f>YEAR(Z518)</f>
        <v>2024</v>
      </c>
      <c r="AE518" t="str">
        <f t="shared" si="26"/>
        <v>OK</v>
      </c>
    </row>
    <row r="519" spans="1:31">
      <c r="A519" t="s">
        <v>2514</v>
      </c>
      <c r="B519" t="s">
        <v>2515</v>
      </c>
      <c r="C519" t="s">
        <v>1690</v>
      </c>
      <c r="D519" t="s">
        <v>2516</v>
      </c>
      <c r="E519" t="s">
        <v>155</v>
      </c>
      <c r="F519" t="s">
        <v>33</v>
      </c>
      <c r="G519" t="s">
        <v>49</v>
      </c>
      <c r="H519" t="s">
        <v>50</v>
      </c>
      <c r="I519" t="s">
        <v>51</v>
      </c>
      <c r="J519" t="s">
        <v>52</v>
      </c>
      <c r="K519" t="s">
        <v>72</v>
      </c>
      <c r="L519" t="s">
        <v>2517</v>
      </c>
      <c r="M519" t="s">
        <v>40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131</v>
      </c>
      <c r="U519" t="s">
        <v>132</v>
      </c>
      <c r="V519">
        <f>O519*(1-P519)*N519</f>
        <v>11890.368000000002</v>
      </c>
      <c r="W519">
        <f t="shared" si="24"/>
        <v>2655.8380000000016</v>
      </c>
      <c r="X519">
        <f t="shared" si="25"/>
        <v>0.22336058507851311</v>
      </c>
      <c r="Y519" t="s">
        <v>4120</v>
      </c>
      <c r="Z519" s="2">
        <f>IFERROR(
  IF(ISNUMBER(B519),B519,
    IF(ISNUMBER(SEARCH("-",B519)*1),
      IF(LEN(LEFT(B519,FIND("-",B519)-1))=4,
        DATE(VALUE(LEFT(B519,4)),VALUE(MID(B519,6,2)),VALUE(RIGHT(B519,2))),
        DATE(VALUE(RIGHT(B519,4)),VALUE(MID(B519,4,2)),VALUE(LEFT(B519,2)))
      ),
      IF(ISNUMBER(SEARCH("/",B519)*1),
        DATE(VALUE(RIGHT(B519,4)),VALUE(LEFT(B519,2)),VALUE(MID(B519,4,2))),
        DATEVALUE(B519)
      )
    )
  ),
"INVALID_DATE")</f>
        <v>45802</v>
      </c>
      <c r="AA519" s="2">
        <f>IFERROR(
  IF(ISNUMBER(C519),C519,
    IF(ISNUMBER(SEARCH("-",C519)*1),
      IF(LEN(LEFT(C519,FIND("-",C519)-1))=4,
        DATE(VALUE(LEFT(C519,4)),VALUE(MID(C519,6,2)),VALUE(RIGHT(C519,2))),
        DATE(VALUE(RIGHT(C519,4)),VALUE(MID(C519,4,2)),VALUE(LEFT(C519,2)))
      ),
      IF(ISNUMBER(SEARCH("/",C519)*1),
        DATE(VALUE(RIGHT(C519,4)),VALUE(LEFT(C519,2)),VALUE(MID(C519,4,2))),
        DATEVALUE(C519)
      )
    )
  ),
"INVALID_DATE")</f>
        <v>45804</v>
      </c>
      <c r="AB519">
        <f>AA519-Z519</f>
        <v>2</v>
      </c>
      <c r="AC519" t="str">
        <f>TEXT(Z519,"mmmm")</f>
        <v>May</v>
      </c>
      <c r="AD519">
        <f>YEAR(Z519)</f>
        <v>2025</v>
      </c>
      <c r="AE519" t="str">
        <f t="shared" si="26"/>
        <v>OK</v>
      </c>
    </row>
    <row r="520" spans="1:31">
      <c r="A520" t="s">
        <v>2518</v>
      </c>
      <c r="B520" t="s">
        <v>2400</v>
      </c>
      <c r="C520" t="s">
        <v>2519</v>
      </c>
      <c r="D520" t="s">
        <v>2520</v>
      </c>
      <c r="E520" t="s">
        <v>217</v>
      </c>
      <c r="F520" t="s">
        <v>115</v>
      </c>
      <c r="G520" t="s">
        <v>49</v>
      </c>
      <c r="H520" t="s">
        <v>50</v>
      </c>
      <c r="I520" t="s">
        <v>51</v>
      </c>
      <c r="J520" t="s">
        <v>52</v>
      </c>
      <c r="K520" t="s">
        <v>53</v>
      </c>
      <c r="L520" t="s">
        <v>2521</v>
      </c>
      <c r="M520" t="s">
        <v>63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41</v>
      </c>
      <c r="U520" t="s">
        <v>85</v>
      </c>
      <c r="V520">
        <f>O520*(1-P520)*N520</f>
        <v>8421.6825000000008</v>
      </c>
      <c r="W520">
        <f t="shared" si="24"/>
        <v>1887.2125000000005</v>
      </c>
      <c r="X520">
        <f t="shared" si="25"/>
        <v>0.22408949283278395</v>
      </c>
      <c r="Y520" t="str">
        <f>_xlfn.TEXTJOIN(", ",TRUE,IF(G520="Unknown","Missing Region",""),IF(M520="Unknown","Missing Ship Mode",""),IF(P520&lt;0,"Negative Discount",""),IF(P520&gt;0.7,"High Discount",""),IF(C520&lt;B520,"Ship Before Order",""))</f>
        <v>Ship Before Order</v>
      </c>
      <c r="Z520" s="2">
        <f>IFERROR(
  IF(ISNUMBER(B520),B520,
    IF(ISNUMBER(SEARCH("-",B520)*1),
      IF(LEN(LEFT(B520,FIND("-",B520)-1))=4,
        DATE(VALUE(LEFT(B520,4)),VALUE(MID(B520,6,2)),VALUE(RIGHT(B520,2))),
        DATE(VALUE(RIGHT(B520,4)),VALUE(MID(B520,4,2)),VALUE(LEFT(B520,2)))
      ),
      IF(ISNUMBER(SEARCH("/",B520)*1),
        DATE(VALUE(RIGHT(B520,4)),VALUE(LEFT(B520,2)),VALUE(MID(B520,4,2))),
        DATEVALUE(B520)
      )
    )
  ),
"INVALID_DATE")</f>
        <v>45777</v>
      </c>
      <c r="AA520" s="2">
        <f>IFERROR(
  IF(ISNUMBER(C520),C520,
    IF(ISNUMBER(SEARCH("-",C520)*1),
      IF(LEN(LEFT(C520,FIND("-",C520)-1))=4,
        DATE(VALUE(LEFT(C520,4)),VALUE(MID(C520,6,2)),VALUE(RIGHT(C520,2))),
        DATE(VALUE(RIGHT(C520,4)),VALUE(MID(C520,4,2)),VALUE(LEFT(C520,2)))
      ),
      IF(ISNUMBER(SEARCH("/",C520)*1),
        DATE(VALUE(RIGHT(C520,4)),VALUE(LEFT(C520,2)),VALUE(MID(C520,4,2))),
        DATEVALUE(C520)
      )
    )
  ),
"INVALID_DATE")</f>
        <v>45773</v>
      </c>
      <c r="AB520">
        <f>AA520-Z520</f>
        <v>-4</v>
      </c>
      <c r="AC520" t="str">
        <f>TEXT(Z520,"mmmm")</f>
        <v>April</v>
      </c>
      <c r="AD520">
        <f>YEAR(Z520)</f>
        <v>2025</v>
      </c>
      <c r="AE520" t="str">
        <f t="shared" si="26"/>
        <v>Ship Before Order</v>
      </c>
    </row>
    <row r="521" spans="1:31">
      <c r="A521" t="s">
        <v>2522</v>
      </c>
      <c r="B521" t="s">
        <v>388</v>
      </c>
      <c r="C521" t="s">
        <v>2523</v>
      </c>
      <c r="D521" t="s">
        <v>2524</v>
      </c>
      <c r="E521" t="s">
        <v>149</v>
      </c>
      <c r="F521" t="s">
        <v>33</v>
      </c>
      <c r="G521" t="s">
        <v>34</v>
      </c>
      <c r="H521" t="s">
        <v>181</v>
      </c>
      <c r="I521" t="s">
        <v>182</v>
      </c>
      <c r="J521" t="s">
        <v>52</v>
      </c>
      <c r="K521" t="s">
        <v>53</v>
      </c>
      <c r="L521" t="s">
        <v>2525</v>
      </c>
      <c r="M521" t="s">
        <v>74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144</v>
      </c>
      <c r="U521" t="s">
        <v>85</v>
      </c>
      <c r="V521">
        <f>O521*(1-P521)*N521</f>
        <v>13968.672</v>
      </c>
      <c r="W521">
        <f t="shared" si="24"/>
        <v>5111.0920000000006</v>
      </c>
      <c r="X521">
        <f t="shared" si="25"/>
        <v>0.3658966816454251</v>
      </c>
      <c r="Y521" t="s">
        <v>4120</v>
      </c>
      <c r="Z521" s="2">
        <f>IFERROR(
  IF(ISNUMBER(B521),B521,
    IF(ISNUMBER(SEARCH("-",B521)*1),
      IF(LEN(LEFT(B521,FIND("-",B521)-1))=4,
        DATE(VALUE(LEFT(B521,4)),VALUE(MID(B521,6,2)),VALUE(RIGHT(B521,2))),
        DATE(VALUE(RIGHT(B521,4)),VALUE(MID(B521,4,2)),VALUE(LEFT(B521,2)))
      ),
      IF(ISNUMBER(SEARCH("/",B521)*1),
        DATE(VALUE(RIGHT(B521,4)),VALUE(LEFT(B521,2)),VALUE(MID(B521,4,2))),
        DATEVALUE(B521)
      )
    )
  ),
"INVALID_DATE")</f>
        <v>45841</v>
      </c>
      <c r="AA521" s="2">
        <f>IFERROR(
  IF(ISNUMBER(C521),C521,
    IF(ISNUMBER(SEARCH("-",C521)*1),
      IF(LEN(LEFT(C521,FIND("-",C521)-1))=4,
        DATE(VALUE(LEFT(C521,4)),VALUE(MID(C521,6,2)),VALUE(RIGHT(C521,2))),
        DATE(VALUE(RIGHT(C521,4)),VALUE(MID(C521,4,2)),VALUE(LEFT(C521,2)))
      ),
      IF(ISNUMBER(SEARCH("/",C521)*1),
        DATE(VALUE(RIGHT(C521,4)),VALUE(LEFT(C521,2)),VALUE(MID(C521,4,2))),
        DATEVALUE(C521)
      )
    )
  ),
"INVALID_DATE")</f>
        <v>45845</v>
      </c>
      <c r="AB521">
        <f>AA521-Z521</f>
        <v>4</v>
      </c>
      <c r="AC521" t="str">
        <f>TEXT(Z521,"mmmm")</f>
        <v>July</v>
      </c>
      <c r="AD521">
        <f>YEAR(Z521)</f>
        <v>2025</v>
      </c>
      <c r="AE521" t="str">
        <f t="shared" si="26"/>
        <v>OK</v>
      </c>
    </row>
    <row r="522" spans="1:31">
      <c r="A522" t="s">
        <v>2526</v>
      </c>
      <c r="B522" t="s">
        <v>1117</v>
      </c>
      <c r="C522" t="s">
        <v>2527</v>
      </c>
      <c r="D522" t="s">
        <v>2528</v>
      </c>
      <c r="E522" t="s">
        <v>169</v>
      </c>
      <c r="F522" t="s">
        <v>122</v>
      </c>
      <c r="G522" t="s">
        <v>69</v>
      </c>
      <c r="H522" t="s">
        <v>236</v>
      </c>
      <c r="I522" t="s">
        <v>237</v>
      </c>
      <c r="J522" t="s">
        <v>93</v>
      </c>
      <c r="K522" t="s">
        <v>390</v>
      </c>
      <c r="L522" t="s">
        <v>2529</v>
      </c>
      <c r="M522" t="s">
        <v>55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41</v>
      </c>
      <c r="U522" t="s">
        <v>42</v>
      </c>
      <c r="V522">
        <f>O522*(1-P522)*N522</f>
        <v>1611.1144999999999</v>
      </c>
      <c r="W522">
        <f t="shared" si="24"/>
        <v>715.96449999999993</v>
      </c>
      <c r="X522">
        <f t="shared" si="25"/>
        <v>0.44438927199260142</v>
      </c>
      <c r="Y522" t="s">
        <v>4120</v>
      </c>
      <c r="Z522" s="2">
        <f>IFERROR(
  IF(ISNUMBER(B522),B522,
    IF(ISNUMBER(SEARCH("-",B522)*1),
      IF(LEN(LEFT(B522,FIND("-",B522)-1))=4,
        DATE(VALUE(LEFT(B522,4)),VALUE(MID(B522,6,2)),VALUE(RIGHT(B522,2))),
        DATE(VALUE(RIGHT(B522,4)),VALUE(MID(B522,4,2)),VALUE(LEFT(B522,2)))
      ),
      IF(ISNUMBER(SEARCH("/",B522)*1),
        DATE(VALUE(RIGHT(B522,4)),VALUE(LEFT(B522,2)),VALUE(MID(B522,4,2))),
        DATEVALUE(B522)
      )
    )
  ),
"INVALID_DATE")</f>
        <v>45489</v>
      </c>
      <c r="AA522" s="2">
        <f>IFERROR(
  IF(ISNUMBER(C522),C522,
    IF(ISNUMBER(SEARCH("-",C522)*1),
      IF(LEN(LEFT(C522,FIND("-",C522)-1))=4,
        DATE(VALUE(LEFT(C522,4)),VALUE(MID(C522,6,2)),VALUE(RIGHT(C522,2))),
        DATE(VALUE(RIGHT(C522,4)),VALUE(MID(C522,4,2)),VALUE(LEFT(C522,2)))
      ),
      IF(ISNUMBER(SEARCH("/",C522)*1),
        DATE(VALUE(RIGHT(C522,4)),VALUE(LEFT(C522,2)),VALUE(MID(C522,4,2))),
        DATEVALUE(C522)
      )
    )
  ),
"INVALID_DATE")</f>
        <v>45496</v>
      </c>
      <c r="AB522">
        <f>AA522-Z522</f>
        <v>7</v>
      </c>
      <c r="AC522" t="str">
        <f>TEXT(Z522,"mmmm")</f>
        <v>July</v>
      </c>
      <c r="AD522">
        <f>YEAR(Z522)</f>
        <v>2024</v>
      </c>
      <c r="AE522" t="str">
        <f t="shared" si="26"/>
        <v>OK</v>
      </c>
    </row>
    <row r="523" spans="1:31">
      <c r="A523" t="s">
        <v>2530</v>
      </c>
      <c r="B523" t="s">
        <v>2531</v>
      </c>
      <c r="C523" t="s">
        <v>2532</v>
      </c>
      <c r="D523" t="s">
        <v>2533</v>
      </c>
      <c r="E523" t="s">
        <v>217</v>
      </c>
      <c r="F523" t="s">
        <v>33</v>
      </c>
      <c r="G523" t="s">
        <v>34</v>
      </c>
      <c r="H523" t="s">
        <v>161</v>
      </c>
      <c r="I523" t="s">
        <v>162</v>
      </c>
      <c r="J523" t="s">
        <v>37</v>
      </c>
      <c r="K523" t="s">
        <v>116</v>
      </c>
      <c r="L523" t="s">
        <v>2534</v>
      </c>
      <c r="M523" t="s">
        <v>40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41</v>
      </c>
      <c r="U523" t="s">
        <v>42</v>
      </c>
      <c r="V523">
        <f>O523*(1-P523)*N523</f>
        <v>12495.027</v>
      </c>
      <c r="W523">
        <f t="shared" si="24"/>
        <v>3310.5069999999996</v>
      </c>
      <c r="X523">
        <f t="shared" si="25"/>
        <v>0.26494614258629229</v>
      </c>
      <c r="Y523" t="s">
        <v>4120</v>
      </c>
      <c r="Z523" s="2">
        <f>IFERROR(
  IF(ISNUMBER(B523),B523,
    IF(ISNUMBER(SEARCH("-",B523)*1),
      IF(LEN(LEFT(B523,FIND("-",B523)-1))=4,
        DATE(VALUE(LEFT(B523,4)),VALUE(MID(B523,6,2)),VALUE(RIGHT(B523,2))),
        DATE(VALUE(RIGHT(B523,4)),VALUE(MID(B523,4,2)),VALUE(LEFT(B523,2)))
      ),
      IF(ISNUMBER(SEARCH("/",B523)*1),
        DATE(VALUE(RIGHT(B523,4)),VALUE(LEFT(B523,2)),VALUE(MID(B523,4,2))),
        DATEVALUE(B523)
      )
    )
  ),
"INVALID_DATE")</f>
        <v>45741</v>
      </c>
      <c r="AA523" s="2">
        <f>IFERROR(
  IF(ISNUMBER(C523),C523,
    IF(ISNUMBER(SEARCH("-",C523)*1),
      IF(LEN(LEFT(C523,FIND("-",C523)-1))=4,
        DATE(VALUE(LEFT(C523,4)),VALUE(MID(C523,6,2)),VALUE(RIGHT(C523,2))),
        DATE(VALUE(RIGHT(C523,4)),VALUE(MID(C523,4,2)),VALUE(LEFT(C523,2)))
      ),
      IF(ISNUMBER(SEARCH("/",C523)*1),
        DATE(VALUE(RIGHT(C523,4)),VALUE(LEFT(C523,2)),VALUE(MID(C523,4,2))),
        DATEVALUE(C523)
      )
    )
  ),
"INVALID_DATE")</f>
        <v>45748</v>
      </c>
      <c r="AB523">
        <f>AA523-Z523</f>
        <v>7</v>
      </c>
      <c r="AC523" t="str">
        <f>TEXT(Z523,"mmmm")</f>
        <v>March</v>
      </c>
      <c r="AD523">
        <f>YEAR(Z523)</f>
        <v>2025</v>
      </c>
      <c r="AE523" t="str">
        <f t="shared" si="26"/>
        <v>OK</v>
      </c>
    </row>
    <row r="524" spans="1:31">
      <c r="A524" t="s">
        <v>2535</v>
      </c>
      <c r="B524" t="s">
        <v>2536</v>
      </c>
      <c r="C524" t="s">
        <v>2332</v>
      </c>
      <c r="D524" t="s">
        <v>2537</v>
      </c>
      <c r="E524" t="s">
        <v>100</v>
      </c>
      <c r="F524" t="s">
        <v>48</v>
      </c>
      <c r="G524" t="s">
        <v>49</v>
      </c>
      <c r="H524" t="s">
        <v>319</v>
      </c>
      <c r="I524" t="s">
        <v>320</v>
      </c>
      <c r="J524" t="s">
        <v>93</v>
      </c>
      <c r="K524" t="s">
        <v>230</v>
      </c>
      <c r="L524" t="s">
        <v>2538</v>
      </c>
      <c r="M524" t="s">
        <v>63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41</v>
      </c>
      <c r="U524" t="s">
        <v>42</v>
      </c>
      <c r="V524">
        <f>O524*(1-P524)*N524</f>
        <v>33034.86</v>
      </c>
      <c r="W524">
        <f t="shared" si="24"/>
        <v>8495.0299999999988</v>
      </c>
      <c r="X524">
        <f t="shared" si="25"/>
        <v>0.25715350390466313</v>
      </c>
      <c r="Y524" t="s">
        <v>4120</v>
      </c>
      <c r="Z524" s="2">
        <f>IFERROR(
  IF(ISNUMBER(B524),B524,
    IF(ISNUMBER(SEARCH("-",B524)*1),
      IF(LEN(LEFT(B524,FIND("-",B524)-1))=4,
        DATE(VALUE(LEFT(B524,4)),VALUE(MID(B524,6,2)),VALUE(RIGHT(B524,2))),
        DATE(VALUE(RIGHT(B524,4)),VALUE(MID(B524,4,2)),VALUE(LEFT(B524,2)))
      ),
      IF(ISNUMBER(SEARCH("/",B524)*1),
        DATE(VALUE(RIGHT(B524,4)),VALUE(LEFT(B524,2)),VALUE(MID(B524,4,2))),
        DATEVALUE(B524)
      )
    )
  ),
"INVALID_DATE")</f>
        <v>45716</v>
      </c>
      <c r="AA524" s="2">
        <f>IFERROR(
  IF(ISNUMBER(C524),C524,
    IF(ISNUMBER(SEARCH("-",C524)*1),
      IF(LEN(LEFT(C524,FIND("-",C524)-1))=4,
        DATE(VALUE(LEFT(C524,4)),VALUE(MID(C524,6,2)),VALUE(RIGHT(C524,2))),
        DATE(VALUE(RIGHT(C524,4)),VALUE(MID(C524,4,2)),VALUE(LEFT(C524,2)))
      ),
      IF(ISNUMBER(SEARCH("/",C524)*1),
        DATE(VALUE(RIGHT(C524,4)),VALUE(LEFT(C524,2)),VALUE(MID(C524,4,2))),
        DATEVALUE(C524)
      )
    )
  ),
"INVALID_DATE")</f>
        <v>45724</v>
      </c>
      <c r="AB524">
        <f>AA524-Z524</f>
        <v>8</v>
      </c>
      <c r="AC524" t="str">
        <f>TEXT(Z524,"mmmm")</f>
        <v>February</v>
      </c>
      <c r="AD524">
        <f>YEAR(Z524)</f>
        <v>2025</v>
      </c>
      <c r="AE524" t="str">
        <f t="shared" si="26"/>
        <v>OK</v>
      </c>
    </row>
    <row r="525" spans="1:31">
      <c r="A525" t="s">
        <v>2539</v>
      </c>
      <c r="B525" t="s">
        <v>2540</v>
      </c>
      <c r="C525" t="s">
        <v>2541</v>
      </c>
      <c r="D525" t="s">
        <v>2542</v>
      </c>
      <c r="E525" t="s">
        <v>374</v>
      </c>
      <c r="F525" t="s">
        <v>122</v>
      </c>
      <c r="G525" t="s">
        <v>80</v>
      </c>
      <c r="H525" t="s">
        <v>256</v>
      </c>
      <c r="I525" t="s">
        <v>257</v>
      </c>
      <c r="J525" t="s">
        <v>37</v>
      </c>
      <c r="K525" t="s">
        <v>38</v>
      </c>
      <c r="L525" t="s">
        <v>2543</v>
      </c>
      <c r="M525" t="s">
        <v>40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41</v>
      </c>
      <c r="U525" t="s">
        <v>132</v>
      </c>
      <c r="V525">
        <f>O525*(1-P525)*N525</f>
        <v>5805.26</v>
      </c>
      <c r="W525">
        <f t="shared" si="24"/>
        <v>1150.9000000000005</v>
      </c>
      <c r="X525">
        <f t="shared" si="25"/>
        <v>0.19825124111581566</v>
      </c>
      <c r="Y525" t="s">
        <v>4120</v>
      </c>
      <c r="Z525" s="2">
        <f>IFERROR(
  IF(ISNUMBER(B525),B525,
    IF(ISNUMBER(SEARCH("-",B525)*1),
      IF(LEN(LEFT(B525,FIND("-",B525)-1))=4,
        DATE(VALUE(LEFT(B525,4)),VALUE(MID(B525,6,2)),VALUE(RIGHT(B525,2))),
        DATE(VALUE(RIGHT(B525,4)),VALUE(MID(B525,4,2)),VALUE(LEFT(B525,2)))
      ),
      IF(ISNUMBER(SEARCH("/",B525)*1),
        DATE(VALUE(RIGHT(B525,4)),VALUE(LEFT(B525,2)),VALUE(MID(B525,4,2))),
        DATEVALUE(B525)
      )
    )
  ),
"INVALID_DATE")</f>
        <v>45384</v>
      </c>
      <c r="AA525" s="2">
        <f>IFERROR(
  IF(ISNUMBER(C525),C525,
    IF(ISNUMBER(SEARCH("-",C525)*1),
      IF(LEN(LEFT(C525,FIND("-",C525)-1))=4,
        DATE(VALUE(LEFT(C525,4)),VALUE(MID(C525,6,2)),VALUE(RIGHT(C525,2))),
        DATE(VALUE(RIGHT(C525,4)),VALUE(MID(C525,4,2)),VALUE(LEFT(C525,2)))
      ),
      IF(ISNUMBER(SEARCH("/",C525)*1),
        DATE(VALUE(RIGHT(C525,4)),VALUE(LEFT(C525,2)),VALUE(MID(C525,4,2))),
        DATEVALUE(C525)
      )
    )
  ),
"INVALID_DATE")</f>
        <v>45385</v>
      </c>
      <c r="AB525">
        <f>AA525-Z525</f>
        <v>1</v>
      </c>
      <c r="AC525" t="str">
        <f>TEXT(Z525,"mmmm")</f>
        <v>April</v>
      </c>
      <c r="AD525">
        <f>YEAR(Z525)</f>
        <v>2024</v>
      </c>
      <c r="AE525" t="str">
        <f t="shared" si="26"/>
        <v>OK</v>
      </c>
    </row>
    <row r="526" spans="1:31">
      <c r="A526" t="s">
        <v>2544</v>
      </c>
      <c r="B526" t="s">
        <v>2545</v>
      </c>
      <c r="C526" t="s">
        <v>2546</v>
      </c>
      <c r="D526" t="s">
        <v>2547</v>
      </c>
      <c r="E526" t="s">
        <v>79</v>
      </c>
      <c r="F526" t="s">
        <v>115</v>
      </c>
      <c r="G526" t="s">
        <v>80</v>
      </c>
      <c r="H526" t="s">
        <v>242</v>
      </c>
      <c r="I526" t="s">
        <v>243</v>
      </c>
      <c r="J526" t="s">
        <v>52</v>
      </c>
      <c r="K526" t="s">
        <v>83</v>
      </c>
      <c r="L526" t="s">
        <v>2548</v>
      </c>
      <c r="M526" t="s">
        <v>63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41</v>
      </c>
      <c r="U526" t="s">
        <v>42</v>
      </c>
      <c r="V526">
        <f>O526*(1-P526)*N526</f>
        <v>34079.615999999995</v>
      </c>
      <c r="W526">
        <f t="shared" si="24"/>
        <v>12208.225999999995</v>
      </c>
      <c r="X526">
        <f t="shared" si="25"/>
        <v>0.35822670557946357</v>
      </c>
      <c r="Y526" t="str">
        <f>_xlfn.TEXTJOIN(", ",TRUE,IF(G526="Unknown","Missing Region",""),IF(M526="Unknown","Missing Ship Mode",""),IF(P526&lt;0,"Negative Discount",""),IF(P526&gt;0.7,"High Discount",""),IF(C526&lt;B526,"Ship Before Order",""))</f>
        <v>Ship Before Order</v>
      </c>
      <c r="Z526" s="2">
        <f>IFERROR(
  IF(ISNUMBER(B526),B526,
    IF(ISNUMBER(SEARCH("-",B526)*1),
      IF(LEN(LEFT(B526,FIND("-",B526)-1))=4,
        DATE(VALUE(LEFT(B526,4)),VALUE(MID(B526,6,2)),VALUE(RIGHT(B526,2))),
        DATE(VALUE(RIGHT(B526,4)),VALUE(MID(B526,4,2)),VALUE(LEFT(B526,2)))
      ),
      IF(ISNUMBER(SEARCH("/",B526)*1),
        DATE(VALUE(RIGHT(B526,4)),VALUE(LEFT(B526,2)),VALUE(MID(B526,4,2))),
        DATEVALUE(B526)
      )
    )
  ),
"INVALID_DATE")</f>
        <v>45626</v>
      </c>
      <c r="AA526" s="2">
        <f>IFERROR(
  IF(ISNUMBER(C526),C526,
    IF(ISNUMBER(SEARCH("-",C526)*1),
      IF(LEN(LEFT(C526,FIND("-",C526)-1))=4,
        DATE(VALUE(LEFT(C526,4)),VALUE(MID(C526,6,2)),VALUE(RIGHT(C526,2))),
        DATE(VALUE(RIGHT(C526,4)),VALUE(MID(C526,4,2)),VALUE(LEFT(C526,2)))
      ),
      IF(ISNUMBER(SEARCH("/",C526)*1),
        DATE(VALUE(RIGHT(C526,4)),VALUE(LEFT(C526,2)),VALUE(MID(C526,4,2))),
        DATEVALUE(C526)
      )
    )
  ),
"INVALID_DATE")</f>
        <v>45627</v>
      </c>
      <c r="AB526">
        <f>AA526-Z526</f>
        <v>1</v>
      </c>
      <c r="AC526" t="str">
        <f>TEXT(Z526,"mmmm")</f>
        <v>November</v>
      </c>
      <c r="AD526">
        <f>YEAR(Z526)</f>
        <v>2024</v>
      </c>
      <c r="AE526" t="str">
        <f t="shared" si="26"/>
        <v>OK</v>
      </c>
    </row>
    <row r="527" spans="1:31">
      <c r="A527" t="s">
        <v>2549</v>
      </c>
      <c r="B527" t="s">
        <v>2550</v>
      </c>
      <c r="C527" t="s">
        <v>2551</v>
      </c>
      <c r="D527" t="s">
        <v>2552</v>
      </c>
      <c r="E527" t="s">
        <v>149</v>
      </c>
      <c r="F527" t="s">
        <v>122</v>
      </c>
      <c r="G527" t="s">
        <v>49</v>
      </c>
      <c r="H527" t="s">
        <v>128</v>
      </c>
      <c r="I527" t="s">
        <v>129</v>
      </c>
      <c r="J527" t="s">
        <v>52</v>
      </c>
      <c r="K527" t="s">
        <v>83</v>
      </c>
      <c r="L527" t="s">
        <v>2553</v>
      </c>
      <c r="M527" t="s">
        <v>74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41</v>
      </c>
      <c r="U527" t="s">
        <v>42</v>
      </c>
      <c r="V527">
        <f>O527*(1-P527)*N527</f>
        <v>11359.8</v>
      </c>
      <c r="W527">
        <f t="shared" si="24"/>
        <v>4297.3599999999997</v>
      </c>
      <c r="X527">
        <f t="shared" si="25"/>
        <v>0.37829539252451627</v>
      </c>
      <c r="Y527" t="s">
        <v>4120</v>
      </c>
      <c r="Z527" s="2">
        <f>IFERROR(
  IF(ISNUMBER(B527),B527,
    IF(ISNUMBER(SEARCH("-",B527)*1),
      IF(LEN(LEFT(B527,FIND("-",B527)-1))=4,
        DATE(VALUE(LEFT(B527,4)),VALUE(MID(B527,6,2)),VALUE(RIGHT(B527,2))),
        DATE(VALUE(RIGHT(B527,4)),VALUE(MID(B527,4,2)),VALUE(LEFT(B527,2)))
      ),
      IF(ISNUMBER(SEARCH("/",B527)*1),
        DATE(VALUE(RIGHT(B527,4)),VALUE(LEFT(B527,2)),VALUE(MID(B527,4,2))),
        DATEVALUE(B527)
      )
    )
  ),
"INVALID_DATE")</f>
        <v>45582</v>
      </c>
      <c r="AA527" s="2">
        <f>IFERROR(
  IF(ISNUMBER(C527),C527,
    IF(ISNUMBER(SEARCH("-",C527)*1),
      IF(LEN(LEFT(C527,FIND("-",C527)-1))=4,
        DATE(VALUE(LEFT(C527,4)),VALUE(MID(C527,6,2)),VALUE(RIGHT(C527,2))),
        DATE(VALUE(RIGHT(C527,4)),VALUE(MID(C527,4,2)),VALUE(LEFT(C527,2)))
      ),
      IF(ISNUMBER(SEARCH("/",C527)*1),
        DATE(VALUE(RIGHT(C527,4)),VALUE(LEFT(C527,2)),VALUE(MID(C527,4,2))),
        DATEVALUE(C527)
      )
    )
  ),
"INVALID_DATE")</f>
        <v>45582</v>
      </c>
      <c r="AB527">
        <f>AA527-Z527</f>
        <v>0</v>
      </c>
      <c r="AC527" t="str">
        <f>TEXT(Z527,"mmmm")</f>
        <v>October</v>
      </c>
      <c r="AD527">
        <f>YEAR(Z527)</f>
        <v>2024</v>
      </c>
      <c r="AE527" t="str">
        <f t="shared" si="26"/>
        <v>OK</v>
      </c>
    </row>
    <row r="528" spans="1:31">
      <c r="A528" t="s">
        <v>2554</v>
      </c>
      <c r="B528" t="s">
        <v>2555</v>
      </c>
      <c r="C528" t="s">
        <v>2556</v>
      </c>
      <c r="D528" t="s">
        <v>2557</v>
      </c>
      <c r="E528" t="s">
        <v>149</v>
      </c>
      <c r="F528" t="s">
        <v>33</v>
      </c>
      <c r="G528" t="s">
        <v>49</v>
      </c>
      <c r="H528" t="s">
        <v>50</v>
      </c>
      <c r="I528" t="s">
        <v>51</v>
      </c>
      <c r="J528" t="s">
        <v>52</v>
      </c>
      <c r="K528" t="s">
        <v>53</v>
      </c>
      <c r="L528" t="s">
        <v>2558</v>
      </c>
      <c r="M528" t="s">
        <v>40</v>
      </c>
      <c r="N528">
        <v>4</v>
      </c>
      <c r="O528">
        <v>284.04000000000002</v>
      </c>
      <c r="P528">
        <v>0</v>
      </c>
      <c r="Q528">
        <v>908.93</v>
      </c>
      <c r="R528">
        <v>572.08000000000004</v>
      </c>
      <c r="S528">
        <v>336.85</v>
      </c>
      <c r="T528" t="s">
        <v>41</v>
      </c>
      <c r="U528" t="s">
        <v>42</v>
      </c>
      <c r="V528">
        <f>O528*(1-P528)*N528</f>
        <v>1136.1600000000001</v>
      </c>
      <c r="W528">
        <f t="shared" si="24"/>
        <v>564.08000000000004</v>
      </c>
      <c r="X528">
        <f t="shared" si="25"/>
        <v>0.37060059630554615</v>
      </c>
      <c r="Y528" t="s">
        <v>4120</v>
      </c>
      <c r="Z528" s="2">
        <f>IFERROR(
  IF(ISNUMBER(B528),B528,
    IF(ISNUMBER(SEARCH("-",B528)*1),
      IF(LEN(LEFT(B528,FIND("-",B528)-1))=4,
        DATE(VALUE(LEFT(B528,4)),VALUE(MID(B528,6,2)),VALUE(RIGHT(B528,2))),
        DATE(VALUE(RIGHT(B528,4)),VALUE(MID(B528,4,2)),VALUE(LEFT(B528,2)))
      ),
      IF(ISNUMBER(SEARCH("/",B528)*1),
        DATE(VALUE(RIGHT(B528,4)),VALUE(LEFT(B528,2)),VALUE(MID(B528,4,2))),
        DATEVALUE(B528)
      )
    )
  ),
"INVALID_DATE")</f>
        <v>45856</v>
      </c>
      <c r="AA528" s="2">
        <f>IFERROR(
  IF(ISNUMBER(C528),C528,
    IF(ISNUMBER(SEARCH("-",C528)*1),
      IF(LEN(LEFT(C528,FIND("-",C528)-1))=4,
        DATE(VALUE(LEFT(C528,4)),VALUE(MID(C528,6,2)),VALUE(RIGHT(C528,2))),
        DATE(VALUE(RIGHT(C528,4)),VALUE(MID(C528,4,2)),VALUE(LEFT(C528,2)))
      ),
      IF(ISNUMBER(SEARCH("/",C528)*1),
        DATE(VALUE(RIGHT(C528,4)),VALUE(LEFT(C528,2)),VALUE(MID(C528,4,2))),
        DATEVALUE(C528)
      )
    )
  ),
"INVALID_DATE")</f>
        <v>45859</v>
      </c>
      <c r="AB528">
        <f>AA528-Z528</f>
        <v>3</v>
      </c>
      <c r="AC528" t="str">
        <f>TEXT(Z528,"mmmm")</f>
        <v>July</v>
      </c>
      <c r="AD528">
        <f>YEAR(Z528)</f>
        <v>2025</v>
      </c>
      <c r="AE528" t="str">
        <f t="shared" si="26"/>
        <v>OK</v>
      </c>
    </row>
    <row r="529" spans="1:31">
      <c r="A529" t="s">
        <v>2559</v>
      </c>
      <c r="B529" t="s">
        <v>2560</v>
      </c>
      <c r="C529" t="s">
        <v>2561</v>
      </c>
      <c r="D529" t="s">
        <v>2562</v>
      </c>
      <c r="E529" t="s">
        <v>114</v>
      </c>
      <c r="F529" t="s">
        <v>122</v>
      </c>
      <c r="G529" t="s">
        <v>34</v>
      </c>
      <c r="H529" t="s">
        <v>331</v>
      </c>
      <c r="I529" t="s">
        <v>332</v>
      </c>
      <c r="J529" t="s">
        <v>37</v>
      </c>
      <c r="K529" t="s">
        <v>38</v>
      </c>
      <c r="L529" t="s">
        <v>2563</v>
      </c>
      <c r="M529" t="s">
        <v>63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41</v>
      </c>
      <c r="U529" t="s">
        <v>42</v>
      </c>
      <c r="V529">
        <f>O529*(1-P529)*N529</f>
        <v>13802.13</v>
      </c>
      <c r="W529">
        <f t="shared" si="24"/>
        <v>3726.1999999999989</v>
      </c>
      <c r="X529">
        <f t="shared" si="25"/>
        <v>0.26997282303528514</v>
      </c>
      <c r="Y529" t="s">
        <v>4120</v>
      </c>
      <c r="Z529" s="2">
        <f>IFERROR(
  IF(ISNUMBER(B529),B529,
    IF(ISNUMBER(SEARCH("-",B529)*1),
      IF(LEN(LEFT(B529,FIND("-",B529)-1))=4,
        DATE(VALUE(LEFT(B529,4)),VALUE(MID(B529,6,2)),VALUE(RIGHT(B529,2))),
        DATE(VALUE(RIGHT(B529,4)),VALUE(MID(B529,4,2)),VALUE(LEFT(B529,2)))
      ),
      IF(ISNUMBER(SEARCH("/",B529)*1),
        DATE(VALUE(RIGHT(B529,4)),VALUE(LEFT(B529,2)),VALUE(MID(B529,4,2))),
        DATEVALUE(B529)
      )
    )
  ),
"INVALID_DATE")</f>
        <v>45931</v>
      </c>
      <c r="AA529" s="2">
        <f>IFERROR(
  IF(ISNUMBER(C529),C529,
    IF(ISNUMBER(SEARCH("-",C529)*1),
      IF(LEN(LEFT(C529,FIND("-",C529)-1))=4,
        DATE(VALUE(LEFT(C529,4)),VALUE(MID(C529,6,2)),VALUE(RIGHT(C529,2))),
        DATE(VALUE(RIGHT(C529,4)),VALUE(MID(C529,4,2)),VALUE(LEFT(C529,2)))
      ),
      IF(ISNUMBER(SEARCH("/",C529)*1),
        DATE(VALUE(RIGHT(C529,4)),VALUE(LEFT(C529,2)),VALUE(MID(C529,4,2))),
        DATEVALUE(C529)
      )
    )
  ),
"INVALID_DATE")</f>
        <v>45935</v>
      </c>
      <c r="AB529">
        <f>AA529-Z529</f>
        <v>4</v>
      </c>
      <c r="AC529" t="str">
        <f>TEXT(Z529,"mmmm")</f>
        <v>October</v>
      </c>
      <c r="AD529">
        <f>YEAR(Z529)</f>
        <v>2025</v>
      </c>
      <c r="AE529" t="str">
        <f t="shared" si="26"/>
        <v>OK</v>
      </c>
    </row>
    <row r="530" spans="1:31">
      <c r="A530" t="s">
        <v>2564</v>
      </c>
      <c r="B530" t="s">
        <v>2565</v>
      </c>
      <c r="C530" t="s">
        <v>2566</v>
      </c>
      <c r="D530" t="s">
        <v>2567</v>
      </c>
      <c r="E530" t="s">
        <v>217</v>
      </c>
      <c r="F530" t="s">
        <v>33</v>
      </c>
      <c r="G530" t="s">
        <v>69</v>
      </c>
      <c r="H530" t="s">
        <v>347</v>
      </c>
      <c r="I530" t="s">
        <v>348</v>
      </c>
      <c r="J530" t="s">
        <v>37</v>
      </c>
      <c r="K530" t="s">
        <v>205</v>
      </c>
      <c r="L530" t="s">
        <v>2568</v>
      </c>
      <c r="M530" t="s">
        <v>74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144</v>
      </c>
      <c r="U530" t="s">
        <v>132</v>
      </c>
      <c r="V530">
        <f>O530*(1-P530)*N530</f>
        <v>29558.119499999997</v>
      </c>
      <c r="W530">
        <f t="shared" si="24"/>
        <v>8255.989499999996</v>
      </c>
      <c r="X530">
        <f t="shared" si="25"/>
        <v>0.27931377232381494</v>
      </c>
      <c r="Y530" t="str">
        <f>_xlfn.TEXTJOIN(", ",TRUE,IF(G530="Unknown","Missing Region",""),IF(M530="Unknown","Missing Ship Mode",""),IF(P530&lt;0,"Negative Discount",""),IF(P530&gt;0.7,"High Discount",""),IF(C530&lt;B530,"Ship Before Order",""))</f>
        <v>Ship Before Order</v>
      </c>
      <c r="Z530" s="2">
        <f>IFERROR(
  IF(ISNUMBER(B530),B530,
    IF(ISNUMBER(SEARCH("-",B530)*1),
      IF(LEN(LEFT(B530,FIND("-",B530)-1))=4,
        DATE(VALUE(LEFT(B530,4)),VALUE(MID(B530,6,2)),VALUE(RIGHT(B530,2))),
        DATE(VALUE(RIGHT(B530,4)),VALUE(MID(B530,4,2)),VALUE(LEFT(B530,2)))
      ),
      IF(ISNUMBER(SEARCH("/",B530)*1),
        DATE(VALUE(RIGHT(B530,4)),VALUE(LEFT(B530,2)),VALUE(MID(B530,4,2))),
        DATEVALUE(B530)
      )
    )
  ),
"INVALID_DATE")</f>
        <v>45572</v>
      </c>
      <c r="AA530" s="2">
        <f>IFERROR(
  IF(ISNUMBER(C530),C530,
    IF(ISNUMBER(SEARCH("-",C530)*1),
      IF(LEN(LEFT(C530,FIND("-",C530)-1))=4,
        DATE(VALUE(LEFT(C530,4)),VALUE(MID(C530,6,2)),VALUE(RIGHT(C530,2))),
        DATE(VALUE(RIGHT(C530,4)),VALUE(MID(C530,4,2)),VALUE(LEFT(C530,2)))
      ),
      IF(ISNUMBER(SEARCH("/",C530)*1),
        DATE(VALUE(RIGHT(C530,4)),VALUE(LEFT(C530,2)),VALUE(MID(C530,4,2))),
        DATEVALUE(C530)
      )
    )
  ),
"INVALID_DATE")</f>
        <v>45574</v>
      </c>
      <c r="AB530">
        <f>AA530-Z530</f>
        <v>2</v>
      </c>
      <c r="AC530" t="str">
        <f>TEXT(Z530,"mmmm")</f>
        <v>October</v>
      </c>
      <c r="AD530">
        <f>YEAR(Z530)</f>
        <v>2024</v>
      </c>
      <c r="AE530" t="str">
        <f t="shared" si="26"/>
        <v>OK</v>
      </c>
    </row>
    <row r="531" spans="1:31">
      <c r="A531" t="s">
        <v>2569</v>
      </c>
      <c r="B531" t="s">
        <v>2288</v>
      </c>
      <c r="C531" t="s">
        <v>2570</v>
      </c>
      <c r="D531" t="s">
        <v>1118</v>
      </c>
      <c r="E531" t="s">
        <v>32</v>
      </c>
      <c r="F531" t="s">
        <v>33</v>
      </c>
      <c r="G531" t="s">
        <v>49</v>
      </c>
      <c r="H531" t="s">
        <v>319</v>
      </c>
      <c r="I531" t="s">
        <v>320</v>
      </c>
      <c r="J531" t="s">
        <v>52</v>
      </c>
      <c r="K531" t="s">
        <v>211</v>
      </c>
      <c r="L531" t="s">
        <v>2571</v>
      </c>
      <c r="M531" t="s">
        <v>40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41</v>
      </c>
      <c r="U531" t="s">
        <v>42</v>
      </c>
      <c r="V531">
        <f>O531*(1-P531)*N531</f>
        <v>16400.25</v>
      </c>
      <c r="W531">
        <f t="shared" si="24"/>
        <v>4253.2900000000009</v>
      </c>
      <c r="X531">
        <f t="shared" si="25"/>
        <v>0.25934299782015519</v>
      </c>
      <c r="Y531" t="s">
        <v>4120</v>
      </c>
      <c r="Z531" s="2">
        <f>IFERROR(
  IF(ISNUMBER(B531),B531,
    IF(ISNUMBER(SEARCH("-",B531)*1),
      IF(LEN(LEFT(B531,FIND("-",B531)-1))=4,
        DATE(VALUE(LEFT(B531,4)),VALUE(MID(B531,6,2)),VALUE(RIGHT(B531,2))),
        DATE(VALUE(RIGHT(B531,4)),VALUE(MID(B531,4,2)),VALUE(LEFT(B531,2)))
      ),
      IF(ISNUMBER(SEARCH("/",B531)*1),
        DATE(VALUE(RIGHT(B531,4)),VALUE(LEFT(B531,2)),VALUE(MID(B531,4,2))),
        DATEVALUE(B531)
      )
    )
  ),
"INVALID_DATE")</f>
        <v>45328</v>
      </c>
      <c r="AA531" s="2">
        <f>IFERROR(
  IF(ISNUMBER(C531),C531,
    IF(ISNUMBER(SEARCH("-",C531)*1),
      IF(LEN(LEFT(C531,FIND("-",C531)-1))=4,
        DATE(VALUE(LEFT(C531,4)),VALUE(MID(C531,6,2)),VALUE(RIGHT(C531,2))),
        DATE(VALUE(RIGHT(C531,4)),VALUE(MID(C531,4,2)),VALUE(LEFT(C531,2)))
      ),
      IF(ISNUMBER(SEARCH("/",C531)*1),
        DATE(VALUE(RIGHT(C531,4)),VALUE(LEFT(C531,2)),VALUE(MID(C531,4,2))),
        DATEVALUE(C531)
      )
    )
  ),
"INVALID_DATE")</f>
        <v>45330</v>
      </c>
      <c r="AB531">
        <f>AA531-Z531</f>
        <v>2</v>
      </c>
      <c r="AC531" t="str">
        <f>TEXT(Z531,"mmmm")</f>
        <v>February</v>
      </c>
      <c r="AD531">
        <f>YEAR(Z531)</f>
        <v>2024</v>
      </c>
      <c r="AE531" t="str">
        <f t="shared" si="26"/>
        <v>OK</v>
      </c>
    </row>
    <row r="532" spans="1:31">
      <c r="A532" t="s">
        <v>2572</v>
      </c>
      <c r="B532" t="s">
        <v>2573</v>
      </c>
      <c r="C532" t="s">
        <v>2574</v>
      </c>
      <c r="D532" t="s">
        <v>2575</v>
      </c>
      <c r="E532" t="s">
        <v>155</v>
      </c>
      <c r="F532" t="s">
        <v>122</v>
      </c>
      <c r="G532" t="s">
        <v>69</v>
      </c>
      <c r="H532" t="s">
        <v>347</v>
      </c>
      <c r="I532" t="s">
        <v>348</v>
      </c>
      <c r="J532" t="s">
        <v>37</v>
      </c>
      <c r="K532" t="s">
        <v>205</v>
      </c>
      <c r="L532" t="s">
        <v>2576</v>
      </c>
      <c r="M532" t="s">
        <v>74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41</v>
      </c>
      <c r="U532" t="s">
        <v>42</v>
      </c>
      <c r="V532">
        <f>O532*(1-P532)*N532</f>
        <v>17053.0605</v>
      </c>
      <c r="W532">
        <f t="shared" si="24"/>
        <v>6310.6805000000004</v>
      </c>
      <c r="X532">
        <f t="shared" si="25"/>
        <v>0.37006144351805481</v>
      </c>
      <c r="Y532" t="s">
        <v>4120</v>
      </c>
      <c r="Z532" s="2">
        <f>IFERROR(
  IF(ISNUMBER(B532),B532,
    IF(ISNUMBER(SEARCH("-",B532)*1),
      IF(LEN(LEFT(B532,FIND("-",B532)-1))=4,
        DATE(VALUE(LEFT(B532,4)),VALUE(MID(B532,6,2)),VALUE(RIGHT(B532,2))),
        DATE(VALUE(RIGHT(B532,4)),VALUE(MID(B532,4,2)),VALUE(LEFT(B532,2)))
      ),
      IF(ISNUMBER(SEARCH("/",B532)*1),
        DATE(VALUE(RIGHT(B532,4)),VALUE(LEFT(B532,2)),VALUE(MID(B532,4,2))),
        DATEVALUE(B532)
      )
    )
  ),
"INVALID_DATE")</f>
        <v>45807</v>
      </c>
      <c r="AA532" s="2">
        <f>IFERROR(
  IF(ISNUMBER(C532),C532,
    IF(ISNUMBER(SEARCH("-",C532)*1),
      IF(LEN(LEFT(C532,FIND("-",C532)-1))=4,
        DATE(VALUE(LEFT(C532,4)),VALUE(MID(C532,6,2)),VALUE(RIGHT(C532,2))),
        DATE(VALUE(RIGHT(C532,4)),VALUE(MID(C532,4,2)),VALUE(LEFT(C532,2)))
      ),
      IF(ISNUMBER(SEARCH("/",C532)*1),
        DATE(VALUE(RIGHT(C532,4)),VALUE(LEFT(C532,2)),VALUE(MID(C532,4,2))),
        DATEVALUE(C532)
      )
    )
  ),
"INVALID_DATE")</f>
        <v>45809</v>
      </c>
      <c r="AB532">
        <f>AA532-Z532</f>
        <v>2</v>
      </c>
      <c r="AC532" t="str">
        <f>TEXT(Z532,"mmmm")</f>
        <v>May</v>
      </c>
      <c r="AD532">
        <f>YEAR(Z532)</f>
        <v>2025</v>
      </c>
      <c r="AE532" t="str">
        <f t="shared" si="26"/>
        <v>OK</v>
      </c>
    </row>
    <row r="533" spans="1:31">
      <c r="A533" t="s">
        <v>2577</v>
      </c>
      <c r="B533" t="s">
        <v>1307</v>
      </c>
      <c r="C533" t="s">
        <v>2578</v>
      </c>
      <c r="D533" t="s">
        <v>2579</v>
      </c>
      <c r="E533" t="s">
        <v>217</v>
      </c>
      <c r="F533" t="s">
        <v>48</v>
      </c>
      <c r="G533" t="s">
        <v>80</v>
      </c>
      <c r="H533" t="s">
        <v>81</v>
      </c>
      <c r="I533" t="s">
        <v>82</v>
      </c>
      <c r="J533" t="s">
        <v>37</v>
      </c>
      <c r="K533" t="s">
        <v>163</v>
      </c>
      <c r="L533" t="s">
        <v>2580</v>
      </c>
      <c r="M533" t="s">
        <v>279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41</v>
      </c>
      <c r="U533" t="s">
        <v>42</v>
      </c>
      <c r="V533">
        <f>O533*(1-P533)*N533</f>
        <v>398.67300000000006</v>
      </c>
      <c r="W533">
        <f t="shared" si="24"/>
        <v>87.013000000000034</v>
      </c>
      <c r="X533">
        <f t="shared" si="25"/>
        <v>0.21825068352271301</v>
      </c>
      <c r="Y533" t="str">
        <f>_xlfn.TEXTJOIN(", ",TRUE,IF(G533="Unknown","Missing Region",""),IF(M533="Unknown","Missing Ship Mode",""),IF(P533&lt;0,"Negative Discount",""),IF(P533&gt;0.7,"High Discount",""),IF(C533&lt;B533,"Ship Before Order",""))</f>
        <v>Missing Ship Mode</v>
      </c>
      <c r="Z533" s="2">
        <f>IFERROR(
  IF(ISNUMBER(B533),B533,
    IF(ISNUMBER(SEARCH("-",B533)*1),
      IF(LEN(LEFT(B533,FIND("-",B533)-1))=4,
        DATE(VALUE(LEFT(B533,4)),VALUE(MID(B533,6,2)),VALUE(RIGHT(B533,2))),
        DATE(VALUE(RIGHT(B533,4)),VALUE(MID(B533,4,2)),VALUE(LEFT(B533,2)))
      ),
      IF(ISNUMBER(SEARCH("/",B533)*1),
        DATE(VALUE(RIGHT(B533,4)),VALUE(LEFT(B533,2)),VALUE(MID(B533,4,2))),
        DATEVALUE(B533)
      )
    )
  ),
"INVALID_DATE")</f>
        <v>45505</v>
      </c>
      <c r="AA533" s="2">
        <f>IFERROR(
  IF(ISNUMBER(C533),C533,
    IF(ISNUMBER(SEARCH("-",C533)*1),
      IF(LEN(LEFT(C533,FIND("-",C533)-1))=4,
        DATE(VALUE(LEFT(C533,4)),VALUE(MID(C533,6,2)),VALUE(RIGHT(C533,2))),
        DATE(VALUE(RIGHT(C533,4)),VALUE(MID(C533,4,2)),VALUE(LEFT(C533,2)))
      ),
      IF(ISNUMBER(SEARCH("/",C533)*1),
        DATE(VALUE(RIGHT(C533,4)),VALUE(LEFT(C533,2)),VALUE(MID(C533,4,2))),
        DATEVALUE(C533)
      )
    )
  ),
"INVALID_DATE")</f>
        <v>45512</v>
      </c>
      <c r="AB533">
        <f>AA533-Z533</f>
        <v>7</v>
      </c>
      <c r="AC533" t="str">
        <f>TEXT(Z533,"mmmm")</f>
        <v>August</v>
      </c>
      <c r="AD533">
        <f>YEAR(Z533)</f>
        <v>2024</v>
      </c>
      <c r="AE533" t="str">
        <f t="shared" si="26"/>
        <v>OK</v>
      </c>
    </row>
    <row r="534" spans="1:31">
      <c r="A534" t="s">
        <v>2581</v>
      </c>
      <c r="B534" t="s">
        <v>2561</v>
      </c>
      <c r="C534" t="s">
        <v>316</v>
      </c>
      <c r="D534" t="s">
        <v>2582</v>
      </c>
      <c r="E534" t="s">
        <v>149</v>
      </c>
      <c r="F534" t="s">
        <v>115</v>
      </c>
      <c r="G534" t="s">
        <v>49</v>
      </c>
      <c r="H534" t="s">
        <v>223</v>
      </c>
      <c r="I534" t="s">
        <v>224</v>
      </c>
      <c r="J534" t="s">
        <v>52</v>
      </c>
      <c r="K534" t="s">
        <v>53</v>
      </c>
      <c r="L534" t="s">
        <v>2583</v>
      </c>
      <c r="M534" t="s">
        <v>40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207</v>
      </c>
      <c r="U534" t="s">
        <v>85</v>
      </c>
      <c r="V534">
        <f>O534*(1-P534)*N534</f>
        <v>17862.146999999997</v>
      </c>
      <c r="W534">
        <f t="shared" si="24"/>
        <v>7969.9369999999981</v>
      </c>
      <c r="X534">
        <f t="shared" si="25"/>
        <v>0.44619152789557803</v>
      </c>
      <c r="Y534" t="s">
        <v>4120</v>
      </c>
      <c r="Z534" s="2">
        <f>IFERROR(
  IF(ISNUMBER(B534),B534,
    IF(ISNUMBER(SEARCH("-",B534)*1),
      IF(LEN(LEFT(B534,FIND("-",B534)-1))=4,
        DATE(VALUE(LEFT(B534,4)),VALUE(MID(B534,6,2)),VALUE(RIGHT(B534,2))),
        DATE(VALUE(RIGHT(B534,4)),VALUE(MID(B534,4,2)),VALUE(LEFT(B534,2)))
      ),
      IF(ISNUMBER(SEARCH("/",B534)*1),
        DATE(VALUE(RIGHT(B534,4)),VALUE(LEFT(B534,2)),VALUE(MID(B534,4,2))),
        DATEVALUE(B534)
      )
    )
  ),
"INVALID_DATE")</f>
        <v>45935</v>
      </c>
      <c r="AA534" s="2">
        <f>IFERROR(
  IF(ISNUMBER(C534),C534,
    IF(ISNUMBER(SEARCH("-",C534)*1),
      IF(LEN(LEFT(C534,FIND("-",C534)-1))=4,
        DATE(VALUE(LEFT(C534,4)),VALUE(MID(C534,6,2)),VALUE(RIGHT(C534,2))),
        DATE(VALUE(RIGHT(C534,4)),VALUE(MID(C534,4,2)),VALUE(LEFT(C534,2)))
      ),
      IF(ISNUMBER(SEARCH("/",C534)*1),
        DATE(VALUE(RIGHT(C534,4)),VALUE(LEFT(C534,2)),VALUE(MID(C534,4,2))),
        DATEVALUE(C534)
      )
    )
  ),
"INVALID_DATE")</f>
        <v>45940</v>
      </c>
      <c r="AB534">
        <f>AA534-Z534</f>
        <v>5</v>
      </c>
      <c r="AC534" t="str">
        <f>TEXT(Z534,"mmmm")</f>
        <v>October</v>
      </c>
      <c r="AD534">
        <f>YEAR(Z534)</f>
        <v>2025</v>
      </c>
      <c r="AE534" t="str">
        <f t="shared" si="26"/>
        <v>OK</v>
      </c>
    </row>
    <row r="535" spans="1:31">
      <c r="A535" t="s">
        <v>2584</v>
      </c>
      <c r="B535" t="s">
        <v>2585</v>
      </c>
      <c r="C535" t="s">
        <v>403</v>
      </c>
      <c r="D535" t="s">
        <v>2586</v>
      </c>
      <c r="E535" t="s">
        <v>60</v>
      </c>
      <c r="F535" t="s">
        <v>122</v>
      </c>
      <c r="G535" t="s">
        <v>34</v>
      </c>
      <c r="H535" t="s">
        <v>35</v>
      </c>
      <c r="I535" t="s">
        <v>36</v>
      </c>
      <c r="J535" t="s">
        <v>52</v>
      </c>
      <c r="K535" t="s">
        <v>53</v>
      </c>
      <c r="L535" t="s">
        <v>2587</v>
      </c>
      <c r="M535" t="s">
        <v>55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41</v>
      </c>
      <c r="U535" t="s">
        <v>42</v>
      </c>
      <c r="V535">
        <f>O535*(1-P535)*N535</f>
        <v>2165.8500000000004</v>
      </c>
      <c r="W535">
        <f t="shared" si="24"/>
        <v>41.370000000000346</v>
      </c>
      <c r="X535">
        <f t="shared" si="25"/>
        <v>0.19874414202276242</v>
      </c>
      <c r="Y535" t="str">
        <f>_xlfn.TEXTJOIN(", ",TRUE,IF(G535="Unknown","Missing Region",""),IF(M535="Unknown","Missing Ship Mode",""),IF(P535&lt;0,"Negative Discount",""),IF(P535&gt;0.7,"High Discount",""),IF(C535&lt;B535,"Ship Before Order",""))</f>
        <v>Ship Before Order</v>
      </c>
      <c r="Z535" s="2">
        <f>IFERROR(
  IF(ISNUMBER(B535),B535,
    IF(ISNUMBER(SEARCH("-",B535)*1),
      IF(LEN(LEFT(B535,FIND("-",B535)-1))=4,
        DATE(VALUE(LEFT(B535,4)),VALUE(MID(B535,6,2)),VALUE(RIGHT(B535,2))),
        DATE(VALUE(RIGHT(B535,4)),VALUE(MID(B535,4,2)),VALUE(LEFT(B535,2)))
      ),
      IF(ISNUMBER(SEARCH("/",B535)*1),
        DATE(VALUE(RIGHT(B535,4)),VALUE(LEFT(B535,2)),VALUE(MID(B535,4,2))),
        DATEVALUE(B535)
      )
    )
  ),
"INVALID_DATE")</f>
        <v>45529</v>
      </c>
      <c r="AA535" s="2">
        <f>IFERROR(
  IF(ISNUMBER(C535),C535,
    IF(ISNUMBER(SEARCH("-",C535)*1),
      IF(LEN(LEFT(C535,FIND("-",C535)-1))=4,
        DATE(VALUE(LEFT(C535,4)),VALUE(MID(C535,6,2)),VALUE(RIGHT(C535,2))),
        DATE(VALUE(RIGHT(C535,4)),VALUE(MID(C535,4,2)),VALUE(LEFT(C535,2)))
      ),
      IF(ISNUMBER(SEARCH("/",C535)*1),
        DATE(VALUE(RIGHT(C535,4)),VALUE(LEFT(C535,2)),VALUE(MID(C535,4,2))),
        DATEVALUE(C535)
      )
    )
  ),
"INVALID_DATE")</f>
        <v>45536</v>
      </c>
      <c r="AB535">
        <f>AA535-Z535</f>
        <v>7</v>
      </c>
      <c r="AC535" t="str">
        <f>TEXT(Z535,"mmmm")</f>
        <v>August</v>
      </c>
      <c r="AD535">
        <f>YEAR(Z535)</f>
        <v>2024</v>
      </c>
      <c r="AE535" t="str">
        <f t="shared" si="26"/>
        <v>OK</v>
      </c>
    </row>
    <row r="536" spans="1:31">
      <c r="A536" t="s">
        <v>2588</v>
      </c>
      <c r="B536" t="s">
        <v>2589</v>
      </c>
      <c r="C536" t="s">
        <v>2590</v>
      </c>
      <c r="D536" t="s">
        <v>2591</v>
      </c>
      <c r="E536" t="s">
        <v>187</v>
      </c>
      <c r="F536" t="s">
        <v>122</v>
      </c>
      <c r="G536" t="s">
        <v>49</v>
      </c>
      <c r="H536" t="s">
        <v>193</v>
      </c>
      <c r="I536" t="s">
        <v>194</v>
      </c>
      <c r="J536" t="s">
        <v>93</v>
      </c>
      <c r="K536" t="s">
        <v>94</v>
      </c>
      <c r="L536" t="s">
        <v>2592</v>
      </c>
      <c r="M536" t="s">
        <v>40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144</v>
      </c>
      <c r="U536" t="s">
        <v>132</v>
      </c>
      <c r="V536">
        <f>O536*(1-P536)*N536</f>
        <v>14268.204</v>
      </c>
      <c r="W536">
        <f t="shared" si="24"/>
        <v>2562.9040000000005</v>
      </c>
      <c r="X536">
        <f t="shared" si="25"/>
        <v>0.17962321806534812</v>
      </c>
      <c r="Y536" t="s">
        <v>4120</v>
      </c>
      <c r="Z536" s="2">
        <f>IFERROR(
  IF(ISNUMBER(B536),B536,
    IF(ISNUMBER(SEARCH("-",B536)*1),
      IF(LEN(LEFT(B536,FIND("-",B536)-1))=4,
        DATE(VALUE(LEFT(B536,4)),VALUE(MID(B536,6,2)),VALUE(RIGHT(B536,2))),
        DATE(VALUE(RIGHT(B536,4)),VALUE(MID(B536,4,2)),VALUE(LEFT(B536,2)))
      ),
      IF(ISNUMBER(SEARCH("/",B536)*1),
        DATE(VALUE(RIGHT(B536,4)),VALUE(LEFT(B536,2)),VALUE(MID(B536,4,2))),
        DATEVALUE(B536)
      )
    )
  ),
"INVALID_DATE")</f>
        <v>45774</v>
      </c>
      <c r="AA536" s="2">
        <f>IFERROR(
  IF(ISNUMBER(C536),C536,
    IF(ISNUMBER(SEARCH("-",C536)*1),
      IF(LEN(LEFT(C536,FIND("-",C536)-1))=4,
        DATE(VALUE(LEFT(C536,4)),VALUE(MID(C536,6,2)),VALUE(RIGHT(C536,2))),
        DATE(VALUE(RIGHT(C536,4)),VALUE(MID(C536,4,2)),VALUE(LEFT(C536,2)))
      ),
      IF(ISNUMBER(SEARCH("/",C536)*1),
        DATE(VALUE(RIGHT(C536,4)),VALUE(LEFT(C536,2)),VALUE(MID(C536,4,2))),
        DATEVALUE(C536)
      )
    )
  ),
"INVALID_DATE")</f>
        <v>45782</v>
      </c>
      <c r="AB536">
        <f>AA536-Z536</f>
        <v>8</v>
      </c>
      <c r="AC536" t="str">
        <f>TEXT(Z536,"mmmm")</f>
        <v>April</v>
      </c>
      <c r="AD536">
        <f>YEAR(Z536)</f>
        <v>2025</v>
      </c>
      <c r="AE536" t="str">
        <f t="shared" si="26"/>
        <v>OK</v>
      </c>
    </row>
    <row r="537" spans="1:31">
      <c r="A537" t="s">
        <v>2593</v>
      </c>
      <c r="B537" t="s">
        <v>2594</v>
      </c>
      <c r="C537" t="s">
        <v>2595</v>
      </c>
      <c r="D537" t="s">
        <v>2596</v>
      </c>
      <c r="E537" t="s">
        <v>217</v>
      </c>
      <c r="F537" t="s">
        <v>48</v>
      </c>
      <c r="G537" t="s">
        <v>80</v>
      </c>
      <c r="H537" t="s">
        <v>81</v>
      </c>
      <c r="I537" t="s">
        <v>82</v>
      </c>
      <c r="J537" t="s">
        <v>93</v>
      </c>
      <c r="K537" t="s">
        <v>101</v>
      </c>
      <c r="L537" t="s">
        <v>2597</v>
      </c>
      <c r="M537" t="s">
        <v>63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41</v>
      </c>
      <c r="U537" t="s">
        <v>42</v>
      </c>
      <c r="V537">
        <f>O537*(1-P537)*N537</f>
        <v>9602.3520000000008</v>
      </c>
      <c r="W537">
        <f t="shared" si="24"/>
        <v>2214.7820000000011</v>
      </c>
      <c r="X537">
        <f t="shared" si="25"/>
        <v>0.23064978885377019</v>
      </c>
      <c r="Y537" t="s">
        <v>4120</v>
      </c>
      <c r="Z537" s="2">
        <f>IFERROR(
  IF(ISNUMBER(B537),B537,
    IF(ISNUMBER(SEARCH("-",B537)*1),
      IF(LEN(LEFT(B537,FIND("-",B537)-1))=4,
        DATE(VALUE(LEFT(B537,4)),VALUE(MID(B537,6,2)),VALUE(RIGHT(B537,2))),
        DATE(VALUE(RIGHT(B537,4)),VALUE(MID(B537,4,2)),VALUE(LEFT(B537,2)))
      ),
      IF(ISNUMBER(SEARCH("/",B537)*1),
        DATE(VALUE(RIGHT(B537,4)),VALUE(LEFT(B537,2)),VALUE(MID(B537,4,2))),
        DATEVALUE(B537)
      )
    )
  ),
"INVALID_DATE")</f>
        <v>45431</v>
      </c>
      <c r="AA537" s="2">
        <f>IFERROR(
  IF(ISNUMBER(C537),C537,
    IF(ISNUMBER(SEARCH("-",C537)*1),
      IF(LEN(LEFT(C537,FIND("-",C537)-1))=4,
        DATE(VALUE(LEFT(C537,4)),VALUE(MID(C537,6,2)),VALUE(RIGHT(C537,2))),
        DATE(VALUE(RIGHT(C537,4)),VALUE(MID(C537,4,2)),VALUE(LEFT(C537,2)))
      ),
      IF(ISNUMBER(SEARCH("/",C537)*1),
        DATE(VALUE(RIGHT(C537,4)),VALUE(LEFT(C537,2)),VALUE(MID(C537,4,2))),
        DATEVALUE(C537)
      )
    )
  ),
"INVALID_DATE")</f>
        <v>45433</v>
      </c>
      <c r="AB537">
        <f>AA537-Z537</f>
        <v>2</v>
      </c>
      <c r="AC537" t="str">
        <f>TEXT(Z537,"mmmm")</f>
        <v>May</v>
      </c>
      <c r="AD537">
        <f>YEAR(Z537)</f>
        <v>2024</v>
      </c>
      <c r="AE537" t="str">
        <f t="shared" si="26"/>
        <v>OK</v>
      </c>
    </row>
    <row r="538" spans="1:31">
      <c r="A538" t="s">
        <v>2598</v>
      </c>
      <c r="B538" t="s">
        <v>2599</v>
      </c>
      <c r="C538" t="s">
        <v>2600</v>
      </c>
      <c r="D538" t="s">
        <v>2601</v>
      </c>
      <c r="E538" t="s">
        <v>79</v>
      </c>
      <c r="F538" t="s">
        <v>48</v>
      </c>
      <c r="G538" t="s">
        <v>80</v>
      </c>
      <c r="H538" t="s">
        <v>35</v>
      </c>
      <c r="I538" t="s">
        <v>142</v>
      </c>
      <c r="J538" t="s">
        <v>52</v>
      </c>
      <c r="K538" t="s">
        <v>83</v>
      </c>
      <c r="L538" t="s">
        <v>2602</v>
      </c>
      <c r="M538" t="s">
        <v>63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207</v>
      </c>
      <c r="U538" t="s">
        <v>85</v>
      </c>
      <c r="V538">
        <f>O538*(1-P538)*N538</f>
        <v>19891.725000000002</v>
      </c>
      <c r="W538">
        <f t="shared" si="24"/>
        <v>7595.965000000002</v>
      </c>
      <c r="X538">
        <f t="shared" si="25"/>
        <v>0.38186541938052615</v>
      </c>
      <c r="Y538" t="s">
        <v>4120</v>
      </c>
      <c r="Z538" s="2">
        <f>IFERROR(
  IF(ISNUMBER(B538),B538,
    IF(ISNUMBER(SEARCH("-",B538)*1),
      IF(LEN(LEFT(B538,FIND("-",B538)-1))=4,
        DATE(VALUE(LEFT(B538,4)),VALUE(MID(B538,6,2)),VALUE(RIGHT(B538,2))),
        DATE(VALUE(RIGHT(B538,4)),VALUE(MID(B538,4,2)),VALUE(LEFT(B538,2)))
      ),
      IF(ISNUMBER(SEARCH("/",B538)*1),
        DATE(VALUE(RIGHT(B538,4)),VALUE(LEFT(B538,2)),VALUE(MID(B538,4,2))),
        DATEVALUE(B538)
      )
    )
  ),
"INVALID_DATE")</f>
        <v>45757</v>
      </c>
      <c r="AA538" s="2">
        <f>IFERROR(
  IF(ISNUMBER(C538),C538,
    IF(ISNUMBER(SEARCH("-",C538)*1),
      IF(LEN(LEFT(C538,FIND("-",C538)-1))=4,
        DATE(VALUE(LEFT(C538,4)),VALUE(MID(C538,6,2)),VALUE(RIGHT(C538,2))),
        DATE(VALUE(RIGHT(C538,4)),VALUE(MID(C538,4,2)),VALUE(LEFT(C538,2)))
      ),
      IF(ISNUMBER(SEARCH("/",C538)*1),
        DATE(VALUE(RIGHT(C538,4)),VALUE(LEFT(C538,2)),VALUE(MID(C538,4,2))),
        DATEVALUE(C538)
      )
    )
  ),
"INVALID_DATE")</f>
        <v>45764</v>
      </c>
      <c r="AB538">
        <f>AA538-Z538</f>
        <v>7</v>
      </c>
      <c r="AC538" t="str">
        <f>TEXT(Z538,"mmmm")</f>
        <v>April</v>
      </c>
      <c r="AD538">
        <f>YEAR(Z538)</f>
        <v>2025</v>
      </c>
      <c r="AE538" t="str">
        <f t="shared" si="26"/>
        <v>OK</v>
      </c>
    </row>
    <row r="539" spans="1:31">
      <c r="A539" t="s">
        <v>2603</v>
      </c>
      <c r="B539" t="s">
        <v>2046</v>
      </c>
      <c r="C539" t="s">
        <v>2604</v>
      </c>
      <c r="D539" t="s">
        <v>2605</v>
      </c>
      <c r="E539" t="s">
        <v>79</v>
      </c>
      <c r="F539" t="s">
        <v>48</v>
      </c>
      <c r="G539" t="s">
        <v>34</v>
      </c>
      <c r="H539" t="s">
        <v>331</v>
      </c>
      <c r="I539" t="s">
        <v>332</v>
      </c>
      <c r="J539" t="s">
        <v>37</v>
      </c>
      <c r="K539" t="s">
        <v>61</v>
      </c>
      <c r="L539" t="s">
        <v>2606</v>
      </c>
      <c r="M539" t="s">
        <v>55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207</v>
      </c>
      <c r="U539" t="s">
        <v>85</v>
      </c>
      <c r="V539">
        <f>O539*(1-P539)*N539</f>
        <v>1927.6544999999996</v>
      </c>
      <c r="W539">
        <f t="shared" si="24"/>
        <v>467.05449999999973</v>
      </c>
      <c r="X539">
        <f t="shared" si="25"/>
        <v>0.24228983477291002</v>
      </c>
      <c r="Y539" t="s">
        <v>4120</v>
      </c>
      <c r="Z539" s="2">
        <f>IFERROR(
  IF(ISNUMBER(B539),B539,
    IF(ISNUMBER(SEARCH("-",B539)*1),
      IF(LEN(LEFT(B539,FIND("-",B539)-1))=4,
        DATE(VALUE(LEFT(B539,4)),VALUE(MID(B539,6,2)),VALUE(RIGHT(B539,2))),
        DATE(VALUE(RIGHT(B539,4)),VALUE(MID(B539,4,2)),VALUE(LEFT(B539,2)))
      ),
      IF(ISNUMBER(SEARCH("/",B539)*1),
        DATE(VALUE(RIGHT(B539,4)),VALUE(LEFT(B539,2)),VALUE(MID(B539,4,2))),
        DATEVALUE(B539)
      )
    )
  ),
"INVALID_DATE")</f>
        <v>45313</v>
      </c>
      <c r="AA539" s="2">
        <f>IFERROR(
  IF(ISNUMBER(C539),C539,
    IF(ISNUMBER(SEARCH("-",C539)*1),
      IF(LEN(LEFT(C539,FIND("-",C539)-1))=4,
        DATE(VALUE(LEFT(C539,4)),VALUE(MID(C539,6,2)),VALUE(RIGHT(C539,2))),
        DATE(VALUE(RIGHT(C539,4)),VALUE(MID(C539,4,2)),VALUE(LEFT(C539,2)))
      ),
      IF(ISNUMBER(SEARCH("/",C539)*1),
        DATE(VALUE(RIGHT(C539,4)),VALUE(LEFT(C539,2)),VALUE(MID(C539,4,2))),
        DATEVALUE(C539)
      )
    )
  ),
"INVALID_DATE")</f>
        <v>45321</v>
      </c>
      <c r="AB539">
        <f>AA539-Z539</f>
        <v>8</v>
      </c>
      <c r="AC539" t="str">
        <f>TEXT(Z539,"mmmm")</f>
        <v>January</v>
      </c>
      <c r="AD539">
        <f>YEAR(Z539)</f>
        <v>2024</v>
      </c>
      <c r="AE539" t="str">
        <f t="shared" si="26"/>
        <v>OK</v>
      </c>
    </row>
    <row r="540" spans="1:31">
      <c r="A540" t="s">
        <v>2607</v>
      </c>
      <c r="B540" t="s">
        <v>2274</v>
      </c>
      <c r="C540" t="s">
        <v>2608</v>
      </c>
      <c r="D540" t="s">
        <v>2609</v>
      </c>
      <c r="E540" t="s">
        <v>217</v>
      </c>
      <c r="F540" t="s">
        <v>48</v>
      </c>
      <c r="G540" t="s">
        <v>49</v>
      </c>
      <c r="H540" t="s">
        <v>319</v>
      </c>
      <c r="I540" t="s">
        <v>320</v>
      </c>
      <c r="J540" t="s">
        <v>52</v>
      </c>
      <c r="K540" t="s">
        <v>53</v>
      </c>
      <c r="L540" t="s">
        <v>2610</v>
      </c>
      <c r="M540" t="s">
        <v>40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41</v>
      </c>
      <c r="U540" t="s">
        <v>42</v>
      </c>
      <c r="V540">
        <f>O540*(1-P540)*N540</f>
        <v>29900.79</v>
      </c>
      <c r="W540">
        <f t="shared" si="24"/>
        <v>5250.1200000000026</v>
      </c>
      <c r="X540">
        <f t="shared" si="25"/>
        <v>0.17558465846554555</v>
      </c>
      <c r="Y540" t="str">
        <f>_xlfn.TEXTJOIN(", ",TRUE,IF(G540="Unknown","Missing Region",""),IF(M540="Unknown","Missing Ship Mode",""),IF(P540&lt;0,"Negative Discount",""),IF(P540&gt;0.7,"High Discount",""),IF(C540&lt;B540,"Ship Before Order",""))</f>
        <v>Ship Before Order</v>
      </c>
      <c r="Z540" s="2">
        <f>IFERROR(
  IF(ISNUMBER(B540),B540,
    IF(ISNUMBER(SEARCH("-",B540)*1),
      IF(LEN(LEFT(B540,FIND("-",B540)-1))=4,
        DATE(VALUE(LEFT(B540,4)),VALUE(MID(B540,6,2)),VALUE(RIGHT(B540,2))),
        DATE(VALUE(RIGHT(B540,4)),VALUE(MID(B540,4,2)),VALUE(LEFT(B540,2)))
      ),
      IF(ISNUMBER(SEARCH("/",B540)*1),
        DATE(VALUE(RIGHT(B540,4)),VALUE(LEFT(B540,2)),VALUE(MID(B540,4,2))),
        DATEVALUE(B540)
      )
    )
  ),
"INVALID_DATE")</f>
        <v>45560</v>
      </c>
      <c r="AA540" s="2">
        <f>IFERROR(
  IF(ISNUMBER(C540),C540,
    IF(ISNUMBER(SEARCH("-",C540)*1),
      IF(LEN(LEFT(C540,FIND("-",C540)-1))=4,
        DATE(VALUE(LEFT(C540,4)),VALUE(MID(C540,6,2)),VALUE(RIGHT(C540,2))),
        DATE(VALUE(RIGHT(C540,4)),VALUE(MID(C540,4,2)),VALUE(LEFT(C540,2)))
      ),
      IF(ISNUMBER(SEARCH("/",C540)*1),
        DATE(VALUE(RIGHT(C540,4)),VALUE(LEFT(C540,2)),VALUE(MID(C540,4,2))),
        DATEVALUE(C540)
      )
    )
  ),
"INVALID_DATE")</f>
        <v>45566</v>
      </c>
      <c r="AB540">
        <f>AA540-Z540</f>
        <v>6</v>
      </c>
      <c r="AC540" t="str">
        <f>TEXT(Z540,"mmmm")</f>
        <v>September</v>
      </c>
      <c r="AD540">
        <f>YEAR(Z540)</f>
        <v>2024</v>
      </c>
      <c r="AE540" t="str">
        <f t="shared" si="26"/>
        <v>OK</v>
      </c>
    </row>
    <row r="541" spans="1:31">
      <c r="A541" t="s">
        <v>2611</v>
      </c>
      <c r="B541" t="s">
        <v>1224</v>
      </c>
      <c r="C541" t="s">
        <v>2423</v>
      </c>
      <c r="D541" t="s">
        <v>2612</v>
      </c>
      <c r="E541" t="s">
        <v>2613</v>
      </c>
      <c r="F541" t="s">
        <v>48</v>
      </c>
      <c r="G541" t="s">
        <v>69</v>
      </c>
      <c r="H541" t="s">
        <v>347</v>
      </c>
      <c r="I541" t="s">
        <v>348</v>
      </c>
      <c r="J541" t="s">
        <v>52</v>
      </c>
      <c r="K541" t="s">
        <v>83</v>
      </c>
      <c r="L541" t="s">
        <v>2614</v>
      </c>
      <c r="M541" t="s">
        <v>74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41</v>
      </c>
      <c r="U541" t="s">
        <v>85</v>
      </c>
      <c r="V541">
        <f>O541*(1-P541)*N541</f>
        <v>1904.4450000000002</v>
      </c>
      <c r="W541">
        <f t="shared" si="24"/>
        <v>587.9050000000002</v>
      </c>
      <c r="X541">
        <f t="shared" si="25"/>
        <v>0.30870330016540204</v>
      </c>
      <c r="Y541" t="s">
        <v>4120</v>
      </c>
      <c r="Z541" s="2">
        <f>IFERROR(
  IF(ISNUMBER(B541),B541,
    IF(ISNUMBER(SEARCH("-",B541)*1),
      IF(LEN(LEFT(B541,FIND("-",B541)-1))=4,
        DATE(VALUE(LEFT(B541,4)),VALUE(MID(B541,6,2)),VALUE(RIGHT(B541,2))),
        DATE(VALUE(RIGHT(B541,4)),VALUE(MID(B541,4,2)),VALUE(LEFT(B541,2)))
      ),
      IF(ISNUMBER(SEARCH("/",B541)*1),
        DATE(VALUE(RIGHT(B541,4)),VALUE(LEFT(B541,2)),VALUE(MID(B541,4,2))),
        DATEVALUE(B541)
      )
    )
  ),
"INVALID_DATE")</f>
        <v>45842</v>
      </c>
      <c r="AA541" s="2">
        <f>IFERROR(
  IF(ISNUMBER(C541),C541,
    IF(ISNUMBER(SEARCH("-",C541)*1),
      IF(LEN(LEFT(C541,FIND("-",C541)-1))=4,
        DATE(VALUE(LEFT(C541,4)),VALUE(MID(C541,6,2)),VALUE(RIGHT(C541,2))),
        DATE(VALUE(RIGHT(C541,4)),VALUE(MID(C541,4,2)),VALUE(LEFT(C541,2)))
      ),
      IF(ISNUMBER(SEARCH("/",C541)*1),
        DATE(VALUE(RIGHT(C541,4)),VALUE(LEFT(C541,2)),VALUE(MID(C541,4,2))),
        DATEVALUE(C541)
      )
    )
  ),
"INVALID_DATE")</f>
        <v>45842</v>
      </c>
      <c r="AB541">
        <f>AA541-Z541</f>
        <v>0</v>
      </c>
      <c r="AC541" t="str">
        <f>TEXT(Z541,"mmmm")</f>
        <v>July</v>
      </c>
      <c r="AD541">
        <f>YEAR(Z541)</f>
        <v>2025</v>
      </c>
      <c r="AE541" t="str">
        <f t="shared" si="26"/>
        <v>OK</v>
      </c>
    </row>
    <row r="542" spans="1:31">
      <c r="A542" t="s">
        <v>2615</v>
      </c>
      <c r="B542" t="s">
        <v>2616</v>
      </c>
      <c r="C542" t="s">
        <v>2351</v>
      </c>
      <c r="D542" t="s">
        <v>2617</v>
      </c>
      <c r="E542" t="s">
        <v>374</v>
      </c>
      <c r="F542" t="s">
        <v>33</v>
      </c>
      <c r="G542" t="s">
        <v>80</v>
      </c>
      <c r="H542" t="s">
        <v>242</v>
      </c>
      <c r="I542" t="s">
        <v>243</v>
      </c>
      <c r="J542" t="s">
        <v>52</v>
      </c>
      <c r="K542" t="s">
        <v>72</v>
      </c>
      <c r="L542" t="s">
        <v>2618</v>
      </c>
      <c r="M542" t="s">
        <v>74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41</v>
      </c>
      <c r="U542" t="s">
        <v>42</v>
      </c>
      <c r="V542">
        <f>O542*(1-P542)*N542</f>
        <v>21571.592000000004</v>
      </c>
      <c r="W542">
        <f t="shared" si="24"/>
        <v>4453.5220000000045</v>
      </c>
      <c r="X542">
        <f t="shared" si="25"/>
        <v>0.20645302455683612</v>
      </c>
      <c r="Y542" t="str">
        <f>_xlfn.TEXTJOIN(", ",TRUE,IF(G542="Unknown","Missing Region",""),IF(M542="Unknown","Missing Ship Mode",""),IF(P542&lt;0,"Negative Discount",""),IF(P542&gt;0.7,"High Discount",""),IF(C542&lt;B542,"Ship Before Order",""))</f>
        <v>Ship Before Order</v>
      </c>
      <c r="Z542" s="2">
        <f>IFERROR(
  IF(ISNUMBER(B542),B542,
    IF(ISNUMBER(SEARCH("-",B542)*1),
      IF(LEN(LEFT(B542,FIND("-",B542)-1))=4,
        DATE(VALUE(LEFT(B542,4)),VALUE(MID(B542,6,2)),VALUE(RIGHT(B542,2))),
        DATE(VALUE(RIGHT(B542,4)),VALUE(MID(B542,4,2)),VALUE(LEFT(B542,2)))
      ),
      IF(ISNUMBER(SEARCH("/",B542)*1),
        DATE(VALUE(RIGHT(B542,4)),VALUE(LEFT(B542,2)),VALUE(MID(B542,4,2))),
        DATEVALUE(B542)
      )
    )
  ),
"INVALID_DATE")</f>
        <v>45348</v>
      </c>
      <c r="AA542" s="2">
        <f>IFERROR(
  IF(ISNUMBER(C542),C542,
    IF(ISNUMBER(SEARCH("-",C542)*1),
      IF(LEN(LEFT(C542,FIND("-",C542)-1))=4,
        DATE(VALUE(LEFT(C542,4)),VALUE(MID(C542,6,2)),VALUE(RIGHT(C542,2))),
        DATE(VALUE(RIGHT(C542,4)),VALUE(MID(C542,4,2)),VALUE(LEFT(C542,2)))
      ),
      IF(ISNUMBER(SEARCH("/",C542)*1),
        DATE(VALUE(RIGHT(C542,4)),VALUE(LEFT(C542,2)),VALUE(MID(C542,4,2))),
        DATEVALUE(C542)
      )
    )
  ),
"INVALID_DATE")</f>
        <v>45345</v>
      </c>
      <c r="AB542">
        <f>AA542-Z542</f>
        <v>-3</v>
      </c>
      <c r="AC542" t="str">
        <f>TEXT(Z542,"mmmm")</f>
        <v>February</v>
      </c>
      <c r="AD542">
        <f>YEAR(Z542)</f>
        <v>2024</v>
      </c>
      <c r="AE542" t="str">
        <f t="shared" si="26"/>
        <v>Ship Before Order</v>
      </c>
    </row>
    <row r="543" spans="1:31">
      <c r="A543" t="s">
        <v>2619</v>
      </c>
      <c r="B543" t="s">
        <v>2620</v>
      </c>
      <c r="C543" t="s">
        <v>2621</v>
      </c>
      <c r="D543" t="s">
        <v>2622</v>
      </c>
      <c r="E543" t="s">
        <v>175</v>
      </c>
      <c r="F543" t="s">
        <v>33</v>
      </c>
      <c r="G543" t="s">
        <v>80</v>
      </c>
      <c r="H543" t="s">
        <v>81</v>
      </c>
      <c r="I543" t="s">
        <v>82</v>
      </c>
      <c r="J543" t="s">
        <v>93</v>
      </c>
      <c r="K543" t="s">
        <v>101</v>
      </c>
      <c r="L543" t="s">
        <v>2623</v>
      </c>
      <c r="M543" t="s">
        <v>55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41</v>
      </c>
      <c r="U543" t="s">
        <v>132</v>
      </c>
      <c r="V543">
        <f>O543*(1-P543)*N543</f>
        <v>8641.68</v>
      </c>
      <c r="W543">
        <f t="shared" si="24"/>
        <v>2894.59</v>
      </c>
      <c r="X543">
        <f t="shared" si="25"/>
        <v>0.33495686024013849</v>
      </c>
      <c r="Y543" t="s">
        <v>4120</v>
      </c>
      <c r="Z543" s="2">
        <f>IFERROR(
  IF(ISNUMBER(B543),B543,
    IF(ISNUMBER(SEARCH("-",B543)*1),
      IF(LEN(LEFT(B543,FIND("-",B543)-1))=4,
        DATE(VALUE(LEFT(B543,4)),VALUE(MID(B543,6,2)),VALUE(RIGHT(B543,2))),
        DATE(VALUE(RIGHT(B543,4)),VALUE(MID(B543,4,2)),VALUE(LEFT(B543,2)))
      ),
      IF(ISNUMBER(SEARCH("/",B543)*1),
        DATE(VALUE(RIGHT(B543,4)),VALUE(LEFT(B543,2)),VALUE(MID(B543,4,2))),
        DATEVALUE(B543)
      )
    )
  ),
"INVALID_DATE")</f>
        <v>45846</v>
      </c>
      <c r="AA543" s="2">
        <f>IFERROR(
  IF(ISNUMBER(C543),C543,
    IF(ISNUMBER(SEARCH("-",C543)*1),
      IF(LEN(LEFT(C543,FIND("-",C543)-1))=4,
        DATE(VALUE(LEFT(C543,4)),VALUE(MID(C543,6,2)),VALUE(RIGHT(C543,2))),
        DATE(VALUE(RIGHT(C543,4)),VALUE(MID(C543,4,2)),VALUE(LEFT(C543,2)))
      ),
      IF(ISNUMBER(SEARCH("/",C543)*1),
        DATE(VALUE(RIGHT(C543,4)),VALUE(LEFT(C543,2)),VALUE(MID(C543,4,2))),
        DATEVALUE(C543)
      )
    )
  ),
"INVALID_DATE")</f>
        <v>45847</v>
      </c>
      <c r="AB543">
        <f>AA543-Z543</f>
        <v>1</v>
      </c>
      <c r="AC543" t="str">
        <f>TEXT(Z543,"mmmm")</f>
        <v>July</v>
      </c>
      <c r="AD543">
        <f>YEAR(Z543)</f>
        <v>2025</v>
      </c>
      <c r="AE543" t="str">
        <f t="shared" si="26"/>
        <v>OK</v>
      </c>
    </row>
    <row r="544" spans="1:31">
      <c r="A544" t="s">
        <v>2624</v>
      </c>
      <c r="B544" t="s">
        <v>2625</v>
      </c>
      <c r="C544" t="s">
        <v>2626</v>
      </c>
      <c r="D544" t="s">
        <v>2627</v>
      </c>
      <c r="E544" t="s">
        <v>155</v>
      </c>
      <c r="F544" t="s">
        <v>122</v>
      </c>
      <c r="G544" t="s">
        <v>69</v>
      </c>
      <c r="H544" t="s">
        <v>249</v>
      </c>
      <c r="I544" t="s">
        <v>250</v>
      </c>
      <c r="J544" t="s">
        <v>52</v>
      </c>
      <c r="K544" t="s">
        <v>211</v>
      </c>
      <c r="L544" t="s">
        <v>2628</v>
      </c>
      <c r="M544" t="s">
        <v>40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41</v>
      </c>
      <c r="U544" t="s">
        <v>2629</v>
      </c>
      <c r="V544">
        <f>O544*(1-P544)*N544</f>
        <v>9762.2880000000005</v>
      </c>
      <c r="W544">
        <f t="shared" si="24"/>
        <v>1394.0480000000007</v>
      </c>
      <c r="X544">
        <f t="shared" si="25"/>
        <v>0.13956508114807684</v>
      </c>
      <c r="Y544" t="s">
        <v>4120</v>
      </c>
      <c r="Z544" s="2">
        <f>IFERROR(
  IF(ISNUMBER(B544),B544,
    IF(ISNUMBER(SEARCH("-",B544)*1),
      IF(LEN(LEFT(B544,FIND("-",B544)-1))=4,
        DATE(VALUE(LEFT(B544,4)),VALUE(MID(B544,6,2)),VALUE(RIGHT(B544,2))),
        DATE(VALUE(RIGHT(B544,4)),VALUE(MID(B544,4,2)),VALUE(LEFT(B544,2)))
      ),
      IF(ISNUMBER(SEARCH("/",B544)*1),
        DATE(VALUE(RIGHT(B544,4)),VALUE(LEFT(B544,2)),VALUE(MID(B544,4,2))),
        DATEVALUE(B544)
      )
    )
  ),
"INVALID_DATE")</f>
        <v>45552</v>
      </c>
      <c r="AA544" s="2">
        <f>IFERROR(
  IF(ISNUMBER(C544),C544,
    IF(ISNUMBER(SEARCH("-",C544)*1),
      IF(LEN(LEFT(C544,FIND("-",C544)-1))=4,
        DATE(VALUE(LEFT(C544,4)),VALUE(MID(C544,6,2)),VALUE(RIGHT(C544,2))),
        DATE(VALUE(RIGHT(C544,4)),VALUE(MID(C544,4,2)),VALUE(LEFT(C544,2)))
      ),
      IF(ISNUMBER(SEARCH("/",C544)*1),
        DATE(VALUE(RIGHT(C544,4)),VALUE(LEFT(C544,2)),VALUE(MID(C544,4,2))),
        DATEVALUE(C544)
      )
    )
  ),
"INVALID_DATE")</f>
        <v>45558</v>
      </c>
      <c r="AB544">
        <f>AA544-Z544</f>
        <v>6</v>
      </c>
      <c r="AC544" t="str">
        <f>TEXT(Z544,"mmmm")</f>
        <v>September</v>
      </c>
      <c r="AD544">
        <f>YEAR(Z544)</f>
        <v>2024</v>
      </c>
      <c r="AE544" t="str">
        <f t="shared" si="26"/>
        <v>OK</v>
      </c>
    </row>
    <row r="545" spans="1:31">
      <c r="A545" t="s">
        <v>2630</v>
      </c>
      <c r="B545" t="s">
        <v>2631</v>
      </c>
      <c r="C545" t="s">
        <v>408</v>
      </c>
      <c r="D545" t="s">
        <v>2632</v>
      </c>
      <c r="E545" t="s">
        <v>47</v>
      </c>
      <c r="F545" t="s">
        <v>33</v>
      </c>
      <c r="G545" t="s">
        <v>49</v>
      </c>
      <c r="H545" t="s">
        <v>193</v>
      </c>
      <c r="I545" t="s">
        <v>194</v>
      </c>
      <c r="J545" t="s">
        <v>93</v>
      </c>
      <c r="K545" t="s">
        <v>101</v>
      </c>
      <c r="L545" t="s">
        <v>2633</v>
      </c>
      <c r="M545" t="s">
        <v>55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41</v>
      </c>
      <c r="U545" t="s">
        <v>42</v>
      </c>
      <c r="V545">
        <f>O545*(1-P545)*N545</f>
        <v>418.76949999999999</v>
      </c>
      <c r="W545">
        <f t="shared" si="24"/>
        <v>105.04949999999997</v>
      </c>
      <c r="X545">
        <f t="shared" si="25"/>
        <v>0.25085369057000262</v>
      </c>
      <c r="Y545" t="str">
        <f>_xlfn.TEXTJOIN(", ",TRUE,IF(G545="Unknown","Missing Region",""),IF(M545="Unknown","Missing Ship Mode",""),IF(P545&lt;0,"Negative Discount",""),IF(P545&gt;0.7,"High Discount",""),IF(C545&lt;B545,"Ship Before Order",""))</f>
        <v>Ship Before Order</v>
      </c>
      <c r="Z545" s="2">
        <f>IFERROR(
  IF(ISNUMBER(B545),B545,
    IF(ISNUMBER(SEARCH("-",B545)*1),
      IF(LEN(LEFT(B545,FIND("-",B545)-1))=4,
        DATE(VALUE(LEFT(B545,4)),VALUE(MID(B545,6,2)),VALUE(RIGHT(B545,2))),
        DATE(VALUE(RIGHT(B545,4)),VALUE(MID(B545,4,2)),VALUE(LEFT(B545,2)))
      ),
      IF(ISNUMBER(SEARCH("/",B545)*1),
        DATE(VALUE(RIGHT(B545,4)),VALUE(LEFT(B545,2)),VALUE(MID(B545,4,2))),
        DATEVALUE(B545)
      )
    )
  ),
"INVALID_DATE")</f>
        <v>45487</v>
      </c>
      <c r="AA545" s="2">
        <f>IFERROR(
  IF(ISNUMBER(C545),C545,
    IF(ISNUMBER(SEARCH("-",C545)*1),
      IF(LEN(LEFT(C545,FIND("-",C545)-1))=4,
        DATE(VALUE(LEFT(C545,4)),VALUE(MID(C545,6,2)),VALUE(RIGHT(C545,2))),
        DATE(VALUE(RIGHT(C545,4)),VALUE(MID(C545,4,2)),VALUE(LEFT(C545,2)))
      ),
      IF(ISNUMBER(SEARCH("/",C545)*1),
        DATE(VALUE(RIGHT(C545,4)),VALUE(LEFT(C545,2)),VALUE(MID(C545,4,2))),
        DATEVALUE(C545)
      )
    )
  ),
"INVALID_DATE")</f>
        <v>45493</v>
      </c>
      <c r="AB545">
        <f>AA545-Z545</f>
        <v>6</v>
      </c>
      <c r="AC545" t="str">
        <f>TEXT(Z545,"mmmm")</f>
        <v>July</v>
      </c>
      <c r="AD545">
        <f>YEAR(Z545)</f>
        <v>2024</v>
      </c>
      <c r="AE545" t="str">
        <f t="shared" si="26"/>
        <v>OK</v>
      </c>
    </row>
    <row r="546" spans="1:31">
      <c r="A546" t="s">
        <v>2634</v>
      </c>
      <c r="B546" t="s">
        <v>2635</v>
      </c>
      <c r="C546" t="s">
        <v>2068</v>
      </c>
      <c r="D546" t="s">
        <v>2636</v>
      </c>
      <c r="E546" t="s">
        <v>79</v>
      </c>
      <c r="F546" t="s">
        <v>33</v>
      </c>
      <c r="G546" t="s">
        <v>69</v>
      </c>
      <c r="H546" t="s">
        <v>249</v>
      </c>
      <c r="I546" t="s">
        <v>250</v>
      </c>
      <c r="J546" t="s">
        <v>37</v>
      </c>
      <c r="K546" t="s">
        <v>61</v>
      </c>
      <c r="L546" t="s">
        <v>2637</v>
      </c>
      <c r="M546" t="s">
        <v>55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41</v>
      </c>
      <c r="U546" t="s">
        <v>85</v>
      </c>
      <c r="V546">
        <f>O546*(1-P546)*N546</f>
        <v>21861.72</v>
      </c>
      <c r="W546">
        <f t="shared" si="24"/>
        <v>3397.380000000001</v>
      </c>
      <c r="X546">
        <f t="shared" si="25"/>
        <v>0.15540314302808744</v>
      </c>
      <c r="Y546" t="str">
        <f>_xlfn.TEXTJOIN(", ",TRUE,IF(G546="Unknown","Missing Region",""),IF(M546="Unknown","Missing Ship Mode",""),IF(P546&lt;0,"Negative Discount",""),IF(P546&gt;0.7,"High Discount",""),IF(C546&lt;B546,"Ship Before Order",""))</f>
        <v>Ship Before Order</v>
      </c>
      <c r="Z546" s="2">
        <f>IFERROR(
  IF(ISNUMBER(B546),B546,
    IF(ISNUMBER(SEARCH("-",B546)*1),
      IF(LEN(LEFT(B546,FIND("-",B546)-1))=4,
        DATE(VALUE(LEFT(B546,4)),VALUE(MID(B546,6,2)),VALUE(RIGHT(B546,2))),
        DATE(VALUE(RIGHT(B546,4)),VALUE(MID(B546,4,2)),VALUE(LEFT(B546,2)))
      ),
      IF(ISNUMBER(SEARCH("/",B546)*1),
        DATE(VALUE(RIGHT(B546,4)),VALUE(LEFT(B546,2)),VALUE(MID(B546,4,2))),
        DATEVALUE(B546)
      )
    )
  ),
"INVALID_DATE")</f>
        <v>45686</v>
      </c>
      <c r="AA546" s="2">
        <f>IFERROR(
  IF(ISNUMBER(C546),C546,
    IF(ISNUMBER(SEARCH("-",C546)*1),
      IF(LEN(LEFT(C546,FIND("-",C546)-1))=4,
        DATE(VALUE(LEFT(C546,4)),VALUE(MID(C546,6,2)),VALUE(RIGHT(C546,2))),
        DATE(VALUE(RIGHT(C546,4)),VALUE(MID(C546,4,2)),VALUE(LEFT(C546,2)))
      ),
      IF(ISNUMBER(SEARCH("/",C546)*1),
        DATE(VALUE(RIGHT(C546,4)),VALUE(LEFT(C546,2)),VALUE(MID(C546,4,2))),
        DATEVALUE(C546)
      )
    )
  ),
"INVALID_DATE")</f>
        <v>45693</v>
      </c>
      <c r="AB546">
        <f>AA546-Z546</f>
        <v>7</v>
      </c>
      <c r="AC546" t="str">
        <f>TEXT(Z546,"mmmm")</f>
        <v>January</v>
      </c>
      <c r="AD546">
        <f>YEAR(Z546)</f>
        <v>2025</v>
      </c>
      <c r="AE546" t="str">
        <f t="shared" si="26"/>
        <v>OK</v>
      </c>
    </row>
    <row r="547" spans="1:31">
      <c r="A547" t="s">
        <v>2638</v>
      </c>
      <c r="B547" t="s">
        <v>2639</v>
      </c>
      <c r="C547" t="s">
        <v>2640</v>
      </c>
      <c r="D547" t="s">
        <v>2641</v>
      </c>
      <c r="E547" t="s">
        <v>374</v>
      </c>
      <c r="F547" t="s">
        <v>48</v>
      </c>
      <c r="G547" t="s">
        <v>49</v>
      </c>
      <c r="H547" t="s">
        <v>319</v>
      </c>
      <c r="I547" t="s">
        <v>320</v>
      </c>
      <c r="J547" t="s">
        <v>37</v>
      </c>
      <c r="K547" t="s">
        <v>163</v>
      </c>
      <c r="L547" t="s">
        <v>2642</v>
      </c>
      <c r="M547" t="s">
        <v>55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41</v>
      </c>
      <c r="U547" t="s">
        <v>42</v>
      </c>
      <c r="V547">
        <f>O547*(1-P547)*N547</f>
        <v>17260.117000000002</v>
      </c>
      <c r="W547">
        <f t="shared" si="24"/>
        <v>3746.6070000000018</v>
      </c>
      <c r="X547">
        <f t="shared" si="25"/>
        <v>0.21706743637935311</v>
      </c>
      <c r="Y547" t="s">
        <v>4120</v>
      </c>
      <c r="Z547" s="2">
        <f>IFERROR(
  IF(ISNUMBER(B547),B547,
    IF(ISNUMBER(SEARCH("-",B547)*1),
      IF(LEN(LEFT(B547,FIND("-",B547)-1))=4,
        DATE(VALUE(LEFT(B547,4)),VALUE(MID(B547,6,2)),VALUE(RIGHT(B547,2))),
        DATE(VALUE(RIGHT(B547,4)),VALUE(MID(B547,4,2)),VALUE(LEFT(B547,2)))
      ),
      IF(ISNUMBER(SEARCH("/",B547)*1),
        DATE(VALUE(RIGHT(B547,4)),VALUE(LEFT(B547,2)),VALUE(MID(B547,4,2))),
        DATEVALUE(B547)
      )
    )
  ),
"INVALID_DATE")</f>
        <v>45439</v>
      </c>
      <c r="AA547" s="2">
        <f>IFERROR(
  IF(ISNUMBER(C547),C547,
    IF(ISNUMBER(SEARCH("-",C547)*1),
      IF(LEN(LEFT(C547,FIND("-",C547)-1))=4,
        DATE(VALUE(LEFT(C547,4)),VALUE(MID(C547,6,2)),VALUE(RIGHT(C547,2))),
        DATE(VALUE(RIGHT(C547,4)),VALUE(MID(C547,4,2)),VALUE(LEFT(C547,2)))
      ),
      IF(ISNUMBER(SEARCH("/",C547)*1),
        DATE(VALUE(RIGHT(C547,4)),VALUE(LEFT(C547,2)),VALUE(MID(C547,4,2))),
        DATEVALUE(C547)
      )
    )
  ),
"INVALID_DATE")</f>
        <v>45442</v>
      </c>
      <c r="AB547">
        <f>AA547-Z547</f>
        <v>3</v>
      </c>
      <c r="AC547" t="str">
        <f>TEXT(Z547,"mmmm")</f>
        <v>May</v>
      </c>
      <c r="AD547">
        <f>YEAR(Z547)</f>
        <v>2024</v>
      </c>
      <c r="AE547" t="str">
        <f t="shared" si="26"/>
        <v>OK</v>
      </c>
    </row>
    <row r="548" spans="1:31">
      <c r="A548" t="s">
        <v>2643</v>
      </c>
      <c r="B548" t="s">
        <v>2644</v>
      </c>
      <c r="C548" t="s">
        <v>1499</v>
      </c>
      <c r="D548" t="s">
        <v>2645</v>
      </c>
      <c r="E548" t="s">
        <v>68</v>
      </c>
      <c r="F548" t="s">
        <v>115</v>
      </c>
      <c r="G548" t="s">
        <v>80</v>
      </c>
      <c r="H548" t="s">
        <v>242</v>
      </c>
      <c r="I548" t="s">
        <v>243</v>
      </c>
      <c r="J548" t="s">
        <v>2646</v>
      </c>
      <c r="K548" t="s">
        <v>38</v>
      </c>
      <c r="L548" t="s">
        <v>2647</v>
      </c>
      <c r="M548" t="s">
        <v>63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41</v>
      </c>
      <c r="U548" t="s">
        <v>42</v>
      </c>
      <c r="V548">
        <f>O548*(1-P548)*N548</f>
        <v>10911.322499999998</v>
      </c>
      <c r="W548">
        <f t="shared" si="24"/>
        <v>3944.8824999999988</v>
      </c>
      <c r="X548">
        <f t="shared" si="25"/>
        <v>0.40280827617556814</v>
      </c>
      <c r="Y548" t="s">
        <v>4120</v>
      </c>
      <c r="Z548" s="2">
        <f>IFERROR(
  IF(ISNUMBER(B548),B548,
    IF(ISNUMBER(SEARCH("-",B548)*1),
      IF(LEN(LEFT(B548,FIND("-",B548)-1))=4,
        DATE(VALUE(LEFT(B548,4)),VALUE(MID(B548,6,2)),VALUE(RIGHT(B548,2))),
        DATE(VALUE(RIGHT(B548,4)),VALUE(MID(B548,4,2)),VALUE(LEFT(B548,2)))
      ),
      IF(ISNUMBER(SEARCH("/",B548)*1),
        DATE(VALUE(RIGHT(B548,4)),VALUE(LEFT(B548,2)),VALUE(MID(B548,4,2))),
        DATEVALUE(B548)
      )
    )
  ),
"INVALID_DATE")</f>
        <v>45883</v>
      </c>
      <c r="AA548" s="2">
        <f>IFERROR(
  IF(ISNUMBER(C548),C548,
    IF(ISNUMBER(SEARCH("-",C548)*1),
      IF(LEN(LEFT(C548,FIND("-",C548)-1))=4,
        DATE(VALUE(LEFT(C548,4)),VALUE(MID(C548,6,2)),VALUE(RIGHT(C548,2))),
        DATE(VALUE(RIGHT(C548,4)),VALUE(MID(C548,4,2)),VALUE(LEFT(C548,2)))
      ),
      IF(ISNUMBER(SEARCH("/",C548)*1),
        DATE(VALUE(RIGHT(C548,4)),VALUE(LEFT(C548,2)),VALUE(MID(C548,4,2))),
        DATEVALUE(C548)
      )
    )
  ),
"INVALID_DATE")</f>
        <v>45891</v>
      </c>
      <c r="AB548">
        <f>AA548-Z548</f>
        <v>8</v>
      </c>
      <c r="AC548" t="str">
        <f>TEXT(Z548,"mmmm")</f>
        <v>August</v>
      </c>
      <c r="AD548">
        <f>YEAR(Z548)</f>
        <v>2025</v>
      </c>
      <c r="AE548" t="str">
        <f t="shared" si="26"/>
        <v>OK</v>
      </c>
    </row>
    <row r="549" spans="1:31">
      <c r="A549" t="s">
        <v>2648</v>
      </c>
      <c r="B549" t="s">
        <v>2649</v>
      </c>
      <c r="C549" t="s">
        <v>2650</v>
      </c>
      <c r="D549" t="s">
        <v>2651</v>
      </c>
      <c r="E549" t="s">
        <v>100</v>
      </c>
      <c r="F549" t="s">
        <v>48</v>
      </c>
      <c r="G549" t="s">
        <v>34</v>
      </c>
      <c r="H549" t="s">
        <v>181</v>
      </c>
      <c r="I549" t="s">
        <v>182</v>
      </c>
      <c r="J549" t="s">
        <v>93</v>
      </c>
      <c r="K549" t="s">
        <v>101</v>
      </c>
      <c r="L549" t="s">
        <v>2652</v>
      </c>
      <c r="M549" t="s">
        <v>74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41</v>
      </c>
      <c r="U549" t="s">
        <v>42</v>
      </c>
      <c r="V549">
        <f>O549*(1-P549)*N549</f>
        <v>30148.929000000004</v>
      </c>
      <c r="W549">
        <f t="shared" si="24"/>
        <v>4993.859000000004</v>
      </c>
      <c r="X549">
        <f t="shared" si="25"/>
        <v>0.16563970926994753</v>
      </c>
      <c r="Y549" t="s">
        <v>4120</v>
      </c>
      <c r="Z549" s="2">
        <f>IFERROR(
  IF(ISNUMBER(B549),B549,
    IF(ISNUMBER(SEARCH("-",B549)*1),
      IF(LEN(LEFT(B549,FIND("-",B549)-1))=4,
        DATE(VALUE(LEFT(B549,4)),VALUE(MID(B549,6,2)),VALUE(RIGHT(B549,2))),
        DATE(VALUE(RIGHT(B549,4)),VALUE(MID(B549,4,2)),VALUE(LEFT(B549,2)))
      ),
      IF(ISNUMBER(SEARCH("/",B549)*1),
        DATE(VALUE(RIGHT(B549,4)),VALUE(LEFT(B549,2)),VALUE(MID(B549,4,2))),
        DATEVALUE(B549)
      )
    )
  ),
"INVALID_DATE")</f>
        <v>45428</v>
      </c>
      <c r="AA549" s="2">
        <f>IFERROR(
  IF(ISNUMBER(C549),C549,
    IF(ISNUMBER(SEARCH("-",C549)*1),
      IF(LEN(LEFT(C549,FIND("-",C549)-1))=4,
        DATE(VALUE(LEFT(C549,4)),VALUE(MID(C549,6,2)),VALUE(RIGHT(C549,2))),
        DATE(VALUE(RIGHT(C549,4)),VALUE(MID(C549,4,2)),VALUE(LEFT(C549,2)))
      ),
      IF(ISNUMBER(SEARCH("/",C549)*1),
        DATE(VALUE(RIGHT(C549,4)),VALUE(LEFT(C549,2)),VALUE(MID(C549,4,2))),
        DATEVALUE(C549)
      )
    )
  ),
"INVALID_DATE")</f>
        <v>45435</v>
      </c>
      <c r="AB549">
        <f>AA549-Z549</f>
        <v>7</v>
      </c>
      <c r="AC549" t="str">
        <f>TEXT(Z549,"mmmm")</f>
        <v>May</v>
      </c>
      <c r="AD549">
        <f>YEAR(Z549)</f>
        <v>2024</v>
      </c>
      <c r="AE549" t="str">
        <f t="shared" si="26"/>
        <v>OK</v>
      </c>
    </row>
    <row r="550" spans="1:31">
      <c r="A550" t="s">
        <v>2653</v>
      </c>
      <c r="B550" t="s">
        <v>282</v>
      </c>
      <c r="C550" t="s">
        <v>281</v>
      </c>
      <c r="D550" t="s">
        <v>2654</v>
      </c>
      <c r="E550" t="s">
        <v>187</v>
      </c>
      <c r="F550" t="s">
        <v>115</v>
      </c>
      <c r="G550" t="s">
        <v>49</v>
      </c>
      <c r="H550" t="s">
        <v>193</v>
      </c>
      <c r="I550" t="s">
        <v>194</v>
      </c>
      <c r="J550" t="s">
        <v>52</v>
      </c>
      <c r="K550" t="s">
        <v>211</v>
      </c>
      <c r="L550" t="s">
        <v>2655</v>
      </c>
      <c r="M550" t="s">
        <v>55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144</v>
      </c>
      <c r="U550" t="s">
        <v>85</v>
      </c>
      <c r="V550">
        <f>O550*(1-P550)*N550</f>
        <v>1072.01</v>
      </c>
      <c r="W550">
        <f t="shared" si="24"/>
        <v>219.39</v>
      </c>
      <c r="X550">
        <f t="shared" si="25"/>
        <v>0.20465294167032022</v>
      </c>
      <c r="Y550" t="s">
        <v>4120</v>
      </c>
      <c r="Z550" s="2">
        <f>IFERROR(
  IF(ISNUMBER(B550),B550,
    IF(ISNUMBER(SEARCH("-",B550)*1),
      IF(LEN(LEFT(B550,FIND("-",B550)-1))=4,
        DATE(VALUE(LEFT(B550,4)),VALUE(MID(B550,6,2)),VALUE(RIGHT(B550,2))),
        DATE(VALUE(RIGHT(B550,4)),VALUE(MID(B550,4,2)),VALUE(LEFT(B550,2)))
      ),
      IF(ISNUMBER(SEARCH("/",B550)*1),
        DATE(VALUE(RIGHT(B550,4)),VALUE(LEFT(B550,2)),VALUE(MID(B550,4,2))),
        DATEVALUE(B550)
      )
    )
  ),
"INVALID_DATE")</f>
        <v>45441</v>
      </c>
      <c r="AA550" s="2">
        <f>IFERROR(
  IF(ISNUMBER(C550),C550,
    IF(ISNUMBER(SEARCH("-",C550)*1),
      IF(LEN(LEFT(C550,FIND("-",C550)-1))=4,
        DATE(VALUE(LEFT(C550,4)),VALUE(MID(C550,6,2)),VALUE(RIGHT(C550,2))),
        DATE(VALUE(RIGHT(C550,4)),VALUE(MID(C550,4,2)),VALUE(LEFT(C550,2)))
      ),
      IF(ISNUMBER(SEARCH("/",C550)*1),
        DATE(VALUE(RIGHT(C550,4)),VALUE(LEFT(C550,2)),VALUE(MID(C550,4,2))),
        DATEVALUE(C550)
      )
    )
  ),
"INVALID_DATE")</f>
        <v>45441</v>
      </c>
      <c r="AB550">
        <f>AA550-Z550</f>
        <v>0</v>
      </c>
      <c r="AC550" t="str">
        <f>TEXT(Z550,"mmmm")</f>
        <v>May</v>
      </c>
      <c r="AD550">
        <f>YEAR(Z550)</f>
        <v>2024</v>
      </c>
      <c r="AE550" t="str">
        <f t="shared" si="26"/>
        <v>OK</v>
      </c>
    </row>
    <row r="551" spans="1:31">
      <c r="A551" t="s">
        <v>2656</v>
      </c>
      <c r="B551" t="s">
        <v>2657</v>
      </c>
      <c r="C551" t="s">
        <v>2658</v>
      </c>
      <c r="D551" t="s">
        <v>2659</v>
      </c>
      <c r="E551" t="s">
        <v>47</v>
      </c>
      <c r="F551" t="s">
        <v>115</v>
      </c>
      <c r="G551" t="s">
        <v>69</v>
      </c>
      <c r="H551" t="s">
        <v>70</v>
      </c>
      <c r="I551" t="s">
        <v>71</v>
      </c>
      <c r="J551" t="s">
        <v>37</v>
      </c>
      <c r="K551" t="s">
        <v>61</v>
      </c>
      <c r="L551" t="s">
        <v>2660</v>
      </c>
      <c r="M551" t="s">
        <v>40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41</v>
      </c>
      <c r="U551" t="s">
        <v>42</v>
      </c>
      <c r="V551">
        <f>O551*(1-P551)*N551</f>
        <v>10271.528999999999</v>
      </c>
      <c r="W551">
        <f t="shared" si="24"/>
        <v>1999.2889999999989</v>
      </c>
      <c r="X551">
        <f t="shared" si="25"/>
        <v>0.19464383592317794</v>
      </c>
      <c r="Y551" t="s">
        <v>4120</v>
      </c>
      <c r="Z551" s="2">
        <f>IFERROR(
  IF(ISNUMBER(B551),B551,
    IF(ISNUMBER(SEARCH("-",B551)*1),
      IF(LEN(LEFT(B551,FIND("-",B551)-1))=4,
        DATE(VALUE(LEFT(B551,4)),VALUE(MID(B551,6,2)),VALUE(RIGHT(B551,2))),
        DATE(VALUE(RIGHT(B551,4)),VALUE(MID(B551,4,2)),VALUE(LEFT(B551,2)))
      ),
      IF(ISNUMBER(SEARCH("/",B551)*1),
        DATE(VALUE(RIGHT(B551,4)),VALUE(LEFT(B551,2)),VALUE(MID(B551,4,2))),
        DATEVALUE(B551)
      )
    )
  ),
"INVALID_DATE")</f>
        <v>45941</v>
      </c>
      <c r="AA551" s="2">
        <f>IFERROR(
  IF(ISNUMBER(C551),C551,
    IF(ISNUMBER(SEARCH("-",C551)*1),
      IF(LEN(LEFT(C551,FIND("-",C551)-1))=4,
        DATE(VALUE(LEFT(C551,4)),VALUE(MID(C551,6,2)),VALUE(RIGHT(C551,2))),
        DATE(VALUE(RIGHT(C551,4)),VALUE(MID(C551,4,2)),VALUE(LEFT(C551,2)))
      ),
      IF(ISNUMBER(SEARCH("/",C551)*1),
        DATE(VALUE(RIGHT(C551,4)),VALUE(LEFT(C551,2)),VALUE(MID(C551,4,2))),
        DATEVALUE(C551)
      )
    )
  ),
"INVALID_DATE")</f>
        <v>45943</v>
      </c>
      <c r="AB551">
        <f>AA551-Z551</f>
        <v>2</v>
      </c>
      <c r="AC551" t="str">
        <f>TEXT(Z551,"mmmm")</f>
        <v>October</v>
      </c>
      <c r="AD551">
        <f>YEAR(Z551)</f>
        <v>2025</v>
      </c>
      <c r="AE551" t="str">
        <f t="shared" si="26"/>
        <v>OK</v>
      </c>
    </row>
    <row r="552" spans="1:31">
      <c r="A552" t="s">
        <v>2661</v>
      </c>
      <c r="B552" t="s">
        <v>546</v>
      </c>
      <c r="C552" t="s">
        <v>2662</v>
      </c>
      <c r="D552" t="s">
        <v>2663</v>
      </c>
      <c r="E552" t="s">
        <v>47</v>
      </c>
      <c r="F552" t="s">
        <v>122</v>
      </c>
      <c r="G552" t="s">
        <v>49</v>
      </c>
      <c r="H552" t="s">
        <v>50</v>
      </c>
      <c r="I552" t="s">
        <v>51</v>
      </c>
      <c r="J552" t="s">
        <v>93</v>
      </c>
      <c r="K552" t="s">
        <v>94</v>
      </c>
      <c r="L552" t="s">
        <v>2664</v>
      </c>
      <c r="M552" t="s">
        <v>74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41</v>
      </c>
      <c r="U552" t="s">
        <v>42</v>
      </c>
      <c r="V552">
        <f>O552*(1-P552)*N552</f>
        <v>10206.912</v>
      </c>
      <c r="W552">
        <f t="shared" si="24"/>
        <v>3442.3820000000005</v>
      </c>
      <c r="X552">
        <f t="shared" si="25"/>
        <v>0.33725975834018329</v>
      </c>
      <c r="Y552" t="s">
        <v>4120</v>
      </c>
      <c r="Z552" s="2">
        <f>IFERROR(
  IF(ISNUMBER(B552),B552,
    IF(ISNUMBER(SEARCH("-",B552)*1),
      IF(LEN(LEFT(B552,FIND("-",B552)-1))=4,
        DATE(VALUE(LEFT(B552,4)),VALUE(MID(B552,6,2)),VALUE(RIGHT(B552,2))),
        DATE(VALUE(RIGHT(B552,4)),VALUE(MID(B552,4,2)),VALUE(LEFT(B552,2)))
      ),
      IF(ISNUMBER(SEARCH("/",B552)*1),
        DATE(VALUE(RIGHT(B552,4)),VALUE(LEFT(B552,2)),VALUE(MID(B552,4,2))),
        DATEVALUE(B552)
      )
    )
  ),
"INVALID_DATE")</f>
        <v>45506</v>
      </c>
      <c r="AA552" s="2">
        <f>IFERROR(
  IF(ISNUMBER(C552),C552,
    IF(ISNUMBER(SEARCH("-",C552)*1),
      IF(LEN(LEFT(C552,FIND("-",C552)-1))=4,
        DATE(VALUE(LEFT(C552,4)),VALUE(MID(C552,6,2)),VALUE(RIGHT(C552,2))),
        DATE(VALUE(RIGHT(C552,4)),VALUE(MID(C552,4,2)),VALUE(LEFT(C552,2)))
      ),
      IF(ISNUMBER(SEARCH("/",C552)*1),
        DATE(VALUE(RIGHT(C552,4)),VALUE(LEFT(C552,2)),VALUE(MID(C552,4,2))),
        DATEVALUE(C552)
      )
    )
  ),
"INVALID_DATE")</f>
        <v>45514</v>
      </c>
      <c r="AB552">
        <f>AA552-Z552</f>
        <v>8</v>
      </c>
      <c r="AC552" t="str">
        <f>TEXT(Z552,"mmmm")</f>
        <v>August</v>
      </c>
      <c r="AD552">
        <f>YEAR(Z552)</f>
        <v>2024</v>
      </c>
      <c r="AE552" t="str">
        <f t="shared" si="26"/>
        <v>OK</v>
      </c>
    </row>
    <row r="553" spans="1:31">
      <c r="A553" t="s">
        <v>2665</v>
      </c>
      <c r="B553" t="s">
        <v>2097</v>
      </c>
      <c r="C553" t="s">
        <v>2666</v>
      </c>
      <c r="D553" t="s">
        <v>2667</v>
      </c>
      <c r="E553" t="s">
        <v>175</v>
      </c>
      <c r="F553" t="s">
        <v>33</v>
      </c>
      <c r="G553" t="s">
        <v>49</v>
      </c>
      <c r="H553" t="s">
        <v>319</v>
      </c>
      <c r="I553" t="s">
        <v>320</v>
      </c>
      <c r="J553" t="s">
        <v>52</v>
      </c>
      <c r="K553" t="s">
        <v>83</v>
      </c>
      <c r="L553" t="s">
        <v>2668</v>
      </c>
      <c r="M553" t="s">
        <v>40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41</v>
      </c>
      <c r="U553" t="s">
        <v>42</v>
      </c>
      <c r="V553">
        <f>O553*(1-P553)*N553</f>
        <v>8027.6294999999991</v>
      </c>
      <c r="W553">
        <f t="shared" si="24"/>
        <v>2531.539499999999</v>
      </c>
      <c r="X553">
        <f t="shared" si="25"/>
        <v>0.31535334837305656</v>
      </c>
      <c r="Y553" t="str">
        <f>_xlfn.TEXTJOIN(", ",TRUE,IF(G553="Unknown","Missing Region",""),IF(M553="Unknown","Missing Ship Mode",""),IF(P553&lt;0,"Negative Discount",""),IF(P553&gt;0.7,"High Discount",""),IF(C553&lt;B553,"Ship Before Order",""))</f>
        <v>Ship Before Order</v>
      </c>
      <c r="Z553" s="2">
        <f>IFERROR(
  IF(ISNUMBER(B553),B553,
    IF(ISNUMBER(SEARCH("-",B553)*1),
      IF(LEN(LEFT(B553,FIND("-",B553)-1))=4,
        DATE(VALUE(LEFT(B553,4)),VALUE(MID(B553,6,2)),VALUE(RIGHT(B553,2))),
        DATE(VALUE(RIGHT(B553,4)),VALUE(MID(B553,4,2)),VALUE(LEFT(B553,2)))
      ),
      IF(ISNUMBER(SEARCH("/",B553)*1),
        DATE(VALUE(RIGHT(B553,4)),VALUE(LEFT(B553,2)),VALUE(MID(B553,4,2))),
        DATEVALUE(B553)
      )
    )
  ),
"INVALID_DATE")</f>
        <v>45349</v>
      </c>
      <c r="AA553" s="2">
        <f>IFERROR(
  IF(ISNUMBER(C553),C553,
    IF(ISNUMBER(SEARCH("-",C553)*1),
      IF(LEN(LEFT(C553,FIND("-",C553)-1))=4,
        DATE(VALUE(LEFT(C553,4)),VALUE(MID(C553,6,2)),VALUE(RIGHT(C553,2))),
        DATE(VALUE(RIGHT(C553,4)),VALUE(MID(C553,4,2)),VALUE(LEFT(C553,2)))
      ),
      IF(ISNUMBER(SEARCH("/",C553)*1),
        DATE(VALUE(RIGHT(C553,4)),VALUE(LEFT(C553,2)),VALUE(MID(C553,4,2))),
        DATEVALUE(C553)
      )
    )
  ),
"INVALID_DATE")</f>
        <v>45349</v>
      </c>
      <c r="AB553">
        <f>AA553-Z553</f>
        <v>0</v>
      </c>
      <c r="AC553" t="str">
        <f>TEXT(Z553,"mmmm")</f>
        <v>February</v>
      </c>
      <c r="AD553">
        <f>YEAR(Z553)</f>
        <v>2024</v>
      </c>
      <c r="AE553" t="str">
        <f t="shared" si="26"/>
        <v>OK</v>
      </c>
    </row>
    <row r="554" spans="1:31">
      <c r="A554" t="s">
        <v>2669</v>
      </c>
      <c r="B554" t="s">
        <v>197</v>
      </c>
      <c r="C554" t="s">
        <v>351</v>
      </c>
      <c r="D554" t="s">
        <v>2670</v>
      </c>
      <c r="E554" t="s">
        <v>79</v>
      </c>
      <c r="F554" t="s">
        <v>115</v>
      </c>
      <c r="G554" t="s">
        <v>49</v>
      </c>
      <c r="H554" t="s">
        <v>128</v>
      </c>
      <c r="I554" t="s">
        <v>129</v>
      </c>
      <c r="J554" t="s">
        <v>93</v>
      </c>
      <c r="K554" t="s">
        <v>101</v>
      </c>
      <c r="L554" t="s">
        <v>2671</v>
      </c>
      <c r="M554" t="s">
        <v>74</v>
      </c>
      <c r="N554">
        <v>8</v>
      </c>
      <c r="O554">
        <v>312.52999999999997</v>
      </c>
      <c r="P554" t="s">
        <v>689</v>
      </c>
      <c r="Q554">
        <v>1875.18</v>
      </c>
      <c r="R554">
        <v>1579.17</v>
      </c>
      <c r="S554">
        <v>296.01</v>
      </c>
      <c r="T554" t="s">
        <v>41</v>
      </c>
      <c r="U554" t="s">
        <v>42</v>
      </c>
      <c r="V554">
        <f>O554*(1-P554)*N554</f>
        <v>750.072</v>
      </c>
      <c r="W554">
        <f t="shared" si="24"/>
        <v>-829.09800000000007</v>
      </c>
      <c r="X554">
        <f t="shared" si="25"/>
        <v>0.15785684574280867</v>
      </c>
      <c r="Y554" t="str">
        <f>_xlfn.TEXTJOIN(", ",TRUE,IF(G554="Unknown","Missing Region",""),IF(M554="Unknown","Missing Ship Mode",""),IF(P554&lt;0,"Negative Discount",""),IF(P554&gt;0.7,"High Discount",""),IF(C554&lt;B554,"Ship Before Order",""))</f>
        <v>High Discount</v>
      </c>
      <c r="Z554" s="2">
        <f>IFERROR(
  IF(ISNUMBER(B554),B554,
    IF(ISNUMBER(SEARCH("-",B554)*1),
      IF(LEN(LEFT(B554,FIND("-",B554)-1))=4,
        DATE(VALUE(LEFT(B554,4)),VALUE(MID(B554,6,2)),VALUE(RIGHT(B554,2))),
        DATE(VALUE(RIGHT(B554,4)),VALUE(MID(B554,4,2)),VALUE(LEFT(B554,2)))
      ),
      IF(ISNUMBER(SEARCH("/",B554)*1),
        DATE(VALUE(RIGHT(B554,4)),VALUE(LEFT(B554,2)),VALUE(MID(B554,4,2))),
        DATEVALUE(B554)
      )
    )
  ),
"INVALID_DATE")</f>
        <v>45681</v>
      </c>
      <c r="AA554" s="2">
        <f>IFERROR(
  IF(ISNUMBER(C554),C554,
    IF(ISNUMBER(SEARCH("-",C554)*1),
      IF(LEN(LEFT(C554,FIND("-",C554)-1))=4,
        DATE(VALUE(LEFT(C554,4)),VALUE(MID(C554,6,2)),VALUE(RIGHT(C554,2))),
        DATE(VALUE(RIGHT(C554,4)),VALUE(MID(C554,4,2)),VALUE(LEFT(C554,2)))
      ),
      IF(ISNUMBER(SEARCH("/",C554)*1),
        DATE(VALUE(RIGHT(C554,4)),VALUE(LEFT(C554,2)),VALUE(MID(C554,4,2))),
        DATEVALUE(C554)
      )
    )
  ),
"INVALID_DATE")</f>
        <v>45687</v>
      </c>
      <c r="AB554">
        <f>AA554-Z554</f>
        <v>6</v>
      </c>
      <c r="AC554" t="str">
        <f>TEXT(Z554,"mmmm")</f>
        <v>January</v>
      </c>
      <c r="AD554">
        <f>YEAR(Z554)</f>
        <v>2025</v>
      </c>
      <c r="AE554" t="str">
        <f t="shared" si="26"/>
        <v>OK</v>
      </c>
    </row>
    <row r="555" spans="1:31">
      <c r="A555" t="s">
        <v>2672</v>
      </c>
      <c r="B555" t="s">
        <v>2673</v>
      </c>
      <c r="C555" t="s">
        <v>2674</v>
      </c>
      <c r="D555" t="s">
        <v>2675</v>
      </c>
      <c r="E555" t="s">
        <v>169</v>
      </c>
      <c r="F555" t="s">
        <v>48</v>
      </c>
      <c r="G555" t="s">
        <v>80</v>
      </c>
      <c r="H555" t="s">
        <v>242</v>
      </c>
      <c r="I555" t="s">
        <v>243</v>
      </c>
      <c r="J555" t="s">
        <v>37</v>
      </c>
      <c r="K555" t="s">
        <v>163</v>
      </c>
      <c r="L555" t="s">
        <v>2676</v>
      </c>
      <c r="M555" t="s">
        <v>63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41</v>
      </c>
      <c r="U555" t="s">
        <v>42</v>
      </c>
      <c r="V555">
        <f>O555*(1-P555)*N555</f>
        <v>8735.2425000000003</v>
      </c>
      <c r="W555">
        <f t="shared" si="24"/>
        <v>2115.1725000000006</v>
      </c>
      <c r="X555">
        <f t="shared" si="25"/>
        <v>0.24214217354073844</v>
      </c>
      <c r="Y555" t="s">
        <v>4120</v>
      </c>
      <c r="Z555" s="2">
        <f>IFERROR(
  IF(ISNUMBER(B555),B555,
    IF(ISNUMBER(SEARCH("-",B555)*1),
      IF(LEN(LEFT(B555,FIND("-",B555)-1))=4,
        DATE(VALUE(LEFT(B555,4)),VALUE(MID(B555,6,2)),VALUE(RIGHT(B555,2))),
        DATE(VALUE(RIGHT(B555,4)),VALUE(MID(B555,4,2)),VALUE(LEFT(B555,2)))
      ),
      IF(ISNUMBER(SEARCH("/",B555)*1),
        DATE(VALUE(RIGHT(B555,4)),VALUE(LEFT(B555,2)),VALUE(MID(B555,4,2))),
        DATEVALUE(B555)
      )
    )
  ),
"INVALID_DATE")</f>
        <v>45772</v>
      </c>
      <c r="AA555" s="2">
        <f>IFERROR(
  IF(ISNUMBER(C555),C555,
    IF(ISNUMBER(SEARCH("-",C555)*1),
      IF(LEN(LEFT(C555,FIND("-",C555)-1))=4,
        DATE(VALUE(LEFT(C555,4)),VALUE(MID(C555,6,2)),VALUE(RIGHT(C555,2))),
        DATE(VALUE(RIGHT(C555,4)),VALUE(MID(C555,4,2)),VALUE(LEFT(C555,2)))
      ),
      IF(ISNUMBER(SEARCH("/",C555)*1),
        DATE(VALUE(RIGHT(C555,4)),VALUE(LEFT(C555,2)),VALUE(MID(C555,4,2))),
        DATEVALUE(C555)
      )
    )
  ),
"INVALID_DATE")</f>
        <v>45775</v>
      </c>
      <c r="AB555">
        <f>AA555-Z555</f>
        <v>3</v>
      </c>
      <c r="AC555" t="str">
        <f>TEXT(Z555,"mmmm")</f>
        <v>April</v>
      </c>
      <c r="AD555">
        <f>YEAR(Z555)</f>
        <v>2025</v>
      </c>
      <c r="AE555" t="str">
        <f t="shared" si="26"/>
        <v>OK</v>
      </c>
    </row>
    <row r="556" spans="1:31">
      <c r="A556" t="s">
        <v>2677</v>
      </c>
      <c r="B556" t="s">
        <v>2678</v>
      </c>
      <c r="C556" t="s">
        <v>2679</v>
      </c>
      <c r="D556" t="s">
        <v>2680</v>
      </c>
      <c r="E556" t="s">
        <v>68</v>
      </c>
      <c r="F556" t="s">
        <v>33</v>
      </c>
      <c r="G556" t="s">
        <v>279</v>
      </c>
      <c r="H556" t="s">
        <v>319</v>
      </c>
      <c r="I556" t="s">
        <v>320</v>
      </c>
      <c r="J556" t="s">
        <v>52</v>
      </c>
      <c r="K556" t="s">
        <v>72</v>
      </c>
      <c r="L556" t="s">
        <v>2681</v>
      </c>
      <c r="M556" t="s">
        <v>74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41</v>
      </c>
      <c r="U556" t="s">
        <v>42</v>
      </c>
      <c r="V556">
        <f>O556*(1-P556)*N556</f>
        <v>4070.636</v>
      </c>
      <c r="W556">
        <f t="shared" si="24"/>
        <v>1239.0160000000001</v>
      </c>
      <c r="X556">
        <f t="shared" si="25"/>
        <v>0.30437965528762062</v>
      </c>
      <c r="Y556" t="str">
        <f>_xlfn.TEXTJOIN(", ",TRUE,IF(G556="Unknown","Missing Region",""),IF(M556="Unknown","Missing Ship Mode",""),IF(P556&lt;0,"Negative Discount",""),IF(P556&gt;0.7,"High Discount",""),IF(C556&lt;B556,"Ship Before Order",""))</f>
        <v>Missing Region, Ship Before Order</v>
      </c>
      <c r="Z556" s="2">
        <f>IFERROR(
  IF(ISNUMBER(B556),B556,
    IF(ISNUMBER(SEARCH("-",B556)*1),
      IF(LEN(LEFT(B556,FIND("-",B556)-1))=4,
        DATE(VALUE(LEFT(B556,4)),VALUE(MID(B556,6,2)),VALUE(RIGHT(B556,2))),
        DATE(VALUE(RIGHT(B556,4)),VALUE(MID(B556,4,2)),VALUE(LEFT(B556,2)))
      ),
      IF(ISNUMBER(SEARCH("/",B556)*1),
        DATE(VALUE(RIGHT(B556,4)),VALUE(LEFT(B556,2)),VALUE(MID(B556,4,2))),
        DATEVALUE(B556)
      )
    )
  ),
"INVALID_DATE")</f>
        <v>45577</v>
      </c>
      <c r="AA556" s="2">
        <f>IFERROR(
  IF(ISNUMBER(C556),C556,
    IF(ISNUMBER(SEARCH("-",C556)*1),
      IF(LEN(LEFT(C556,FIND("-",C556)-1))=4,
        DATE(VALUE(LEFT(C556,4)),VALUE(MID(C556,6,2)),VALUE(RIGHT(C556,2))),
        DATE(VALUE(RIGHT(C556,4)),VALUE(MID(C556,4,2)),VALUE(LEFT(C556,2)))
      ),
      IF(ISNUMBER(SEARCH("/",C556)*1),
        DATE(VALUE(RIGHT(C556,4)),VALUE(LEFT(C556,2)),VALUE(MID(C556,4,2))),
        DATEVALUE(C556)
      )
    )
  ),
"INVALID_DATE")</f>
        <v>45582</v>
      </c>
      <c r="AB556">
        <f>AA556-Z556</f>
        <v>5</v>
      </c>
      <c r="AC556" t="str">
        <f>TEXT(Z556,"mmmm")</f>
        <v>October</v>
      </c>
      <c r="AD556">
        <f>YEAR(Z556)</f>
        <v>2024</v>
      </c>
      <c r="AE556" t="str">
        <f t="shared" si="26"/>
        <v>OK</v>
      </c>
    </row>
    <row r="557" spans="1:31">
      <c r="A557" t="s">
        <v>2682</v>
      </c>
      <c r="B557" t="s">
        <v>890</v>
      </c>
      <c r="C557" t="s">
        <v>2683</v>
      </c>
      <c r="D557" t="s">
        <v>2684</v>
      </c>
      <c r="E557" t="s">
        <v>79</v>
      </c>
      <c r="F557" t="s">
        <v>48</v>
      </c>
      <c r="G557" t="s">
        <v>69</v>
      </c>
      <c r="H557" t="s">
        <v>70</v>
      </c>
      <c r="I557" t="s">
        <v>71</v>
      </c>
      <c r="J557" t="s">
        <v>37</v>
      </c>
      <c r="K557" t="s">
        <v>163</v>
      </c>
      <c r="L557" t="s">
        <v>2685</v>
      </c>
      <c r="M557" t="s">
        <v>74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41</v>
      </c>
      <c r="U557" t="s">
        <v>42</v>
      </c>
      <c r="V557">
        <f>O557*(1-P557)*N557</f>
        <v>5943.9599999999991</v>
      </c>
      <c r="W557">
        <f t="shared" si="24"/>
        <v>2339.8199999999993</v>
      </c>
      <c r="X557">
        <f t="shared" si="25"/>
        <v>0.39364665980255592</v>
      </c>
      <c r="Y557" t="s">
        <v>4120</v>
      </c>
      <c r="Z557" s="2">
        <f>IFERROR(
  IF(ISNUMBER(B557),B557,
    IF(ISNUMBER(SEARCH("-",B557)*1),
      IF(LEN(LEFT(B557,FIND("-",B557)-1))=4,
        DATE(VALUE(LEFT(B557,4)),VALUE(MID(B557,6,2)),VALUE(RIGHT(B557,2))),
        DATE(VALUE(RIGHT(B557,4)),VALUE(MID(B557,4,2)),VALUE(LEFT(B557,2)))
      ),
      IF(ISNUMBER(SEARCH("/",B557)*1),
        DATE(VALUE(RIGHT(B557,4)),VALUE(LEFT(B557,2)),VALUE(MID(B557,4,2))),
        DATEVALUE(B557)
      )
    )
  ),
"INVALID_DATE")</f>
        <v>45692</v>
      </c>
      <c r="AA557" s="2">
        <f>IFERROR(
  IF(ISNUMBER(C557),C557,
    IF(ISNUMBER(SEARCH("-",C557)*1),
      IF(LEN(LEFT(C557,FIND("-",C557)-1))=4,
        DATE(VALUE(LEFT(C557,4)),VALUE(MID(C557,6,2)),VALUE(RIGHT(C557,2))),
        DATE(VALUE(RIGHT(C557,4)),VALUE(MID(C557,4,2)),VALUE(LEFT(C557,2)))
      ),
      IF(ISNUMBER(SEARCH("/",C557)*1),
        DATE(VALUE(RIGHT(C557,4)),VALUE(LEFT(C557,2)),VALUE(MID(C557,4,2))),
        DATEVALUE(C557)
      )
    )
  ),
"INVALID_DATE")</f>
        <v>45698</v>
      </c>
      <c r="AB557">
        <f>AA557-Z557</f>
        <v>6</v>
      </c>
      <c r="AC557" t="str">
        <f>TEXT(Z557,"mmmm")</f>
        <v>February</v>
      </c>
      <c r="AD557">
        <f>YEAR(Z557)</f>
        <v>2025</v>
      </c>
      <c r="AE557" t="str">
        <f t="shared" si="26"/>
        <v>OK</v>
      </c>
    </row>
    <row r="558" spans="1:31">
      <c r="A558" t="s">
        <v>2686</v>
      </c>
      <c r="B558" t="s">
        <v>1561</v>
      </c>
      <c r="C558" t="s">
        <v>2103</v>
      </c>
      <c r="D558" t="s">
        <v>2687</v>
      </c>
      <c r="E558" t="s">
        <v>100</v>
      </c>
      <c r="F558" t="s">
        <v>33</v>
      </c>
      <c r="G558" t="s">
        <v>34</v>
      </c>
      <c r="H558" t="s">
        <v>331</v>
      </c>
      <c r="I558" t="s">
        <v>332</v>
      </c>
      <c r="J558" t="s">
        <v>52</v>
      </c>
      <c r="K558" t="s">
        <v>53</v>
      </c>
      <c r="L558" t="s">
        <v>2688</v>
      </c>
      <c r="M558" t="s">
        <v>63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41</v>
      </c>
      <c r="U558" t="s">
        <v>132</v>
      </c>
      <c r="V558">
        <f>O558*(1-P558)*N558</f>
        <v>4426.66</v>
      </c>
      <c r="W558">
        <f t="shared" si="24"/>
        <v>1391.46</v>
      </c>
      <c r="X558">
        <f t="shared" si="25"/>
        <v>0.41029353959870424</v>
      </c>
      <c r="Y558" t="str">
        <f>_xlfn.TEXTJOIN(", ",TRUE,IF(G558="Unknown","Missing Region",""),IF(M558="Unknown","Missing Ship Mode",""),IF(P558&lt;0,"Negative Discount",""),IF(P558&gt;0.7,"High Discount",""),IF(C558&lt;B558,"Ship Before Order",""))</f>
        <v>Ship Before Order</v>
      </c>
      <c r="Z558" s="2">
        <f>IFERROR(
  IF(ISNUMBER(B558),B558,
    IF(ISNUMBER(SEARCH("-",B558)*1),
      IF(LEN(LEFT(B558,FIND("-",B558)-1))=4,
        DATE(VALUE(LEFT(B558,4)),VALUE(MID(B558,6,2)),VALUE(RIGHT(B558,2))),
        DATE(VALUE(RIGHT(B558,4)),VALUE(MID(B558,4,2)),VALUE(LEFT(B558,2)))
      ),
      IF(ISNUMBER(SEARCH("/",B558)*1),
        DATE(VALUE(RIGHT(B558,4)),VALUE(LEFT(B558,2)),VALUE(MID(B558,4,2))),
        DATEVALUE(B558)
      )
    )
  ),
"INVALID_DATE")</f>
        <v>45466</v>
      </c>
      <c r="AA558" s="2">
        <f>IFERROR(
  IF(ISNUMBER(C558),C558,
    IF(ISNUMBER(SEARCH("-",C558)*1),
      IF(LEN(LEFT(C558,FIND("-",C558)-1))=4,
        DATE(VALUE(LEFT(C558,4)),VALUE(MID(C558,6,2)),VALUE(RIGHT(C558,2))),
        DATE(VALUE(RIGHT(C558,4)),VALUE(MID(C558,4,2)),VALUE(LEFT(C558,2)))
      ),
      IF(ISNUMBER(SEARCH("/",C558)*1),
        DATE(VALUE(RIGHT(C558,4)),VALUE(LEFT(C558,2)),VALUE(MID(C558,4,2))),
        DATEVALUE(C558)
      )
    )
  ),
"INVALID_DATE")</f>
        <v>45472</v>
      </c>
      <c r="AB558">
        <f>AA558-Z558</f>
        <v>6</v>
      </c>
      <c r="AC558" t="str">
        <f>TEXT(Z558,"mmmm")</f>
        <v>June</v>
      </c>
      <c r="AD558">
        <f>YEAR(Z558)</f>
        <v>2024</v>
      </c>
      <c r="AE558" t="str">
        <f t="shared" si="26"/>
        <v>OK</v>
      </c>
    </row>
    <row r="559" spans="1:31">
      <c r="A559" t="s">
        <v>2689</v>
      </c>
      <c r="B559" t="s">
        <v>2690</v>
      </c>
      <c r="C559" t="s">
        <v>2691</v>
      </c>
      <c r="D559" t="s">
        <v>2692</v>
      </c>
      <c r="E559" t="s">
        <v>90</v>
      </c>
      <c r="F559" t="s">
        <v>122</v>
      </c>
      <c r="G559" t="s">
        <v>34</v>
      </c>
      <c r="H559" t="s">
        <v>331</v>
      </c>
      <c r="I559" t="s">
        <v>332</v>
      </c>
      <c r="J559" t="s">
        <v>93</v>
      </c>
      <c r="K559" t="s">
        <v>230</v>
      </c>
      <c r="L559" t="s">
        <v>2693</v>
      </c>
      <c r="M559" t="s">
        <v>63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41</v>
      </c>
      <c r="U559" t="s">
        <v>85</v>
      </c>
      <c r="V559">
        <f>O559*(1-P559)*N559</f>
        <v>32228.883000000002</v>
      </c>
      <c r="W559">
        <f t="shared" si="24"/>
        <v>7257.523000000001</v>
      </c>
      <c r="X559">
        <f t="shared" si="25"/>
        <v>0.22518685104788005</v>
      </c>
      <c r="Y559" t="str">
        <f>_xlfn.TEXTJOIN(", ",TRUE,IF(G559="Unknown","Missing Region",""),IF(M559="Unknown","Missing Ship Mode",""),IF(P559&lt;0,"Negative Discount",""),IF(P559&gt;0.7,"High Discount",""),IF(C559&lt;B559,"Ship Before Order",""))</f>
        <v>Ship Before Order</v>
      </c>
      <c r="Z559" s="2">
        <f>IFERROR(
  IF(ISNUMBER(B559),B559,
    IF(ISNUMBER(SEARCH("-",B559)*1),
      IF(LEN(LEFT(B559,FIND("-",B559)-1))=4,
        DATE(VALUE(LEFT(B559,4)),VALUE(MID(B559,6,2)),VALUE(RIGHT(B559,2))),
        DATE(VALUE(RIGHT(B559,4)),VALUE(MID(B559,4,2)),VALUE(LEFT(B559,2)))
      ),
      IF(ISNUMBER(SEARCH("/",B559)*1),
        DATE(VALUE(RIGHT(B559,4)),VALUE(LEFT(B559,2)),VALUE(MID(B559,4,2))),
        DATEVALUE(B559)
      )
    )
  ),
"INVALID_DATE")</f>
        <v>45420</v>
      </c>
      <c r="AA559" s="2">
        <f>IFERROR(
  IF(ISNUMBER(C559),C559,
    IF(ISNUMBER(SEARCH("-",C559)*1),
      IF(LEN(LEFT(C559,FIND("-",C559)-1))=4,
        DATE(VALUE(LEFT(C559,4)),VALUE(MID(C559,6,2)),VALUE(RIGHT(C559,2))),
        DATE(VALUE(RIGHT(C559,4)),VALUE(MID(C559,4,2)),VALUE(LEFT(C559,2)))
      ),
      IF(ISNUMBER(SEARCH("/",C559)*1),
        DATE(VALUE(RIGHT(C559,4)),VALUE(LEFT(C559,2)),VALUE(MID(C559,4,2))),
        DATEVALUE(C559)
      )
    )
  ),
"INVALID_DATE")</f>
        <v>45426</v>
      </c>
      <c r="AB559">
        <f>AA559-Z559</f>
        <v>6</v>
      </c>
      <c r="AC559" t="str">
        <f>TEXT(Z559,"mmmm")</f>
        <v>May</v>
      </c>
      <c r="AD559">
        <f>YEAR(Z559)</f>
        <v>2024</v>
      </c>
      <c r="AE559" t="str">
        <f t="shared" si="26"/>
        <v>OK</v>
      </c>
    </row>
    <row r="560" spans="1:31">
      <c r="A560" t="s">
        <v>2694</v>
      </c>
      <c r="B560" t="s">
        <v>2695</v>
      </c>
      <c r="C560" t="s">
        <v>2696</v>
      </c>
      <c r="D560" t="s">
        <v>2697</v>
      </c>
      <c r="E560" t="s">
        <v>114</v>
      </c>
      <c r="F560" t="s">
        <v>115</v>
      </c>
      <c r="G560" t="s">
        <v>34</v>
      </c>
      <c r="H560" t="s">
        <v>161</v>
      </c>
      <c r="I560" t="s">
        <v>162</v>
      </c>
      <c r="J560" t="s">
        <v>93</v>
      </c>
      <c r="K560" t="s">
        <v>390</v>
      </c>
      <c r="L560" t="s">
        <v>2698</v>
      </c>
      <c r="M560" t="s">
        <v>63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41</v>
      </c>
      <c r="U560" t="s">
        <v>42</v>
      </c>
      <c r="V560">
        <f>O560*(1-P560)*N560</f>
        <v>19711.68</v>
      </c>
      <c r="W560">
        <f t="shared" si="24"/>
        <v>5249.880000000001</v>
      </c>
      <c r="X560">
        <f t="shared" si="25"/>
        <v>0.2663334632055715</v>
      </c>
      <c r="Y560" t="str">
        <f>_xlfn.TEXTJOIN(", ",TRUE,IF(G560="Unknown","Missing Region",""),IF(M560="Unknown","Missing Ship Mode",""),IF(P560&lt;0,"Negative Discount",""),IF(P560&gt;0.7,"High Discount",""),IF(C560&lt;B560,"Ship Before Order",""))</f>
        <v>Ship Before Order</v>
      </c>
      <c r="Z560" s="2">
        <f>IFERROR(
  IF(ISNUMBER(B560),B560,
    IF(ISNUMBER(SEARCH("-",B560)*1),
      IF(LEN(LEFT(B560,FIND("-",B560)-1))=4,
        DATE(VALUE(LEFT(B560,4)),VALUE(MID(B560,6,2)),VALUE(RIGHT(B560,2))),
        DATE(VALUE(RIGHT(B560,4)),VALUE(MID(B560,4,2)),VALUE(LEFT(B560,2)))
      ),
      IF(ISNUMBER(SEARCH("/",B560)*1),
        DATE(VALUE(RIGHT(B560,4)),VALUE(LEFT(B560,2)),VALUE(MID(B560,4,2))),
        DATEVALUE(B560)
      )
    )
  ),
"INVALID_DATE")</f>
        <v>45904</v>
      </c>
      <c r="AA560" s="2">
        <f>IFERROR(
  IF(ISNUMBER(C560),C560,
    IF(ISNUMBER(SEARCH("-",C560)*1),
      IF(LEN(LEFT(C560,FIND("-",C560)-1))=4,
        DATE(VALUE(LEFT(C560,4)),VALUE(MID(C560,6,2)),VALUE(RIGHT(C560,2))),
        DATE(VALUE(RIGHT(C560,4)),VALUE(MID(C560,4,2)),VALUE(LEFT(C560,2)))
      ),
      IF(ISNUMBER(SEARCH("/",C560)*1),
        DATE(VALUE(RIGHT(C560,4)),VALUE(LEFT(C560,2)),VALUE(MID(C560,4,2))),
        DATEVALUE(C560)
      )
    )
  ),
"INVALID_DATE")</f>
        <v>45904</v>
      </c>
      <c r="AB560">
        <f>AA560-Z560</f>
        <v>0</v>
      </c>
      <c r="AC560" t="str">
        <f>TEXT(Z560,"mmmm")</f>
        <v>September</v>
      </c>
      <c r="AD560">
        <f>YEAR(Z560)</f>
        <v>2025</v>
      </c>
      <c r="AE560" t="str">
        <f t="shared" si="26"/>
        <v>OK</v>
      </c>
    </row>
    <row r="561" spans="1:31">
      <c r="A561" t="s">
        <v>2699</v>
      </c>
      <c r="B561" t="s">
        <v>2265</v>
      </c>
      <c r="C561" t="s">
        <v>2700</v>
      </c>
      <c r="D561" t="s">
        <v>2701</v>
      </c>
      <c r="E561" t="s">
        <v>217</v>
      </c>
      <c r="F561" t="s">
        <v>115</v>
      </c>
      <c r="G561" t="s">
        <v>49</v>
      </c>
      <c r="H561" t="s">
        <v>193</v>
      </c>
      <c r="I561" t="s">
        <v>194</v>
      </c>
      <c r="J561" t="s">
        <v>93</v>
      </c>
      <c r="K561" t="s">
        <v>101</v>
      </c>
      <c r="L561" t="s">
        <v>2702</v>
      </c>
      <c r="M561" t="s">
        <v>40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41</v>
      </c>
      <c r="U561" t="s">
        <v>132</v>
      </c>
      <c r="V561">
        <f>O561*(1-P561)*N561</f>
        <v>14750.19</v>
      </c>
      <c r="W561">
        <f t="shared" si="24"/>
        <v>5267.6100000000006</v>
      </c>
      <c r="X561">
        <f t="shared" si="25"/>
        <v>0.35712150148574356</v>
      </c>
      <c r="Y561" t="str">
        <f>_xlfn.TEXTJOIN(", ",TRUE,IF(G561="Unknown","Missing Region",""),IF(M561="Unknown","Missing Ship Mode",""),IF(P561&lt;0,"Negative Discount",""),IF(P561&gt;0.7,"High Discount",""),IF(C561&lt;B561,"Ship Before Order",""))</f>
        <v>Ship Before Order</v>
      </c>
      <c r="Z561" s="2">
        <f>IFERROR(
  IF(ISNUMBER(B561),B561,
    IF(ISNUMBER(SEARCH("-",B561)*1),
      IF(LEN(LEFT(B561,FIND("-",B561)-1))=4,
        DATE(VALUE(LEFT(B561,4)),VALUE(MID(B561,6,2)),VALUE(RIGHT(B561,2))),
        DATE(VALUE(RIGHT(B561,4)),VALUE(MID(B561,4,2)),VALUE(LEFT(B561,2)))
      ),
      IF(ISNUMBER(SEARCH("/",B561)*1),
        DATE(VALUE(RIGHT(B561,4)),VALUE(LEFT(B561,2)),VALUE(MID(B561,4,2))),
        DATEVALUE(B561)
      )
    )
  ),
"INVALID_DATE")</f>
        <v>45930</v>
      </c>
      <c r="AA561" s="2">
        <f>IFERROR(
  IF(ISNUMBER(C561),C561,
    IF(ISNUMBER(SEARCH("-",C561)*1),
      IF(LEN(LEFT(C561,FIND("-",C561)-1))=4,
        DATE(VALUE(LEFT(C561,4)),VALUE(MID(C561,6,2)),VALUE(RIGHT(C561,2))),
        DATE(VALUE(RIGHT(C561,4)),VALUE(MID(C561,4,2)),VALUE(LEFT(C561,2)))
      ),
      IF(ISNUMBER(SEARCH("/",C561)*1),
        DATE(VALUE(RIGHT(C561,4)),VALUE(LEFT(C561,2)),VALUE(MID(C561,4,2))),
        DATEVALUE(C561)
      )
    )
  ),
"INVALID_DATE")</f>
        <v>45937</v>
      </c>
      <c r="AB561">
        <f>AA561-Z561</f>
        <v>7</v>
      </c>
      <c r="AC561" t="str">
        <f>TEXT(Z561,"mmmm")</f>
        <v>September</v>
      </c>
      <c r="AD561">
        <f>YEAR(Z561)</f>
        <v>2025</v>
      </c>
      <c r="AE561" t="str">
        <f t="shared" si="26"/>
        <v>OK</v>
      </c>
    </row>
    <row r="562" spans="1:31">
      <c r="A562" t="s">
        <v>2703</v>
      </c>
      <c r="B562" t="s">
        <v>2704</v>
      </c>
      <c r="C562" t="s">
        <v>1066</v>
      </c>
      <c r="D562" t="s">
        <v>2705</v>
      </c>
      <c r="E562" t="s">
        <v>68</v>
      </c>
      <c r="F562" t="s">
        <v>33</v>
      </c>
      <c r="G562" t="s">
        <v>80</v>
      </c>
      <c r="H562" t="s">
        <v>256</v>
      </c>
      <c r="I562" t="s">
        <v>257</v>
      </c>
      <c r="J562" t="s">
        <v>37</v>
      </c>
      <c r="K562" t="s">
        <v>163</v>
      </c>
      <c r="L562" t="s">
        <v>2706</v>
      </c>
      <c r="M562" t="s">
        <v>74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41</v>
      </c>
      <c r="U562" t="s">
        <v>85</v>
      </c>
      <c r="V562">
        <f>O562*(1-P562)*N562</f>
        <v>1130.1199999999999</v>
      </c>
      <c r="W562">
        <f t="shared" si="24"/>
        <v>281.49999999999989</v>
      </c>
      <c r="X562">
        <f t="shared" si="25"/>
        <v>0.24908859236187311</v>
      </c>
      <c r="Y562" t="s">
        <v>4120</v>
      </c>
      <c r="Z562" s="2">
        <f>IFERROR(
  IF(ISNUMBER(B562),B562,
    IF(ISNUMBER(SEARCH("-",B562)*1),
      IF(LEN(LEFT(B562,FIND("-",B562)-1))=4,
        DATE(VALUE(LEFT(B562,4)),VALUE(MID(B562,6,2)),VALUE(RIGHT(B562,2))),
        DATE(VALUE(RIGHT(B562,4)),VALUE(MID(B562,4,2)),VALUE(LEFT(B562,2)))
      ),
      IF(ISNUMBER(SEARCH("/",B562)*1),
        DATE(VALUE(RIGHT(B562,4)),VALUE(LEFT(B562,2)),VALUE(MID(B562,4,2))),
        DATEVALUE(B562)
      )
    )
  ),
"INVALID_DATE")</f>
        <v>45307</v>
      </c>
      <c r="AA562" s="2">
        <f>IFERROR(
  IF(ISNUMBER(C562),C562,
    IF(ISNUMBER(SEARCH("-",C562)*1),
      IF(LEN(LEFT(C562,FIND("-",C562)-1))=4,
        DATE(VALUE(LEFT(C562,4)),VALUE(MID(C562,6,2)),VALUE(RIGHT(C562,2))),
        DATE(VALUE(RIGHT(C562,4)),VALUE(MID(C562,4,2)),VALUE(LEFT(C562,2)))
      ),
      IF(ISNUMBER(SEARCH("/",C562)*1),
        DATE(VALUE(RIGHT(C562,4)),VALUE(LEFT(C562,2)),VALUE(MID(C562,4,2))),
        DATEVALUE(C562)
      )
    )
  ),
"INVALID_DATE")</f>
        <v>45313</v>
      </c>
      <c r="AB562">
        <f>AA562-Z562</f>
        <v>6</v>
      </c>
      <c r="AC562" t="str">
        <f>TEXT(Z562,"mmmm")</f>
        <v>January</v>
      </c>
      <c r="AD562">
        <f>YEAR(Z562)</f>
        <v>2024</v>
      </c>
      <c r="AE562" t="str">
        <f t="shared" si="26"/>
        <v>OK</v>
      </c>
    </row>
    <row r="563" spans="1:31">
      <c r="A563" t="s">
        <v>2707</v>
      </c>
      <c r="B563" t="s">
        <v>770</v>
      </c>
      <c r="C563" t="s">
        <v>2708</v>
      </c>
      <c r="D563" t="s">
        <v>2709</v>
      </c>
      <c r="E563" t="s">
        <v>114</v>
      </c>
      <c r="F563" t="s">
        <v>33</v>
      </c>
      <c r="G563" t="s">
        <v>34</v>
      </c>
      <c r="H563" t="s">
        <v>161</v>
      </c>
      <c r="I563" t="s">
        <v>162</v>
      </c>
      <c r="J563" t="s">
        <v>93</v>
      </c>
      <c r="K563" t="s">
        <v>101</v>
      </c>
      <c r="L563" t="s">
        <v>2710</v>
      </c>
      <c r="M563" t="s">
        <v>63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144</v>
      </c>
      <c r="U563" t="s">
        <v>132</v>
      </c>
      <c r="V563">
        <f>O563*(1-P563)*N563</f>
        <v>2900.88</v>
      </c>
      <c r="W563">
        <f t="shared" si="24"/>
        <v>509.0300000000002</v>
      </c>
      <c r="X563">
        <f t="shared" si="25"/>
        <v>0.17547433882132316</v>
      </c>
      <c r="Y563" t="str">
        <f>_xlfn.TEXTJOIN(", ",TRUE,IF(G563="Unknown","Missing Region",""),IF(M563="Unknown","Missing Ship Mode",""),IF(P563&lt;0,"Negative Discount",""),IF(P563&gt;0.7,"High Discount",""),IF(C563&lt;B563,"Ship Before Order",""))</f>
        <v>Ship Before Order</v>
      </c>
      <c r="Z563" s="2">
        <f>IFERROR(
  IF(ISNUMBER(B563),B563,
    IF(ISNUMBER(SEARCH("-",B563)*1),
      IF(LEN(LEFT(B563,FIND("-",B563)-1))=4,
        DATE(VALUE(LEFT(B563,4)),VALUE(MID(B563,6,2)),VALUE(RIGHT(B563,2))),
        DATE(VALUE(RIGHT(B563,4)),VALUE(MID(B563,4,2)),VALUE(LEFT(B563,2)))
      ),
      IF(ISNUMBER(SEARCH("/",B563)*1),
        DATE(VALUE(RIGHT(B563,4)),VALUE(LEFT(B563,2)),VALUE(MID(B563,4,2))),
        DATEVALUE(B563)
      )
    )
  ),
"INVALID_DATE")</f>
        <v>45852</v>
      </c>
      <c r="AA563" s="2">
        <f>IFERROR(
  IF(ISNUMBER(C563),C563,
    IF(ISNUMBER(SEARCH("-",C563)*1),
      IF(LEN(LEFT(C563,FIND("-",C563)-1))=4,
        DATE(VALUE(LEFT(C563,4)),VALUE(MID(C563,6,2)),VALUE(RIGHT(C563,2))),
        DATE(VALUE(RIGHT(C563,4)),VALUE(MID(C563,4,2)),VALUE(LEFT(C563,2)))
      ),
      IF(ISNUMBER(SEARCH("/",C563)*1),
        DATE(VALUE(RIGHT(C563,4)),VALUE(LEFT(C563,2)),VALUE(MID(C563,4,2))),
        DATEVALUE(C563)
      )
    )
  ),
"INVALID_DATE")</f>
        <v>45856</v>
      </c>
      <c r="AB563">
        <f>AA563-Z563</f>
        <v>4</v>
      </c>
      <c r="AC563" t="str">
        <f>TEXT(Z563,"mmmm")</f>
        <v>July</v>
      </c>
      <c r="AD563">
        <f>YEAR(Z563)</f>
        <v>2025</v>
      </c>
      <c r="AE563" t="str">
        <f t="shared" si="26"/>
        <v>OK</v>
      </c>
    </row>
    <row r="564" spans="1:31">
      <c r="A564" t="s">
        <v>2711</v>
      </c>
      <c r="B564" t="s">
        <v>2712</v>
      </c>
      <c r="C564" t="s">
        <v>2649</v>
      </c>
      <c r="D564" t="s">
        <v>2713</v>
      </c>
      <c r="E564" t="s">
        <v>32</v>
      </c>
      <c r="F564" t="s">
        <v>33</v>
      </c>
      <c r="G564" t="s">
        <v>34</v>
      </c>
      <c r="H564" t="s">
        <v>161</v>
      </c>
      <c r="I564" t="s">
        <v>162</v>
      </c>
      <c r="J564" t="s">
        <v>37</v>
      </c>
      <c r="K564" t="s">
        <v>205</v>
      </c>
      <c r="L564" t="s">
        <v>2714</v>
      </c>
      <c r="M564" t="s">
        <v>55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207</v>
      </c>
      <c r="U564" t="s">
        <v>132</v>
      </c>
      <c r="V564">
        <f>O564*(1-P564)*N564</f>
        <v>680.62400000000014</v>
      </c>
      <c r="W564">
        <f t="shared" si="24"/>
        <v>217.13400000000013</v>
      </c>
      <c r="X564">
        <f t="shared" si="25"/>
        <v>0.31901795421821277</v>
      </c>
      <c r="Y564" t="s">
        <v>4120</v>
      </c>
      <c r="Z564" s="2">
        <f>IFERROR(
  IF(ISNUMBER(B564),B564,
    IF(ISNUMBER(SEARCH("-",B564)*1),
      IF(LEN(LEFT(B564,FIND("-",B564)-1))=4,
        DATE(VALUE(LEFT(B564,4)),VALUE(MID(B564,6,2)),VALUE(RIGHT(B564,2))),
        DATE(VALUE(RIGHT(B564,4)),VALUE(MID(B564,4,2)),VALUE(LEFT(B564,2)))
      ),
      IF(ISNUMBER(SEARCH("/",B564)*1),
        DATE(VALUE(RIGHT(B564,4)),VALUE(LEFT(B564,2)),VALUE(MID(B564,4,2))),
        DATEVALUE(B564)
      )
    )
  ),
"INVALID_DATE")</f>
        <v>45422</v>
      </c>
      <c r="AA564" s="2">
        <f>IFERROR(
  IF(ISNUMBER(C564),C564,
    IF(ISNUMBER(SEARCH("-",C564)*1),
      IF(LEN(LEFT(C564,FIND("-",C564)-1))=4,
        DATE(VALUE(LEFT(C564,4)),VALUE(MID(C564,6,2)),VALUE(RIGHT(C564,2))),
        DATE(VALUE(RIGHT(C564,4)),VALUE(MID(C564,4,2)),VALUE(LEFT(C564,2)))
      ),
      IF(ISNUMBER(SEARCH("/",C564)*1),
        DATE(VALUE(RIGHT(C564,4)),VALUE(LEFT(C564,2)),VALUE(MID(C564,4,2))),
        DATEVALUE(C564)
      )
    )
  ),
"INVALID_DATE")</f>
        <v>45428</v>
      </c>
      <c r="AB564">
        <f>AA564-Z564</f>
        <v>6</v>
      </c>
      <c r="AC564" t="str">
        <f>TEXT(Z564,"mmmm")</f>
        <v>May</v>
      </c>
      <c r="AD564">
        <f>YEAR(Z564)</f>
        <v>2024</v>
      </c>
      <c r="AE564" t="str">
        <f t="shared" si="26"/>
        <v>OK</v>
      </c>
    </row>
    <row r="565" spans="1:31">
      <c r="A565" t="s">
        <v>2715</v>
      </c>
      <c r="B565" t="s">
        <v>2716</v>
      </c>
      <c r="C565" t="s">
        <v>1792</v>
      </c>
      <c r="D565" t="s">
        <v>2717</v>
      </c>
      <c r="E565" t="s">
        <v>68</v>
      </c>
      <c r="F565" t="s">
        <v>115</v>
      </c>
      <c r="G565" t="s">
        <v>80</v>
      </c>
      <c r="H565" t="s">
        <v>256</v>
      </c>
      <c r="I565" t="s">
        <v>257</v>
      </c>
      <c r="J565" t="s">
        <v>52</v>
      </c>
      <c r="K565" t="s">
        <v>53</v>
      </c>
      <c r="L565" t="s">
        <v>2718</v>
      </c>
      <c r="M565" t="s">
        <v>74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144</v>
      </c>
      <c r="U565" t="s">
        <v>85</v>
      </c>
      <c r="V565">
        <f>O565*(1-P565)*N565</f>
        <v>5694.9840000000004</v>
      </c>
      <c r="W565">
        <f t="shared" si="24"/>
        <v>1076.6540000000005</v>
      </c>
      <c r="X565">
        <f t="shared" si="25"/>
        <v>0.18905246374877527</v>
      </c>
      <c r="Y565" t="s">
        <v>4120</v>
      </c>
      <c r="Z565" s="2">
        <f>IFERROR(
  IF(ISNUMBER(B565),B565,
    IF(ISNUMBER(SEARCH("-",B565)*1),
      IF(LEN(LEFT(B565,FIND("-",B565)-1))=4,
        DATE(VALUE(LEFT(B565,4)),VALUE(MID(B565,6,2)),VALUE(RIGHT(B565,2))),
        DATE(VALUE(RIGHT(B565,4)),VALUE(MID(B565,4,2)),VALUE(LEFT(B565,2)))
      ),
      IF(ISNUMBER(SEARCH("/",B565)*1),
        DATE(VALUE(RIGHT(B565,4)),VALUE(LEFT(B565,2)),VALUE(MID(B565,4,2))),
        DATEVALUE(B565)
      )
    )
  ),
"INVALID_DATE")</f>
        <v>45418</v>
      </c>
      <c r="AA565" s="2">
        <f>IFERROR(
  IF(ISNUMBER(C565),C565,
    IF(ISNUMBER(SEARCH("-",C565)*1),
      IF(LEN(LEFT(C565,FIND("-",C565)-1))=4,
        DATE(VALUE(LEFT(C565,4)),VALUE(MID(C565,6,2)),VALUE(RIGHT(C565,2))),
        DATE(VALUE(RIGHT(C565,4)),VALUE(MID(C565,4,2)),VALUE(LEFT(C565,2)))
      ),
      IF(ISNUMBER(SEARCH("/",C565)*1),
        DATE(VALUE(RIGHT(C565,4)),VALUE(LEFT(C565,2)),VALUE(MID(C565,4,2))),
        DATEVALUE(C565)
      )
    )
  ),
"INVALID_DATE")</f>
        <v>45424</v>
      </c>
      <c r="AB565">
        <f>AA565-Z565</f>
        <v>6</v>
      </c>
      <c r="AC565" t="str">
        <f>TEXT(Z565,"mmmm")</f>
        <v>May</v>
      </c>
      <c r="AD565">
        <f>YEAR(Z565)</f>
        <v>2024</v>
      </c>
      <c r="AE565" t="str">
        <f t="shared" si="26"/>
        <v>OK</v>
      </c>
    </row>
    <row r="566" spans="1:31">
      <c r="A566" t="s">
        <v>2719</v>
      </c>
      <c r="B566" t="s">
        <v>112</v>
      </c>
      <c r="C566" t="s">
        <v>2720</v>
      </c>
      <c r="D566" t="s">
        <v>2721</v>
      </c>
      <c r="E566" t="s">
        <v>175</v>
      </c>
      <c r="F566" t="s">
        <v>115</v>
      </c>
      <c r="G566" t="s">
        <v>69</v>
      </c>
      <c r="H566" t="s">
        <v>107</v>
      </c>
      <c r="I566" t="s">
        <v>108</v>
      </c>
      <c r="J566" t="s">
        <v>52</v>
      </c>
      <c r="K566" t="s">
        <v>53</v>
      </c>
      <c r="L566" t="s">
        <v>2722</v>
      </c>
      <c r="M566" t="s">
        <v>63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41</v>
      </c>
      <c r="U566" t="s">
        <v>42</v>
      </c>
      <c r="V566">
        <f>O566*(1-P566)*N566</f>
        <v>1474.1440000000002</v>
      </c>
      <c r="W566">
        <f t="shared" si="24"/>
        <v>505.6840000000002</v>
      </c>
      <c r="X566">
        <f t="shared" si="25"/>
        <v>0.34303390451381821</v>
      </c>
      <c r="Y566" t="s">
        <v>4120</v>
      </c>
      <c r="Z566" s="2">
        <f>IFERROR(
  IF(ISNUMBER(B566),B566,
    IF(ISNUMBER(SEARCH("-",B566)*1),
      IF(LEN(LEFT(B566,FIND("-",B566)-1))=4,
        DATE(VALUE(LEFT(B566,4)),VALUE(MID(B566,6,2)),VALUE(RIGHT(B566,2))),
        DATE(VALUE(RIGHT(B566,4)),VALUE(MID(B566,4,2)),VALUE(LEFT(B566,2)))
      ),
      IF(ISNUMBER(SEARCH("/",B566)*1),
        DATE(VALUE(RIGHT(B566,4)),VALUE(LEFT(B566,2)),VALUE(MID(B566,4,2))),
        DATEVALUE(B566)
      )
    )
  ),
"INVALID_DATE")</f>
        <v>45606</v>
      </c>
      <c r="AA566" s="2">
        <f>IFERROR(
  IF(ISNUMBER(C566),C566,
    IF(ISNUMBER(SEARCH("-",C566)*1),
      IF(LEN(LEFT(C566,FIND("-",C566)-1))=4,
        DATE(VALUE(LEFT(C566,4)),VALUE(MID(C566,6,2)),VALUE(RIGHT(C566,2))),
        DATE(VALUE(RIGHT(C566,4)),VALUE(MID(C566,4,2)),VALUE(LEFT(C566,2)))
      ),
      IF(ISNUMBER(SEARCH("/",C566)*1),
        DATE(VALUE(RIGHT(C566,4)),VALUE(LEFT(C566,2)),VALUE(MID(C566,4,2))),
        DATEVALUE(C566)
      )
    )
  ),
"INVALID_DATE")</f>
        <v>45610</v>
      </c>
      <c r="AB566">
        <f>AA566-Z566</f>
        <v>4</v>
      </c>
      <c r="AC566" t="str">
        <f>TEXT(Z566,"mmmm")</f>
        <v>November</v>
      </c>
      <c r="AD566">
        <f>YEAR(Z566)</f>
        <v>2024</v>
      </c>
      <c r="AE566" t="str">
        <f t="shared" si="26"/>
        <v>OK</v>
      </c>
    </row>
    <row r="567" spans="1:31">
      <c r="A567" t="s">
        <v>2723</v>
      </c>
      <c r="B567" t="s">
        <v>2724</v>
      </c>
      <c r="C567" t="s">
        <v>247</v>
      </c>
      <c r="D567" t="s">
        <v>2725</v>
      </c>
      <c r="E567" t="s">
        <v>47</v>
      </c>
      <c r="F567" t="s">
        <v>115</v>
      </c>
      <c r="G567" t="s">
        <v>34</v>
      </c>
      <c r="H567" t="s">
        <v>514</v>
      </c>
      <c r="I567" t="s">
        <v>515</v>
      </c>
      <c r="J567" t="s">
        <v>93</v>
      </c>
      <c r="K567" t="s">
        <v>230</v>
      </c>
      <c r="L567" t="s">
        <v>2726</v>
      </c>
      <c r="M567" t="s">
        <v>74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131</v>
      </c>
      <c r="U567" t="s">
        <v>85</v>
      </c>
      <c r="V567">
        <f>O567*(1-P567)*N567</f>
        <v>9224.9279999999999</v>
      </c>
      <c r="W567">
        <f t="shared" si="24"/>
        <v>2219.7280000000001</v>
      </c>
      <c r="X567">
        <f t="shared" si="25"/>
        <v>0.24062296407669218</v>
      </c>
      <c r="Y567" t="s">
        <v>4120</v>
      </c>
      <c r="Z567" s="2">
        <f>IFERROR(
  IF(ISNUMBER(B567),B567,
    IF(ISNUMBER(SEARCH("-",B567)*1),
      IF(LEN(LEFT(B567,FIND("-",B567)-1))=4,
        DATE(VALUE(LEFT(B567,4)),VALUE(MID(B567,6,2)),VALUE(RIGHT(B567,2))),
        DATE(VALUE(RIGHT(B567,4)),VALUE(MID(B567,4,2)),VALUE(LEFT(B567,2)))
      ),
      IF(ISNUMBER(SEARCH("/",B567)*1),
        DATE(VALUE(RIGHT(B567,4)),VALUE(LEFT(B567,2)),VALUE(MID(B567,4,2))),
        DATEVALUE(B567)
      )
    )
  ),
"INVALID_DATE")</f>
        <v>45876</v>
      </c>
      <c r="AA567" s="2">
        <f>IFERROR(
  IF(ISNUMBER(C567),C567,
    IF(ISNUMBER(SEARCH("-",C567)*1),
      IF(LEN(LEFT(C567,FIND("-",C567)-1))=4,
        DATE(VALUE(LEFT(C567,4)),VALUE(MID(C567,6,2)),VALUE(RIGHT(C567,2))),
        DATE(VALUE(RIGHT(C567,4)),VALUE(MID(C567,4,2)),VALUE(LEFT(C567,2)))
      ),
      IF(ISNUMBER(SEARCH("/",C567)*1),
        DATE(VALUE(RIGHT(C567,4)),VALUE(LEFT(C567,2)),VALUE(MID(C567,4,2))),
        DATEVALUE(C567)
      )
    )
  ),
"INVALID_DATE")</f>
        <v>45882</v>
      </c>
      <c r="AB567">
        <f>AA567-Z567</f>
        <v>6</v>
      </c>
      <c r="AC567" t="str">
        <f>TEXT(Z567,"mmmm")</f>
        <v>August</v>
      </c>
      <c r="AD567">
        <f>YEAR(Z567)</f>
        <v>2025</v>
      </c>
      <c r="AE567" t="str">
        <f t="shared" si="26"/>
        <v>OK</v>
      </c>
    </row>
    <row r="568" spans="1:31">
      <c r="A568" t="s">
        <v>2727</v>
      </c>
      <c r="B568" t="s">
        <v>2446</v>
      </c>
      <c r="C568" t="s">
        <v>2728</v>
      </c>
      <c r="D568" t="s">
        <v>2729</v>
      </c>
      <c r="E568" t="s">
        <v>175</v>
      </c>
      <c r="F568" t="s">
        <v>48</v>
      </c>
      <c r="G568" t="s">
        <v>80</v>
      </c>
      <c r="H568" t="s">
        <v>81</v>
      </c>
      <c r="I568" t="s">
        <v>82</v>
      </c>
      <c r="J568" t="s">
        <v>37</v>
      </c>
      <c r="K568" t="s">
        <v>38</v>
      </c>
      <c r="L568" t="s">
        <v>2730</v>
      </c>
      <c r="M568" t="s">
        <v>55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207</v>
      </c>
      <c r="U568" t="s">
        <v>132</v>
      </c>
      <c r="V568">
        <f>O568*(1-P568)*N568</f>
        <v>4712.2020000000002</v>
      </c>
      <c r="W568">
        <f t="shared" si="24"/>
        <v>860.29200000000037</v>
      </c>
      <c r="X568">
        <f t="shared" si="25"/>
        <v>0.18256652943423454</v>
      </c>
      <c r="Y568" t="s">
        <v>4120</v>
      </c>
      <c r="Z568" s="2">
        <f>IFERROR(
  IF(ISNUMBER(B568),B568,
    IF(ISNUMBER(SEARCH("-",B568)*1),
      IF(LEN(LEFT(B568,FIND("-",B568)-1))=4,
        DATE(VALUE(LEFT(B568,4)),VALUE(MID(B568,6,2)),VALUE(RIGHT(B568,2))),
        DATE(VALUE(RIGHT(B568,4)),VALUE(MID(B568,4,2)),VALUE(LEFT(B568,2)))
      ),
      IF(ISNUMBER(SEARCH("/",B568)*1),
        DATE(VALUE(RIGHT(B568,4)),VALUE(LEFT(B568,2)),VALUE(MID(B568,4,2))),
        DATEVALUE(B568)
      )
    )
  ),
"INVALID_DATE")</f>
        <v>45515</v>
      </c>
      <c r="AA568" s="2">
        <f>IFERROR(
  IF(ISNUMBER(C568),C568,
    IF(ISNUMBER(SEARCH("-",C568)*1),
      IF(LEN(LEFT(C568,FIND("-",C568)-1))=4,
        DATE(VALUE(LEFT(C568,4)),VALUE(MID(C568,6,2)),VALUE(RIGHT(C568,2))),
        DATE(VALUE(RIGHT(C568,4)),VALUE(MID(C568,4,2)),VALUE(LEFT(C568,2)))
      ),
      IF(ISNUMBER(SEARCH("/",C568)*1),
        DATE(VALUE(RIGHT(C568,4)),VALUE(LEFT(C568,2)),VALUE(MID(C568,4,2))),
        DATEVALUE(C568)
      )
    )
  ),
"INVALID_DATE")</f>
        <v>45523</v>
      </c>
      <c r="AB568">
        <f>AA568-Z568</f>
        <v>8</v>
      </c>
      <c r="AC568" t="str">
        <f>TEXT(Z568,"mmmm")</f>
        <v>August</v>
      </c>
      <c r="AD568">
        <f>YEAR(Z568)</f>
        <v>2024</v>
      </c>
      <c r="AE568" t="str">
        <f t="shared" si="26"/>
        <v>OK</v>
      </c>
    </row>
    <row r="569" spans="1:31">
      <c r="A569" t="s">
        <v>2731</v>
      </c>
      <c r="B569" t="s">
        <v>2732</v>
      </c>
      <c r="C569" t="s">
        <v>2733</v>
      </c>
      <c r="D569" t="s">
        <v>2734</v>
      </c>
      <c r="E569" t="s">
        <v>68</v>
      </c>
      <c r="F569" t="s">
        <v>122</v>
      </c>
      <c r="G569" t="s">
        <v>34</v>
      </c>
      <c r="H569" t="s">
        <v>181</v>
      </c>
      <c r="I569" t="s">
        <v>182</v>
      </c>
      <c r="J569" t="s">
        <v>52</v>
      </c>
      <c r="K569" t="s">
        <v>72</v>
      </c>
      <c r="L569" t="s">
        <v>908</v>
      </c>
      <c r="M569" t="s">
        <v>55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41</v>
      </c>
      <c r="U569" t="s">
        <v>42</v>
      </c>
      <c r="V569">
        <f>O569*(1-P569)*N569</f>
        <v>1305.357</v>
      </c>
      <c r="W569">
        <f t="shared" si="24"/>
        <v>573.46699999999998</v>
      </c>
      <c r="X569">
        <f t="shared" si="25"/>
        <v>0.43931942146227865</v>
      </c>
      <c r="Y569" t="s">
        <v>4120</v>
      </c>
      <c r="Z569" s="2">
        <f>IFERROR(
  IF(ISNUMBER(B569),B569,
    IF(ISNUMBER(SEARCH("-",B569)*1),
      IF(LEN(LEFT(B569,FIND("-",B569)-1))=4,
        DATE(VALUE(LEFT(B569,4)),VALUE(MID(B569,6,2)),VALUE(RIGHT(B569,2))),
        DATE(VALUE(RIGHT(B569,4)),VALUE(MID(B569,4,2)),VALUE(LEFT(B569,2)))
      ),
      IF(ISNUMBER(SEARCH("/",B569)*1),
        DATE(VALUE(RIGHT(B569,4)),VALUE(LEFT(B569,2)),VALUE(MID(B569,4,2))),
        DATEVALUE(B569)
      )
    )
  ),
"INVALID_DATE")</f>
        <v>45328</v>
      </c>
      <c r="AA569" s="2">
        <f>IFERROR(
  IF(ISNUMBER(C569),C569,
    IF(ISNUMBER(SEARCH("-",C569)*1),
      IF(LEN(LEFT(C569,FIND("-",C569)-1))=4,
        DATE(VALUE(LEFT(C569,4)),VALUE(MID(C569,6,2)),VALUE(RIGHT(C569,2))),
        DATE(VALUE(RIGHT(C569,4)),VALUE(MID(C569,4,2)),VALUE(LEFT(C569,2)))
      ),
      IF(ISNUMBER(SEARCH("/",C569)*1),
        DATE(VALUE(RIGHT(C569,4)),VALUE(LEFT(C569,2)),VALUE(MID(C569,4,2))),
        DATEVALUE(C569)
      )
    )
  ),
"INVALID_DATE")</f>
        <v>45332</v>
      </c>
      <c r="AB569">
        <f>AA569-Z569</f>
        <v>4</v>
      </c>
      <c r="AC569" t="str">
        <f>TEXT(Z569,"mmmm")</f>
        <v>February</v>
      </c>
      <c r="AD569">
        <f>YEAR(Z569)</f>
        <v>2024</v>
      </c>
      <c r="AE569" t="str">
        <f t="shared" si="26"/>
        <v>OK</v>
      </c>
    </row>
    <row r="570" spans="1:31">
      <c r="A570" t="s">
        <v>2735</v>
      </c>
      <c r="B570" t="s">
        <v>1727</v>
      </c>
      <c r="C570" t="s">
        <v>2736</v>
      </c>
      <c r="D570" t="s">
        <v>2737</v>
      </c>
      <c r="E570" t="s">
        <v>374</v>
      </c>
      <c r="F570" t="s">
        <v>115</v>
      </c>
      <c r="G570" t="s">
        <v>34</v>
      </c>
      <c r="H570" t="s">
        <v>161</v>
      </c>
      <c r="I570" t="s">
        <v>162</v>
      </c>
      <c r="J570" t="s">
        <v>93</v>
      </c>
      <c r="K570" t="s">
        <v>390</v>
      </c>
      <c r="L570" t="s">
        <v>2738</v>
      </c>
      <c r="M570" t="s">
        <v>55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41</v>
      </c>
      <c r="U570" t="s">
        <v>42</v>
      </c>
      <c r="V570">
        <f>O570*(1-P570)*N570</f>
        <v>2854.7250000000004</v>
      </c>
      <c r="W570">
        <f t="shared" si="24"/>
        <v>886.60500000000047</v>
      </c>
      <c r="X570">
        <f t="shared" si="25"/>
        <v>0.31057578124726332</v>
      </c>
      <c r="Y570" t="s">
        <v>4120</v>
      </c>
      <c r="Z570" s="2">
        <f>IFERROR(
  IF(ISNUMBER(B570),B570,
    IF(ISNUMBER(SEARCH("-",B570)*1),
      IF(LEN(LEFT(B570,FIND("-",B570)-1))=4,
        DATE(VALUE(LEFT(B570,4)),VALUE(MID(B570,6,2)),VALUE(RIGHT(B570,2))),
        DATE(VALUE(RIGHT(B570,4)),VALUE(MID(B570,4,2)),VALUE(LEFT(B570,2)))
      ),
      IF(ISNUMBER(SEARCH("/",B570)*1),
        DATE(VALUE(RIGHT(B570,4)),VALUE(LEFT(B570,2)),VALUE(MID(B570,4,2))),
        DATEVALUE(B570)
      )
    )
  ),
"INVALID_DATE")</f>
        <v>45312</v>
      </c>
      <c r="AA570" s="2">
        <f>IFERROR(
  IF(ISNUMBER(C570),C570,
    IF(ISNUMBER(SEARCH("-",C570)*1),
      IF(LEN(LEFT(C570,FIND("-",C570)-1))=4,
        DATE(VALUE(LEFT(C570,4)),VALUE(MID(C570,6,2)),VALUE(RIGHT(C570,2))),
        DATE(VALUE(RIGHT(C570,4)),VALUE(MID(C570,4,2)),VALUE(LEFT(C570,2)))
      ),
      IF(ISNUMBER(SEARCH("/",C570)*1),
        DATE(VALUE(RIGHT(C570,4)),VALUE(LEFT(C570,2)),VALUE(MID(C570,4,2))),
        DATEVALUE(C570)
      )
    )
  ),
"INVALID_DATE")</f>
        <v>45315</v>
      </c>
      <c r="AB570">
        <f>AA570-Z570</f>
        <v>3</v>
      </c>
      <c r="AC570" t="str">
        <f>TEXT(Z570,"mmmm")</f>
        <v>January</v>
      </c>
      <c r="AD570">
        <f>YEAR(Z570)</f>
        <v>2024</v>
      </c>
      <c r="AE570" t="str">
        <f t="shared" si="26"/>
        <v>OK</v>
      </c>
    </row>
    <row r="571" spans="1:31">
      <c r="A571" t="s">
        <v>2739</v>
      </c>
      <c r="B571" t="s">
        <v>2740</v>
      </c>
      <c r="C571" t="s">
        <v>2741</v>
      </c>
      <c r="D571" t="s">
        <v>2742</v>
      </c>
      <c r="E571" t="s">
        <v>155</v>
      </c>
      <c r="F571" t="s">
        <v>122</v>
      </c>
      <c r="G571" t="s">
        <v>80</v>
      </c>
      <c r="H571" t="s">
        <v>81</v>
      </c>
      <c r="I571" t="s">
        <v>82</v>
      </c>
      <c r="J571" t="s">
        <v>52</v>
      </c>
      <c r="K571" t="s">
        <v>72</v>
      </c>
      <c r="L571" t="s">
        <v>2743</v>
      </c>
      <c r="M571" t="s">
        <v>74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131</v>
      </c>
      <c r="U571" t="s">
        <v>132</v>
      </c>
      <c r="V571">
        <f>O571*(1-P571)*N571</f>
        <v>14630.264999999999</v>
      </c>
      <c r="W571">
        <f t="shared" si="24"/>
        <v>2723.9049999999988</v>
      </c>
      <c r="X571">
        <f t="shared" si="25"/>
        <v>0.18618261056194491</v>
      </c>
      <c r="Y571" t="s">
        <v>4120</v>
      </c>
      <c r="Z571" s="2">
        <f>IFERROR(
  IF(ISNUMBER(B571),B571,
    IF(ISNUMBER(SEARCH("-",B571)*1),
      IF(LEN(LEFT(B571,FIND("-",B571)-1))=4,
        DATE(VALUE(LEFT(B571,4)),VALUE(MID(B571,6,2)),VALUE(RIGHT(B571,2))),
        DATE(VALUE(RIGHT(B571,4)),VALUE(MID(B571,4,2)),VALUE(LEFT(B571,2)))
      ),
      IF(ISNUMBER(SEARCH("/",B571)*1),
        DATE(VALUE(RIGHT(B571,4)),VALUE(LEFT(B571,2)),VALUE(MID(B571,4,2))),
        DATEVALUE(B571)
      )
    )
  ),
"INVALID_DATE")</f>
        <v>45908</v>
      </c>
      <c r="AA571" s="2">
        <f>IFERROR(
  IF(ISNUMBER(C571),C571,
    IF(ISNUMBER(SEARCH("-",C571)*1),
      IF(LEN(LEFT(C571,FIND("-",C571)-1))=4,
        DATE(VALUE(LEFT(C571,4)),VALUE(MID(C571,6,2)),VALUE(RIGHT(C571,2))),
        DATE(VALUE(RIGHT(C571,4)),VALUE(MID(C571,4,2)),VALUE(LEFT(C571,2)))
      ),
      IF(ISNUMBER(SEARCH("/",C571)*1),
        DATE(VALUE(RIGHT(C571,4)),VALUE(LEFT(C571,2)),VALUE(MID(C571,4,2))),
        DATEVALUE(C571)
      )
    )
  ),
"INVALID_DATE")</f>
        <v>45910</v>
      </c>
      <c r="AB571">
        <f>AA571-Z571</f>
        <v>2</v>
      </c>
      <c r="AC571" t="str">
        <f>TEXT(Z571,"mmmm")</f>
        <v>September</v>
      </c>
      <c r="AD571">
        <f>YEAR(Z571)</f>
        <v>2025</v>
      </c>
      <c r="AE571" t="str">
        <f t="shared" si="26"/>
        <v>OK</v>
      </c>
    </row>
    <row r="572" spans="1:31">
      <c r="A572" t="s">
        <v>2744</v>
      </c>
      <c r="B572" t="s">
        <v>929</v>
      </c>
      <c r="C572" t="s">
        <v>706</v>
      </c>
      <c r="D572" t="s">
        <v>2745</v>
      </c>
      <c r="E572" t="s">
        <v>68</v>
      </c>
      <c r="F572" t="s">
        <v>33</v>
      </c>
      <c r="G572" t="s">
        <v>49</v>
      </c>
      <c r="H572" t="s">
        <v>319</v>
      </c>
      <c r="I572" t="s">
        <v>320</v>
      </c>
      <c r="J572" t="s">
        <v>52</v>
      </c>
      <c r="K572" t="s">
        <v>72</v>
      </c>
      <c r="L572" t="s">
        <v>2746</v>
      </c>
      <c r="M572" t="s">
        <v>40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207</v>
      </c>
      <c r="U572" t="s">
        <v>132</v>
      </c>
      <c r="V572">
        <f>O572*(1-P572)*N572</f>
        <v>8879.49</v>
      </c>
      <c r="W572">
        <f t="shared" si="24"/>
        <v>2534.92</v>
      </c>
      <c r="X572">
        <f t="shared" si="25"/>
        <v>0.28548035979543873</v>
      </c>
      <c r="Y572" t="str">
        <f>_xlfn.TEXTJOIN(", ",TRUE,IF(G572="Unknown","Missing Region",""),IF(M572="Unknown","Missing Ship Mode",""),IF(P572&lt;0,"Negative Discount",""),IF(P572&gt;0.7,"High Discount",""),IF(C572&lt;B572,"Ship Before Order",""))</f>
        <v>Ship Before Order</v>
      </c>
      <c r="Z572" s="2">
        <f>IFERROR(
  IF(ISNUMBER(B572),B572,
    IF(ISNUMBER(SEARCH("-",B572)*1),
      IF(LEN(LEFT(B572,FIND("-",B572)-1))=4,
        DATE(VALUE(LEFT(B572,4)),VALUE(MID(B572,6,2)),VALUE(RIGHT(B572,2))),
        DATE(VALUE(RIGHT(B572,4)),VALUE(MID(B572,4,2)),VALUE(LEFT(B572,2)))
      ),
      IF(ISNUMBER(SEARCH("/",B572)*1),
        DATE(VALUE(RIGHT(B572,4)),VALUE(LEFT(B572,2)),VALUE(MID(B572,4,2))),
        DATEVALUE(B572)
      )
    )
  ),
"INVALID_DATE")</f>
        <v>45887</v>
      </c>
      <c r="AA572" s="2">
        <f>IFERROR(
  IF(ISNUMBER(C572),C572,
    IF(ISNUMBER(SEARCH("-",C572)*1),
      IF(LEN(LEFT(C572,FIND("-",C572)-1))=4,
        DATE(VALUE(LEFT(C572,4)),VALUE(MID(C572,6,2)),VALUE(RIGHT(C572,2))),
        DATE(VALUE(RIGHT(C572,4)),VALUE(MID(C572,4,2)),VALUE(LEFT(C572,2)))
      ),
      IF(ISNUMBER(SEARCH("/",C572)*1),
        DATE(VALUE(RIGHT(C572,4)),VALUE(LEFT(C572,2)),VALUE(MID(C572,4,2))),
        DATEVALUE(C572)
      )
    )
  ),
"INVALID_DATE")</f>
        <v>45891</v>
      </c>
      <c r="AB572">
        <f>AA572-Z572</f>
        <v>4</v>
      </c>
      <c r="AC572" t="str">
        <f>TEXT(Z572,"mmmm")</f>
        <v>August</v>
      </c>
      <c r="AD572">
        <f>YEAR(Z572)</f>
        <v>2025</v>
      </c>
      <c r="AE572" t="str">
        <f t="shared" si="26"/>
        <v>OK</v>
      </c>
    </row>
    <row r="573" spans="1:31">
      <c r="A573" t="s">
        <v>2747</v>
      </c>
      <c r="B573" t="s">
        <v>2683</v>
      </c>
      <c r="C573" t="s">
        <v>2748</v>
      </c>
      <c r="D573" t="s">
        <v>2749</v>
      </c>
      <c r="E573" t="s">
        <v>149</v>
      </c>
      <c r="F573" t="s">
        <v>48</v>
      </c>
      <c r="G573" t="s">
        <v>34</v>
      </c>
      <c r="H573" t="s">
        <v>181</v>
      </c>
      <c r="I573" t="s">
        <v>182</v>
      </c>
      <c r="J573" t="s">
        <v>93</v>
      </c>
      <c r="K573" t="s">
        <v>230</v>
      </c>
      <c r="L573" t="s">
        <v>2750</v>
      </c>
      <c r="M573" t="s">
        <v>279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207</v>
      </c>
      <c r="U573" t="s">
        <v>132</v>
      </c>
      <c r="V573">
        <f>O573*(1-P573)*N573</f>
        <v>21381.45</v>
      </c>
      <c r="W573">
        <f t="shared" si="24"/>
        <v>8141.2400000000016</v>
      </c>
      <c r="X573">
        <f t="shared" si="25"/>
        <v>0.38076182859441243</v>
      </c>
      <c r="Y573" t="str">
        <f>_xlfn.TEXTJOIN(", ",TRUE,IF(G573="Unknown","Missing Region",""),IF(M573="Unknown","Missing Ship Mode",""),IF(P573&lt;0,"Negative Discount",""),IF(P573&gt;0.7,"High Discount",""),IF(C573&lt;B573,"Ship Before Order",""))</f>
        <v>Missing Ship Mode</v>
      </c>
      <c r="Z573" s="2">
        <f>IFERROR(
  IF(ISNUMBER(B573),B573,
    IF(ISNUMBER(SEARCH("-",B573)*1),
      IF(LEN(LEFT(B573,FIND("-",B573)-1))=4,
        DATE(VALUE(LEFT(B573,4)),VALUE(MID(B573,6,2)),VALUE(RIGHT(B573,2))),
        DATE(VALUE(RIGHT(B573,4)),VALUE(MID(B573,4,2)),VALUE(LEFT(B573,2)))
      ),
      IF(ISNUMBER(SEARCH("/",B573)*1),
        DATE(VALUE(RIGHT(B573,4)),VALUE(LEFT(B573,2)),VALUE(MID(B573,4,2))),
        DATEVALUE(B573)
      )
    )
  ),
"INVALID_DATE")</f>
        <v>45698</v>
      </c>
      <c r="AA573" s="2">
        <f>IFERROR(
  IF(ISNUMBER(C573),C573,
    IF(ISNUMBER(SEARCH("-",C573)*1),
      IF(LEN(LEFT(C573,FIND("-",C573)-1))=4,
        DATE(VALUE(LEFT(C573,4)),VALUE(MID(C573,6,2)),VALUE(RIGHT(C573,2))),
        DATE(VALUE(RIGHT(C573,4)),VALUE(MID(C573,4,2)),VALUE(LEFT(C573,2)))
      ),
      IF(ISNUMBER(SEARCH("/",C573)*1),
        DATE(VALUE(RIGHT(C573,4)),VALUE(LEFT(C573,2)),VALUE(MID(C573,4,2))),
        DATEVALUE(C573)
      )
    )
  ),
"INVALID_DATE")</f>
        <v>45702</v>
      </c>
      <c r="AB573">
        <f>AA573-Z573</f>
        <v>4</v>
      </c>
      <c r="AC573" t="str">
        <f>TEXT(Z573,"mmmm")</f>
        <v>February</v>
      </c>
      <c r="AD573">
        <f>YEAR(Z573)</f>
        <v>2025</v>
      </c>
      <c r="AE573" t="str">
        <f t="shared" si="26"/>
        <v>OK</v>
      </c>
    </row>
    <row r="574" spans="1:31">
      <c r="A574" t="s">
        <v>2751</v>
      </c>
      <c r="B574" t="s">
        <v>2752</v>
      </c>
      <c r="C574" t="s">
        <v>2753</v>
      </c>
      <c r="D574" t="s">
        <v>2754</v>
      </c>
      <c r="E574" t="s">
        <v>217</v>
      </c>
      <c r="F574" t="s">
        <v>115</v>
      </c>
      <c r="G574" t="s">
        <v>34</v>
      </c>
      <c r="H574" t="s">
        <v>514</v>
      </c>
      <c r="I574" t="s">
        <v>515</v>
      </c>
      <c r="J574" t="s">
        <v>93</v>
      </c>
      <c r="K574" t="s">
        <v>230</v>
      </c>
      <c r="L574" t="s">
        <v>2755</v>
      </c>
      <c r="M574" t="s">
        <v>74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41</v>
      </c>
      <c r="U574" t="s">
        <v>42</v>
      </c>
      <c r="V574">
        <f>O574*(1-P574)*N574</f>
        <v>1774.944</v>
      </c>
      <c r="W574">
        <f t="shared" si="24"/>
        <v>767.54399999999998</v>
      </c>
      <c r="X574">
        <f t="shared" si="25"/>
        <v>0.43243151881190345</v>
      </c>
      <c r="Y574" t="s">
        <v>4120</v>
      </c>
      <c r="Z574" s="2">
        <f>IFERROR(
  IF(ISNUMBER(B574),B574,
    IF(ISNUMBER(SEARCH("-",B574)*1),
      IF(LEN(LEFT(B574,FIND("-",B574)-1))=4,
        DATE(VALUE(LEFT(B574,4)),VALUE(MID(B574,6,2)),VALUE(RIGHT(B574,2))),
        DATE(VALUE(RIGHT(B574,4)),VALUE(MID(B574,4,2)),VALUE(LEFT(B574,2)))
      ),
      IF(ISNUMBER(SEARCH("/",B574)*1),
        DATE(VALUE(RIGHT(B574,4)),VALUE(LEFT(B574,2)),VALUE(MID(B574,4,2))),
        DATEVALUE(B574)
      )
    )
  ),
"INVALID_DATE")</f>
        <v>45293</v>
      </c>
      <c r="AA574" s="2">
        <f>IFERROR(
  IF(ISNUMBER(C574),C574,
    IF(ISNUMBER(SEARCH("-",C574)*1),
      IF(LEN(LEFT(C574,FIND("-",C574)-1))=4,
        DATE(VALUE(LEFT(C574,4)),VALUE(MID(C574,6,2)),VALUE(RIGHT(C574,2))),
        DATE(VALUE(RIGHT(C574,4)),VALUE(MID(C574,4,2)),VALUE(LEFT(C574,2)))
      ),
      IF(ISNUMBER(SEARCH("/",C574)*1),
        DATE(VALUE(RIGHT(C574,4)),VALUE(LEFT(C574,2)),VALUE(MID(C574,4,2))),
        DATEVALUE(C574)
      )
    )
  ),
"INVALID_DATE")</f>
        <v>45300</v>
      </c>
      <c r="AB574">
        <f>AA574-Z574</f>
        <v>7</v>
      </c>
      <c r="AC574" t="str">
        <f>TEXT(Z574,"mmmm")</f>
        <v>January</v>
      </c>
      <c r="AD574">
        <f>YEAR(Z574)</f>
        <v>2024</v>
      </c>
      <c r="AE574" t="str">
        <f t="shared" si="26"/>
        <v>OK</v>
      </c>
    </row>
    <row r="575" spans="1:31">
      <c r="A575" t="s">
        <v>2756</v>
      </c>
      <c r="B575" t="s">
        <v>2757</v>
      </c>
      <c r="C575" t="s">
        <v>2758</v>
      </c>
      <c r="D575" t="s">
        <v>2759</v>
      </c>
      <c r="E575" t="s">
        <v>60</v>
      </c>
      <c r="F575" t="s">
        <v>33</v>
      </c>
      <c r="G575" t="s">
        <v>69</v>
      </c>
      <c r="H575" t="s">
        <v>107</v>
      </c>
      <c r="I575" t="s">
        <v>108</v>
      </c>
      <c r="J575" t="s">
        <v>93</v>
      </c>
      <c r="K575" t="s">
        <v>230</v>
      </c>
      <c r="L575" t="s">
        <v>2760</v>
      </c>
      <c r="M575" t="s">
        <v>74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41</v>
      </c>
      <c r="U575" t="s">
        <v>42</v>
      </c>
      <c r="V575">
        <f>O575*(1-P575)*N575</f>
        <v>573.65</v>
      </c>
      <c r="W575">
        <f t="shared" si="24"/>
        <v>250.97999999999996</v>
      </c>
      <c r="X575">
        <f t="shared" si="25"/>
        <v>0.43751416368866031</v>
      </c>
      <c r="Y575" t="s">
        <v>4120</v>
      </c>
      <c r="Z575" s="2">
        <f>IFERROR(
  IF(ISNUMBER(B575),B575,
    IF(ISNUMBER(SEARCH("-",B575)*1),
      IF(LEN(LEFT(B575,FIND("-",B575)-1))=4,
        DATE(VALUE(LEFT(B575,4)),VALUE(MID(B575,6,2)),VALUE(RIGHT(B575,2))),
        DATE(VALUE(RIGHT(B575,4)),VALUE(MID(B575,4,2)),VALUE(LEFT(B575,2)))
      ),
      IF(ISNUMBER(SEARCH("/",B575)*1),
        DATE(VALUE(RIGHT(B575,4)),VALUE(LEFT(B575,2)),VALUE(MID(B575,4,2))),
        DATEVALUE(B575)
      )
    )
  ),
"INVALID_DATE")</f>
        <v>45922</v>
      </c>
      <c r="AA575" s="2">
        <f>IFERROR(
  IF(ISNUMBER(C575),C575,
    IF(ISNUMBER(SEARCH("-",C575)*1),
      IF(LEN(LEFT(C575,FIND("-",C575)-1))=4,
        DATE(VALUE(LEFT(C575,4)),VALUE(MID(C575,6,2)),VALUE(RIGHT(C575,2))),
        DATE(VALUE(RIGHT(C575,4)),VALUE(MID(C575,4,2)),VALUE(LEFT(C575,2)))
      ),
      IF(ISNUMBER(SEARCH("/",C575)*1),
        DATE(VALUE(RIGHT(C575,4)),VALUE(LEFT(C575,2)),VALUE(MID(C575,4,2))),
        DATEVALUE(C575)
      )
    )
  ),
"INVALID_DATE")</f>
        <v>45926</v>
      </c>
      <c r="AB575">
        <f>AA575-Z575</f>
        <v>4</v>
      </c>
      <c r="AC575" t="str">
        <f>TEXT(Z575,"mmmm")</f>
        <v>September</v>
      </c>
      <c r="AD575">
        <f>YEAR(Z575)</f>
        <v>2025</v>
      </c>
      <c r="AE575" t="str">
        <f t="shared" si="26"/>
        <v>OK</v>
      </c>
    </row>
    <row r="576" spans="1:31">
      <c r="A576" t="s">
        <v>2761</v>
      </c>
      <c r="B576" t="s">
        <v>2762</v>
      </c>
      <c r="C576" t="s">
        <v>1653</v>
      </c>
      <c r="D576" t="s">
        <v>1234</v>
      </c>
      <c r="E576" t="s">
        <v>217</v>
      </c>
      <c r="F576" t="s">
        <v>122</v>
      </c>
      <c r="G576" t="s">
        <v>34</v>
      </c>
      <c r="H576" t="s">
        <v>161</v>
      </c>
      <c r="I576" t="s">
        <v>162</v>
      </c>
      <c r="J576" t="s">
        <v>93</v>
      </c>
      <c r="K576" t="s">
        <v>390</v>
      </c>
      <c r="L576" t="s">
        <v>2763</v>
      </c>
      <c r="M576" t="s">
        <v>74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41</v>
      </c>
      <c r="U576" t="s">
        <v>42</v>
      </c>
      <c r="V576">
        <f>O576*(1-P576)*N576</f>
        <v>5423.2</v>
      </c>
      <c r="W576">
        <f t="shared" si="24"/>
        <v>1350.7599999999998</v>
      </c>
      <c r="X576">
        <f t="shared" si="25"/>
        <v>0.24907065938929046</v>
      </c>
      <c r="Y576" t="s">
        <v>4120</v>
      </c>
      <c r="Z576" s="2">
        <f>IFERROR(
  IF(ISNUMBER(B576),B576,
    IF(ISNUMBER(SEARCH("-",B576)*1),
      IF(LEN(LEFT(B576,FIND("-",B576)-1))=4,
        DATE(VALUE(LEFT(B576,4)),VALUE(MID(B576,6,2)),VALUE(RIGHT(B576,2))),
        DATE(VALUE(RIGHT(B576,4)),VALUE(MID(B576,4,2)),VALUE(LEFT(B576,2)))
      ),
      IF(ISNUMBER(SEARCH("/",B576)*1),
        DATE(VALUE(RIGHT(B576,4)),VALUE(LEFT(B576,2)),VALUE(MID(B576,4,2))),
        DATEVALUE(B576)
      )
    )
  ),
"INVALID_DATE")</f>
        <v>45342</v>
      </c>
      <c r="AA576" s="2">
        <f>IFERROR(
  IF(ISNUMBER(C576),C576,
    IF(ISNUMBER(SEARCH("-",C576)*1),
      IF(LEN(LEFT(C576,FIND("-",C576)-1))=4,
        DATE(VALUE(LEFT(C576,4)),VALUE(MID(C576,6,2)),VALUE(RIGHT(C576,2))),
        DATE(VALUE(RIGHT(C576,4)),VALUE(MID(C576,4,2)),VALUE(LEFT(C576,2)))
      ),
      IF(ISNUMBER(SEARCH("/",C576)*1),
        DATE(VALUE(RIGHT(C576,4)),VALUE(LEFT(C576,2)),VALUE(MID(C576,4,2))),
        DATEVALUE(C576)
      )
    )
  ),
"INVALID_DATE")</f>
        <v>45347</v>
      </c>
      <c r="AB576">
        <f>AA576-Z576</f>
        <v>5</v>
      </c>
      <c r="AC576" t="str">
        <f>TEXT(Z576,"mmmm")</f>
        <v>February</v>
      </c>
      <c r="AD576">
        <f>YEAR(Z576)</f>
        <v>2024</v>
      </c>
      <c r="AE576" t="str">
        <f t="shared" si="26"/>
        <v>OK</v>
      </c>
    </row>
    <row r="577" spans="1:31">
      <c r="A577" t="s">
        <v>2764</v>
      </c>
      <c r="B577" t="s">
        <v>2765</v>
      </c>
      <c r="C577" t="s">
        <v>2766</v>
      </c>
      <c r="D577" t="s">
        <v>2767</v>
      </c>
      <c r="E577" t="s">
        <v>175</v>
      </c>
      <c r="F577" t="s">
        <v>122</v>
      </c>
      <c r="G577" t="s">
        <v>69</v>
      </c>
      <c r="H577" t="s">
        <v>249</v>
      </c>
      <c r="I577" t="s">
        <v>250</v>
      </c>
      <c r="J577" t="s">
        <v>52</v>
      </c>
      <c r="K577" t="s">
        <v>72</v>
      </c>
      <c r="L577" t="s">
        <v>2768</v>
      </c>
      <c r="M577" t="s">
        <v>55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207</v>
      </c>
      <c r="U577" t="s">
        <v>132</v>
      </c>
      <c r="V577">
        <f>O577*(1-P577)*N577</f>
        <v>3983.424</v>
      </c>
      <c r="W577">
        <f t="shared" si="24"/>
        <v>808.51400000000012</v>
      </c>
      <c r="X577">
        <f t="shared" si="25"/>
        <v>0.20296880569962494</v>
      </c>
      <c r="Y577" t="s">
        <v>4120</v>
      </c>
      <c r="Z577" s="2">
        <f>IFERROR(
  IF(ISNUMBER(B577),B577,
    IF(ISNUMBER(SEARCH("-",B577)*1),
      IF(LEN(LEFT(B577,FIND("-",B577)-1))=4,
        DATE(VALUE(LEFT(B577,4)),VALUE(MID(B577,6,2)),VALUE(RIGHT(B577,2))),
        DATE(VALUE(RIGHT(B577,4)),VALUE(MID(B577,4,2)),VALUE(LEFT(B577,2)))
      ),
      IF(ISNUMBER(SEARCH("/",B577)*1),
        DATE(VALUE(RIGHT(B577,4)),VALUE(LEFT(B577,2)),VALUE(MID(B577,4,2))),
        DATEVALUE(B577)
      )
    )
  ),
"INVALID_DATE")</f>
        <v>45727</v>
      </c>
      <c r="AA577" s="2">
        <f>IFERROR(
  IF(ISNUMBER(C577),C577,
    IF(ISNUMBER(SEARCH("-",C577)*1),
      IF(LEN(LEFT(C577,FIND("-",C577)-1))=4,
        DATE(VALUE(LEFT(C577,4)),VALUE(MID(C577,6,2)),VALUE(RIGHT(C577,2))),
        DATE(VALUE(RIGHT(C577,4)),VALUE(MID(C577,4,2)),VALUE(LEFT(C577,2)))
      ),
      IF(ISNUMBER(SEARCH("/",C577)*1),
        DATE(VALUE(RIGHT(C577,4)),VALUE(LEFT(C577,2)),VALUE(MID(C577,4,2))),
        DATEVALUE(C577)
      )
    )
  ),
"INVALID_DATE")</f>
        <v>45730</v>
      </c>
      <c r="AB577">
        <f>AA577-Z577</f>
        <v>3</v>
      </c>
      <c r="AC577" t="str">
        <f>TEXT(Z577,"mmmm")</f>
        <v>March</v>
      </c>
      <c r="AD577">
        <f>YEAR(Z577)</f>
        <v>2025</v>
      </c>
      <c r="AE577" t="str">
        <f t="shared" si="26"/>
        <v>OK</v>
      </c>
    </row>
    <row r="578" spans="1:31">
      <c r="A578" t="s">
        <v>2769</v>
      </c>
      <c r="B578" t="s">
        <v>2770</v>
      </c>
      <c r="C578" t="s">
        <v>2771</v>
      </c>
      <c r="D578" t="s">
        <v>2772</v>
      </c>
      <c r="E578" t="s">
        <v>187</v>
      </c>
      <c r="F578" t="s">
        <v>122</v>
      </c>
      <c r="G578" t="s">
        <v>279</v>
      </c>
      <c r="H578" t="s">
        <v>193</v>
      </c>
      <c r="I578" t="s">
        <v>194</v>
      </c>
      <c r="J578" t="s">
        <v>37</v>
      </c>
      <c r="K578" t="s">
        <v>205</v>
      </c>
      <c r="L578" t="s">
        <v>2773</v>
      </c>
      <c r="M578" t="s">
        <v>74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131</v>
      </c>
      <c r="U578" t="s">
        <v>132</v>
      </c>
      <c r="V578">
        <f>O578*(1-P578)*N578</f>
        <v>23530.14</v>
      </c>
      <c r="W578">
        <f t="shared" si="24"/>
        <v>3992.3499999999985</v>
      </c>
      <c r="X578">
        <f t="shared" si="25"/>
        <v>0.16966962372514571</v>
      </c>
      <c r="Y578" t="str">
        <f>_xlfn.TEXTJOIN(", ",TRUE,IF(G578="Unknown","Missing Region",""),IF(M578="Unknown","Missing Ship Mode",""),IF(P578&lt;0,"Negative Discount",""),IF(P578&gt;0.7,"High Discount",""),IF(C578&lt;B578,"Ship Before Order",""))</f>
        <v>Missing Region, Ship Before Order</v>
      </c>
      <c r="Z578" s="2">
        <f>IFERROR(
  IF(ISNUMBER(B578),B578,
    IF(ISNUMBER(SEARCH("-",B578)*1),
      IF(LEN(LEFT(B578,FIND("-",B578)-1))=4,
        DATE(VALUE(LEFT(B578,4)),VALUE(MID(B578,6,2)),VALUE(RIGHT(B578,2))),
        DATE(VALUE(RIGHT(B578,4)),VALUE(MID(B578,4,2)),VALUE(LEFT(B578,2)))
      ),
      IF(ISNUMBER(SEARCH("/",B578)*1),
        DATE(VALUE(RIGHT(B578,4)),VALUE(LEFT(B578,2)),VALUE(MID(B578,4,2))),
        DATEVALUE(B578)
      )
    )
  ),
"INVALID_DATE")</f>
        <v>45339</v>
      </c>
      <c r="AA578" s="2">
        <f>IFERROR(
  IF(ISNUMBER(C578),C578,
    IF(ISNUMBER(SEARCH("-",C578)*1),
      IF(LEN(LEFT(C578,FIND("-",C578)-1))=4,
        DATE(VALUE(LEFT(C578,4)),VALUE(MID(C578,6,2)),VALUE(RIGHT(C578,2))),
        DATE(VALUE(RIGHT(C578,4)),VALUE(MID(C578,4,2)),VALUE(LEFT(C578,2)))
      ),
      IF(ISNUMBER(SEARCH("/",C578)*1),
        DATE(VALUE(RIGHT(C578,4)),VALUE(LEFT(C578,2)),VALUE(MID(C578,4,2))),
        DATEVALUE(C578)
      )
    )
  ),
"INVALID_DATE")</f>
        <v>45345</v>
      </c>
      <c r="AB578">
        <f>AA578-Z578</f>
        <v>6</v>
      </c>
      <c r="AC578" t="str">
        <f>TEXT(Z578,"mmmm")</f>
        <v>February</v>
      </c>
      <c r="AD578">
        <f>YEAR(Z578)</f>
        <v>2024</v>
      </c>
      <c r="AE578" t="str">
        <f t="shared" si="26"/>
        <v>OK</v>
      </c>
    </row>
    <row r="579" spans="1:31">
      <c r="A579" t="s">
        <v>2774</v>
      </c>
      <c r="B579" t="s">
        <v>443</v>
      </c>
      <c r="C579" t="s">
        <v>2775</v>
      </c>
      <c r="D579" t="s">
        <v>2776</v>
      </c>
      <c r="E579" t="s">
        <v>149</v>
      </c>
      <c r="F579" t="s">
        <v>115</v>
      </c>
      <c r="G579" t="s">
        <v>80</v>
      </c>
      <c r="H579" t="s">
        <v>91</v>
      </c>
      <c r="I579" t="s">
        <v>92</v>
      </c>
      <c r="J579" t="s">
        <v>52</v>
      </c>
      <c r="K579" t="s">
        <v>72</v>
      </c>
      <c r="L579" t="s">
        <v>2777</v>
      </c>
      <c r="M579" t="s">
        <v>74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41</v>
      </c>
      <c r="U579" t="s">
        <v>42</v>
      </c>
      <c r="V579">
        <f>O579*(1-P579)*N579</f>
        <v>1879.1499999999999</v>
      </c>
      <c r="W579">
        <f t="shared" ref="W579:W642" si="27">V579-R579</f>
        <v>744.24999999999977</v>
      </c>
      <c r="X579">
        <f t="shared" ref="X579:X642" si="28">S579/Q579</f>
        <v>0.3960567277758561</v>
      </c>
      <c r="Y579" t="s">
        <v>4120</v>
      </c>
      <c r="Z579" s="2">
        <f>IFERROR(
  IF(ISNUMBER(B579),B579,
    IF(ISNUMBER(SEARCH("-",B579)*1),
      IF(LEN(LEFT(B579,FIND("-",B579)-1))=4,
        DATE(VALUE(LEFT(B579,4)),VALUE(MID(B579,6,2)),VALUE(RIGHT(B579,2))),
        DATE(VALUE(RIGHT(B579,4)),VALUE(MID(B579,4,2)),VALUE(LEFT(B579,2)))
      ),
      IF(ISNUMBER(SEARCH("/",B579)*1),
        DATE(VALUE(RIGHT(B579,4)),VALUE(LEFT(B579,2)),VALUE(MID(B579,4,2))),
        DATEVALUE(B579)
      )
    )
  ),
"INVALID_DATE")</f>
        <v>45897</v>
      </c>
      <c r="AA579" s="2">
        <f>IFERROR(
  IF(ISNUMBER(C579),C579,
    IF(ISNUMBER(SEARCH("-",C579)*1),
      IF(LEN(LEFT(C579,FIND("-",C579)-1))=4,
        DATE(VALUE(LEFT(C579,4)),VALUE(MID(C579,6,2)),VALUE(RIGHT(C579,2))),
        DATE(VALUE(RIGHT(C579,4)),VALUE(MID(C579,4,2)),VALUE(LEFT(C579,2)))
      ),
      IF(ISNUMBER(SEARCH("/",C579)*1),
        DATE(VALUE(RIGHT(C579,4)),VALUE(LEFT(C579,2)),VALUE(MID(C579,4,2))),
        DATEVALUE(C579)
      )
    )
  ),
"INVALID_DATE")</f>
        <v>45903</v>
      </c>
      <c r="AB579">
        <f>AA579-Z579</f>
        <v>6</v>
      </c>
      <c r="AC579" t="str">
        <f>TEXT(Z579,"mmmm")</f>
        <v>August</v>
      </c>
      <c r="AD579">
        <f>YEAR(Z579)</f>
        <v>2025</v>
      </c>
      <c r="AE579" t="str">
        <f t="shared" ref="AE579:AE642" si="29">IF(OR(Z579="INVALID_DATE",AA579="INVALID_DATE"),"Invalid Date",IF(AA579&lt;Z579,"Ship Before Order","OK"))</f>
        <v>OK</v>
      </c>
    </row>
    <row r="580" spans="1:31">
      <c r="A580" t="s">
        <v>2778</v>
      </c>
      <c r="B580" t="s">
        <v>2779</v>
      </c>
      <c r="C580" t="s">
        <v>2780</v>
      </c>
      <c r="D580" t="s">
        <v>425</v>
      </c>
      <c r="E580" t="s">
        <v>100</v>
      </c>
      <c r="F580" t="s">
        <v>48</v>
      </c>
      <c r="G580" t="s">
        <v>80</v>
      </c>
      <c r="H580" t="s">
        <v>242</v>
      </c>
      <c r="I580" t="s">
        <v>243</v>
      </c>
      <c r="J580" t="s">
        <v>93</v>
      </c>
      <c r="K580" t="s">
        <v>101</v>
      </c>
      <c r="L580" t="s">
        <v>2781</v>
      </c>
      <c r="M580" t="s">
        <v>63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41</v>
      </c>
      <c r="U580" t="s">
        <v>42</v>
      </c>
      <c r="V580">
        <f>O580*(1-P580)*N580</f>
        <v>15011.804999999998</v>
      </c>
      <c r="W580">
        <f t="shared" si="27"/>
        <v>5351.4449999999979</v>
      </c>
      <c r="X580">
        <f t="shared" si="28"/>
        <v>0.35648266265027334</v>
      </c>
      <c r="Y580" t="s">
        <v>4120</v>
      </c>
      <c r="Z580" s="2">
        <f>IFERROR(
  IF(ISNUMBER(B580),B580,
    IF(ISNUMBER(SEARCH("-",B580)*1),
      IF(LEN(LEFT(B580,FIND("-",B580)-1))=4,
        DATE(VALUE(LEFT(B580,4)),VALUE(MID(B580,6,2)),VALUE(RIGHT(B580,2))),
        DATE(VALUE(RIGHT(B580,4)),VALUE(MID(B580,4,2)),VALUE(LEFT(B580,2)))
      ),
      IF(ISNUMBER(SEARCH("/",B580)*1),
        DATE(VALUE(RIGHT(B580,4)),VALUE(LEFT(B580,2)),VALUE(MID(B580,4,2))),
        DATEVALUE(B580)
      )
    )
  ),
"INVALID_DATE")</f>
        <v>45343</v>
      </c>
      <c r="AA580" s="2">
        <f>IFERROR(
  IF(ISNUMBER(C580),C580,
    IF(ISNUMBER(SEARCH("-",C580)*1),
      IF(LEN(LEFT(C580,FIND("-",C580)-1))=4,
        DATE(VALUE(LEFT(C580,4)),VALUE(MID(C580,6,2)),VALUE(RIGHT(C580,2))),
        DATE(VALUE(RIGHT(C580,4)),VALUE(MID(C580,4,2)),VALUE(LEFT(C580,2)))
      ),
      IF(ISNUMBER(SEARCH("/",C580)*1),
        DATE(VALUE(RIGHT(C580,4)),VALUE(LEFT(C580,2)),VALUE(MID(C580,4,2))),
        DATEVALUE(C580)
      )
    )
  ),
"INVALID_DATE")</f>
        <v>45345</v>
      </c>
      <c r="AB580">
        <f>AA580-Z580</f>
        <v>2</v>
      </c>
      <c r="AC580" t="str">
        <f>TEXT(Z580,"mmmm")</f>
        <v>February</v>
      </c>
      <c r="AD580">
        <f>YEAR(Z580)</f>
        <v>2024</v>
      </c>
      <c r="AE580" t="str">
        <f t="shared" si="29"/>
        <v>OK</v>
      </c>
    </row>
    <row r="581" spans="1:31">
      <c r="A581" t="s">
        <v>2782</v>
      </c>
      <c r="B581" t="s">
        <v>2783</v>
      </c>
      <c r="C581" t="s">
        <v>2784</v>
      </c>
      <c r="D581" t="s">
        <v>2785</v>
      </c>
      <c r="E581" t="s">
        <v>169</v>
      </c>
      <c r="F581" t="s">
        <v>48</v>
      </c>
      <c r="G581" t="s">
        <v>69</v>
      </c>
      <c r="H581" t="s">
        <v>347</v>
      </c>
      <c r="I581" t="s">
        <v>348</v>
      </c>
      <c r="J581" t="s">
        <v>37</v>
      </c>
      <c r="K581" t="s">
        <v>163</v>
      </c>
      <c r="L581" t="s">
        <v>2786</v>
      </c>
      <c r="M581" t="s">
        <v>55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41</v>
      </c>
      <c r="U581" t="s">
        <v>42</v>
      </c>
      <c r="V581">
        <f>O581*(1-P581)*N581</f>
        <v>3202.41</v>
      </c>
      <c r="W581">
        <f t="shared" si="27"/>
        <v>593.9699999999998</v>
      </c>
      <c r="X581">
        <f t="shared" si="28"/>
        <v>0.185475938433867</v>
      </c>
      <c r="Y581" t="s">
        <v>4120</v>
      </c>
      <c r="Z581" s="2">
        <f>IFERROR(
  IF(ISNUMBER(B581),B581,
    IF(ISNUMBER(SEARCH("-",B581)*1),
      IF(LEN(LEFT(B581,FIND("-",B581)-1))=4,
        DATE(VALUE(LEFT(B581,4)),VALUE(MID(B581,6,2)),VALUE(RIGHT(B581,2))),
        DATE(VALUE(RIGHT(B581,4)),VALUE(MID(B581,4,2)),VALUE(LEFT(B581,2)))
      ),
      IF(ISNUMBER(SEARCH("/",B581)*1),
        DATE(VALUE(RIGHT(B581,4)),VALUE(LEFT(B581,2)),VALUE(MID(B581,4,2))),
        DATEVALUE(B581)
      )
    )
  ),
"INVALID_DATE")</f>
        <v>45462</v>
      </c>
      <c r="AA581" s="2">
        <f>IFERROR(
  IF(ISNUMBER(C581),C581,
    IF(ISNUMBER(SEARCH("-",C581)*1),
      IF(LEN(LEFT(C581,FIND("-",C581)-1))=4,
        DATE(VALUE(LEFT(C581,4)),VALUE(MID(C581,6,2)),VALUE(RIGHT(C581,2))),
        DATE(VALUE(RIGHT(C581,4)),VALUE(MID(C581,4,2)),VALUE(LEFT(C581,2)))
      ),
      IF(ISNUMBER(SEARCH("/",C581)*1),
        DATE(VALUE(RIGHT(C581,4)),VALUE(LEFT(C581,2)),VALUE(MID(C581,4,2))),
        DATEVALUE(C581)
      )
    )
  ),
"INVALID_DATE")</f>
        <v>45467</v>
      </c>
      <c r="AB581">
        <f>AA581-Z581</f>
        <v>5</v>
      </c>
      <c r="AC581" t="str">
        <f>TEXT(Z581,"mmmm")</f>
        <v>June</v>
      </c>
      <c r="AD581">
        <f>YEAR(Z581)</f>
        <v>2024</v>
      </c>
      <c r="AE581" t="str">
        <f t="shared" si="29"/>
        <v>OK</v>
      </c>
    </row>
    <row r="582" spans="1:31">
      <c r="A582" t="s">
        <v>2787</v>
      </c>
      <c r="B582" t="s">
        <v>2788</v>
      </c>
      <c r="C582" t="s">
        <v>1467</v>
      </c>
      <c r="D582" t="s">
        <v>2789</v>
      </c>
      <c r="E582" t="s">
        <v>374</v>
      </c>
      <c r="F582" t="s">
        <v>33</v>
      </c>
      <c r="G582" t="s">
        <v>69</v>
      </c>
      <c r="H582" t="s">
        <v>249</v>
      </c>
      <c r="I582" t="s">
        <v>250</v>
      </c>
      <c r="J582" t="s">
        <v>52</v>
      </c>
      <c r="K582" t="s">
        <v>83</v>
      </c>
      <c r="L582" t="s">
        <v>2790</v>
      </c>
      <c r="M582" t="s">
        <v>74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207</v>
      </c>
      <c r="U582" t="s">
        <v>132</v>
      </c>
      <c r="V582">
        <f>O582*(1-P582)*N582</f>
        <v>417.48599999999999</v>
      </c>
      <c r="W582">
        <f t="shared" si="27"/>
        <v>155.81599999999997</v>
      </c>
      <c r="X582">
        <f t="shared" si="28"/>
        <v>0.37323049653883922</v>
      </c>
      <c r="Y582" t="str">
        <f>_xlfn.TEXTJOIN(", ",TRUE,IF(G582="Unknown","Missing Region",""),IF(M582="Unknown","Missing Ship Mode",""),IF(P582&lt;0,"Negative Discount",""),IF(P582&gt;0.7,"High Discount",""),IF(C582&lt;B582,"Ship Before Order",""))</f>
        <v>Ship Before Order</v>
      </c>
      <c r="Z582" s="2">
        <f>IFERROR(
  IF(ISNUMBER(B582),B582,
    IF(ISNUMBER(SEARCH("-",B582)*1),
      IF(LEN(LEFT(B582,FIND("-",B582)-1))=4,
        DATE(VALUE(LEFT(B582,4)),VALUE(MID(B582,6,2)),VALUE(RIGHT(B582,2))),
        DATE(VALUE(RIGHT(B582,4)),VALUE(MID(B582,4,2)),VALUE(LEFT(B582,2)))
      ),
      IF(ISNUMBER(SEARCH("/",B582)*1),
        DATE(VALUE(RIGHT(B582,4)),VALUE(LEFT(B582,2)),VALUE(MID(B582,4,2))),
        DATEVALUE(B582)
      )
    )
  ),
"INVALID_DATE")</f>
        <v>45722</v>
      </c>
      <c r="AA582" s="2">
        <f>IFERROR(
  IF(ISNUMBER(C582),C582,
    IF(ISNUMBER(SEARCH("-",C582)*1),
      IF(LEN(LEFT(C582,FIND("-",C582)-1))=4,
        DATE(VALUE(LEFT(C582,4)),VALUE(MID(C582,6,2)),VALUE(RIGHT(C582,2))),
        DATE(VALUE(RIGHT(C582,4)),VALUE(MID(C582,4,2)),VALUE(LEFT(C582,2)))
      ),
      IF(ISNUMBER(SEARCH("/",C582)*1),
        DATE(VALUE(RIGHT(C582,4)),VALUE(LEFT(C582,2)),VALUE(MID(C582,4,2))),
        DATEVALUE(C582)
      )
    )
  ),
"INVALID_DATE")</f>
        <v>45729</v>
      </c>
      <c r="AB582">
        <f>AA582-Z582</f>
        <v>7</v>
      </c>
      <c r="AC582" t="str">
        <f>TEXT(Z582,"mmmm")</f>
        <v>March</v>
      </c>
      <c r="AD582">
        <f>YEAR(Z582)</f>
        <v>2025</v>
      </c>
      <c r="AE582" t="str">
        <f t="shared" si="29"/>
        <v>OK</v>
      </c>
    </row>
    <row r="583" spans="1:31">
      <c r="A583" t="s">
        <v>2791</v>
      </c>
      <c r="B583" t="s">
        <v>1351</v>
      </c>
      <c r="C583" t="s">
        <v>2792</v>
      </c>
      <c r="D583" t="s">
        <v>2793</v>
      </c>
      <c r="E583" t="s">
        <v>100</v>
      </c>
      <c r="F583" t="s">
        <v>33</v>
      </c>
      <c r="G583" t="s">
        <v>34</v>
      </c>
      <c r="H583" t="s">
        <v>514</v>
      </c>
      <c r="I583" t="s">
        <v>515</v>
      </c>
      <c r="J583" t="s">
        <v>37</v>
      </c>
      <c r="K583" t="s">
        <v>61</v>
      </c>
      <c r="L583" t="s">
        <v>2794</v>
      </c>
      <c r="M583" t="s">
        <v>40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131</v>
      </c>
      <c r="U583" t="s">
        <v>132</v>
      </c>
      <c r="V583">
        <f>O583*(1-P583)*N583</f>
        <v>16323.8</v>
      </c>
      <c r="W583">
        <f t="shared" si="27"/>
        <v>6358.0099999999984</v>
      </c>
      <c r="X583">
        <f t="shared" si="28"/>
        <v>0.38949325524694006</v>
      </c>
      <c r="Y583" t="str">
        <f>_xlfn.TEXTJOIN(", ",TRUE,IF(G583="Unknown","Missing Region",""),IF(M583="Unknown","Missing Ship Mode",""),IF(P583&lt;0,"Negative Discount",""),IF(P583&gt;0.7,"High Discount",""),IF(C583&lt;B583,"Ship Before Order",""))</f>
        <v>Ship Before Order</v>
      </c>
      <c r="Z583" s="2">
        <f>IFERROR(
  IF(ISNUMBER(B583),B583,
    IF(ISNUMBER(SEARCH("-",B583)*1),
      IF(LEN(LEFT(B583,FIND("-",B583)-1))=4,
        DATE(VALUE(LEFT(B583,4)),VALUE(MID(B583,6,2)),VALUE(RIGHT(B583,2))),
        DATE(VALUE(RIGHT(B583,4)),VALUE(MID(B583,4,2)),VALUE(LEFT(B583,2)))
      ),
      IF(ISNUMBER(SEARCH("/",B583)*1),
        DATE(VALUE(RIGHT(B583,4)),VALUE(LEFT(B583,2)),VALUE(MID(B583,4,2))),
        DATEVALUE(B583)
      )
    )
  ),
"INVALID_DATE")</f>
        <v>45878</v>
      </c>
      <c r="AA583" s="2">
        <f>IFERROR(
  IF(ISNUMBER(C583),C583,
    IF(ISNUMBER(SEARCH("-",C583)*1),
      IF(LEN(LEFT(C583,FIND("-",C583)-1))=4,
        DATE(VALUE(LEFT(C583,4)),VALUE(MID(C583,6,2)),VALUE(RIGHT(C583,2))),
        DATE(VALUE(RIGHT(C583,4)),VALUE(MID(C583,4,2)),VALUE(LEFT(C583,2)))
      ),
      IF(ISNUMBER(SEARCH("/",C583)*1),
        DATE(VALUE(RIGHT(C583,4)),VALUE(LEFT(C583,2)),VALUE(MID(C583,4,2))),
        DATEVALUE(C583)
      )
    )
  ),
"INVALID_DATE")</f>
        <v>45879</v>
      </c>
      <c r="AB583">
        <f>AA583-Z583</f>
        <v>1</v>
      </c>
      <c r="AC583" t="str">
        <f>TEXT(Z583,"mmmm")</f>
        <v>August</v>
      </c>
      <c r="AD583">
        <f>YEAR(Z583)</f>
        <v>2025</v>
      </c>
      <c r="AE583" t="str">
        <f t="shared" si="29"/>
        <v>OK</v>
      </c>
    </row>
    <row r="584" spans="1:31">
      <c r="A584" t="s">
        <v>2795</v>
      </c>
      <c r="B584" t="s">
        <v>2796</v>
      </c>
      <c r="C584" t="s">
        <v>2797</v>
      </c>
      <c r="D584" t="s">
        <v>2798</v>
      </c>
      <c r="E584" t="s">
        <v>79</v>
      </c>
      <c r="F584" t="s">
        <v>33</v>
      </c>
      <c r="G584" t="s">
        <v>49</v>
      </c>
      <c r="H584" t="s">
        <v>50</v>
      </c>
      <c r="I584" t="s">
        <v>51</v>
      </c>
      <c r="J584" t="s">
        <v>37</v>
      </c>
      <c r="K584" t="s">
        <v>61</v>
      </c>
      <c r="L584" t="s">
        <v>2799</v>
      </c>
      <c r="M584" t="s">
        <v>63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144</v>
      </c>
      <c r="U584" t="s">
        <v>132</v>
      </c>
      <c r="V584">
        <f>O584*(1-P584)*N584</f>
        <v>3356.2</v>
      </c>
      <c r="W584">
        <f t="shared" si="27"/>
        <v>1150.48</v>
      </c>
      <c r="X584">
        <f t="shared" si="28"/>
        <v>0.34279244383528995</v>
      </c>
      <c r="Y584" t="str">
        <f>_xlfn.TEXTJOIN(", ",TRUE,IF(G584="Unknown","Missing Region",""),IF(M584="Unknown","Missing Ship Mode",""),IF(P584&lt;0,"Negative Discount",""),IF(P584&gt;0.7,"High Discount",""),IF(C584&lt;B584,"Ship Before Order",""))</f>
        <v>Ship Before Order</v>
      </c>
      <c r="Z584" s="2">
        <f>IFERROR(
  IF(ISNUMBER(B584),B584,
    IF(ISNUMBER(SEARCH("-",B584)*1),
      IF(LEN(LEFT(B584,FIND("-",B584)-1))=4,
        DATE(VALUE(LEFT(B584,4)),VALUE(MID(B584,6,2)),VALUE(RIGHT(B584,2))),
        DATE(VALUE(RIGHT(B584,4)),VALUE(MID(B584,4,2)),VALUE(LEFT(B584,2)))
      ),
      IF(ISNUMBER(SEARCH("/",B584)*1),
        DATE(VALUE(RIGHT(B584,4)),VALUE(LEFT(B584,2)),VALUE(MID(B584,4,2))),
        DATEVALUE(B584)
      )
    )
  ),
"INVALID_DATE")</f>
        <v>45580</v>
      </c>
      <c r="AA584" s="2">
        <f>IFERROR(
  IF(ISNUMBER(C584),C584,
    IF(ISNUMBER(SEARCH("-",C584)*1),
      IF(LEN(LEFT(C584,FIND("-",C584)-1))=4,
        DATE(VALUE(LEFT(C584,4)),VALUE(MID(C584,6,2)),VALUE(RIGHT(C584,2))),
        DATE(VALUE(RIGHT(C584,4)),VALUE(MID(C584,4,2)),VALUE(LEFT(C584,2)))
      ),
      IF(ISNUMBER(SEARCH("/",C584)*1),
        DATE(VALUE(RIGHT(C584,4)),VALUE(LEFT(C584,2)),VALUE(MID(C584,4,2))),
        DATEVALUE(C584)
      )
    )
  ),
"INVALID_DATE")</f>
        <v>45585</v>
      </c>
      <c r="AB584">
        <f>AA584-Z584</f>
        <v>5</v>
      </c>
      <c r="AC584" t="str">
        <f>TEXT(Z584,"mmmm")</f>
        <v>October</v>
      </c>
      <c r="AD584">
        <f>YEAR(Z584)</f>
        <v>2024</v>
      </c>
      <c r="AE584" t="str">
        <f t="shared" si="29"/>
        <v>OK</v>
      </c>
    </row>
    <row r="585" spans="1:31">
      <c r="A585" t="s">
        <v>2800</v>
      </c>
      <c r="B585" t="s">
        <v>634</v>
      </c>
      <c r="C585" t="s">
        <v>2801</v>
      </c>
      <c r="D585" t="s">
        <v>2802</v>
      </c>
      <c r="E585" t="s">
        <v>187</v>
      </c>
      <c r="F585" t="s">
        <v>48</v>
      </c>
      <c r="G585" t="s">
        <v>49</v>
      </c>
      <c r="H585" t="s">
        <v>128</v>
      </c>
      <c r="I585" t="s">
        <v>129</v>
      </c>
      <c r="J585" t="s">
        <v>37</v>
      </c>
      <c r="K585" t="s">
        <v>163</v>
      </c>
      <c r="L585" t="s">
        <v>2803</v>
      </c>
      <c r="M585" t="s">
        <v>63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207</v>
      </c>
      <c r="U585" t="s">
        <v>132</v>
      </c>
      <c r="V585">
        <f>O585*(1-P585)*N585</f>
        <v>2101.4720000000002</v>
      </c>
      <c r="W585">
        <f t="shared" si="27"/>
        <v>883.64200000000028</v>
      </c>
      <c r="X585">
        <f t="shared" si="28"/>
        <v>0.4204866117527255</v>
      </c>
      <c r="Y585" t="str">
        <f>_xlfn.TEXTJOIN(", ",TRUE,IF(G585="Unknown","Missing Region",""),IF(M585="Unknown","Missing Ship Mode",""),IF(P585&lt;0,"Negative Discount",""),IF(P585&gt;0.7,"High Discount",""),IF(C585&lt;B585,"Ship Before Order",""))</f>
        <v>Ship Before Order</v>
      </c>
      <c r="Z585" s="2">
        <f>IFERROR(
  IF(ISNUMBER(B585),B585,
    IF(ISNUMBER(SEARCH("-",B585)*1),
      IF(LEN(LEFT(B585,FIND("-",B585)-1))=4,
        DATE(VALUE(LEFT(B585,4)),VALUE(MID(B585,6,2)),VALUE(RIGHT(B585,2))),
        DATE(VALUE(RIGHT(B585,4)),VALUE(MID(B585,4,2)),VALUE(LEFT(B585,2)))
      ),
      IF(ISNUMBER(SEARCH("/",B585)*1),
        DATE(VALUE(RIGHT(B585,4)),VALUE(LEFT(B585,2)),VALUE(MID(B585,4,2))),
        DATEVALUE(B585)
      )
    )
  ),
"INVALID_DATE")</f>
        <v>45350</v>
      </c>
      <c r="AA585" s="2">
        <f>IFERROR(
  IF(ISNUMBER(C585),C585,
    IF(ISNUMBER(SEARCH("-",C585)*1),
      IF(LEN(LEFT(C585,FIND("-",C585)-1))=4,
        DATE(VALUE(LEFT(C585,4)),VALUE(MID(C585,6,2)),VALUE(RIGHT(C585,2))),
        DATE(VALUE(RIGHT(C585,4)),VALUE(MID(C585,4,2)),VALUE(LEFT(C585,2)))
      ),
      IF(ISNUMBER(SEARCH("/",C585)*1),
        DATE(VALUE(RIGHT(C585,4)),VALUE(LEFT(C585,2)),VALUE(MID(C585,4,2))),
        DATEVALUE(C585)
      )
    )
  ),
"INVALID_DATE")</f>
        <v>45350</v>
      </c>
      <c r="AB585">
        <f>AA585-Z585</f>
        <v>0</v>
      </c>
      <c r="AC585" t="str">
        <f>TEXT(Z585,"mmmm")</f>
        <v>February</v>
      </c>
      <c r="AD585">
        <f>YEAR(Z585)</f>
        <v>2024</v>
      </c>
      <c r="AE585" t="str">
        <f t="shared" si="29"/>
        <v>OK</v>
      </c>
    </row>
    <row r="586" spans="1:31">
      <c r="A586" t="s">
        <v>2804</v>
      </c>
      <c r="B586" t="s">
        <v>2805</v>
      </c>
      <c r="C586" t="s">
        <v>2806</v>
      </c>
      <c r="D586" t="s">
        <v>2807</v>
      </c>
      <c r="E586" t="s">
        <v>90</v>
      </c>
      <c r="F586" t="s">
        <v>33</v>
      </c>
      <c r="G586" t="s">
        <v>49</v>
      </c>
      <c r="H586" t="s">
        <v>193</v>
      </c>
      <c r="I586" t="s">
        <v>194</v>
      </c>
      <c r="J586" t="s">
        <v>37</v>
      </c>
      <c r="K586" t="s">
        <v>61</v>
      </c>
      <c r="L586" t="s">
        <v>2808</v>
      </c>
      <c r="M586" t="s">
        <v>55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144</v>
      </c>
      <c r="U586" t="s">
        <v>132</v>
      </c>
      <c r="V586">
        <f>O586*(1-P586)*N586</f>
        <v>837.19049999999993</v>
      </c>
      <c r="W586">
        <f t="shared" si="27"/>
        <v>253.40049999999997</v>
      </c>
      <c r="X586">
        <f t="shared" si="28"/>
        <v>0.3026792006593485</v>
      </c>
      <c r="Y586" t="s">
        <v>4120</v>
      </c>
      <c r="Z586" s="2">
        <f>IFERROR(
  IF(ISNUMBER(B586),B586,
    IF(ISNUMBER(SEARCH("-",B586)*1),
      IF(LEN(LEFT(B586,FIND("-",B586)-1))=4,
        DATE(VALUE(LEFT(B586,4)),VALUE(MID(B586,6,2)),VALUE(RIGHT(B586,2))),
        DATE(VALUE(RIGHT(B586,4)),VALUE(MID(B586,4,2)),VALUE(LEFT(B586,2)))
      ),
      IF(ISNUMBER(SEARCH("/",B586)*1),
        DATE(VALUE(RIGHT(B586,4)),VALUE(LEFT(B586,2)),VALUE(MID(B586,4,2))),
        DATEVALUE(B586)
      )
    )
  ),
"INVALID_DATE")</f>
        <v>45508</v>
      </c>
      <c r="AA586" s="2">
        <f>IFERROR(
  IF(ISNUMBER(C586),C586,
    IF(ISNUMBER(SEARCH("-",C586)*1),
      IF(LEN(LEFT(C586,FIND("-",C586)-1))=4,
        DATE(VALUE(LEFT(C586,4)),VALUE(MID(C586,6,2)),VALUE(RIGHT(C586,2))),
        DATE(VALUE(RIGHT(C586,4)),VALUE(MID(C586,4,2)),VALUE(LEFT(C586,2)))
      ),
      IF(ISNUMBER(SEARCH("/",C586)*1),
        DATE(VALUE(RIGHT(C586,4)),VALUE(LEFT(C586,2)),VALUE(MID(C586,4,2))),
        DATEVALUE(C586)
      )
    )
  ),
"INVALID_DATE")</f>
        <v>45514</v>
      </c>
      <c r="AB586">
        <f>AA586-Z586</f>
        <v>6</v>
      </c>
      <c r="AC586" t="str">
        <f>TEXT(Z586,"mmmm")</f>
        <v>August</v>
      </c>
      <c r="AD586">
        <f>YEAR(Z586)</f>
        <v>2024</v>
      </c>
      <c r="AE586" t="str">
        <f t="shared" si="29"/>
        <v>OK</v>
      </c>
    </row>
    <row r="587" spans="1:31">
      <c r="A587" t="s">
        <v>2809</v>
      </c>
      <c r="B587" t="s">
        <v>1696</v>
      </c>
      <c r="C587" t="s">
        <v>2810</v>
      </c>
      <c r="D587" t="s">
        <v>2811</v>
      </c>
      <c r="E587" t="s">
        <v>217</v>
      </c>
      <c r="F587" t="s">
        <v>48</v>
      </c>
      <c r="G587" t="s">
        <v>1058</v>
      </c>
      <c r="H587" t="s">
        <v>81</v>
      </c>
      <c r="I587" t="s">
        <v>82</v>
      </c>
      <c r="J587" t="s">
        <v>93</v>
      </c>
      <c r="K587" t="s">
        <v>230</v>
      </c>
      <c r="L587" t="s">
        <v>2812</v>
      </c>
      <c r="M587" t="s">
        <v>63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41</v>
      </c>
      <c r="U587" t="s">
        <v>42</v>
      </c>
      <c r="V587">
        <f>O587*(1-P587)*N587</f>
        <v>27629.279999999999</v>
      </c>
      <c r="W587">
        <f t="shared" si="27"/>
        <v>5602.7999999999993</v>
      </c>
      <c r="X587">
        <f t="shared" si="28"/>
        <v>0.20278487170132556</v>
      </c>
      <c r="Y587" t="str">
        <f>_xlfn.TEXTJOIN(", ",TRUE,IF(G587="Unknown","Missing Region",""),IF(M587="Unknown","Missing Ship Mode",""),IF(P587&lt;0,"Negative Discount",""),IF(P587&gt;0.7,"High Discount",""),IF(C587&lt;B587,"Ship Before Order",""))</f>
        <v>Ship Before Order</v>
      </c>
      <c r="Z587" s="2">
        <f>IFERROR(
  IF(ISNUMBER(B587),B587,
    IF(ISNUMBER(SEARCH("-",B587)*1),
      IF(LEN(LEFT(B587,FIND("-",B587)-1))=4,
        DATE(VALUE(LEFT(B587,4)),VALUE(MID(B587,6,2)),VALUE(RIGHT(B587,2))),
        DATE(VALUE(RIGHT(B587,4)),VALUE(MID(B587,4,2)),VALUE(LEFT(B587,2)))
      ),
      IF(ISNUMBER(SEARCH("/",B587)*1),
        DATE(VALUE(RIGHT(B587,4)),VALUE(LEFT(B587,2)),VALUE(MID(B587,4,2))),
        DATEVALUE(B587)
      )
    )
  ),
"INVALID_DATE")</f>
        <v>45830</v>
      </c>
      <c r="AA587" s="2">
        <f>IFERROR(
  IF(ISNUMBER(C587),C587,
    IF(ISNUMBER(SEARCH("-",C587)*1),
      IF(LEN(LEFT(C587,FIND("-",C587)-1))=4,
        DATE(VALUE(LEFT(C587,4)),VALUE(MID(C587,6,2)),VALUE(RIGHT(C587,2))),
        DATE(VALUE(RIGHT(C587,4)),VALUE(MID(C587,4,2)),VALUE(LEFT(C587,2)))
      ),
      IF(ISNUMBER(SEARCH("/",C587)*1),
        DATE(VALUE(RIGHT(C587,4)),VALUE(LEFT(C587,2)),VALUE(MID(C587,4,2))),
        DATEVALUE(C587)
      )
    )
  ),
"INVALID_DATE")</f>
        <v>45833</v>
      </c>
      <c r="AB587">
        <f>AA587-Z587</f>
        <v>3</v>
      </c>
      <c r="AC587" t="str">
        <f>TEXT(Z587,"mmmm")</f>
        <v>June</v>
      </c>
      <c r="AD587">
        <f>YEAR(Z587)</f>
        <v>2025</v>
      </c>
      <c r="AE587" t="str">
        <f t="shared" si="29"/>
        <v>OK</v>
      </c>
    </row>
    <row r="588" spans="1:31">
      <c r="A588" t="s">
        <v>2813</v>
      </c>
      <c r="B588" t="s">
        <v>2814</v>
      </c>
      <c r="C588" t="s">
        <v>2815</v>
      </c>
      <c r="D588" t="s">
        <v>2816</v>
      </c>
      <c r="E588" t="s">
        <v>47</v>
      </c>
      <c r="F588" t="s">
        <v>122</v>
      </c>
      <c r="G588" t="s">
        <v>34</v>
      </c>
      <c r="H588" t="s">
        <v>161</v>
      </c>
      <c r="I588" t="s">
        <v>162</v>
      </c>
      <c r="J588" t="s">
        <v>37</v>
      </c>
      <c r="K588" t="s">
        <v>205</v>
      </c>
      <c r="L588" t="s">
        <v>2817</v>
      </c>
      <c r="M588" t="s">
        <v>40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41</v>
      </c>
      <c r="U588" t="s">
        <v>42</v>
      </c>
      <c r="V588">
        <f>O588*(1-P588)*N588</f>
        <v>7471.52</v>
      </c>
      <c r="W588">
        <f t="shared" si="27"/>
        <v>1287.2000000000007</v>
      </c>
      <c r="X588">
        <f t="shared" si="28"/>
        <v>0.17228087457438379</v>
      </c>
      <c r="Y588" t="str">
        <f>_xlfn.TEXTJOIN(", ",TRUE,IF(G588="Unknown","Missing Region",""),IF(M588="Unknown","Missing Ship Mode",""),IF(P588&lt;0,"Negative Discount",""),IF(P588&gt;0.7,"High Discount",""),IF(C588&lt;B588,"Ship Before Order",""))</f>
        <v>Ship Before Order</v>
      </c>
      <c r="Z588" s="2">
        <f>IFERROR(
  IF(ISNUMBER(B588),B588,
    IF(ISNUMBER(SEARCH("-",B588)*1),
      IF(LEN(LEFT(B588,FIND("-",B588)-1))=4,
        DATE(VALUE(LEFT(B588,4)),VALUE(MID(B588,6,2)),VALUE(RIGHT(B588,2))),
        DATE(VALUE(RIGHT(B588,4)),VALUE(MID(B588,4,2)),VALUE(LEFT(B588,2)))
      ),
      IF(ISNUMBER(SEARCH("/",B588)*1),
        DATE(VALUE(RIGHT(B588,4)),VALUE(LEFT(B588,2)),VALUE(MID(B588,4,2))),
        DATEVALUE(B588)
      )
    )
  ),
"INVALID_DATE")</f>
        <v>45759</v>
      </c>
      <c r="AA588" s="2">
        <f>IFERROR(
  IF(ISNUMBER(C588),C588,
    IF(ISNUMBER(SEARCH("-",C588)*1),
      IF(LEN(LEFT(C588,FIND("-",C588)-1))=4,
        DATE(VALUE(LEFT(C588,4)),VALUE(MID(C588,6,2)),VALUE(RIGHT(C588,2))),
        DATE(VALUE(RIGHT(C588,4)),VALUE(MID(C588,4,2)),VALUE(LEFT(C588,2)))
      ),
      IF(ISNUMBER(SEARCH("/",C588)*1),
        DATE(VALUE(RIGHT(C588,4)),VALUE(LEFT(C588,2)),VALUE(MID(C588,4,2))),
        DATEVALUE(C588)
      )
    )
  ),
"INVALID_DATE")</f>
        <v>45759</v>
      </c>
      <c r="AB588">
        <f>AA588-Z588</f>
        <v>0</v>
      </c>
      <c r="AC588" t="str">
        <f>TEXT(Z588,"mmmm")</f>
        <v>April</v>
      </c>
      <c r="AD588">
        <f>YEAR(Z588)</f>
        <v>2025</v>
      </c>
      <c r="AE588" t="str">
        <f t="shared" si="29"/>
        <v>OK</v>
      </c>
    </row>
    <row r="589" spans="1:31">
      <c r="A589" t="s">
        <v>2818</v>
      </c>
      <c r="B589" t="s">
        <v>2819</v>
      </c>
      <c r="C589" t="s">
        <v>2820</v>
      </c>
      <c r="D589" t="s">
        <v>2821</v>
      </c>
      <c r="E589" t="s">
        <v>374</v>
      </c>
      <c r="F589" t="s">
        <v>122</v>
      </c>
      <c r="G589" t="s">
        <v>80</v>
      </c>
      <c r="H589" t="s">
        <v>91</v>
      </c>
      <c r="I589" t="s">
        <v>92</v>
      </c>
      <c r="J589" t="s">
        <v>93</v>
      </c>
      <c r="K589" t="s">
        <v>94</v>
      </c>
      <c r="L589" t="s">
        <v>2822</v>
      </c>
      <c r="M589" t="s">
        <v>63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131</v>
      </c>
      <c r="U589" t="s">
        <v>85</v>
      </c>
      <c r="V589">
        <f>O589*(1-P589)*N589</f>
        <v>3615.7640000000001</v>
      </c>
      <c r="W589">
        <f t="shared" si="27"/>
        <v>664.24400000000014</v>
      </c>
      <c r="X589">
        <f t="shared" si="28"/>
        <v>0.18370688320021239</v>
      </c>
      <c r="Y589" t="str">
        <f>_xlfn.TEXTJOIN(", ",TRUE,IF(G589="Unknown","Missing Region",""),IF(M589="Unknown","Missing Ship Mode",""),IF(P589&lt;0,"Negative Discount",""),IF(P589&gt;0.7,"High Discount",""),IF(C589&lt;B589,"Ship Before Order",""))</f>
        <v>Ship Before Order</v>
      </c>
      <c r="Z589" s="2">
        <f>IFERROR(
  IF(ISNUMBER(B589),B589,
    IF(ISNUMBER(SEARCH("-",B589)*1),
      IF(LEN(LEFT(B589,FIND("-",B589)-1))=4,
        DATE(VALUE(LEFT(B589,4)),VALUE(MID(B589,6,2)),VALUE(RIGHT(B589,2))),
        DATE(VALUE(RIGHT(B589,4)),VALUE(MID(B589,4,2)),VALUE(LEFT(B589,2)))
      ),
      IF(ISNUMBER(SEARCH("/",B589)*1),
        DATE(VALUE(RIGHT(B589,4)),VALUE(LEFT(B589,2)),VALUE(MID(B589,4,2))),
        DATEVALUE(B589)
      )
    )
  ),
"INVALID_DATE")</f>
        <v>45861</v>
      </c>
      <c r="AA589" s="2">
        <f>IFERROR(
  IF(ISNUMBER(C589),C589,
    IF(ISNUMBER(SEARCH("-",C589)*1),
      IF(LEN(LEFT(C589,FIND("-",C589)-1))=4,
        DATE(VALUE(LEFT(C589,4)),VALUE(MID(C589,6,2)),VALUE(RIGHT(C589,2))),
        DATE(VALUE(RIGHT(C589,4)),VALUE(MID(C589,4,2)),VALUE(LEFT(C589,2)))
      ),
      IF(ISNUMBER(SEARCH("/",C589)*1),
        DATE(VALUE(RIGHT(C589,4)),VALUE(LEFT(C589,2)),VALUE(MID(C589,4,2))),
        DATEVALUE(C589)
      )
    )
  ),
"INVALID_DATE")</f>
        <v>45869</v>
      </c>
      <c r="AB589">
        <f>AA589-Z589</f>
        <v>8</v>
      </c>
      <c r="AC589" t="str">
        <f>TEXT(Z589,"mmmm")</f>
        <v>July</v>
      </c>
      <c r="AD589">
        <f>YEAR(Z589)</f>
        <v>2025</v>
      </c>
      <c r="AE589" t="str">
        <f t="shared" si="29"/>
        <v>OK</v>
      </c>
    </row>
    <row r="590" spans="1:31">
      <c r="A590" t="s">
        <v>2823</v>
      </c>
      <c r="B590" t="s">
        <v>2824</v>
      </c>
      <c r="C590" t="s">
        <v>2825</v>
      </c>
      <c r="D590" t="s">
        <v>2826</v>
      </c>
      <c r="E590" t="s">
        <v>169</v>
      </c>
      <c r="F590" t="s">
        <v>122</v>
      </c>
      <c r="G590" t="s">
        <v>69</v>
      </c>
      <c r="H590" t="s">
        <v>236</v>
      </c>
      <c r="I590" t="s">
        <v>237</v>
      </c>
      <c r="J590" t="s">
        <v>93</v>
      </c>
      <c r="K590" t="s">
        <v>94</v>
      </c>
      <c r="L590" t="s">
        <v>2827</v>
      </c>
      <c r="M590" t="s">
        <v>40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131</v>
      </c>
      <c r="U590" t="s">
        <v>85</v>
      </c>
      <c r="V590">
        <f>O590*(1-P590)*N590</f>
        <v>32013.791999999998</v>
      </c>
      <c r="W590">
        <f t="shared" si="27"/>
        <v>11116.911999999997</v>
      </c>
      <c r="X590">
        <f t="shared" si="28"/>
        <v>0.3472537928186572</v>
      </c>
      <c r="Y590" t="str">
        <f>_xlfn.TEXTJOIN(", ",TRUE,IF(G590="Unknown","Missing Region",""),IF(M590="Unknown","Missing Ship Mode",""),IF(P590&lt;0,"Negative Discount",""),IF(P590&gt;0.7,"High Discount",""),IF(C590&lt;B590,"Ship Before Order",""))</f>
        <v>Ship Before Order</v>
      </c>
      <c r="Z590" s="2">
        <f>IFERROR(
  IF(ISNUMBER(B590),B590,
    IF(ISNUMBER(SEARCH("-",B590)*1),
      IF(LEN(LEFT(B590,FIND("-",B590)-1))=4,
        DATE(VALUE(LEFT(B590,4)),VALUE(MID(B590,6,2)),VALUE(RIGHT(B590,2))),
        DATE(VALUE(RIGHT(B590,4)),VALUE(MID(B590,4,2)),VALUE(LEFT(B590,2)))
      ),
      IF(ISNUMBER(SEARCH("/",B590)*1),
        DATE(VALUE(RIGHT(B590,4)),VALUE(LEFT(B590,2)),VALUE(MID(B590,4,2))),
        DATEVALUE(B590)
      )
    )
  ),
"INVALID_DATE")</f>
        <v>45727</v>
      </c>
      <c r="AA590" s="2">
        <f>IFERROR(
  IF(ISNUMBER(C590),C590,
    IF(ISNUMBER(SEARCH("-",C590)*1),
      IF(LEN(LEFT(C590,FIND("-",C590)-1))=4,
        DATE(VALUE(LEFT(C590,4)),VALUE(MID(C590,6,2)),VALUE(RIGHT(C590,2))),
        DATE(VALUE(RIGHT(C590,4)),VALUE(MID(C590,4,2)),VALUE(LEFT(C590,2)))
      ),
      IF(ISNUMBER(SEARCH("/",C590)*1),
        DATE(VALUE(RIGHT(C590,4)),VALUE(LEFT(C590,2)),VALUE(MID(C590,4,2))),
        DATEVALUE(C590)
      )
    )
  ),
"INVALID_DATE")</f>
        <v>45731</v>
      </c>
      <c r="AB590">
        <f>AA590-Z590</f>
        <v>4</v>
      </c>
      <c r="AC590" t="str">
        <f>TEXT(Z590,"mmmm")</f>
        <v>March</v>
      </c>
      <c r="AD590">
        <f>YEAR(Z590)</f>
        <v>2025</v>
      </c>
      <c r="AE590" t="str">
        <f t="shared" si="29"/>
        <v>OK</v>
      </c>
    </row>
    <row r="591" spans="1:31">
      <c r="A591" t="s">
        <v>2828</v>
      </c>
      <c r="B591" t="s">
        <v>2829</v>
      </c>
      <c r="C591" t="s">
        <v>2830</v>
      </c>
      <c r="D591" t="s">
        <v>2831</v>
      </c>
      <c r="E591" t="s">
        <v>187</v>
      </c>
      <c r="F591" t="s">
        <v>115</v>
      </c>
      <c r="G591" t="s">
        <v>34</v>
      </c>
      <c r="H591" t="s">
        <v>181</v>
      </c>
      <c r="I591" t="s">
        <v>182</v>
      </c>
      <c r="J591" t="s">
        <v>93</v>
      </c>
      <c r="K591" t="s">
        <v>230</v>
      </c>
      <c r="L591" t="s">
        <v>2832</v>
      </c>
      <c r="M591" t="s">
        <v>63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41</v>
      </c>
      <c r="U591" t="s">
        <v>42</v>
      </c>
      <c r="V591">
        <f>O591*(1-P591)*N591</f>
        <v>1574.25</v>
      </c>
      <c r="W591">
        <f t="shared" si="27"/>
        <v>248.13000000000011</v>
      </c>
      <c r="X591">
        <f t="shared" si="28"/>
        <v>0.15761791329204383</v>
      </c>
      <c r="Y591" t="s">
        <v>4120</v>
      </c>
      <c r="Z591" s="2">
        <f>IFERROR(
  IF(ISNUMBER(B591),B591,
    IF(ISNUMBER(SEARCH("-",B591)*1),
      IF(LEN(LEFT(B591,FIND("-",B591)-1))=4,
        DATE(VALUE(LEFT(B591,4)),VALUE(MID(B591,6,2)),VALUE(RIGHT(B591,2))),
        DATE(VALUE(RIGHT(B591,4)),VALUE(MID(B591,4,2)),VALUE(LEFT(B591,2)))
      ),
      IF(ISNUMBER(SEARCH("/",B591)*1),
        DATE(VALUE(RIGHT(B591,4)),VALUE(LEFT(B591,2)),VALUE(MID(B591,4,2))),
        DATEVALUE(B591)
      )
    )
  ),
"INVALID_DATE")</f>
        <v>45632</v>
      </c>
      <c r="AA591" s="2">
        <f>IFERROR(
  IF(ISNUMBER(C591),C591,
    IF(ISNUMBER(SEARCH("-",C591)*1),
      IF(LEN(LEFT(C591,FIND("-",C591)-1))=4,
        DATE(VALUE(LEFT(C591,4)),VALUE(MID(C591,6,2)),VALUE(RIGHT(C591,2))),
        DATE(VALUE(RIGHT(C591,4)),VALUE(MID(C591,4,2)),VALUE(LEFT(C591,2)))
      ),
      IF(ISNUMBER(SEARCH("/",C591)*1),
        DATE(VALUE(RIGHT(C591,4)),VALUE(LEFT(C591,2)),VALUE(MID(C591,4,2))),
        DATEVALUE(C591)
      )
    )
  ),
"INVALID_DATE")</f>
        <v>45638</v>
      </c>
      <c r="AB591">
        <f>AA591-Z591</f>
        <v>6</v>
      </c>
      <c r="AC591" t="str">
        <f>TEXT(Z591,"mmmm")</f>
        <v>December</v>
      </c>
      <c r="AD591">
        <f>YEAR(Z591)</f>
        <v>2024</v>
      </c>
      <c r="AE591" t="str">
        <f t="shared" si="29"/>
        <v>OK</v>
      </c>
    </row>
    <row r="592" spans="1:31">
      <c r="A592" t="s">
        <v>2833</v>
      </c>
      <c r="B592" t="s">
        <v>281</v>
      </c>
      <c r="C592" t="s">
        <v>2834</v>
      </c>
      <c r="D592" t="s">
        <v>2835</v>
      </c>
      <c r="E592" t="s">
        <v>169</v>
      </c>
      <c r="F592" t="s">
        <v>122</v>
      </c>
      <c r="G592" t="s">
        <v>34</v>
      </c>
      <c r="H592" t="s">
        <v>514</v>
      </c>
      <c r="I592" t="s">
        <v>515</v>
      </c>
      <c r="J592" t="s">
        <v>52</v>
      </c>
      <c r="K592" t="s">
        <v>83</v>
      </c>
      <c r="L592" t="s">
        <v>2836</v>
      </c>
      <c r="M592" t="s">
        <v>55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144</v>
      </c>
      <c r="U592" t="s">
        <v>85</v>
      </c>
      <c r="V592">
        <f>O592*(1-P592)*N592</f>
        <v>20582.099999999999</v>
      </c>
      <c r="W592">
        <f t="shared" si="27"/>
        <v>4684.4499999999989</v>
      </c>
      <c r="X592">
        <f t="shared" si="28"/>
        <v>0.22759825285077812</v>
      </c>
      <c r="Y592" t="str">
        <f>_xlfn.TEXTJOIN(", ",TRUE,IF(G592="Unknown","Missing Region",""),IF(M592="Unknown","Missing Ship Mode",""),IF(P592&lt;0,"Negative Discount",""),IF(P592&gt;0.7,"High Discount",""),IF(C592&lt;B592,"Ship Before Order",""))</f>
        <v>Ship Before Order</v>
      </c>
      <c r="Z592" s="2">
        <f>IFERROR(
  IF(ISNUMBER(B592),B592,
    IF(ISNUMBER(SEARCH("-",B592)*1),
      IF(LEN(LEFT(B592,FIND("-",B592)-1))=4,
        DATE(VALUE(LEFT(B592,4)),VALUE(MID(B592,6,2)),VALUE(RIGHT(B592,2))),
        DATE(VALUE(RIGHT(B592,4)),VALUE(MID(B592,4,2)),VALUE(LEFT(B592,2)))
      ),
      IF(ISNUMBER(SEARCH("/",B592)*1),
        DATE(VALUE(RIGHT(B592,4)),VALUE(LEFT(B592,2)),VALUE(MID(B592,4,2))),
        DATEVALUE(B592)
      )
    )
  ),
"INVALID_DATE")</f>
        <v>45441</v>
      </c>
      <c r="AA592" s="2">
        <f>IFERROR(
  IF(ISNUMBER(C592),C592,
    IF(ISNUMBER(SEARCH("-",C592)*1),
      IF(LEN(LEFT(C592,FIND("-",C592)-1))=4,
        DATE(VALUE(LEFT(C592,4)),VALUE(MID(C592,6,2)),VALUE(RIGHT(C592,2))),
        DATE(VALUE(RIGHT(C592,4)),VALUE(MID(C592,4,2)),VALUE(LEFT(C592,2)))
      ),
      IF(ISNUMBER(SEARCH("/",C592)*1),
        DATE(VALUE(RIGHT(C592,4)),VALUE(LEFT(C592,2)),VALUE(MID(C592,4,2))),
        DATEVALUE(C592)
      )
    )
  ),
"INVALID_DATE")</f>
        <v>45441</v>
      </c>
      <c r="AB592">
        <f>AA592-Z592</f>
        <v>0</v>
      </c>
      <c r="AC592" t="str">
        <f>TEXT(Z592,"mmmm")</f>
        <v>May</v>
      </c>
      <c r="AD592">
        <f>YEAR(Z592)</f>
        <v>2024</v>
      </c>
      <c r="AE592" t="str">
        <f t="shared" si="29"/>
        <v>OK</v>
      </c>
    </row>
    <row r="593" spans="1:31">
      <c r="A593" t="s">
        <v>2837</v>
      </c>
      <c r="B593" t="s">
        <v>2838</v>
      </c>
      <c r="C593" t="s">
        <v>2839</v>
      </c>
      <c r="D593" t="s">
        <v>2840</v>
      </c>
      <c r="E593" t="s">
        <v>175</v>
      </c>
      <c r="F593" t="s">
        <v>33</v>
      </c>
      <c r="G593" t="s">
        <v>69</v>
      </c>
      <c r="H593" t="s">
        <v>236</v>
      </c>
      <c r="I593" t="s">
        <v>237</v>
      </c>
      <c r="J593" t="s">
        <v>93</v>
      </c>
      <c r="K593" t="s">
        <v>101</v>
      </c>
      <c r="L593" t="s">
        <v>2841</v>
      </c>
      <c r="M593" t="s">
        <v>63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207</v>
      </c>
      <c r="U593" t="s">
        <v>132</v>
      </c>
      <c r="V593">
        <f>O593*(1-P593)*N593</f>
        <v>10635.24</v>
      </c>
      <c r="W593">
        <f t="shared" si="27"/>
        <v>4603.3599999999997</v>
      </c>
      <c r="X593">
        <f t="shared" si="28"/>
        <v>0.43284025560307055</v>
      </c>
      <c r="Y593" t="s">
        <v>4120</v>
      </c>
      <c r="Z593" s="2">
        <f>IFERROR(
  IF(ISNUMBER(B593),B593,
    IF(ISNUMBER(SEARCH("-",B593)*1),
      IF(LEN(LEFT(B593,FIND("-",B593)-1))=4,
        DATE(VALUE(LEFT(B593,4)),VALUE(MID(B593,6,2)),VALUE(RIGHT(B593,2))),
        DATE(VALUE(RIGHT(B593,4)),VALUE(MID(B593,4,2)),VALUE(LEFT(B593,2)))
      ),
      IF(ISNUMBER(SEARCH("/",B593)*1),
        DATE(VALUE(RIGHT(B593,4)),VALUE(LEFT(B593,2)),VALUE(MID(B593,4,2))),
        DATEVALUE(B593)
      )
    )
  ),
"INVALID_DATE")</f>
        <v>45344</v>
      </c>
      <c r="AA593" s="2">
        <f>IFERROR(
  IF(ISNUMBER(C593),C593,
    IF(ISNUMBER(SEARCH("-",C593)*1),
      IF(LEN(LEFT(C593,FIND("-",C593)-1))=4,
        DATE(VALUE(LEFT(C593,4)),VALUE(MID(C593,6,2)),VALUE(RIGHT(C593,2))),
        DATE(VALUE(RIGHT(C593,4)),VALUE(MID(C593,4,2)),VALUE(LEFT(C593,2)))
      ),
      IF(ISNUMBER(SEARCH("/",C593)*1),
        DATE(VALUE(RIGHT(C593,4)),VALUE(LEFT(C593,2)),VALUE(MID(C593,4,2))),
        DATEVALUE(C593)
      )
    )
  ),
"INVALID_DATE")</f>
        <v>45346</v>
      </c>
      <c r="AB593">
        <f>AA593-Z593</f>
        <v>2</v>
      </c>
      <c r="AC593" t="str">
        <f>TEXT(Z593,"mmmm")</f>
        <v>February</v>
      </c>
      <c r="AD593">
        <f>YEAR(Z593)</f>
        <v>2024</v>
      </c>
      <c r="AE593" t="str">
        <f t="shared" si="29"/>
        <v>OK</v>
      </c>
    </row>
    <row r="594" spans="1:31">
      <c r="A594" t="s">
        <v>2842</v>
      </c>
      <c r="B594" t="s">
        <v>847</v>
      </c>
      <c r="C594" t="s">
        <v>905</v>
      </c>
      <c r="D594" t="s">
        <v>2843</v>
      </c>
      <c r="E594" t="s">
        <v>47</v>
      </c>
      <c r="F594" t="s">
        <v>33</v>
      </c>
      <c r="G594" t="s">
        <v>49</v>
      </c>
      <c r="H594" t="s">
        <v>128</v>
      </c>
      <c r="I594" t="s">
        <v>129</v>
      </c>
      <c r="J594" t="s">
        <v>93</v>
      </c>
      <c r="K594" t="s">
        <v>94</v>
      </c>
      <c r="L594" t="s">
        <v>2844</v>
      </c>
      <c r="M594" t="s">
        <v>55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41</v>
      </c>
      <c r="U594" t="s">
        <v>42</v>
      </c>
      <c r="V594">
        <f>O594*(1-P594)*N594</f>
        <v>29929.588</v>
      </c>
      <c r="W594">
        <f t="shared" si="27"/>
        <v>7493.5580000000009</v>
      </c>
      <c r="X594">
        <f t="shared" si="28"/>
        <v>0.25037295866732556</v>
      </c>
      <c r="Y594" t="s">
        <v>4120</v>
      </c>
      <c r="Z594" s="2">
        <f>IFERROR(
  IF(ISNUMBER(B594),B594,
    IF(ISNUMBER(SEARCH("-",B594)*1),
      IF(LEN(LEFT(B594,FIND("-",B594)-1))=4,
        DATE(VALUE(LEFT(B594,4)),VALUE(MID(B594,6,2)),VALUE(RIGHT(B594,2))),
        DATE(VALUE(RIGHT(B594,4)),VALUE(MID(B594,4,2)),VALUE(LEFT(B594,2)))
      ),
      IF(ISNUMBER(SEARCH("/",B594)*1),
        DATE(VALUE(RIGHT(B594,4)),VALUE(LEFT(B594,2)),VALUE(MID(B594,4,2))),
        DATEVALUE(B594)
      )
    )
  ),
"INVALID_DATE")</f>
        <v>45355</v>
      </c>
      <c r="AA594" s="2">
        <f>IFERROR(
  IF(ISNUMBER(C594),C594,
    IF(ISNUMBER(SEARCH("-",C594)*1),
      IF(LEN(LEFT(C594,FIND("-",C594)-1))=4,
        DATE(VALUE(LEFT(C594,4)),VALUE(MID(C594,6,2)),VALUE(RIGHT(C594,2))),
        DATE(VALUE(RIGHT(C594,4)),VALUE(MID(C594,4,2)),VALUE(LEFT(C594,2)))
      ),
      IF(ISNUMBER(SEARCH("/",C594)*1),
        DATE(VALUE(RIGHT(C594,4)),VALUE(LEFT(C594,2)),VALUE(MID(C594,4,2))),
        DATEVALUE(C594)
      )
    )
  ),
"INVALID_DATE")</f>
        <v>45360</v>
      </c>
      <c r="AB594">
        <f>AA594-Z594</f>
        <v>5</v>
      </c>
      <c r="AC594" t="str">
        <f>TEXT(Z594,"mmmm")</f>
        <v>March</v>
      </c>
      <c r="AD594">
        <f>YEAR(Z594)</f>
        <v>2024</v>
      </c>
      <c r="AE594" t="str">
        <f t="shared" si="29"/>
        <v>OK</v>
      </c>
    </row>
    <row r="595" spans="1:31">
      <c r="A595" t="s">
        <v>2845</v>
      </c>
      <c r="B595" t="s">
        <v>1366</v>
      </c>
      <c r="C595" t="s">
        <v>2846</v>
      </c>
      <c r="D595" t="s">
        <v>2537</v>
      </c>
      <c r="E595" t="s">
        <v>68</v>
      </c>
      <c r="F595" t="s">
        <v>122</v>
      </c>
      <c r="G595" t="s">
        <v>34</v>
      </c>
      <c r="H595" t="s">
        <v>181</v>
      </c>
      <c r="I595" t="s">
        <v>182</v>
      </c>
      <c r="J595" t="s">
        <v>52</v>
      </c>
      <c r="K595" t="s">
        <v>53</v>
      </c>
      <c r="L595" t="s">
        <v>2847</v>
      </c>
      <c r="M595" t="s">
        <v>40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41</v>
      </c>
      <c r="U595" t="s">
        <v>42</v>
      </c>
      <c r="V595">
        <f>O595*(1-P595)*N595</f>
        <v>27675.742499999997</v>
      </c>
      <c r="W595">
        <f t="shared" si="27"/>
        <v>12104.662499999997</v>
      </c>
      <c r="X595">
        <f t="shared" si="28"/>
        <v>0.43737439360248359</v>
      </c>
      <c r="Y595" t="s">
        <v>4120</v>
      </c>
      <c r="Z595" s="2">
        <f>IFERROR(
  IF(ISNUMBER(B595),B595,
    IF(ISNUMBER(SEARCH("-",B595)*1),
      IF(LEN(LEFT(B595,FIND("-",B595)-1))=4,
        DATE(VALUE(LEFT(B595,4)),VALUE(MID(B595,6,2)),VALUE(RIGHT(B595,2))),
        DATE(VALUE(RIGHT(B595,4)),VALUE(MID(B595,4,2)),VALUE(LEFT(B595,2)))
      ),
      IF(ISNUMBER(SEARCH("/",B595)*1),
        DATE(VALUE(RIGHT(B595,4)),VALUE(LEFT(B595,2)),VALUE(MID(B595,4,2))),
        DATEVALUE(B595)
      )
    )
  ),
"INVALID_DATE")</f>
        <v>45927</v>
      </c>
      <c r="AA595" s="2">
        <f>IFERROR(
  IF(ISNUMBER(C595),C595,
    IF(ISNUMBER(SEARCH("-",C595)*1),
      IF(LEN(LEFT(C595,FIND("-",C595)-1))=4,
        DATE(VALUE(LEFT(C595,4)),VALUE(MID(C595,6,2)),VALUE(RIGHT(C595,2))),
        DATE(VALUE(RIGHT(C595,4)),VALUE(MID(C595,4,2)),VALUE(LEFT(C595,2)))
      ),
      IF(ISNUMBER(SEARCH("/",C595)*1),
        DATE(VALUE(RIGHT(C595,4)),VALUE(LEFT(C595,2)),VALUE(MID(C595,4,2))),
        DATEVALUE(C595)
      )
    )
  ),
"INVALID_DATE")</f>
        <v>45929</v>
      </c>
      <c r="AB595">
        <f>AA595-Z595</f>
        <v>2</v>
      </c>
      <c r="AC595" t="str">
        <f>TEXT(Z595,"mmmm")</f>
        <v>September</v>
      </c>
      <c r="AD595">
        <f>YEAR(Z595)</f>
        <v>2025</v>
      </c>
      <c r="AE595" t="str">
        <f t="shared" si="29"/>
        <v>OK</v>
      </c>
    </row>
    <row r="596" spans="1:31">
      <c r="A596" t="s">
        <v>2848</v>
      </c>
      <c r="B596" t="s">
        <v>2849</v>
      </c>
      <c r="C596" t="s">
        <v>1143</v>
      </c>
      <c r="D596" t="s">
        <v>2850</v>
      </c>
      <c r="E596" t="s">
        <v>32</v>
      </c>
      <c r="F596" t="s">
        <v>48</v>
      </c>
      <c r="G596" t="s">
        <v>49</v>
      </c>
      <c r="H596" t="s">
        <v>128</v>
      </c>
      <c r="I596" t="s">
        <v>129</v>
      </c>
      <c r="J596" t="s">
        <v>52</v>
      </c>
      <c r="K596" t="s">
        <v>83</v>
      </c>
      <c r="L596" t="s">
        <v>2851</v>
      </c>
      <c r="M596" t="s">
        <v>63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41</v>
      </c>
      <c r="U596" t="s">
        <v>42</v>
      </c>
      <c r="V596">
        <f>O596*(1-P596)*N596</f>
        <v>11945.28</v>
      </c>
      <c r="W596">
        <f t="shared" si="27"/>
        <v>2244.9700000000012</v>
      </c>
      <c r="X596">
        <f t="shared" si="28"/>
        <v>0.18793782983739182</v>
      </c>
      <c r="Y596" t="s">
        <v>4120</v>
      </c>
      <c r="Z596" s="2">
        <f>IFERROR(
  IF(ISNUMBER(B596),B596,
    IF(ISNUMBER(SEARCH("-",B596)*1),
      IF(LEN(LEFT(B596,FIND("-",B596)-1))=4,
        DATE(VALUE(LEFT(B596,4)),VALUE(MID(B596,6,2)),VALUE(RIGHT(B596,2))),
        DATE(VALUE(RIGHT(B596,4)),VALUE(MID(B596,4,2)),VALUE(LEFT(B596,2)))
      ),
      IF(ISNUMBER(SEARCH("/",B596)*1),
        DATE(VALUE(RIGHT(B596,4)),VALUE(LEFT(B596,2)),VALUE(MID(B596,4,2))),
        DATEVALUE(B596)
      )
    )
  ),
"INVALID_DATE")</f>
        <v>45554</v>
      </c>
      <c r="AA596" s="2">
        <f>IFERROR(
  IF(ISNUMBER(C596),C596,
    IF(ISNUMBER(SEARCH("-",C596)*1),
      IF(LEN(LEFT(C596,FIND("-",C596)-1))=4,
        DATE(VALUE(LEFT(C596,4)),VALUE(MID(C596,6,2)),VALUE(RIGHT(C596,2))),
        DATE(VALUE(RIGHT(C596,4)),VALUE(MID(C596,4,2)),VALUE(LEFT(C596,2)))
      ),
      IF(ISNUMBER(SEARCH("/",C596)*1),
        DATE(VALUE(RIGHT(C596,4)),VALUE(LEFT(C596,2)),VALUE(MID(C596,4,2))),
        DATEVALUE(C596)
      )
    )
  ),
"INVALID_DATE")</f>
        <v>45556</v>
      </c>
      <c r="AB596">
        <f>AA596-Z596</f>
        <v>2</v>
      </c>
      <c r="AC596" t="str">
        <f>TEXT(Z596,"mmmm")</f>
        <v>September</v>
      </c>
      <c r="AD596">
        <f>YEAR(Z596)</f>
        <v>2024</v>
      </c>
      <c r="AE596" t="str">
        <f t="shared" si="29"/>
        <v>OK</v>
      </c>
    </row>
    <row r="597" spans="1:31">
      <c r="A597" t="s">
        <v>2852</v>
      </c>
      <c r="B597" t="s">
        <v>2853</v>
      </c>
      <c r="C597" t="s">
        <v>2854</v>
      </c>
      <c r="D597" t="s">
        <v>2855</v>
      </c>
      <c r="E597" t="s">
        <v>47</v>
      </c>
      <c r="F597" t="s">
        <v>115</v>
      </c>
      <c r="G597" t="s">
        <v>34</v>
      </c>
      <c r="H597" t="s">
        <v>181</v>
      </c>
      <c r="I597" t="s">
        <v>182</v>
      </c>
      <c r="J597" t="s">
        <v>93</v>
      </c>
      <c r="K597" t="s">
        <v>230</v>
      </c>
      <c r="L597" t="s">
        <v>2856</v>
      </c>
      <c r="M597" t="s">
        <v>63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41</v>
      </c>
      <c r="U597" t="s">
        <v>42</v>
      </c>
      <c r="V597">
        <f>O597*(1-P597)*N597</f>
        <v>13144.031999999999</v>
      </c>
      <c r="W597">
        <f t="shared" si="27"/>
        <v>3380.0319999999992</v>
      </c>
      <c r="X597">
        <f t="shared" si="28"/>
        <v>0.25715324751997676</v>
      </c>
      <c r="Y597" t="s">
        <v>4120</v>
      </c>
      <c r="Z597" s="2">
        <f>IFERROR(
  IF(ISNUMBER(B597),B597,
    IF(ISNUMBER(SEARCH("-",B597)*1),
      IF(LEN(LEFT(B597,FIND("-",B597)-1))=4,
        DATE(VALUE(LEFT(B597,4)),VALUE(MID(B597,6,2)),VALUE(RIGHT(B597,2))),
        DATE(VALUE(RIGHT(B597,4)),VALUE(MID(B597,4,2)),VALUE(LEFT(B597,2)))
      ),
      IF(ISNUMBER(SEARCH("/",B597)*1),
        DATE(VALUE(RIGHT(B597,4)),VALUE(LEFT(B597,2)),VALUE(MID(B597,4,2))),
        DATEVALUE(B597)
      )
    )
  ),
"INVALID_DATE")</f>
        <v>45699</v>
      </c>
      <c r="AA597" s="2">
        <f>IFERROR(
  IF(ISNUMBER(C597),C597,
    IF(ISNUMBER(SEARCH("-",C597)*1),
      IF(LEN(LEFT(C597,FIND("-",C597)-1))=4,
        DATE(VALUE(LEFT(C597,4)),VALUE(MID(C597,6,2)),VALUE(RIGHT(C597,2))),
        DATE(VALUE(RIGHT(C597,4)),VALUE(MID(C597,4,2)),VALUE(LEFT(C597,2)))
      ),
      IF(ISNUMBER(SEARCH("/",C597)*1),
        DATE(VALUE(RIGHT(C597,4)),VALUE(LEFT(C597,2)),VALUE(MID(C597,4,2))),
        DATEVALUE(C597)
      )
    )
  ),
"INVALID_DATE")</f>
        <v>45704</v>
      </c>
      <c r="AB597">
        <f>AA597-Z597</f>
        <v>5</v>
      </c>
      <c r="AC597" t="str">
        <f>TEXT(Z597,"mmmm")</f>
        <v>February</v>
      </c>
      <c r="AD597">
        <f>YEAR(Z597)</f>
        <v>2025</v>
      </c>
      <c r="AE597" t="str">
        <f t="shared" si="29"/>
        <v>OK</v>
      </c>
    </row>
    <row r="598" spans="1:31">
      <c r="A598" t="s">
        <v>2857</v>
      </c>
      <c r="B598" t="s">
        <v>1448</v>
      </c>
      <c r="C598" t="s">
        <v>419</v>
      </c>
      <c r="D598" t="s">
        <v>2858</v>
      </c>
      <c r="E598" t="s">
        <v>114</v>
      </c>
      <c r="F598" t="s">
        <v>33</v>
      </c>
      <c r="G598" t="s">
        <v>69</v>
      </c>
      <c r="H598" t="s">
        <v>249</v>
      </c>
      <c r="I598" t="s">
        <v>250</v>
      </c>
      <c r="J598" t="s">
        <v>52</v>
      </c>
      <c r="K598" t="s">
        <v>83</v>
      </c>
      <c r="L598" t="s">
        <v>2859</v>
      </c>
      <c r="M598" t="s">
        <v>40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41</v>
      </c>
      <c r="U598" t="s">
        <v>42</v>
      </c>
      <c r="V598">
        <f>O598*(1-P598)*N598</f>
        <v>18382.005000000001</v>
      </c>
      <c r="W598">
        <f t="shared" si="27"/>
        <v>5273.8050000000003</v>
      </c>
      <c r="X598">
        <f t="shared" si="28"/>
        <v>0.28690061641789993</v>
      </c>
      <c r="Y598" t="str">
        <f>_xlfn.TEXTJOIN(", ",TRUE,IF(G598="Unknown","Missing Region",""),IF(M598="Unknown","Missing Ship Mode",""),IF(P598&lt;0,"Negative Discount",""),IF(P598&gt;0.7,"High Discount",""),IF(C598&lt;B598,"Ship Before Order",""))</f>
        <v>Ship Before Order</v>
      </c>
      <c r="Z598" s="2">
        <f>IFERROR(
  IF(ISNUMBER(B598),B598,
    IF(ISNUMBER(SEARCH("-",B598)*1),
      IF(LEN(LEFT(B598,FIND("-",B598)-1))=4,
        DATE(VALUE(LEFT(B598,4)),VALUE(MID(B598,6,2)),VALUE(RIGHT(B598,2))),
        DATE(VALUE(RIGHT(B598,4)),VALUE(MID(B598,4,2)),VALUE(LEFT(B598,2)))
      ),
      IF(ISNUMBER(SEARCH("/",B598)*1),
        DATE(VALUE(RIGHT(B598,4)),VALUE(LEFT(B598,2)),VALUE(MID(B598,4,2))),
        DATEVALUE(B598)
      )
    )
  ),
"INVALID_DATE")</f>
        <v>45392</v>
      </c>
      <c r="AA598" s="2">
        <f>IFERROR(
  IF(ISNUMBER(C598),C598,
    IF(ISNUMBER(SEARCH("-",C598)*1),
      IF(LEN(LEFT(C598,FIND("-",C598)-1))=4,
        DATE(VALUE(LEFT(C598,4)),VALUE(MID(C598,6,2)),VALUE(RIGHT(C598,2))),
        DATE(VALUE(RIGHT(C598,4)),VALUE(MID(C598,4,2)),VALUE(LEFT(C598,2)))
      ),
      IF(ISNUMBER(SEARCH("/",C598)*1),
        DATE(VALUE(RIGHT(C598,4)),VALUE(LEFT(C598,2)),VALUE(MID(C598,4,2))),
        DATEVALUE(C598)
      )
    )
  ),
"INVALID_DATE")</f>
        <v>45398</v>
      </c>
      <c r="AB598">
        <f>AA598-Z598</f>
        <v>6</v>
      </c>
      <c r="AC598" t="str">
        <f>TEXT(Z598,"mmmm")</f>
        <v>April</v>
      </c>
      <c r="AD598">
        <f>YEAR(Z598)</f>
        <v>2024</v>
      </c>
      <c r="AE598" t="str">
        <f t="shared" si="29"/>
        <v>OK</v>
      </c>
    </row>
    <row r="599" spans="1:31">
      <c r="A599" t="s">
        <v>2860</v>
      </c>
      <c r="B599" t="s">
        <v>2861</v>
      </c>
      <c r="C599" t="s">
        <v>496</v>
      </c>
      <c r="D599" t="s">
        <v>2862</v>
      </c>
      <c r="E599" t="s">
        <v>114</v>
      </c>
      <c r="F599" t="s">
        <v>33</v>
      </c>
      <c r="G599" t="s">
        <v>69</v>
      </c>
      <c r="H599" t="s">
        <v>70</v>
      </c>
      <c r="I599" t="s">
        <v>71</v>
      </c>
      <c r="J599" t="s">
        <v>93</v>
      </c>
      <c r="K599" t="s">
        <v>101</v>
      </c>
      <c r="L599" t="s">
        <v>2863</v>
      </c>
      <c r="M599" t="s">
        <v>55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41</v>
      </c>
      <c r="U599" t="s">
        <v>42</v>
      </c>
      <c r="V599">
        <f>O599*(1-P599)*N599</f>
        <v>1855.44</v>
      </c>
      <c r="W599">
        <f t="shared" si="27"/>
        <v>592.70000000000005</v>
      </c>
      <c r="X599">
        <f t="shared" si="28"/>
        <v>0.3194390548872505</v>
      </c>
      <c r="Y599" t="str">
        <f>_xlfn.TEXTJOIN(", ",TRUE,IF(G599="Unknown","Missing Region",""),IF(M599="Unknown","Missing Ship Mode",""),IF(P599&lt;0,"Negative Discount",""),IF(P599&gt;0.7,"High Discount",""),IF(C599&lt;B599,"Ship Before Order",""))</f>
        <v>Ship Before Order</v>
      </c>
      <c r="Z599" s="2">
        <f>IFERROR(
  IF(ISNUMBER(B599),B599,
    IF(ISNUMBER(SEARCH("-",B599)*1),
      IF(LEN(LEFT(B599,FIND("-",B599)-1))=4,
        DATE(VALUE(LEFT(B599,4)),VALUE(MID(B599,6,2)),VALUE(RIGHT(B599,2))),
        DATE(VALUE(RIGHT(B599,4)),VALUE(MID(B599,4,2)),VALUE(LEFT(B599,2)))
      ),
      IF(ISNUMBER(SEARCH("/",B599)*1),
        DATE(VALUE(RIGHT(B599,4)),VALUE(LEFT(B599,2)),VALUE(MID(B599,4,2))),
        DATEVALUE(B599)
      )
    )
  ),
"INVALID_DATE")</f>
        <v>45846</v>
      </c>
      <c r="AA599" s="2">
        <f>IFERROR(
  IF(ISNUMBER(C599),C599,
    IF(ISNUMBER(SEARCH("-",C599)*1),
      IF(LEN(LEFT(C599,FIND("-",C599)-1))=4,
        DATE(VALUE(LEFT(C599,4)),VALUE(MID(C599,6,2)),VALUE(RIGHT(C599,2))),
        DATE(VALUE(RIGHT(C599,4)),VALUE(MID(C599,4,2)),VALUE(LEFT(C599,2)))
      ),
      IF(ISNUMBER(SEARCH("/",C599)*1),
        DATE(VALUE(RIGHT(C599,4)),VALUE(LEFT(C599,2)),VALUE(MID(C599,4,2))),
        DATEVALUE(C599)
      )
    )
  ),
"INVALID_DATE")</f>
        <v>45846</v>
      </c>
      <c r="AB599">
        <f>AA599-Z599</f>
        <v>0</v>
      </c>
      <c r="AC599" t="str">
        <f>TEXT(Z599,"mmmm")</f>
        <v>July</v>
      </c>
      <c r="AD599">
        <f>YEAR(Z599)</f>
        <v>2025</v>
      </c>
      <c r="AE599" t="str">
        <f t="shared" si="29"/>
        <v>OK</v>
      </c>
    </row>
    <row r="600" spans="1:31">
      <c r="A600" t="s">
        <v>2864</v>
      </c>
      <c r="B600" t="s">
        <v>2447</v>
      </c>
      <c r="C600" t="s">
        <v>2865</v>
      </c>
      <c r="D600" t="s">
        <v>2866</v>
      </c>
      <c r="E600" t="s">
        <v>79</v>
      </c>
      <c r="F600" t="s">
        <v>115</v>
      </c>
      <c r="G600" t="s">
        <v>49</v>
      </c>
      <c r="H600" t="s">
        <v>128</v>
      </c>
      <c r="I600" t="s">
        <v>129</v>
      </c>
      <c r="J600" t="s">
        <v>93</v>
      </c>
      <c r="K600" t="s">
        <v>101</v>
      </c>
      <c r="L600" t="s">
        <v>2867</v>
      </c>
      <c r="M600" t="s">
        <v>55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41</v>
      </c>
      <c r="U600" t="s">
        <v>42</v>
      </c>
      <c r="V600">
        <f>O600*(1-P600)*N600</f>
        <v>3354.0524999999998</v>
      </c>
      <c r="W600">
        <f t="shared" si="27"/>
        <v>681.38249999999971</v>
      </c>
      <c r="X600">
        <f t="shared" si="28"/>
        <v>0.20315141396222475</v>
      </c>
      <c r="Y600" t="s">
        <v>4120</v>
      </c>
      <c r="Z600" s="2">
        <f>IFERROR(
  IF(ISNUMBER(B600),B600,
    IF(ISNUMBER(SEARCH("-",B600)*1),
      IF(LEN(LEFT(B600,FIND("-",B600)-1))=4,
        DATE(VALUE(LEFT(B600,4)),VALUE(MID(B600,6,2)),VALUE(RIGHT(B600,2))),
        DATE(VALUE(RIGHT(B600,4)),VALUE(MID(B600,4,2)),VALUE(LEFT(B600,2)))
      ),
      IF(ISNUMBER(SEARCH("/",B600)*1),
        DATE(VALUE(RIGHT(B600,4)),VALUE(LEFT(B600,2)),VALUE(MID(B600,4,2))),
        DATEVALUE(B600)
      )
    )
  ),
"INVALID_DATE")</f>
        <v>45521</v>
      </c>
      <c r="AA600" s="2">
        <f>IFERROR(
  IF(ISNUMBER(C600),C600,
    IF(ISNUMBER(SEARCH("-",C600)*1),
      IF(LEN(LEFT(C600,FIND("-",C600)-1))=4,
        DATE(VALUE(LEFT(C600,4)),VALUE(MID(C600,6,2)),VALUE(RIGHT(C600,2))),
        DATE(VALUE(RIGHT(C600,4)),VALUE(MID(C600,4,2)),VALUE(LEFT(C600,2)))
      ),
      IF(ISNUMBER(SEARCH("/",C600)*1),
        DATE(VALUE(RIGHT(C600,4)),VALUE(LEFT(C600,2)),VALUE(MID(C600,4,2))),
        DATEVALUE(C600)
      )
    )
  ),
"INVALID_DATE")</f>
        <v>45528</v>
      </c>
      <c r="AB600">
        <f>AA600-Z600</f>
        <v>7</v>
      </c>
      <c r="AC600" t="str">
        <f>TEXT(Z600,"mmmm")</f>
        <v>August</v>
      </c>
      <c r="AD600">
        <f>YEAR(Z600)</f>
        <v>2024</v>
      </c>
      <c r="AE600" t="str">
        <f t="shared" si="29"/>
        <v>OK</v>
      </c>
    </row>
    <row r="601" spans="1:31">
      <c r="A601" t="s">
        <v>2868</v>
      </c>
      <c r="B601" t="s">
        <v>2869</v>
      </c>
      <c r="C601" t="s">
        <v>1634</v>
      </c>
      <c r="D601" t="s">
        <v>2870</v>
      </c>
      <c r="E601" t="s">
        <v>68</v>
      </c>
      <c r="F601" t="s">
        <v>33</v>
      </c>
      <c r="G601" t="s">
        <v>34</v>
      </c>
      <c r="H601" t="s">
        <v>161</v>
      </c>
      <c r="I601" t="s">
        <v>162</v>
      </c>
      <c r="J601" t="s">
        <v>93</v>
      </c>
      <c r="K601" t="s">
        <v>230</v>
      </c>
      <c r="L601" t="s">
        <v>2871</v>
      </c>
      <c r="M601" t="s">
        <v>63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41</v>
      </c>
      <c r="U601" t="s">
        <v>42</v>
      </c>
      <c r="V601">
        <f>O601*(1-P601)*N601</f>
        <v>2482.9650000000001</v>
      </c>
      <c r="W601">
        <f t="shared" si="27"/>
        <v>861.24500000000012</v>
      </c>
      <c r="X601">
        <f t="shared" si="28"/>
        <v>0.34686282959520254</v>
      </c>
      <c r="Y601" t="s">
        <v>4120</v>
      </c>
      <c r="Z601" s="2">
        <f>IFERROR(
  IF(ISNUMBER(B601),B601,
    IF(ISNUMBER(SEARCH("-",B601)*1),
      IF(LEN(LEFT(B601,FIND("-",B601)-1))=4,
        DATE(VALUE(LEFT(B601,4)),VALUE(MID(B601,6,2)),VALUE(RIGHT(B601,2))),
        DATE(VALUE(RIGHT(B601,4)),VALUE(MID(B601,4,2)),VALUE(LEFT(B601,2)))
      ),
      IF(ISNUMBER(SEARCH("/",B601)*1),
        DATE(VALUE(RIGHT(B601,4)),VALUE(LEFT(B601,2)),VALUE(MID(B601,4,2))),
        DATEVALUE(B601)
      )
    )
  ),
"INVALID_DATE")</f>
        <v>45523</v>
      </c>
      <c r="AA601" s="2">
        <f>IFERROR(
  IF(ISNUMBER(C601),C601,
    IF(ISNUMBER(SEARCH("-",C601)*1),
      IF(LEN(LEFT(C601,FIND("-",C601)-1))=4,
        DATE(VALUE(LEFT(C601,4)),VALUE(MID(C601,6,2)),VALUE(RIGHT(C601,2))),
        DATE(VALUE(RIGHT(C601,4)),VALUE(MID(C601,4,2)),VALUE(LEFT(C601,2)))
      ),
      IF(ISNUMBER(SEARCH("/",C601)*1),
        DATE(VALUE(RIGHT(C601,4)),VALUE(LEFT(C601,2)),VALUE(MID(C601,4,2))),
        DATEVALUE(C601)
      )
    )
  ),
"INVALID_DATE")</f>
        <v>45525</v>
      </c>
      <c r="AB601">
        <f>AA601-Z601</f>
        <v>2</v>
      </c>
      <c r="AC601" t="str">
        <f>TEXT(Z601,"mmmm")</f>
        <v>August</v>
      </c>
      <c r="AD601">
        <f>YEAR(Z601)</f>
        <v>2024</v>
      </c>
      <c r="AE601" t="str">
        <f t="shared" si="29"/>
        <v>OK</v>
      </c>
    </row>
    <row r="602" spans="1:31">
      <c r="A602" t="s">
        <v>2872</v>
      </c>
      <c r="B602" t="s">
        <v>2873</v>
      </c>
      <c r="C602" t="s">
        <v>2874</v>
      </c>
      <c r="D602" t="s">
        <v>2875</v>
      </c>
      <c r="E602" t="s">
        <v>79</v>
      </c>
      <c r="F602" t="s">
        <v>115</v>
      </c>
      <c r="G602" t="s">
        <v>80</v>
      </c>
      <c r="H602" t="s">
        <v>91</v>
      </c>
      <c r="I602" t="s">
        <v>92</v>
      </c>
      <c r="J602" t="s">
        <v>37</v>
      </c>
      <c r="K602" t="s">
        <v>163</v>
      </c>
      <c r="L602" t="s">
        <v>2876</v>
      </c>
      <c r="M602" t="s">
        <v>55</v>
      </c>
      <c r="N602">
        <v>3</v>
      </c>
      <c r="O602">
        <v>3682.75</v>
      </c>
      <c r="P602">
        <v>0</v>
      </c>
      <c r="Q602">
        <v>11048.25</v>
      </c>
      <c r="R602">
        <v>9062.7199999999993</v>
      </c>
      <c r="S602">
        <v>1985.53</v>
      </c>
      <c r="T602" t="s">
        <v>41</v>
      </c>
      <c r="U602" t="s">
        <v>42</v>
      </c>
      <c r="V602">
        <f>O602*(1-P602)*N602</f>
        <v>11048.25</v>
      </c>
      <c r="W602">
        <f t="shared" si="27"/>
        <v>1985.5300000000007</v>
      </c>
      <c r="X602">
        <f t="shared" si="28"/>
        <v>0.17971443441268978</v>
      </c>
      <c r="Y602" t="s">
        <v>4120</v>
      </c>
      <c r="Z602" s="2">
        <f>IFERROR(
  IF(ISNUMBER(B602),B602,
    IF(ISNUMBER(SEARCH("-",B602)*1),
      IF(LEN(LEFT(B602,FIND("-",B602)-1))=4,
        DATE(VALUE(LEFT(B602,4)),VALUE(MID(B602,6,2)),VALUE(RIGHT(B602,2))),
        DATE(VALUE(RIGHT(B602,4)),VALUE(MID(B602,4,2)),VALUE(LEFT(B602,2)))
      ),
      IF(ISNUMBER(SEARCH("/",B602)*1),
        DATE(VALUE(RIGHT(B602,4)),VALUE(LEFT(B602,2)),VALUE(MID(B602,4,2))),
        DATEVALUE(B602)
      )
    )
  ),
"INVALID_DATE")</f>
        <v>45721</v>
      </c>
      <c r="AA602" s="2">
        <f>IFERROR(
  IF(ISNUMBER(C602),C602,
    IF(ISNUMBER(SEARCH("-",C602)*1),
      IF(LEN(LEFT(C602,FIND("-",C602)-1))=4,
        DATE(VALUE(LEFT(C602,4)),VALUE(MID(C602,6,2)),VALUE(RIGHT(C602,2))),
        DATE(VALUE(RIGHT(C602,4)),VALUE(MID(C602,4,2)),VALUE(LEFT(C602,2)))
      ),
      IF(ISNUMBER(SEARCH("/",C602)*1),
        DATE(VALUE(RIGHT(C602,4)),VALUE(LEFT(C602,2)),VALUE(MID(C602,4,2))),
        DATEVALUE(C602)
      )
    )
  ),
"INVALID_DATE")</f>
        <v>45728</v>
      </c>
      <c r="AB602">
        <f>AA602-Z602</f>
        <v>7</v>
      </c>
      <c r="AC602" t="str">
        <f>TEXT(Z602,"mmmm")</f>
        <v>March</v>
      </c>
      <c r="AD602">
        <f>YEAR(Z602)</f>
        <v>2025</v>
      </c>
      <c r="AE602" t="str">
        <f t="shared" si="29"/>
        <v>OK</v>
      </c>
    </row>
    <row r="603" spans="1:31">
      <c r="A603" t="s">
        <v>2877</v>
      </c>
      <c r="B603" t="s">
        <v>2878</v>
      </c>
      <c r="C603" t="s">
        <v>2879</v>
      </c>
      <c r="D603" t="s">
        <v>2880</v>
      </c>
      <c r="E603" t="s">
        <v>79</v>
      </c>
      <c r="F603" t="s">
        <v>122</v>
      </c>
      <c r="G603" t="s">
        <v>49</v>
      </c>
      <c r="H603" t="s">
        <v>128</v>
      </c>
      <c r="I603" t="s">
        <v>129</v>
      </c>
      <c r="J603" t="s">
        <v>37</v>
      </c>
      <c r="K603" t="s">
        <v>38</v>
      </c>
      <c r="L603" t="s">
        <v>2881</v>
      </c>
      <c r="M603" t="s">
        <v>40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41</v>
      </c>
      <c r="U603" t="s">
        <v>42</v>
      </c>
      <c r="V603">
        <f>O603*(1-P603)*N603</f>
        <v>6460.1200000000008</v>
      </c>
      <c r="W603">
        <f t="shared" si="27"/>
        <v>2856.0900000000006</v>
      </c>
      <c r="X603">
        <f t="shared" si="28"/>
        <v>0.4421109824585302</v>
      </c>
      <c r="Y603" t="str">
        <f>_xlfn.TEXTJOIN(", ",TRUE,IF(G603="Unknown","Missing Region",""),IF(M603="Unknown","Missing Ship Mode",""),IF(P603&lt;0,"Negative Discount",""),IF(P603&gt;0.7,"High Discount",""),IF(C603&lt;B603,"Ship Before Order",""))</f>
        <v>Ship Before Order</v>
      </c>
      <c r="Z603" s="2">
        <f>IFERROR(
  IF(ISNUMBER(B603),B603,
    IF(ISNUMBER(SEARCH("-",B603)*1),
      IF(LEN(LEFT(B603,FIND("-",B603)-1))=4,
        DATE(VALUE(LEFT(B603,4)),VALUE(MID(B603,6,2)),VALUE(RIGHT(B603,2))),
        DATE(VALUE(RIGHT(B603,4)),VALUE(MID(B603,4,2)),VALUE(LEFT(B603,2)))
      ),
      IF(ISNUMBER(SEARCH("/",B603)*1),
        DATE(VALUE(RIGHT(B603,4)),VALUE(LEFT(B603,2)),VALUE(MID(B603,4,2))),
        DATEVALUE(B603)
      )
    )
  ),
"INVALID_DATE")</f>
        <v>45317</v>
      </c>
      <c r="AA603" s="2">
        <f>IFERROR(
  IF(ISNUMBER(C603),C603,
    IF(ISNUMBER(SEARCH("-",C603)*1),
      IF(LEN(LEFT(C603,FIND("-",C603)-1))=4,
        DATE(VALUE(LEFT(C603,4)),VALUE(MID(C603,6,2)),VALUE(RIGHT(C603,2))),
        DATE(VALUE(RIGHT(C603,4)),VALUE(MID(C603,4,2)),VALUE(LEFT(C603,2)))
      ),
      IF(ISNUMBER(SEARCH("/",C603)*1),
        DATE(VALUE(RIGHT(C603,4)),VALUE(LEFT(C603,2)),VALUE(MID(C603,4,2))),
        DATEVALUE(C603)
      )
    )
  ),
"INVALID_DATE")</f>
        <v>45322</v>
      </c>
      <c r="AB603">
        <f>AA603-Z603</f>
        <v>5</v>
      </c>
      <c r="AC603" t="str">
        <f>TEXT(Z603,"mmmm")</f>
        <v>January</v>
      </c>
      <c r="AD603">
        <f>YEAR(Z603)</f>
        <v>2024</v>
      </c>
      <c r="AE603" t="str">
        <f t="shared" si="29"/>
        <v>OK</v>
      </c>
    </row>
    <row r="604" spans="1:31">
      <c r="A604" t="s">
        <v>2882</v>
      </c>
      <c r="B604" t="s">
        <v>2883</v>
      </c>
      <c r="C604" t="s">
        <v>2884</v>
      </c>
      <c r="D604" t="s">
        <v>2885</v>
      </c>
      <c r="E604" t="s">
        <v>169</v>
      </c>
      <c r="F604" t="s">
        <v>33</v>
      </c>
      <c r="G604" t="s">
        <v>49</v>
      </c>
      <c r="H604" t="s">
        <v>319</v>
      </c>
      <c r="I604" t="s">
        <v>320</v>
      </c>
      <c r="J604" t="s">
        <v>93</v>
      </c>
      <c r="K604" t="s">
        <v>101</v>
      </c>
      <c r="L604" t="s">
        <v>2886</v>
      </c>
      <c r="M604" t="s">
        <v>40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41</v>
      </c>
      <c r="U604" t="s">
        <v>42</v>
      </c>
      <c r="V604">
        <f>O604*(1-P604)*N604</f>
        <v>26192.222999999998</v>
      </c>
      <c r="W604">
        <f t="shared" si="27"/>
        <v>5396.6729999999989</v>
      </c>
      <c r="X604">
        <f t="shared" si="28"/>
        <v>0.20604095414592577</v>
      </c>
      <c r="Y604" t="str">
        <f>_xlfn.TEXTJOIN(", ",TRUE,IF(G604="Unknown","Missing Region",""),IF(M604="Unknown","Missing Ship Mode",""),IF(P604&lt;0,"Negative Discount",""),IF(P604&gt;0.7,"High Discount",""),IF(C604&lt;B604,"Ship Before Order",""))</f>
        <v>Ship Before Order</v>
      </c>
      <c r="Z604" s="2">
        <f>IFERROR(
  IF(ISNUMBER(B604),B604,
    IF(ISNUMBER(SEARCH("-",B604)*1),
      IF(LEN(LEFT(B604,FIND("-",B604)-1))=4,
        DATE(VALUE(LEFT(B604,4)),VALUE(MID(B604,6,2)),VALUE(RIGHT(B604,2))),
        DATE(VALUE(RIGHT(B604,4)),VALUE(MID(B604,4,2)),VALUE(LEFT(B604,2)))
      ),
      IF(ISNUMBER(SEARCH("/",B604)*1),
        DATE(VALUE(RIGHT(B604,4)),VALUE(LEFT(B604,2)),VALUE(MID(B604,4,2))),
        DATEVALUE(B604)
      )
    )
  ),
"INVALID_DATE")</f>
        <v>45588</v>
      </c>
      <c r="AA604" s="2">
        <f>IFERROR(
  IF(ISNUMBER(C604),C604,
    IF(ISNUMBER(SEARCH("-",C604)*1),
      IF(LEN(LEFT(C604,FIND("-",C604)-1))=4,
        DATE(VALUE(LEFT(C604,4)),VALUE(MID(C604,6,2)),VALUE(RIGHT(C604,2))),
        DATE(VALUE(RIGHT(C604,4)),VALUE(MID(C604,4,2)),VALUE(LEFT(C604,2)))
      ),
      IF(ISNUMBER(SEARCH("/",C604)*1),
        DATE(VALUE(RIGHT(C604,4)),VALUE(LEFT(C604,2)),VALUE(MID(C604,4,2))),
        DATEVALUE(C604)
      )
    )
  ),
"INVALID_DATE")</f>
        <v>45595</v>
      </c>
      <c r="AB604">
        <f>AA604-Z604</f>
        <v>7</v>
      </c>
      <c r="AC604" t="str">
        <f>TEXT(Z604,"mmmm")</f>
        <v>October</v>
      </c>
      <c r="AD604">
        <f>YEAR(Z604)</f>
        <v>2024</v>
      </c>
      <c r="AE604" t="str">
        <f t="shared" si="29"/>
        <v>OK</v>
      </c>
    </row>
    <row r="605" spans="1:31">
      <c r="A605" t="s">
        <v>2887</v>
      </c>
      <c r="B605" t="s">
        <v>2888</v>
      </c>
      <c r="C605" t="s">
        <v>600</v>
      </c>
      <c r="D605" t="s">
        <v>488</v>
      </c>
      <c r="E605" t="s">
        <v>90</v>
      </c>
      <c r="F605" t="s">
        <v>115</v>
      </c>
      <c r="G605" t="s">
        <v>49</v>
      </c>
      <c r="H605" t="s">
        <v>193</v>
      </c>
      <c r="I605" t="s">
        <v>194</v>
      </c>
      <c r="J605" t="s">
        <v>93</v>
      </c>
      <c r="K605" t="s">
        <v>94</v>
      </c>
      <c r="L605" t="s">
        <v>2889</v>
      </c>
      <c r="M605" t="s">
        <v>63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144</v>
      </c>
      <c r="U605" t="s">
        <v>85</v>
      </c>
      <c r="V605">
        <f>O605*(1-P605)*N605</f>
        <v>19564.603999999999</v>
      </c>
      <c r="W605">
        <f t="shared" si="27"/>
        <v>8410.0139999999992</v>
      </c>
      <c r="X605">
        <f t="shared" si="28"/>
        <v>0.42985851997996388</v>
      </c>
      <c r="Y605" t="s">
        <v>4120</v>
      </c>
      <c r="Z605" s="2">
        <f>IFERROR(
  IF(ISNUMBER(B605),B605,
    IF(ISNUMBER(SEARCH("-",B605)*1),
      IF(LEN(LEFT(B605,FIND("-",B605)-1))=4,
        DATE(VALUE(LEFT(B605,4)),VALUE(MID(B605,6,2)),VALUE(RIGHT(B605,2))),
        DATE(VALUE(RIGHT(B605,4)),VALUE(MID(B605,4,2)),VALUE(LEFT(B605,2)))
      ),
      IF(ISNUMBER(SEARCH("/",B605)*1),
        DATE(VALUE(RIGHT(B605,4)),VALUE(LEFT(B605,2)),VALUE(MID(B605,4,2))),
        DATEVALUE(B605)
      )
    )
  ),
"INVALID_DATE")</f>
        <v>45660</v>
      </c>
      <c r="AA605" s="2">
        <f>IFERROR(
  IF(ISNUMBER(C605),C605,
    IF(ISNUMBER(SEARCH("-",C605)*1),
      IF(LEN(LEFT(C605,FIND("-",C605)-1))=4,
        DATE(VALUE(LEFT(C605,4)),VALUE(MID(C605,6,2)),VALUE(RIGHT(C605,2))),
        DATE(VALUE(RIGHT(C605,4)),VALUE(MID(C605,4,2)),VALUE(LEFT(C605,2)))
      ),
      IF(ISNUMBER(SEARCH("/",C605)*1),
        DATE(VALUE(RIGHT(C605,4)),VALUE(LEFT(C605,2)),VALUE(MID(C605,4,2))),
        DATEVALUE(C605)
      )
    )
  ),
"INVALID_DATE")</f>
        <v>45668</v>
      </c>
      <c r="AB605">
        <f>AA605-Z605</f>
        <v>8</v>
      </c>
      <c r="AC605" t="str">
        <f>TEXT(Z605,"mmmm")</f>
        <v>January</v>
      </c>
      <c r="AD605">
        <f>YEAR(Z605)</f>
        <v>2025</v>
      </c>
      <c r="AE605" t="str">
        <f t="shared" si="29"/>
        <v>OK</v>
      </c>
    </row>
    <row r="606" spans="1:31">
      <c r="A606" t="s">
        <v>2890</v>
      </c>
      <c r="B606" t="s">
        <v>2891</v>
      </c>
      <c r="C606" t="s">
        <v>2892</v>
      </c>
      <c r="D606" t="s">
        <v>2893</v>
      </c>
      <c r="E606" t="s">
        <v>79</v>
      </c>
      <c r="F606" t="s">
        <v>33</v>
      </c>
      <c r="G606" t="s">
        <v>80</v>
      </c>
      <c r="H606" t="s">
        <v>91</v>
      </c>
      <c r="I606" t="s">
        <v>92</v>
      </c>
      <c r="J606" t="s">
        <v>37</v>
      </c>
      <c r="K606" t="s">
        <v>205</v>
      </c>
      <c r="L606" t="s">
        <v>2894</v>
      </c>
      <c r="M606" t="s">
        <v>55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41</v>
      </c>
      <c r="U606" t="s">
        <v>42</v>
      </c>
      <c r="V606">
        <f>O606*(1-P606)*N606</f>
        <v>3228.8999999999996</v>
      </c>
      <c r="W606">
        <f t="shared" si="27"/>
        <v>1375.6699999999996</v>
      </c>
      <c r="X606">
        <f t="shared" si="28"/>
        <v>0.42604911889497971</v>
      </c>
      <c r="Y606" t="str">
        <f>_xlfn.TEXTJOIN(", ",TRUE,IF(G606="Unknown","Missing Region",""),IF(M606="Unknown","Missing Ship Mode",""),IF(P606&lt;0,"Negative Discount",""),IF(P606&gt;0.7,"High Discount",""),IF(C606&lt;B606,"Ship Before Order",""))</f>
        <v>Ship Before Order</v>
      </c>
      <c r="Z606" s="2">
        <f>IFERROR(
  IF(ISNUMBER(B606),B606,
    IF(ISNUMBER(SEARCH("-",B606)*1),
      IF(LEN(LEFT(B606,FIND("-",B606)-1))=4,
        DATE(VALUE(LEFT(B606,4)),VALUE(MID(B606,6,2)),VALUE(RIGHT(B606,2))),
        DATE(VALUE(RIGHT(B606,4)),VALUE(MID(B606,4,2)),VALUE(LEFT(B606,2)))
      ),
      IF(ISNUMBER(SEARCH("/",B606)*1),
        DATE(VALUE(RIGHT(B606,4)),VALUE(LEFT(B606,2)),VALUE(MID(B606,4,2))),
        DATEVALUE(B606)
      )
    )
  ),
"INVALID_DATE")</f>
        <v>45693</v>
      </c>
      <c r="AA606" s="2">
        <f>IFERROR(
  IF(ISNUMBER(C606),C606,
    IF(ISNUMBER(SEARCH("-",C606)*1),
      IF(LEN(LEFT(C606,FIND("-",C606)-1))=4,
        DATE(VALUE(LEFT(C606,4)),VALUE(MID(C606,6,2)),VALUE(RIGHT(C606,2))),
        DATE(VALUE(RIGHT(C606,4)),VALUE(MID(C606,4,2)),VALUE(LEFT(C606,2)))
      ),
      IF(ISNUMBER(SEARCH("/",C606)*1),
        DATE(VALUE(RIGHT(C606,4)),VALUE(LEFT(C606,2)),VALUE(MID(C606,4,2))),
        DATEVALUE(C606)
      )
    )
  ),
"INVALID_DATE")</f>
        <v>45694</v>
      </c>
      <c r="AB606">
        <f>AA606-Z606</f>
        <v>1</v>
      </c>
      <c r="AC606" t="str">
        <f>TEXT(Z606,"mmmm")</f>
        <v>February</v>
      </c>
      <c r="AD606">
        <f>YEAR(Z606)</f>
        <v>2025</v>
      </c>
      <c r="AE606" t="str">
        <f t="shared" si="29"/>
        <v>OK</v>
      </c>
    </row>
    <row r="607" spans="1:31">
      <c r="A607" t="s">
        <v>2895</v>
      </c>
      <c r="B607" t="s">
        <v>2621</v>
      </c>
      <c r="C607" t="s">
        <v>2896</v>
      </c>
      <c r="D607" t="s">
        <v>2897</v>
      </c>
      <c r="E607" t="s">
        <v>374</v>
      </c>
      <c r="F607" t="s">
        <v>115</v>
      </c>
      <c r="G607" t="s">
        <v>80</v>
      </c>
      <c r="H607" t="s">
        <v>256</v>
      </c>
      <c r="I607" t="s">
        <v>257</v>
      </c>
      <c r="J607" t="s">
        <v>52</v>
      </c>
      <c r="K607" t="s">
        <v>72</v>
      </c>
      <c r="L607" t="s">
        <v>2898</v>
      </c>
      <c r="M607" t="s">
        <v>40</v>
      </c>
      <c r="N607">
        <v>5</v>
      </c>
      <c r="O607">
        <v>1680.01</v>
      </c>
      <c r="P607" t="s">
        <v>1178</v>
      </c>
      <c r="Q607">
        <v>7560.04</v>
      </c>
      <c r="R607">
        <v>6448.05</v>
      </c>
      <c r="S607">
        <v>1111.99</v>
      </c>
      <c r="T607" t="s">
        <v>41</v>
      </c>
      <c r="U607" t="s">
        <v>85</v>
      </c>
      <c r="V607">
        <f>O607*(1-P607)*N607</f>
        <v>1260.0075000000002</v>
      </c>
      <c r="W607">
        <f t="shared" si="27"/>
        <v>-5188.0424999999996</v>
      </c>
      <c r="X607">
        <f t="shared" si="28"/>
        <v>0.14708784609605241</v>
      </c>
      <c r="Y607" t="str">
        <f>_xlfn.TEXTJOIN(", ",TRUE,IF(G607="Unknown","Missing Region",""),IF(M607="Unknown","Missing Ship Mode",""),IF(P607&lt;0,"Negative Discount",""),IF(P607&gt;0.7,"High Discount",""),IF(C607&lt;B607,"Ship Before Order",""))</f>
        <v>High Discount, Ship Before Order</v>
      </c>
      <c r="Z607" s="2">
        <f>IFERROR(
  IF(ISNUMBER(B607),B607,
    IF(ISNUMBER(SEARCH("-",B607)*1),
      IF(LEN(LEFT(B607,FIND("-",B607)-1))=4,
        DATE(VALUE(LEFT(B607,4)),VALUE(MID(B607,6,2)),VALUE(RIGHT(B607,2))),
        DATE(VALUE(RIGHT(B607,4)),VALUE(MID(B607,4,2)),VALUE(LEFT(B607,2)))
      ),
      IF(ISNUMBER(SEARCH("/",B607)*1),
        DATE(VALUE(RIGHT(B607,4)),VALUE(LEFT(B607,2)),VALUE(MID(B607,4,2))),
        DATEVALUE(B607)
      )
    )
  ),
"INVALID_DATE")</f>
        <v>45847</v>
      </c>
      <c r="AA607" s="2">
        <f>IFERROR(
  IF(ISNUMBER(C607),C607,
    IF(ISNUMBER(SEARCH("-",C607)*1),
      IF(LEN(LEFT(C607,FIND("-",C607)-1))=4,
        DATE(VALUE(LEFT(C607,4)),VALUE(MID(C607,6,2)),VALUE(RIGHT(C607,2))),
        DATE(VALUE(RIGHT(C607,4)),VALUE(MID(C607,4,2)),VALUE(LEFT(C607,2)))
      ),
      IF(ISNUMBER(SEARCH("/",C607)*1),
        DATE(VALUE(RIGHT(C607,4)),VALUE(LEFT(C607,2)),VALUE(MID(C607,4,2))),
        DATEVALUE(C607)
      )
    )
  ),
"INVALID_DATE")</f>
        <v>45851</v>
      </c>
      <c r="AB607">
        <f>AA607-Z607</f>
        <v>4</v>
      </c>
      <c r="AC607" t="str">
        <f>TEXT(Z607,"mmmm")</f>
        <v>July</v>
      </c>
      <c r="AD607">
        <f>YEAR(Z607)</f>
        <v>2025</v>
      </c>
      <c r="AE607" t="str">
        <f t="shared" si="29"/>
        <v>OK</v>
      </c>
    </row>
    <row r="608" spans="1:31">
      <c r="A608" t="s">
        <v>2899</v>
      </c>
      <c r="B608" t="s">
        <v>2900</v>
      </c>
      <c r="C608" t="s">
        <v>2536</v>
      </c>
      <c r="D608" t="s">
        <v>2901</v>
      </c>
      <c r="E608" t="s">
        <v>155</v>
      </c>
      <c r="F608" t="s">
        <v>122</v>
      </c>
      <c r="G608" t="s">
        <v>80</v>
      </c>
      <c r="H608" t="s">
        <v>91</v>
      </c>
      <c r="I608" t="s">
        <v>92</v>
      </c>
      <c r="J608" t="s">
        <v>93</v>
      </c>
      <c r="K608" t="s">
        <v>101</v>
      </c>
      <c r="L608" t="s">
        <v>2902</v>
      </c>
      <c r="M608" t="s">
        <v>55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41</v>
      </c>
      <c r="U608" t="s">
        <v>42</v>
      </c>
      <c r="V608">
        <f>O608*(1-P608)*N608</f>
        <v>8754.3225000000002</v>
      </c>
      <c r="W608">
        <f t="shared" si="27"/>
        <v>2515.4225000000006</v>
      </c>
      <c r="X608">
        <f t="shared" si="28"/>
        <v>0.28733471017737533</v>
      </c>
      <c r="Y608" t="str">
        <f>_xlfn.TEXTJOIN(", ",TRUE,IF(G608="Unknown","Missing Region",""),IF(M608="Unknown","Missing Ship Mode",""),IF(P608&lt;0,"Negative Discount",""),IF(P608&gt;0.7,"High Discount",""),IF(C608&lt;B608,"Ship Before Order",""))</f>
        <v>Ship Before Order</v>
      </c>
      <c r="Z608" s="2">
        <f>IFERROR(
  IF(ISNUMBER(B608),B608,
    IF(ISNUMBER(SEARCH("-",B608)*1),
      IF(LEN(LEFT(B608,FIND("-",B608)-1))=4,
        DATE(VALUE(LEFT(B608,4)),VALUE(MID(B608,6,2)),VALUE(RIGHT(B608,2))),
        DATE(VALUE(RIGHT(B608,4)),VALUE(MID(B608,4,2)),VALUE(LEFT(B608,2)))
      ),
      IF(ISNUMBER(SEARCH("/",B608)*1),
        DATE(VALUE(RIGHT(B608,4)),VALUE(LEFT(B608,2)),VALUE(MID(B608,4,2))),
        DATEVALUE(B608)
      )
    )
  ),
"INVALID_DATE")</f>
        <v>45710</v>
      </c>
      <c r="AA608" s="2">
        <f>IFERROR(
  IF(ISNUMBER(C608),C608,
    IF(ISNUMBER(SEARCH("-",C608)*1),
      IF(LEN(LEFT(C608,FIND("-",C608)-1))=4,
        DATE(VALUE(LEFT(C608,4)),VALUE(MID(C608,6,2)),VALUE(RIGHT(C608,2))),
        DATE(VALUE(RIGHT(C608,4)),VALUE(MID(C608,4,2)),VALUE(LEFT(C608,2)))
      ),
      IF(ISNUMBER(SEARCH("/",C608)*1),
        DATE(VALUE(RIGHT(C608,4)),VALUE(LEFT(C608,2)),VALUE(MID(C608,4,2))),
        DATEVALUE(C608)
      )
    )
  ),
"INVALID_DATE")</f>
        <v>45716</v>
      </c>
      <c r="AB608">
        <f>AA608-Z608</f>
        <v>6</v>
      </c>
      <c r="AC608" t="str">
        <f>TEXT(Z608,"mmmm")</f>
        <v>February</v>
      </c>
      <c r="AD608">
        <f>YEAR(Z608)</f>
        <v>2025</v>
      </c>
      <c r="AE608" t="str">
        <f t="shared" si="29"/>
        <v>OK</v>
      </c>
    </row>
    <row r="609" spans="1:31">
      <c r="A609" t="s">
        <v>2903</v>
      </c>
      <c r="B609" t="s">
        <v>2854</v>
      </c>
      <c r="C609" t="s">
        <v>2900</v>
      </c>
      <c r="D609" t="s">
        <v>2904</v>
      </c>
      <c r="E609" t="s">
        <v>175</v>
      </c>
      <c r="F609" t="s">
        <v>122</v>
      </c>
      <c r="G609" t="s">
        <v>49</v>
      </c>
      <c r="H609" t="s">
        <v>193</v>
      </c>
      <c r="I609" t="s">
        <v>194</v>
      </c>
      <c r="J609" t="s">
        <v>37</v>
      </c>
      <c r="K609" t="s">
        <v>163</v>
      </c>
      <c r="L609" t="s">
        <v>2905</v>
      </c>
      <c r="M609" t="s">
        <v>55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41</v>
      </c>
      <c r="U609" t="s">
        <v>42</v>
      </c>
      <c r="V609">
        <f>O609*(1-P609)*N609</f>
        <v>4057.3474999999999</v>
      </c>
      <c r="W609">
        <f t="shared" si="27"/>
        <v>1195.3174999999997</v>
      </c>
      <c r="X609">
        <f t="shared" si="28"/>
        <v>0.29460608525268955</v>
      </c>
      <c r="Y609" t="s">
        <v>4120</v>
      </c>
      <c r="Z609" s="2">
        <f>IFERROR(
  IF(ISNUMBER(B609),B609,
    IF(ISNUMBER(SEARCH("-",B609)*1),
      IF(LEN(LEFT(B609,FIND("-",B609)-1))=4,
        DATE(VALUE(LEFT(B609,4)),VALUE(MID(B609,6,2)),VALUE(RIGHT(B609,2))),
        DATE(VALUE(RIGHT(B609,4)),VALUE(MID(B609,4,2)),VALUE(LEFT(B609,2)))
      ),
      IF(ISNUMBER(SEARCH("/",B609)*1),
        DATE(VALUE(RIGHT(B609,4)),VALUE(LEFT(B609,2)),VALUE(MID(B609,4,2))),
        DATEVALUE(B609)
      )
    )
  ),
"INVALID_DATE")</f>
        <v>45704</v>
      </c>
      <c r="AA609" s="2">
        <f>IFERROR(
  IF(ISNUMBER(C609),C609,
    IF(ISNUMBER(SEARCH("-",C609)*1),
      IF(LEN(LEFT(C609,FIND("-",C609)-1))=4,
        DATE(VALUE(LEFT(C609,4)),VALUE(MID(C609,6,2)),VALUE(RIGHT(C609,2))),
        DATE(VALUE(RIGHT(C609,4)),VALUE(MID(C609,4,2)),VALUE(LEFT(C609,2)))
      ),
      IF(ISNUMBER(SEARCH("/",C609)*1),
        DATE(VALUE(RIGHT(C609,4)),VALUE(LEFT(C609,2)),VALUE(MID(C609,4,2))),
        DATEVALUE(C609)
      )
    )
  ),
"INVALID_DATE")</f>
        <v>45710</v>
      </c>
      <c r="AB609">
        <f>AA609-Z609</f>
        <v>6</v>
      </c>
      <c r="AC609" t="str">
        <f>TEXT(Z609,"mmmm")</f>
        <v>February</v>
      </c>
      <c r="AD609">
        <f>YEAR(Z609)</f>
        <v>2025</v>
      </c>
      <c r="AE609" t="str">
        <f t="shared" si="29"/>
        <v>OK</v>
      </c>
    </row>
    <row r="610" spans="1:31">
      <c r="A610" t="s">
        <v>2906</v>
      </c>
      <c r="B610" t="s">
        <v>2160</v>
      </c>
      <c r="C610" t="s">
        <v>1561</v>
      </c>
      <c r="D610" t="s">
        <v>2582</v>
      </c>
      <c r="E610" t="s">
        <v>32</v>
      </c>
      <c r="F610" t="s">
        <v>122</v>
      </c>
      <c r="G610" t="s">
        <v>80</v>
      </c>
      <c r="H610" t="s">
        <v>256</v>
      </c>
      <c r="I610" t="s">
        <v>257</v>
      </c>
      <c r="J610" t="s">
        <v>52</v>
      </c>
      <c r="K610" t="s">
        <v>72</v>
      </c>
      <c r="L610" t="s">
        <v>2907</v>
      </c>
      <c r="M610" t="s">
        <v>40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41</v>
      </c>
      <c r="U610" t="s">
        <v>42</v>
      </c>
      <c r="V610">
        <f>O610*(1-P610)*N610</f>
        <v>19383.75</v>
      </c>
      <c r="W610">
        <f t="shared" si="27"/>
        <v>7716.32</v>
      </c>
      <c r="X610">
        <f t="shared" si="28"/>
        <v>0.39808189849745274</v>
      </c>
      <c r="Y610" t="s">
        <v>4120</v>
      </c>
      <c r="Z610" s="2">
        <f>IFERROR(
  IF(ISNUMBER(B610),B610,
    IF(ISNUMBER(SEARCH("-",B610)*1),
      IF(LEN(LEFT(B610,FIND("-",B610)-1))=4,
        DATE(VALUE(LEFT(B610,4)),VALUE(MID(B610,6,2)),VALUE(RIGHT(B610,2))),
        DATE(VALUE(RIGHT(B610,4)),VALUE(MID(B610,4,2)),VALUE(LEFT(B610,2)))
      ),
      IF(ISNUMBER(SEARCH("/",B610)*1),
        DATE(VALUE(RIGHT(B610,4)),VALUE(LEFT(B610,2)),VALUE(MID(B610,4,2))),
        DATEVALUE(B610)
      )
    )
  ),
"INVALID_DATE")</f>
        <v>45464</v>
      </c>
      <c r="AA610" s="2">
        <f>IFERROR(
  IF(ISNUMBER(C610),C610,
    IF(ISNUMBER(SEARCH("-",C610)*1),
      IF(LEN(LEFT(C610,FIND("-",C610)-1))=4,
        DATE(VALUE(LEFT(C610,4)),VALUE(MID(C610,6,2)),VALUE(RIGHT(C610,2))),
        DATE(VALUE(RIGHT(C610,4)),VALUE(MID(C610,4,2)),VALUE(LEFT(C610,2)))
      ),
      IF(ISNUMBER(SEARCH("/",C610)*1),
        DATE(VALUE(RIGHT(C610,4)),VALUE(LEFT(C610,2)),VALUE(MID(C610,4,2))),
        DATEVALUE(C610)
      )
    )
  ),
"INVALID_DATE")</f>
        <v>45466</v>
      </c>
      <c r="AB610">
        <f>AA610-Z610</f>
        <v>2</v>
      </c>
      <c r="AC610" t="str">
        <f>TEXT(Z610,"mmmm")</f>
        <v>June</v>
      </c>
      <c r="AD610">
        <f>YEAR(Z610)</f>
        <v>2024</v>
      </c>
      <c r="AE610" t="str">
        <f t="shared" si="29"/>
        <v>OK</v>
      </c>
    </row>
    <row r="611" spans="1:31">
      <c r="A611" t="s">
        <v>2908</v>
      </c>
      <c r="B611" t="s">
        <v>2063</v>
      </c>
      <c r="C611" t="s">
        <v>1184</v>
      </c>
      <c r="D611" t="s">
        <v>2909</v>
      </c>
      <c r="E611" t="s">
        <v>175</v>
      </c>
      <c r="F611" t="s">
        <v>122</v>
      </c>
      <c r="G611" t="s">
        <v>69</v>
      </c>
      <c r="H611" t="s">
        <v>236</v>
      </c>
      <c r="I611" t="s">
        <v>237</v>
      </c>
      <c r="J611" t="s">
        <v>52</v>
      </c>
      <c r="K611" t="s">
        <v>83</v>
      </c>
      <c r="L611" t="s">
        <v>2910</v>
      </c>
      <c r="M611" t="s">
        <v>74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41</v>
      </c>
      <c r="U611" t="s">
        <v>42</v>
      </c>
      <c r="V611">
        <f>O611*(1-P611)*N611</f>
        <v>30362.359999999997</v>
      </c>
      <c r="W611">
        <f t="shared" si="27"/>
        <v>5296.9599999999955</v>
      </c>
      <c r="X611">
        <f t="shared" si="28"/>
        <v>0.17445811195177185</v>
      </c>
      <c r="Y611" t="str">
        <f>_xlfn.TEXTJOIN(", ",TRUE,IF(G611="Unknown","Missing Region",""),IF(M611="Unknown","Missing Ship Mode",""),IF(P611&lt;0,"Negative Discount",""),IF(P611&gt;0.7,"High Discount",""),IF(C611&lt;B611,"Ship Before Order",""))</f>
        <v>Ship Before Order</v>
      </c>
      <c r="Z611" s="2">
        <f>IFERROR(
  IF(ISNUMBER(B611),B611,
    IF(ISNUMBER(SEARCH("-",B611)*1),
      IF(LEN(LEFT(B611,FIND("-",B611)-1))=4,
        DATE(VALUE(LEFT(B611,4)),VALUE(MID(B611,6,2)),VALUE(RIGHT(B611,2))),
        DATE(VALUE(RIGHT(B611,4)),VALUE(MID(B611,4,2)),VALUE(LEFT(B611,2)))
      ),
      IF(ISNUMBER(SEARCH("/",B611)*1),
        DATE(VALUE(RIGHT(B611,4)),VALUE(LEFT(B611,2)),VALUE(MID(B611,4,2))),
        DATEVALUE(B611)
      )
    )
  ),
"INVALID_DATE")</f>
        <v>45665</v>
      </c>
      <c r="AA611" s="2">
        <f>IFERROR(
  IF(ISNUMBER(C611),C611,
    IF(ISNUMBER(SEARCH("-",C611)*1),
      IF(LEN(LEFT(C611,FIND("-",C611)-1))=4,
        DATE(VALUE(LEFT(C611,4)),VALUE(MID(C611,6,2)),VALUE(RIGHT(C611,2))),
        DATE(VALUE(RIGHT(C611,4)),VALUE(MID(C611,4,2)),VALUE(LEFT(C611,2)))
      ),
      IF(ISNUMBER(SEARCH("/",C611)*1),
        DATE(VALUE(RIGHT(C611,4)),VALUE(LEFT(C611,2)),VALUE(MID(C611,4,2))),
        DATEVALUE(C611)
      )
    )
  ),
"INVALID_DATE")</f>
        <v>45669</v>
      </c>
      <c r="AB611">
        <f>AA611-Z611</f>
        <v>4</v>
      </c>
      <c r="AC611" t="str">
        <f>TEXT(Z611,"mmmm")</f>
        <v>January</v>
      </c>
      <c r="AD611">
        <f>YEAR(Z611)</f>
        <v>2025</v>
      </c>
      <c r="AE611" t="str">
        <f t="shared" si="29"/>
        <v>OK</v>
      </c>
    </row>
    <row r="612" spans="1:31">
      <c r="A612" t="s">
        <v>2911</v>
      </c>
      <c r="B612" t="s">
        <v>2912</v>
      </c>
      <c r="C612" t="s">
        <v>2913</v>
      </c>
      <c r="D612" t="s">
        <v>2088</v>
      </c>
      <c r="E612" t="s">
        <v>32</v>
      </c>
      <c r="F612" t="s">
        <v>122</v>
      </c>
      <c r="G612" t="s">
        <v>80</v>
      </c>
      <c r="H612" t="s">
        <v>91</v>
      </c>
      <c r="I612" t="s">
        <v>92</v>
      </c>
      <c r="J612" t="s">
        <v>52</v>
      </c>
      <c r="K612" t="s">
        <v>83</v>
      </c>
      <c r="L612" t="s">
        <v>2914</v>
      </c>
      <c r="M612" t="s">
        <v>74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41</v>
      </c>
      <c r="U612" t="s">
        <v>42</v>
      </c>
      <c r="V612">
        <f>O612*(1-P612)*N612</f>
        <v>2729.6549999999997</v>
      </c>
      <c r="W612">
        <f t="shared" si="27"/>
        <v>1014.2949999999998</v>
      </c>
      <c r="X612">
        <f t="shared" si="28"/>
        <v>0.37158243730881246</v>
      </c>
      <c r="Y612" t="str">
        <f>_xlfn.TEXTJOIN(", ",TRUE,IF(G612="Unknown","Missing Region",""),IF(M612="Unknown","Missing Ship Mode",""),IF(P612&lt;0,"Negative Discount",""),IF(P612&gt;0.7,"High Discount",""),IF(C612&lt;B612,"Ship Before Order",""))</f>
        <v>Ship Before Order</v>
      </c>
      <c r="Z612" s="2">
        <f>IFERROR(
  IF(ISNUMBER(B612),B612,
    IF(ISNUMBER(SEARCH("-",B612)*1),
      IF(LEN(LEFT(B612,FIND("-",B612)-1))=4,
        DATE(VALUE(LEFT(B612,4)),VALUE(MID(B612,6,2)),VALUE(RIGHT(B612,2))),
        DATE(VALUE(RIGHT(B612,4)),VALUE(MID(B612,4,2)),VALUE(LEFT(B612,2)))
      ),
      IF(ISNUMBER(SEARCH("/",B612)*1),
        DATE(VALUE(RIGHT(B612,4)),VALUE(LEFT(B612,2)),VALUE(MID(B612,4,2))),
        DATEVALUE(B612)
      )
    )
  ),
"INVALID_DATE")</f>
        <v>45432</v>
      </c>
      <c r="AA612" s="2">
        <f>IFERROR(
  IF(ISNUMBER(C612),C612,
    IF(ISNUMBER(SEARCH("-",C612)*1),
      IF(LEN(LEFT(C612,FIND("-",C612)-1))=4,
        DATE(VALUE(LEFT(C612,4)),VALUE(MID(C612,6,2)),VALUE(RIGHT(C612,2))),
        DATE(VALUE(RIGHT(C612,4)),VALUE(MID(C612,4,2)),VALUE(LEFT(C612,2)))
      ),
      IF(ISNUMBER(SEARCH("/",C612)*1),
        DATE(VALUE(RIGHT(C612,4)),VALUE(LEFT(C612,2)),VALUE(MID(C612,4,2))),
        DATEVALUE(C612)
      )
    )
  ),
"INVALID_DATE")</f>
        <v>45432</v>
      </c>
      <c r="AB612">
        <f>AA612-Z612</f>
        <v>0</v>
      </c>
      <c r="AC612" t="str">
        <f>TEXT(Z612,"mmmm")</f>
        <v>May</v>
      </c>
      <c r="AD612">
        <f>YEAR(Z612)</f>
        <v>2024</v>
      </c>
      <c r="AE612" t="str">
        <f t="shared" si="29"/>
        <v>OK</v>
      </c>
    </row>
    <row r="613" spans="1:31">
      <c r="A613" t="s">
        <v>2915</v>
      </c>
      <c r="B613" t="s">
        <v>2620</v>
      </c>
      <c r="C613" t="s">
        <v>2916</v>
      </c>
      <c r="D613" t="s">
        <v>2917</v>
      </c>
      <c r="E613" t="s">
        <v>79</v>
      </c>
      <c r="F613" t="s">
        <v>48</v>
      </c>
      <c r="G613" t="s">
        <v>34</v>
      </c>
      <c r="H613" t="s">
        <v>35</v>
      </c>
      <c r="I613" t="s">
        <v>36</v>
      </c>
      <c r="J613" t="s">
        <v>37</v>
      </c>
      <c r="K613" t="s">
        <v>205</v>
      </c>
      <c r="L613" t="s">
        <v>2918</v>
      </c>
      <c r="M613" t="s">
        <v>55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41</v>
      </c>
      <c r="U613" t="s">
        <v>42</v>
      </c>
      <c r="V613">
        <f>O613*(1-P613)*N613</f>
        <v>4718.0159999999996</v>
      </c>
      <c r="W613">
        <f t="shared" si="27"/>
        <v>809.7859999999996</v>
      </c>
      <c r="X613">
        <f t="shared" si="28"/>
        <v>0.17163767851768325</v>
      </c>
      <c r="Y613" t="s">
        <v>4120</v>
      </c>
      <c r="Z613" s="2">
        <f>IFERROR(
  IF(ISNUMBER(B613),B613,
    IF(ISNUMBER(SEARCH("-",B613)*1),
      IF(LEN(LEFT(B613,FIND("-",B613)-1))=4,
        DATE(VALUE(LEFT(B613,4)),VALUE(MID(B613,6,2)),VALUE(RIGHT(B613,2))),
        DATE(VALUE(RIGHT(B613,4)),VALUE(MID(B613,4,2)),VALUE(LEFT(B613,2)))
      ),
      IF(ISNUMBER(SEARCH("/",B613)*1),
        DATE(VALUE(RIGHT(B613,4)),VALUE(LEFT(B613,2)),VALUE(MID(B613,4,2))),
        DATEVALUE(B613)
      )
    )
  ),
"INVALID_DATE")</f>
        <v>45846</v>
      </c>
      <c r="AA613" s="2">
        <f>IFERROR(
  IF(ISNUMBER(C613),C613,
    IF(ISNUMBER(SEARCH("-",C613)*1),
      IF(LEN(LEFT(C613,FIND("-",C613)-1))=4,
        DATE(VALUE(LEFT(C613,4)),VALUE(MID(C613,6,2)),VALUE(RIGHT(C613,2))),
        DATE(VALUE(RIGHT(C613,4)),VALUE(MID(C613,4,2)),VALUE(LEFT(C613,2)))
      ),
      IF(ISNUMBER(SEARCH("/",C613)*1),
        DATE(VALUE(RIGHT(C613,4)),VALUE(LEFT(C613,2)),VALUE(MID(C613,4,2))),
        DATEVALUE(C613)
      )
    )
  ),
"INVALID_DATE")</f>
        <v>45853</v>
      </c>
      <c r="AB613">
        <f>AA613-Z613</f>
        <v>7</v>
      </c>
      <c r="AC613" t="str">
        <f>TEXT(Z613,"mmmm")</f>
        <v>July</v>
      </c>
      <c r="AD613">
        <f>YEAR(Z613)</f>
        <v>2025</v>
      </c>
      <c r="AE613" t="str">
        <f t="shared" si="29"/>
        <v>OK</v>
      </c>
    </row>
    <row r="614" spans="1:31">
      <c r="A614" t="s">
        <v>2919</v>
      </c>
      <c r="B614" t="s">
        <v>2920</v>
      </c>
      <c r="C614" t="s">
        <v>2921</v>
      </c>
      <c r="D614" t="s">
        <v>2922</v>
      </c>
      <c r="E614" t="s">
        <v>114</v>
      </c>
      <c r="F614" t="s">
        <v>33</v>
      </c>
      <c r="G614" t="s">
        <v>279</v>
      </c>
      <c r="H614" t="s">
        <v>50</v>
      </c>
      <c r="I614" t="s">
        <v>51</v>
      </c>
      <c r="J614" t="s">
        <v>93</v>
      </c>
      <c r="K614" t="s">
        <v>230</v>
      </c>
      <c r="L614" t="s">
        <v>2923</v>
      </c>
      <c r="M614" t="s">
        <v>74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41</v>
      </c>
      <c r="U614" t="s">
        <v>42</v>
      </c>
      <c r="V614">
        <f>O614*(1-P614)*N614</f>
        <v>3844.01</v>
      </c>
      <c r="W614">
        <f t="shared" si="27"/>
        <v>1648.2200000000003</v>
      </c>
      <c r="X614">
        <f t="shared" si="28"/>
        <v>0.4287761998537985</v>
      </c>
      <c r="Y614" t="str">
        <f>_xlfn.TEXTJOIN(", ",TRUE,IF(G614="Unknown","Missing Region",""),IF(M614="Unknown","Missing Ship Mode",""),IF(P614&lt;0,"Negative Discount",""),IF(P614&gt;0.7,"High Discount",""),IF(C614&lt;B614,"Ship Before Order",""))</f>
        <v>Missing Region</v>
      </c>
      <c r="Z614" s="2">
        <f>IFERROR(
  IF(ISNUMBER(B614),B614,
    IF(ISNUMBER(SEARCH("-",B614)*1),
      IF(LEN(LEFT(B614,FIND("-",B614)-1))=4,
        DATE(VALUE(LEFT(B614,4)),VALUE(MID(B614,6,2)),VALUE(RIGHT(B614,2))),
        DATE(VALUE(RIGHT(B614,4)),VALUE(MID(B614,4,2)),VALUE(LEFT(B614,2)))
      ),
      IF(ISNUMBER(SEARCH("/",B614)*1),
        DATE(VALUE(RIGHT(B614,4)),VALUE(LEFT(B614,2)),VALUE(MID(B614,4,2))),
        DATEVALUE(B614)
      )
    )
  ),
"INVALID_DATE")</f>
        <v>45753</v>
      </c>
      <c r="AA614" s="2">
        <f>IFERROR(
  IF(ISNUMBER(C614),C614,
    IF(ISNUMBER(SEARCH("-",C614)*1),
      IF(LEN(LEFT(C614,FIND("-",C614)-1))=4,
        DATE(VALUE(LEFT(C614,4)),VALUE(MID(C614,6,2)),VALUE(RIGHT(C614,2))),
        DATE(VALUE(RIGHT(C614,4)),VALUE(MID(C614,4,2)),VALUE(LEFT(C614,2)))
      ),
      IF(ISNUMBER(SEARCH("/",C614)*1),
        DATE(VALUE(RIGHT(C614,4)),VALUE(LEFT(C614,2)),VALUE(MID(C614,4,2))),
        DATEVALUE(C614)
      )
    )
  ),
"INVALID_DATE")</f>
        <v>45760</v>
      </c>
      <c r="AB614">
        <f>AA614-Z614</f>
        <v>7</v>
      </c>
      <c r="AC614" t="str">
        <f>TEXT(Z614,"mmmm")</f>
        <v>April</v>
      </c>
      <c r="AD614">
        <f>YEAR(Z614)</f>
        <v>2025</v>
      </c>
      <c r="AE614" t="str">
        <f t="shared" si="29"/>
        <v>OK</v>
      </c>
    </row>
    <row r="615" spans="1:31">
      <c r="A615" t="s">
        <v>2924</v>
      </c>
      <c r="B615" t="s">
        <v>2456</v>
      </c>
      <c r="C615" t="s">
        <v>2925</v>
      </c>
      <c r="D615" t="s">
        <v>2926</v>
      </c>
      <c r="E615" t="s">
        <v>217</v>
      </c>
      <c r="F615" t="s">
        <v>122</v>
      </c>
      <c r="G615" t="s">
        <v>80</v>
      </c>
      <c r="H615" t="s">
        <v>242</v>
      </c>
      <c r="I615" t="s">
        <v>243</v>
      </c>
      <c r="J615" t="s">
        <v>93</v>
      </c>
      <c r="K615" t="s">
        <v>390</v>
      </c>
      <c r="L615" t="s">
        <v>2927</v>
      </c>
      <c r="M615" t="s">
        <v>55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41</v>
      </c>
      <c r="U615" t="s">
        <v>42</v>
      </c>
      <c r="V615">
        <f>O615*(1-P615)*N615</f>
        <v>22688.775000000001</v>
      </c>
      <c r="W615">
        <f t="shared" si="27"/>
        <v>8016.3650000000016</v>
      </c>
      <c r="X615">
        <f t="shared" si="28"/>
        <v>0.35331868879684147</v>
      </c>
      <c r="Y615" t="str">
        <f>_xlfn.TEXTJOIN(", ",TRUE,IF(G615="Unknown","Missing Region",""),IF(M615="Unknown","Missing Ship Mode",""),IF(P615&lt;0,"Negative Discount",""),IF(P615&gt;0.7,"High Discount",""),IF(C615&lt;B615,"Ship Before Order",""))</f>
        <v>Ship Before Order</v>
      </c>
      <c r="Z615" s="2">
        <f>IFERROR(
  IF(ISNUMBER(B615),B615,
    IF(ISNUMBER(SEARCH("-",B615)*1),
      IF(LEN(LEFT(B615,FIND("-",B615)-1))=4,
        DATE(VALUE(LEFT(B615,4)),VALUE(MID(B615,6,2)),VALUE(RIGHT(B615,2))),
        DATE(VALUE(RIGHT(B615,4)),VALUE(MID(B615,4,2)),VALUE(LEFT(B615,2)))
      ),
      IF(ISNUMBER(SEARCH("/",B615)*1),
        DATE(VALUE(RIGHT(B615,4)),VALUE(LEFT(B615,2)),VALUE(MID(B615,4,2))),
        DATEVALUE(B615)
      )
    )
  ),
"INVALID_DATE")</f>
        <v>45570</v>
      </c>
      <c r="AA615" s="2">
        <f>IFERROR(
  IF(ISNUMBER(C615),C615,
    IF(ISNUMBER(SEARCH("-",C615)*1),
      IF(LEN(LEFT(C615,FIND("-",C615)-1))=4,
        DATE(VALUE(LEFT(C615,4)),VALUE(MID(C615,6,2)),VALUE(RIGHT(C615,2))),
        DATE(VALUE(RIGHT(C615,4)),VALUE(MID(C615,4,2)),VALUE(LEFT(C615,2)))
      ),
      IF(ISNUMBER(SEARCH("/",C615)*1),
        DATE(VALUE(RIGHT(C615,4)),VALUE(LEFT(C615,2)),VALUE(MID(C615,4,2))),
        DATEVALUE(C615)
      )
    )
  ),
"INVALID_DATE")</f>
        <v>45575</v>
      </c>
      <c r="AB615">
        <f>AA615-Z615</f>
        <v>5</v>
      </c>
      <c r="AC615" t="str">
        <f>TEXT(Z615,"mmmm")</f>
        <v>October</v>
      </c>
      <c r="AD615">
        <f>YEAR(Z615)</f>
        <v>2024</v>
      </c>
      <c r="AE615" t="str">
        <f t="shared" si="29"/>
        <v>OK</v>
      </c>
    </row>
    <row r="616" spans="1:31">
      <c r="A616" t="s">
        <v>2928</v>
      </c>
      <c r="B616" t="s">
        <v>2314</v>
      </c>
      <c r="C616" t="s">
        <v>2929</v>
      </c>
      <c r="D616" t="s">
        <v>2930</v>
      </c>
      <c r="E616" t="s">
        <v>79</v>
      </c>
      <c r="F616" t="s">
        <v>122</v>
      </c>
      <c r="G616" t="s">
        <v>69</v>
      </c>
      <c r="H616" t="s">
        <v>70</v>
      </c>
      <c r="I616" t="s">
        <v>71</v>
      </c>
      <c r="J616" t="s">
        <v>52</v>
      </c>
      <c r="K616" t="s">
        <v>83</v>
      </c>
      <c r="L616" t="s">
        <v>2931</v>
      </c>
      <c r="M616" t="s">
        <v>74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131</v>
      </c>
      <c r="U616" t="s">
        <v>85</v>
      </c>
      <c r="V616">
        <f>O616*(1-P616)*N616</f>
        <v>20389.920000000002</v>
      </c>
      <c r="W616">
        <f t="shared" si="27"/>
        <v>3728.84</v>
      </c>
      <c r="X616">
        <f t="shared" si="28"/>
        <v>0.18287663708342164</v>
      </c>
      <c r="Y616" t="s">
        <v>4120</v>
      </c>
      <c r="Z616" s="2">
        <f>IFERROR(
  IF(ISNUMBER(B616),B616,
    IF(ISNUMBER(SEARCH("-",B616)*1),
      IF(LEN(LEFT(B616,FIND("-",B616)-1))=4,
        DATE(VALUE(LEFT(B616,4)),VALUE(MID(B616,6,2)),VALUE(RIGHT(B616,2))),
        DATE(VALUE(RIGHT(B616,4)),VALUE(MID(B616,4,2)),VALUE(LEFT(B616,2)))
      ),
      IF(ISNUMBER(SEARCH("/",B616)*1),
        DATE(VALUE(RIGHT(B616,4)),VALUE(LEFT(B616,2)),VALUE(MID(B616,4,2))),
        DATEVALUE(B616)
      )
    )
  ),
"INVALID_DATE")</f>
        <v>45333</v>
      </c>
      <c r="AA616" s="2">
        <f>IFERROR(
  IF(ISNUMBER(C616),C616,
    IF(ISNUMBER(SEARCH("-",C616)*1),
      IF(LEN(LEFT(C616,FIND("-",C616)-1))=4,
        DATE(VALUE(LEFT(C616,4)),VALUE(MID(C616,6,2)),VALUE(RIGHT(C616,2))),
        DATE(VALUE(RIGHT(C616,4)),VALUE(MID(C616,4,2)),VALUE(LEFT(C616,2)))
      ),
      IF(ISNUMBER(SEARCH("/",C616)*1),
        DATE(VALUE(RIGHT(C616,4)),VALUE(LEFT(C616,2)),VALUE(MID(C616,4,2))),
        DATEVALUE(C616)
      )
    )
  ),
"INVALID_DATE")</f>
        <v>45341</v>
      </c>
      <c r="AB616">
        <f>AA616-Z616</f>
        <v>8</v>
      </c>
      <c r="AC616" t="str">
        <f>TEXT(Z616,"mmmm")</f>
        <v>February</v>
      </c>
      <c r="AD616">
        <f>YEAR(Z616)</f>
        <v>2024</v>
      </c>
      <c r="AE616" t="str">
        <f t="shared" si="29"/>
        <v>OK</v>
      </c>
    </row>
    <row r="617" spans="1:31">
      <c r="A617" t="s">
        <v>2932</v>
      </c>
      <c r="B617" t="s">
        <v>2933</v>
      </c>
      <c r="C617" t="s">
        <v>2934</v>
      </c>
      <c r="D617" t="s">
        <v>2935</v>
      </c>
      <c r="E617" t="s">
        <v>155</v>
      </c>
      <c r="F617" t="s">
        <v>115</v>
      </c>
      <c r="G617" t="s">
        <v>69</v>
      </c>
      <c r="H617" t="s">
        <v>249</v>
      </c>
      <c r="I617" t="s">
        <v>250</v>
      </c>
      <c r="J617" t="s">
        <v>37</v>
      </c>
      <c r="K617" t="s">
        <v>61</v>
      </c>
      <c r="L617" t="s">
        <v>2936</v>
      </c>
      <c r="M617" t="s">
        <v>40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41</v>
      </c>
      <c r="U617" t="s">
        <v>42</v>
      </c>
      <c r="V617">
        <f>O617*(1-P617)*N617</f>
        <v>5659.884</v>
      </c>
      <c r="W617">
        <f t="shared" si="27"/>
        <v>1322.0940000000001</v>
      </c>
      <c r="X617">
        <f t="shared" si="28"/>
        <v>0.22390961577219001</v>
      </c>
      <c r="Y617" t="str">
        <f>_xlfn.TEXTJOIN(", ",TRUE,IF(G617="Unknown","Missing Region",""),IF(M617="Unknown","Missing Ship Mode",""),IF(P617&lt;0,"Negative Discount",""),IF(P617&gt;0.7,"High Discount",""),IF(C617&lt;B617,"Ship Before Order",""))</f>
        <v>Ship Before Order</v>
      </c>
      <c r="Z617" s="2">
        <f>IFERROR(
  IF(ISNUMBER(B617),B617,
    IF(ISNUMBER(SEARCH("-",B617)*1),
      IF(LEN(LEFT(B617,FIND("-",B617)-1))=4,
        DATE(VALUE(LEFT(B617,4)),VALUE(MID(B617,6,2)),VALUE(RIGHT(B617,2))),
        DATE(VALUE(RIGHT(B617,4)),VALUE(MID(B617,4,2)),VALUE(LEFT(B617,2)))
      ),
      IF(ISNUMBER(SEARCH("/",B617)*1),
        DATE(VALUE(RIGHT(B617,4)),VALUE(LEFT(B617,2)),VALUE(MID(B617,4,2))),
        DATEVALUE(B617)
      )
    )
  ),
"INVALID_DATE")</f>
        <v>45569</v>
      </c>
      <c r="AA617" s="2">
        <f>IFERROR(
  IF(ISNUMBER(C617),C617,
    IF(ISNUMBER(SEARCH("-",C617)*1),
      IF(LEN(LEFT(C617,FIND("-",C617)-1))=4,
        DATE(VALUE(LEFT(C617,4)),VALUE(MID(C617,6,2)),VALUE(RIGHT(C617,2))),
        DATE(VALUE(RIGHT(C617,4)),VALUE(MID(C617,4,2)),VALUE(LEFT(C617,2)))
      ),
      IF(ISNUMBER(SEARCH("/",C617)*1),
        DATE(VALUE(RIGHT(C617,4)),VALUE(LEFT(C617,2)),VALUE(MID(C617,4,2))),
        DATEVALUE(C617)
      )
    )
  ),
"INVALID_DATE")</f>
        <v>45572</v>
      </c>
      <c r="AB617">
        <f>AA617-Z617</f>
        <v>3</v>
      </c>
      <c r="AC617" t="str">
        <f>TEXT(Z617,"mmmm")</f>
        <v>October</v>
      </c>
      <c r="AD617">
        <f>YEAR(Z617)</f>
        <v>2024</v>
      </c>
      <c r="AE617" t="str">
        <f t="shared" si="29"/>
        <v>OK</v>
      </c>
    </row>
    <row r="618" spans="1:31">
      <c r="A618" t="s">
        <v>2937</v>
      </c>
      <c r="B618" t="s">
        <v>2938</v>
      </c>
      <c r="C618" t="s">
        <v>2869</v>
      </c>
      <c r="D618" t="s">
        <v>2939</v>
      </c>
      <c r="E618" t="s">
        <v>374</v>
      </c>
      <c r="F618" t="s">
        <v>33</v>
      </c>
      <c r="G618" t="s">
        <v>69</v>
      </c>
      <c r="H618" t="s">
        <v>70</v>
      </c>
      <c r="I618" t="s">
        <v>71</v>
      </c>
      <c r="J618" t="s">
        <v>37</v>
      </c>
      <c r="K618" t="s">
        <v>38</v>
      </c>
      <c r="L618" t="s">
        <v>2940</v>
      </c>
      <c r="M618" t="s">
        <v>74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41</v>
      </c>
      <c r="U618" t="s">
        <v>42</v>
      </c>
      <c r="V618">
        <f>O618*(1-P618)*N618</f>
        <v>18842.640000000003</v>
      </c>
      <c r="W618">
        <f t="shared" si="27"/>
        <v>7002.0600000000031</v>
      </c>
      <c r="X618">
        <f t="shared" si="28"/>
        <v>0.37160716332743188</v>
      </c>
      <c r="Y618" t="s">
        <v>4120</v>
      </c>
      <c r="Z618" s="2">
        <f>IFERROR(
  IF(ISNUMBER(B618),B618,
    IF(ISNUMBER(SEARCH("-",B618)*1),
      IF(LEN(LEFT(B618,FIND("-",B618)-1))=4,
        DATE(VALUE(LEFT(B618,4)),VALUE(MID(B618,6,2)),VALUE(RIGHT(B618,2))),
        DATE(VALUE(RIGHT(B618,4)),VALUE(MID(B618,4,2)),VALUE(LEFT(B618,2)))
      ),
      IF(ISNUMBER(SEARCH("/",B618)*1),
        DATE(VALUE(RIGHT(B618,4)),VALUE(LEFT(B618,2)),VALUE(MID(B618,4,2))),
        DATEVALUE(B618)
      )
    )
  ),
"INVALID_DATE")</f>
        <v>45520</v>
      </c>
      <c r="AA618" s="2">
        <f>IFERROR(
  IF(ISNUMBER(C618),C618,
    IF(ISNUMBER(SEARCH("-",C618)*1),
      IF(LEN(LEFT(C618,FIND("-",C618)-1))=4,
        DATE(VALUE(LEFT(C618,4)),VALUE(MID(C618,6,2)),VALUE(RIGHT(C618,2))),
        DATE(VALUE(RIGHT(C618,4)),VALUE(MID(C618,4,2)),VALUE(LEFT(C618,2)))
      ),
      IF(ISNUMBER(SEARCH("/",C618)*1),
        DATE(VALUE(RIGHT(C618,4)),VALUE(LEFT(C618,2)),VALUE(MID(C618,4,2))),
        DATEVALUE(C618)
      )
    )
  ),
"INVALID_DATE")</f>
        <v>45523</v>
      </c>
      <c r="AB618">
        <f>AA618-Z618</f>
        <v>3</v>
      </c>
      <c r="AC618" t="str">
        <f>TEXT(Z618,"mmmm")</f>
        <v>August</v>
      </c>
      <c r="AD618">
        <f>YEAR(Z618)</f>
        <v>2024</v>
      </c>
      <c r="AE618" t="str">
        <f t="shared" si="29"/>
        <v>OK</v>
      </c>
    </row>
    <row r="619" spans="1:31">
      <c r="A619" t="s">
        <v>2941</v>
      </c>
      <c r="B619" t="s">
        <v>2942</v>
      </c>
      <c r="C619" t="s">
        <v>982</v>
      </c>
      <c r="D619" t="s">
        <v>2943</v>
      </c>
      <c r="E619" t="s">
        <v>47</v>
      </c>
      <c r="F619" t="s">
        <v>122</v>
      </c>
      <c r="G619" t="s">
        <v>69</v>
      </c>
      <c r="H619" t="s">
        <v>70</v>
      </c>
      <c r="I619" t="s">
        <v>71</v>
      </c>
      <c r="J619" t="s">
        <v>93</v>
      </c>
      <c r="K619" t="s">
        <v>230</v>
      </c>
      <c r="L619" t="s">
        <v>2944</v>
      </c>
      <c r="M619" t="s">
        <v>74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41</v>
      </c>
      <c r="U619" t="s">
        <v>42</v>
      </c>
      <c r="V619">
        <f>O619*(1-P619)*N619</f>
        <v>24677.19</v>
      </c>
      <c r="W619">
        <f t="shared" si="27"/>
        <v>4326.34</v>
      </c>
      <c r="X619">
        <f t="shared" si="28"/>
        <v>0.17531736798233513</v>
      </c>
      <c r="Y619" t="s">
        <v>4120</v>
      </c>
      <c r="Z619" s="2">
        <f>IFERROR(
  IF(ISNUMBER(B619),B619,
    IF(ISNUMBER(SEARCH("-",B619)*1),
      IF(LEN(LEFT(B619,FIND("-",B619)-1))=4,
        DATE(VALUE(LEFT(B619,4)),VALUE(MID(B619,6,2)),VALUE(RIGHT(B619,2))),
        DATE(VALUE(RIGHT(B619,4)),VALUE(MID(B619,4,2)),VALUE(LEFT(B619,2)))
      ),
      IF(ISNUMBER(SEARCH("/",B619)*1),
        DATE(VALUE(RIGHT(B619,4)),VALUE(LEFT(B619,2)),VALUE(MID(B619,4,2))),
        DATEVALUE(B619)
      )
    )
  ),
"INVALID_DATE")</f>
        <v>45564</v>
      </c>
      <c r="AA619" s="2">
        <f>IFERROR(
  IF(ISNUMBER(C619),C619,
    IF(ISNUMBER(SEARCH("-",C619)*1),
      IF(LEN(LEFT(C619,FIND("-",C619)-1))=4,
        DATE(VALUE(LEFT(C619,4)),VALUE(MID(C619,6,2)),VALUE(RIGHT(C619,2))),
        DATE(VALUE(RIGHT(C619,4)),VALUE(MID(C619,4,2)),VALUE(LEFT(C619,2)))
      ),
      IF(ISNUMBER(SEARCH("/",C619)*1),
        DATE(VALUE(RIGHT(C619,4)),VALUE(LEFT(C619,2)),VALUE(MID(C619,4,2))),
        DATEVALUE(C619)
      )
    )
  ),
"INVALID_DATE")</f>
        <v>45565</v>
      </c>
      <c r="AB619">
        <f>AA619-Z619</f>
        <v>1</v>
      </c>
      <c r="AC619" t="str">
        <f>TEXT(Z619,"mmmm")</f>
        <v>September</v>
      </c>
      <c r="AD619">
        <f>YEAR(Z619)</f>
        <v>2024</v>
      </c>
      <c r="AE619" t="str">
        <f t="shared" si="29"/>
        <v>OK</v>
      </c>
    </row>
    <row r="620" spans="1:31">
      <c r="A620" t="s">
        <v>2945</v>
      </c>
      <c r="B620" t="s">
        <v>2946</v>
      </c>
      <c r="C620" t="s">
        <v>537</v>
      </c>
      <c r="D620" t="s">
        <v>2947</v>
      </c>
      <c r="E620" t="s">
        <v>374</v>
      </c>
      <c r="F620" t="s">
        <v>115</v>
      </c>
      <c r="G620" t="s">
        <v>34</v>
      </c>
      <c r="H620" t="s">
        <v>35</v>
      </c>
      <c r="I620" t="s">
        <v>36</v>
      </c>
      <c r="J620" t="s">
        <v>52</v>
      </c>
      <c r="K620" t="s">
        <v>53</v>
      </c>
      <c r="L620" t="s">
        <v>2948</v>
      </c>
      <c r="M620" t="s">
        <v>55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207</v>
      </c>
      <c r="U620" t="s">
        <v>85</v>
      </c>
      <c r="V620">
        <f>O620*(1-P620)*N620</f>
        <v>12623.2425</v>
      </c>
      <c r="W620">
        <f t="shared" si="27"/>
        <v>2082.442500000001</v>
      </c>
      <c r="X620">
        <f t="shared" si="28"/>
        <v>0.16496874019665317</v>
      </c>
      <c r="Y620" t="s">
        <v>4120</v>
      </c>
      <c r="Z620" s="2">
        <f>IFERROR(
  IF(ISNUMBER(B620),B620,
    IF(ISNUMBER(SEARCH("-",B620)*1),
      IF(LEN(LEFT(B620,FIND("-",B620)-1))=4,
        DATE(VALUE(LEFT(B620,4)),VALUE(MID(B620,6,2)),VALUE(RIGHT(B620,2))),
        DATE(VALUE(RIGHT(B620,4)),VALUE(MID(B620,4,2)),VALUE(LEFT(B620,2)))
      ),
      IF(ISNUMBER(SEARCH("/",B620)*1),
        DATE(VALUE(RIGHT(B620,4)),VALUE(LEFT(B620,2)),VALUE(MID(B620,4,2))),
        DATEVALUE(B620)
      )
    )
  ),
"INVALID_DATE")</f>
        <v>45496</v>
      </c>
      <c r="AA620" s="2">
        <f>IFERROR(
  IF(ISNUMBER(C620),C620,
    IF(ISNUMBER(SEARCH("-",C620)*1),
      IF(LEN(LEFT(C620,FIND("-",C620)-1))=4,
        DATE(VALUE(LEFT(C620,4)),VALUE(MID(C620,6,2)),VALUE(RIGHT(C620,2))),
        DATE(VALUE(RIGHT(C620,4)),VALUE(MID(C620,4,2)),VALUE(LEFT(C620,2)))
      ),
      IF(ISNUMBER(SEARCH("/",C620)*1),
        DATE(VALUE(RIGHT(C620,4)),VALUE(LEFT(C620,2)),VALUE(MID(C620,4,2))),
        DATEVALUE(C620)
      )
    )
  ),
"INVALID_DATE")</f>
        <v>45503</v>
      </c>
      <c r="AB620">
        <f>AA620-Z620</f>
        <v>7</v>
      </c>
      <c r="AC620" t="str">
        <f>TEXT(Z620,"mmmm")</f>
        <v>July</v>
      </c>
      <c r="AD620">
        <f>YEAR(Z620)</f>
        <v>2024</v>
      </c>
      <c r="AE620" t="str">
        <f t="shared" si="29"/>
        <v>OK</v>
      </c>
    </row>
    <row r="621" spans="1:31">
      <c r="A621" t="s">
        <v>2949</v>
      </c>
      <c r="B621" t="s">
        <v>919</v>
      </c>
      <c r="C621" t="s">
        <v>2950</v>
      </c>
      <c r="D621" t="s">
        <v>2951</v>
      </c>
      <c r="E621" t="s">
        <v>149</v>
      </c>
      <c r="F621" t="s">
        <v>115</v>
      </c>
      <c r="G621" t="s">
        <v>69</v>
      </c>
      <c r="H621" t="s">
        <v>347</v>
      </c>
      <c r="I621" t="s">
        <v>348</v>
      </c>
      <c r="J621" t="s">
        <v>37</v>
      </c>
      <c r="K621" t="s">
        <v>205</v>
      </c>
      <c r="L621" t="s">
        <v>2952</v>
      </c>
      <c r="M621" t="s">
        <v>63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131</v>
      </c>
      <c r="U621" t="s">
        <v>132</v>
      </c>
      <c r="V621">
        <f>O621*(1-P621)*N621</f>
        <v>3401.0080000000003</v>
      </c>
      <c r="W621">
        <f t="shared" si="27"/>
        <v>483.4680000000003</v>
      </c>
      <c r="X621">
        <f t="shared" si="28"/>
        <v>0.14215483047682895</v>
      </c>
      <c r="Y621" t="s">
        <v>4120</v>
      </c>
      <c r="Z621" s="2">
        <f>IFERROR(
  IF(ISNUMBER(B621),B621,
    IF(ISNUMBER(SEARCH("-",B621)*1),
      IF(LEN(LEFT(B621,FIND("-",B621)-1))=4,
        DATE(VALUE(LEFT(B621,4)),VALUE(MID(B621,6,2)),VALUE(RIGHT(B621,2))),
        DATE(VALUE(RIGHT(B621,4)),VALUE(MID(B621,4,2)),VALUE(LEFT(B621,2)))
      ),
      IF(ISNUMBER(SEARCH("/",B621)*1),
        DATE(VALUE(RIGHT(B621,4)),VALUE(LEFT(B621,2)),VALUE(MID(B621,4,2))),
        DATEVALUE(B621)
      )
    )
  ),
"INVALID_DATE")</f>
        <v>45618</v>
      </c>
      <c r="AA621" s="2">
        <f>IFERROR(
  IF(ISNUMBER(C621),C621,
    IF(ISNUMBER(SEARCH("-",C621)*1),
      IF(LEN(LEFT(C621,FIND("-",C621)-1))=4,
        DATE(VALUE(LEFT(C621,4)),VALUE(MID(C621,6,2)),VALUE(RIGHT(C621,2))),
        DATE(VALUE(RIGHT(C621,4)),VALUE(MID(C621,4,2)),VALUE(LEFT(C621,2)))
      ),
      IF(ISNUMBER(SEARCH("/",C621)*1),
        DATE(VALUE(RIGHT(C621,4)),VALUE(LEFT(C621,2)),VALUE(MID(C621,4,2))),
        DATEVALUE(C621)
      )
    )
  ),
"INVALID_DATE")</f>
        <v>45623</v>
      </c>
      <c r="AB621">
        <f>AA621-Z621</f>
        <v>5</v>
      </c>
      <c r="AC621" t="str">
        <f>TEXT(Z621,"mmmm")</f>
        <v>November</v>
      </c>
      <c r="AD621">
        <f>YEAR(Z621)</f>
        <v>2024</v>
      </c>
      <c r="AE621" t="str">
        <f t="shared" si="29"/>
        <v>OK</v>
      </c>
    </row>
    <row r="622" spans="1:31">
      <c r="A622" t="s">
        <v>2953</v>
      </c>
      <c r="B622" t="s">
        <v>2954</v>
      </c>
      <c r="C622" t="s">
        <v>2955</v>
      </c>
      <c r="D622" t="s">
        <v>2956</v>
      </c>
      <c r="E622" t="s">
        <v>90</v>
      </c>
      <c r="F622" t="s">
        <v>33</v>
      </c>
      <c r="G622" t="s">
        <v>34</v>
      </c>
      <c r="H622" t="s">
        <v>181</v>
      </c>
      <c r="I622" t="s">
        <v>182</v>
      </c>
      <c r="J622" t="s">
        <v>93</v>
      </c>
      <c r="K622" t="s">
        <v>390</v>
      </c>
      <c r="L622" t="s">
        <v>2957</v>
      </c>
      <c r="M622" t="s">
        <v>74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41</v>
      </c>
      <c r="U622" t="s">
        <v>42</v>
      </c>
      <c r="V622">
        <f>O622*(1-P622)*N622</f>
        <v>6609.06</v>
      </c>
      <c r="W622">
        <f t="shared" si="27"/>
        <v>1662.2800000000007</v>
      </c>
      <c r="X622">
        <f t="shared" si="28"/>
        <v>0.2515153440882667</v>
      </c>
      <c r="Y622" t="str">
        <f>_xlfn.TEXTJOIN(", ",TRUE,IF(G622="Unknown","Missing Region",""),IF(M622="Unknown","Missing Ship Mode",""),IF(P622&lt;0,"Negative Discount",""),IF(P622&gt;0.7,"High Discount",""),IF(C622&lt;B622,"Ship Before Order",""))</f>
        <v>Ship Before Order</v>
      </c>
      <c r="Z622" s="2">
        <f>IFERROR(
  IF(ISNUMBER(B622),B622,
    IF(ISNUMBER(SEARCH("-",B622)*1),
      IF(LEN(LEFT(B622,FIND("-",B622)-1))=4,
        DATE(VALUE(LEFT(B622,4)),VALUE(MID(B622,6,2)),VALUE(RIGHT(B622,2))),
        DATE(VALUE(RIGHT(B622,4)),VALUE(MID(B622,4,2)),VALUE(LEFT(B622,2)))
      ),
      IF(ISNUMBER(SEARCH("/",B622)*1),
        DATE(VALUE(RIGHT(B622,4)),VALUE(LEFT(B622,2)),VALUE(MID(B622,4,2))),
        DATEVALUE(B622)
      )
    )
  ),
"INVALID_DATE")</f>
        <v>45522</v>
      </c>
      <c r="AA622" s="2">
        <f>IFERROR(
  IF(ISNUMBER(C622),C622,
    IF(ISNUMBER(SEARCH("-",C622)*1),
      IF(LEN(LEFT(C622,FIND("-",C622)-1))=4,
        DATE(VALUE(LEFT(C622,4)),VALUE(MID(C622,6,2)),VALUE(RIGHT(C622,2))),
        DATE(VALUE(RIGHT(C622,4)),VALUE(MID(C622,4,2)),VALUE(LEFT(C622,2)))
      ),
      IF(ISNUMBER(SEARCH("/",C622)*1),
        DATE(VALUE(RIGHT(C622,4)),VALUE(LEFT(C622,2)),VALUE(MID(C622,4,2))),
        DATEVALUE(C622)
      )
    )
  ),
"INVALID_DATE")</f>
        <v>45525</v>
      </c>
      <c r="AB622">
        <f>AA622-Z622</f>
        <v>3</v>
      </c>
      <c r="AC622" t="str">
        <f>TEXT(Z622,"mmmm")</f>
        <v>August</v>
      </c>
      <c r="AD622">
        <f>YEAR(Z622)</f>
        <v>2024</v>
      </c>
      <c r="AE622" t="str">
        <f t="shared" si="29"/>
        <v>OK</v>
      </c>
    </row>
    <row r="623" spans="1:31">
      <c r="A623" t="s">
        <v>2958</v>
      </c>
      <c r="B623" t="s">
        <v>65</v>
      </c>
      <c r="C623" t="s">
        <v>2959</v>
      </c>
      <c r="D623" t="s">
        <v>2960</v>
      </c>
      <c r="E623" t="s">
        <v>114</v>
      </c>
      <c r="F623" t="s">
        <v>33</v>
      </c>
      <c r="G623" t="s">
        <v>80</v>
      </c>
      <c r="H623" t="s">
        <v>81</v>
      </c>
      <c r="I623" t="s">
        <v>82</v>
      </c>
      <c r="J623" t="s">
        <v>52</v>
      </c>
      <c r="K623" t="s">
        <v>83</v>
      </c>
      <c r="L623" t="s">
        <v>2961</v>
      </c>
      <c r="M623" t="s">
        <v>55</v>
      </c>
      <c r="N623">
        <v>5</v>
      </c>
      <c r="O623">
        <v>1092.8399999999999</v>
      </c>
      <c r="P623">
        <v>0</v>
      </c>
      <c r="Q623">
        <v>5464.2</v>
      </c>
      <c r="R623">
        <v>3318.09</v>
      </c>
      <c r="S623">
        <v>2146.11</v>
      </c>
      <c r="T623" t="s">
        <v>41</v>
      </c>
      <c r="U623" t="s">
        <v>42</v>
      </c>
      <c r="V623">
        <f>O623*(1-P623)*N623</f>
        <v>5464.2</v>
      </c>
      <c r="W623">
        <f t="shared" si="27"/>
        <v>2146.1099999999997</v>
      </c>
      <c r="X623">
        <f t="shared" si="28"/>
        <v>0.39275831777753378</v>
      </c>
      <c r="Y623" t="str">
        <f>_xlfn.TEXTJOIN(", ",TRUE,IF(G623="Unknown","Missing Region",""),IF(M623="Unknown","Missing Ship Mode",""),IF(P623&lt;0,"Negative Discount",""),IF(P623&gt;0.7,"High Discount",""),IF(C623&lt;B623,"Ship Before Order",""))</f>
        <v>Ship Before Order</v>
      </c>
      <c r="Z623" s="2">
        <f>IFERROR(
  IF(ISNUMBER(B623),B623,
    IF(ISNUMBER(SEARCH("-",B623)*1),
      IF(LEN(LEFT(B623,FIND("-",B623)-1))=4,
        DATE(VALUE(LEFT(B623,4)),VALUE(MID(B623,6,2)),VALUE(RIGHT(B623,2))),
        DATE(VALUE(RIGHT(B623,4)),VALUE(MID(B623,4,2)),VALUE(LEFT(B623,2)))
      ),
      IF(ISNUMBER(SEARCH("/",B623)*1),
        DATE(VALUE(RIGHT(B623,4)),VALUE(LEFT(B623,2)),VALUE(MID(B623,4,2))),
        DATEVALUE(B623)
      )
    )
  ),
"INVALID_DATE")</f>
        <v>45624</v>
      </c>
      <c r="AA623" s="2">
        <f>IFERROR(
  IF(ISNUMBER(C623),C623,
    IF(ISNUMBER(SEARCH("-",C623)*1),
      IF(LEN(LEFT(C623,FIND("-",C623)-1))=4,
        DATE(VALUE(LEFT(C623,4)),VALUE(MID(C623,6,2)),VALUE(RIGHT(C623,2))),
        DATE(VALUE(RIGHT(C623,4)),VALUE(MID(C623,4,2)),VALUE(LEFT(C623,2)))
      ),
      IF(ISNUMBER(SEARCH("/",C623)*1),
        DATE(VALUE(RIGHT(C623,4)),VALUE(LEFT(C623,2)),VALUE(MID(C623,4,2))),
        DATEVALUE(C623)
      )
    )
  ),
"INVALID_DATE")</f>
        <v>45632</v>
      </c>
      <c r="AB623">
        <f>AA623-Z623</f>
        <v>8</v>
      </c>
      <c r="AC623" t="str">
        <f>TEXT(Z623,"mmmm")</f>
        <v>November</v>
      </c>
      <c r="AD623">
        <f>YEAR(Z623)</f>
        <v>2024</v>
      </c>
      <c r="AE623" t="str">
        <f t="shared" si="29"/>
        <v>OK</v>
      </c>
    </row>
    <row r="624" spans="1:31">
      <c r="A624" t="s">
        <v>2962</v>
      </c>
      <c r="B624" t="s">
        <v>2963</v>
      </c>
      <c r="C624" t="s">
        <v>2964</v>
      </c>
      <c r="D624" t="s">
        <v>2965</v>
      </c>
      <c r="E624" t="s">
        <v>90</v>
      </c>
      <c r="F624" t="s">
        <v>33</v>
      </c>
      <c r="G624" t="s">
        <v>49</v>
      </c>
      <c r="H624" t="s">
        <v>193</v>
      </c>
      <c r="I624" t="s">
        <v>194</v>
      </c>
      <c r="J624" t="s">
        <v>37</v>
      </c>
      <c r="K624" t="s">
        <v>163</v>
      </c>
      <c r="L624" t="s">
        <v>2966</v>
      </c>
      <c r="M624" t="s">
        <v>74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41</v>
      </c>
      <c r="U624" t="s">
        <v>42</v>
      </c>
      <c r="V624">
        <f>O624*(1-P624)*N624</f>
        <v>10484.238000000001</v>
      </c>
      <c r="W624">
        <f t="shared" si="27"/>
        <v>3804.0880000000016</v>
      </c>
      <c r="X624">
        <f t="shared" si="28"/>
        <v>0.3628388896095473</v>
      </c>
      <c r="Y624" t="str">
        <f>_xlfn.TEXTJOIN(", ",TRUE,IF(G624="Unknown","Missing Region",""),IF(M624="Unknown","Missing Ship Mode",""),IF(P624&lt;0,"Negative Discount",""),IF(P624&gt;0.7,"High Discount",""),IF(C624&lt;B624,"Ship Before Order",""))</f>
        <v>Ship Before Order</v>
      </c>
      <c r="Z624" s="2">
        <f>IFERROR(
  IF(ISNUMBER(B624),B624,
    IF(ISNUMBER(SEARCH("-",B624)*1),
      IF(LEN(LEFT(B624,FIND("-",B624)-1))=4,
        DATE(VALUE(LEFT(B624,4)),VALUE(MID(B624,6,2)),VALUE(RIGHT(B624,2))),
        DATE(VALUE(RIGHT(B624,4)),VALUE(MID(B624,4,2)),VALUE(LEFT(B624,2)))
      ),
      IF(ISNUMBER(SEARCH("/",B624)*1),
        DATE(VALUE(RIGHT(B624,4)),VALUE(LEFT(B624,2)),VALUE(MID(B624,4,2))),
        DATEVALUE(B624)
      )
    )
  ),
"INVALID_DATE")</f>
        <v>45686</v>
      </c>
      <c r="AA624" s="2">
        <f>IFERROR(
  IF(ISNUMBER(C624),C624,
    IF(ISNUMBER(SEARCH("-",C624)*1),
      IF(LEN(LEFT(C624,FIND("-",C624)-1))=4,
        DATE(VALUE(LEFT(C624,4)),VALUE(MID(C624,6,2)),VALUE(RIGHT(C624,2))),
        DATE(VALUE(RIGHT(C624,4)),VALUE(MID(C624,4,2)),VALUE(LEFT(C624,2)))
      ),
      IF(ISNUMBER(SEARCH("/",C624)*1),
        DATE(VALUE(RIGHT(C624,4)),VALUE(LEFT(C624,2)),VALUE(MID(C624,4,2))),
        DATEVALUE(C624)
      )
    )
  ),
"INVALID_DATE")</f>
        <v>45694</v>
      </c>
      <c r="AB624">
        <f>AA624-Z624</f>
        <v>8</v>
      </c>
      <c r="AC624" t="str">
        <f>TEXT(Z624,"mmmm")</f>
        <v>January</v>
      </c>
      <c r="AD624">
        <f>YEAR(Z624)</f>
        <v>2025</v>
      </c>
      <c r="AE624" t="str">
        <f t="shared" si="29"/>
        <v>OK</v>
      </c>
    </row>
    <row r="625" spans="1:31">
      <c r="A625" t="s">
        <v>2967</v>
      </c>
      <c r="B625" t="s">
        <v>2968</v>
      </c>
      <c r="C625" t="s">
        <v>2969</v>
      </c>
      <c r="D625" t="s">
        <v>2970</v>
      </c>
      <c r="E625" t="s">
        <v>90</v>
      </c>
      <c r="F625" t="s">
        <v>122</v>
      </c>
      <c r="G625" t="s">
        <v>34</v>
      </c>
      <c r="H625" t="s">
        <v>161</v>
      </c>
      <c r="I625" t="s">
        <v>162</v>
      </c>
      <c r="J625" t="s">
        <v>37</v>
      </c>
      <c r="K625" t="s">
        <v>163</v>
      </c>
      <c r="L625" t="s">
        <v>2971</v>
      </c>
      <c r="M625" t="s">
        <v>40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41</v>
      </c>
      <c r="U625" t="s">
        <v>42</v>
      </c>
      <c r="V625">
        <f>O625*(1-P625)*N625</f>
        <v>10329.843999999999</v>
      </c>
      <c r="W625">
        <f t="shared" si="27"/>
        <v>2817.6239999999989</v>
      </c>
      <c r="X625">
        <f t="shared" si="28"/>
        <v>0.27276511543257204</v>
      </c>
      <c r="Y625" t="s">
        <v>4120</v>
      </c>
      <c r="Z625" s="2">
        <f>IFERROR(
  IF(ISNUMBER(B625),B625,
    IF(ISNUMBER(SEARCH("-",B625)*1),
      IF(LEN(LEFT(B625,FIND("-",B625)-1))=4,
        DATE(VALUE(LEFT(B625,4)),VALUE(MID(B625,6,2)),VALUE(RIGHT(B625,2))),
        DATE(VALUE(RIGHT(B625,4)),VALUE(MID(B625,4,2)),VALUE(LEFT(B625,2)))
      ),
      IF(ISNUMBER(SEARCH("/",B625)*1),
        DATE(VALUE(RIGHT(B625,4)),VALUE(LEFT(B625,2)),VALUE(MID(B625,4,2))),
        DATEVALUE(B625)
      )
    )
  ),
"INVALID_DATE")</f>
        <v>45512</v>
      </c>
      <c r="AA625" s="2">
        <f>IFERROR(
  IF(ISNUMBER(C625),C625,
    IF(ISNUMBER(SEARCH("-",C625)*1),
      IF(LEN(LEFT(C625,FIND("-",C625)-1))=4,
        DATE(VALUE(LEFT(C625,4)),VALUE(MID(C625,6,2)),VALUE(RIGHT(C625,2))),
        DATE(VALUE(RIGHT(C625,4)),VALUE(MID(C625,4,2)),VALUE(LEFT(C625,2)))
      ),
      IF(ISNUMBER(SEARCH("/",C625)*1),
        DATE(VALUE(RIGHT(C625,4)),VALUE(LEFT(C625,2)),VALUE(MID(C625,4,2))),
        DATEVALUE(C625)
      )
    )
  ),
"INVALID_DATE")</f>
        <v>45518</v>
      </c>
      <c r="AB625">
        <f>AA625-Z625</f>
        <v>6</v>
      </c>
      <c r="AC625" t="str">
        <f>TEXT(Z625,"mmmm")</f>
        <v>August</v>
      </c>
      <c r="AD625">
        <f>YEAR(Z625)</f>
        <v>2024</v>
      </c>
      <c r="AE625" t="str">
        <f t="shared" si="29"/>
        <v>OK</v>
      </c>
    </row>
    <row r="626" spans="1:31">
      <c r="A626" t="s">
        <v>2972</v>
      </c>
      <c r="B626" t="s">
        <v>2973</v>
      </c>
      <c r="C626" t="s">
        <v>2974</v>
      </c>
      <c r="D626" t="s">
        <v>2975</v>
      </c>
      <c r="E626" t="s">
        <v>100</v>
      </c>
      <c r="F626" t="s">
        <v>122</v>
      </c>
      <c r="G626" t="s">
        <v>49</v>
      </c>
      <c r="H626" t="s">
        <v>223</v>
      </c>
      <c r="I626" t="s">
        <v>224</v>
      </c>
      <c r="J626" t="s">
        <v>52</v>
      </c>
      <c r="K626" t="s">
        <v>83</v>
      </c>
      <c r="L626" t="s">
        <v>2976</v>
      </c>
      <c r="M626" t="s">
        <v>63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41</v>
      </c>
      <c r="U626" t="s">
        <v>42</v>
      </c>
      <c r="V626">
        <f>O626*(1-P626)*N626</f>
        <v>8456.9569999999985</v>
      </c>
      <c r="W626">
        <f t="shared" si="27"/>
        <v>2994.1069999999982</v>
      </c>
      <c r="X626">
        <f t="shared" si="28"/>
        <v>0.35404093196609659</v>
      </c>
      <c r="Y626" t="s">
        <v>4120</v>
      </c>
      <c r="Z626" s="2">
        <f>IFERROR(
  IF(ISNUMBER(B626),B626,
    IF(ISNUMBER(SEARCH("-",B626)*1),
      IF(LEN(LEFT(B626,FIND("-",B626)-1))=4,
        DATE(VALUE(LEFT(B626,4)),VALUE(MID(B626,6,2)),VALUE(RIGHT(B626,2))),
        DATE(VALUE(RIGHT(B626,4)),VALUE(MID(B626,4,2)),VALUE(LEFT(B626,2)))
      ),
      IF(ISNUMBER(SEARCH("/",B626)*1),
        DATE(VALUE(RIGHT(B626,4)),VALUE(LEFT(B626,2)),VALUE(MID(B626,4,2))),
        DATEVALUE(B626)
      )
    )
  ),
"INVALID_DATE")</f>
        <v>45321</v>
      </c>
      <c r="AA626" s="2">
        <f>IFERROR(
  IF(ISNUMBER(C626),C626,
    IF(ISNUMBER(SEARCH("-",C626)*1),
      IF(LEN(LEFT(C626,FIND("-",C626)-1))=4,
        DATE(VALUE(LEFT(C626,4)),VALUE(MID(C626,6,2)),VALUE(RIGHT(C626,2))),
        DATE(VALUE(RIGHT(C626,4)),VALUE(MID(C626,4,2)),VALUE(LEFT(C626,2)))
      ),
      IF(ISNUMBER(SEARCH("/",C626)*1),
        DATE(VALUE(RIGHT(C626,4)),VALUE(LEFT(C626,2)),VALUE(MID(C626,4,2))),
        DATEVALUE(C626)
      )
    )
  ),
"INVALID_DATE")</f>
        <v>45323</v>
      </c>
      <c r="AB626">
        <f>AA626-Z626</f>
        <v>2</v>
      </c>
      <c r="AC626" t="str">
        <f>TEXT(Z626,"mmmm")</f>
        <v>January</v>
      </c>
      <c r="AD626">
        <f>YEAR(Z626)</f>
        <v>2024</v>
      </c>
      <c r="AE626" t="str">
        <f t="shared" si="29"/>
        <v>OK</v>
      </c>
    </row>
    <row r="627" spans="1:31">
      <c r="A627" t="s">
        <v>2977</v>
      </c>
      <c r="B627" t="s">
        <v>2978</v>
      </c>
      <c r="C627" t="s">
        <v>1412</v>
      </c>
      <c r="D627" t="s">
        <v>2979</v>
      </c>
      <c r="E627" t="s">
        <v>217</v>
      </c>
      <c r="F627" t="s">
        <v>115</v>
      </c>
      <c r="G627" t="s">
        <v>80</v>
      </c>
      <c r="H627" t="s">
        <v>35</v>
      </c>
      <c r="I627" t="s">
        <v>142</v>
      </c>
      <c r="J627" t="s">
        <v>52</v>
      </c>
      <c r="K627" t="s">
        <v>83</v>
      </c>
      <c r="L627" t="s">
        <v>2980</v>
      </c>
      <c r="M627" t="s">
        <v>55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41</v>
      </c>
      <c r="U627" t="s">
        <v>42</v>
      </c>
      <c r="V627">
        <f>O627*(1-P627)*N627</f>
        <v>1266.4079999999999</v>
      </c>
      <c r="W627">
        <f t="shared" si="27"/>
        <v>282.48799999999994</v>
      </c>
      <c r="X627">
        <f t="shared" si="28"/>
        <v>0.22306362078631722</v>
      </c>
      <c r="Y627" t="s">
        <v>4120</v>
      </c>
      <c r="Z627" s="2">
        <f>IFERROR(
  IF(ISNUMBER(B627),B627,
    IF(ISNUMBER(SEARCH("-",B627)*1),
      IF(LEN(LEFT(B627,FIND("-",B627)-1))=4,
        DATE(VALUE(LEFT(B627,4)),VALUE(MID(B627,6,2)),VALUE(RIGHT(B627,2))),
        DATE(VALUE(RIGHT(B627,4)),VALUE(MID(B627,4,2)),VALUE(LEFT(B627,2)))
      ),
      IF(ISNUMBER(SEARCH("/",B627)*1),
        DATE(VALUE(RIGHT(B627,4)),VALUE(LEFT(B627,2)),VALUE(MID(B627,4,2))),
        DATEVALUE(B627)
      )
    )
  ),
"INVALID_DATE")</f>
        <v>45641</v>
      </c>
      <c r="AA627" s="2">
        <f>IFERROR(
  IF(ISNUMBER(C627),C627,
    IF(ISNUMBER(SEARCH("-",C627)*1),
      IF(LEN(LEFT(C627,FIND("-",C627)-1))=4,
        DATE(VALUE(LEFT(C627,4)),VALUE(MID(C627,6,2)),VALUE(RIGHT(C627,2))),
        DATE(VALUE(RIGHT(C627,4)),VALUE(MID(C627,4,2)),VALUE(LEFT(C627,2)))
      ),
      IF(ISNUMBER(SEARCH("/",C627)*1),
        DATE(VALUE(RIGHT(C627,4)),VALUE(LEFT(C627,2)),VALUE(MID(C627,4,2))),
        DATEVALUE(C627)
      )
    )
  ),
"INVALID_DATE")</f>
        <v>45647</v>
      </c>
      <c r="AB627">
        <f>AA627-Z627</f>
        <v>6</v>
      </c>
      <c r="AC627" t="str">
        <f>TEXT(Z627,"mmmm")</f>
        <v>December</v>
      </c>
      <c r="AD627">
        <f>YEAR(Z627)</f>
        <v>2024</v>
      </c>
      <c r="AE627" t="str">
        <f t="shared" si="29"/>
        <v>OK</v>
      </c>
    </row>
    <row r="628" spans="1:31">
      <c r="A628" t="s">
        <v>2981</v>
      </c>
      <c r="B628" t="s">
        <v>1397</v>
      </c>
      <c r="C628" t="s">
        <v>2982</v>
      </c>
      <c r="D628" t="s">
        <v>2983</v>
      </c>
      <c r="E628" t="s">
        <v>175</v>
      </c>
      <c r="F628" t="s">
        <v>122</v>
      </c>
      <c r="G628" t="s">
        <v>49</v>
      </c>
      <c r="H628" t="s">
        <v>223</v>
      </c>
      <c r="I628" t="s">
        <v>224</v>
      </c>
      <c r="J628" t="s">
        <v>93</v>
      </c>
      <c r="K628" t="s">
        <v>390</v>
      </c>
      <c r="L628" t="s">
        <v>2984</v>
      </c>
      <c r="M628" t="s">
        <v>74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144</v>
      </c>
      <c r="U628" t="s">
        <v>132</v>
      </c>
      <c r="V628">
        <f>O628*(1-P628)*N628</f>
        <v>11473.04</v>
      </c>
      <c r="W628">
        <f t="shared" si="27"/>
        <v>2541.7100000000009</v>
      </c>
      <c r="X628">
        <f t="shared" si="28"/>
        <v>0.22153762211236078</v>
      </c>
      <c r="Y628" t="s">
        <v>4120</v>
      </c>
      <c r="Z628" s="2">
        <f>IFERROR(
  IF(ISNUMBER(B628),B628,
    IF(ISNUMBER(SEARCH("-",B628)*1),
      IF(LEN(LEFT(B628,FIND("-",B628)-1))=4,
        DATE(VALUE(LEFT(B628,4)),VALUE(MID(B628,6,2)),VALUE(RIGHT(B628,2))),
        DATE(VALUE(RIGHT(B628,4)),VALUE(MID(B628,4,2)),VALUE(LEFT(B628,2)))
      ),
      IF(ISNUMBER(SEARCH("/",B628)*1),
        DATE(VALUE(RIGHT(B628,4)),VALUE(LEFT(B628,2)),VALUE(MID(B628,4,2))),
        DATEVALUE(B628)
      )
    )
  ),
"INVALID_DATE")</f>
        <v>45812</v>
      </c>
      <c r="AA628" s="2">
        <f>IFERROR(
  IF(ISNUMBER(C628),C628,
    IF(ISNUMBER(SEARCH("-",C628)*1),
      IF(LEN(LEFT(C628,FIND("-",C628)-1))=4,
        DATE(VALUE(LEFT(C628,4)),VALUE(MID(C628,6,2)),VALUE(RIGHT(C628,2))),
        DATE(VALUE(RIGHT(C628,4)),VALUE(MID(C628,4,2)),VALUE(LEFT(C628,2)))
      ),
      IF(ISNUMBER(SEARCH("/",C628)*1),
        DATE(VALUE(RIGHT(C628,4)),VALUE(LEFT(C628,2)),VALUE(MID(C628,4,2))),
        DATEVALUE(C628)
      )
    )
  ),
"INVALID_DATE")</f>
        <v>45815</v>
      </c>
      <c r="AB628">
        <f>AA628-Z628</f>
        <v>3</v>
      </c>
      <c r="AC628" t="str">
        <f>TEXT(Z628,"mmmm")</f>
        <v>June</v>
      </c>
      <c r="AD628">
        <f>YEAR(Z628)</f>
        <v>2025</v>
      </c>
      <c r="AE628" t="str">
        <f t="shared" si="29"/>
        <v>OK</v>
      </c>
    </row>
    <row r="629" spans="1:31">
      <c r="A629" t="s">
        <v>2985</v>
      </c>
      <c r="B629" t="s">
        <v>1422</v>
      </c>
      <c r="C629" t="s">
        <v>1783</v>
      </c>
      <c r="D629" t="s">
        <v>2986</v>
      </c>
      <c r="E629" t="s">
        <v>32</v>
      </c>
      <c r="F629" t="s">
        <v>48</v>
      </c>
      <c r="G629" t="s">
        <v>69</v>
      </c>
      <c r="H629" t="s">
        <v>249</v>
      </c>
      <c r="I629" t="s">
        <v>250</v>
      </c>
      <c r="J629" t="s">
        <v>93</v>
      </c>
      <c r="K629" t="s">
        <v>230</v>
      </c>
      <c r="L629" t="s">
        <v>2987</v>
      </c>
      <c r="M629" t="s">
        <v>40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144</v>
      </c>
      <c r="U629" t="s">
        <v>85</v>
      </c>
      <c r="V629">
        <f>O629*(1-P629)*N629</f>
        <v>4012.0339999999997</v>
      </c>
      <c r="W629">
        <f t="shared" si="27"/>
        <v>869.11399999999958</v>
      </c>
      <c r="X629">
        <f t="shared" si="28"/>
        <v>0.21662599731308091</v>
      </c>
      <c r="Y629" t="s">
        <v>4120</v>
      </c>
      <c r="Z629" s="2">
        <f>IFERROR(
  IF(ISNUMBER(B629),B629,
    IF(ISNUMBER(SEARCH("-",B629)*1),
      IF(LEN(LEFT(B629,FIND("-",B629)-1))=4,
        DATE(VALUE(LEFT(B629,4)),VALUE(MID(B629,6,2)),VALUE(RIGHT(B629,2))),
        DATE(VALUE(RIGHT(B629,4)),VALUE(MID(B629,4,2)),VALUE(LEFT(B629,2)))
      ),
      IF(ISNUMBER(SEARCH("/",B629)*1),
        DATE(VALUE(RIGHT(B629,4)),VALUE(LEFT(B629,2)),VALUE(MID(B629,4,2))),
        DATEVALUE(B629)
      )
    )
  ),
"INVALID_DATE")</f>
        <v>45701</v>
      </c>
      <c r="AA629" s="2">
        <f>IFERROR(
  IF(ISNUMBER(C629),C629,
    IF(ISNUMBER(SEARCH("-",C629)*1),
      IF(LEN(LEFT(C629,FIND("-",C629)-1))=4,
        DATE(VALUE(LEFT(C629,4)),VALUE(MID(C629,6,2)),VALUE(RIGHT(C629,2))),
        DATE(VALUE(RIGHT(C629,4)),VALUE(MID(C629,4,2)),VALUE(LEFT(C629,2)))
      ),
      IF(ISNUMBER(SEARCH("/",C629)*1),
        DATE(VALUE(RIGHT(C629,4)),VALUE(LEFT(C629,2)),VALUE(MID(C629,4,2))),
        DATEVALUE(C629)
      )
    )
  ),
"INVALID_DATE")</f>
        <v>45709</v>
      </c>
      <c r="AB629">
        <f>AA629-Z629</f>
        <v>8</v>
      </c>
      <c r="AC629" t="str">
        <f>TEXT(Z629,"mmmm")</f>
        <v>February</v>
      </c>
      <c r="AD629">
        <f>YEAR(Z629)</f>
        <v>2025</v>
      </c>
      <c r="AE629" t="str">
        <f t="shared" si="29"/>
        <v>OK</v>
      </c>
    </row>
    <row r="630" spans="1:31">
      <c r="A630" t="s">
        <v>2988</v>
      </c>
      <c r="B630" t="s">
        <v>2561</v>
      </c>
      <c r="C630" t="s">
        <v>2989</v>
      </c>
      <c r="D630" t="s">
        <v>2990</v>
      </c>
      <c r="E630" t="s">
        <v>79</v>
      </c>
      <c r="F630" t="s">
        <v>122</v>
      </c>
      <c r="G630" t="s">
        <v>49</v>
      </c>
      <c r="H630" t="s">
        <v>319</v>
      </c>
      <c r="I630" t="s">
        <v>320</v>
      </c>
      <c r="J630" t="s">
        <v>93</v>
      </c>
      <c r="K630" t="s">
        <v>94</v>
      </c>
      <c r="L630" t="s">
        <v>2991</v>
      </c>
      <c r="M630" t="s">
        <v>55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41</v>
      </c>
      <c r="U630" t="s">
        <v>42</v>
      </c>
      <c r="V630">
        <f>O630*(1-P630)*N630</f>
        <v>5364.3554999999997</v>
      </c>
      <c r="W630">
        <f t="shared" si="27"/>
        <v>973.0654999999997</v>
      </c>
      <c r="X630">
        <f t="shared" si="28"/>
        <v>0.18139535750769897</v>
      </c>
      <c r="Y630" t="str">
        <f>_xlfn.TEXTJOIN(", ",TRUE,IF(G630="Unknown","Missing Region",""),IF(M630="Unknown","Missing Ship Mode",""),IF(P630&lt;0,"Negative Discount",""),IF(P630&gt;0.7,"High Discount",""),IF(C630&lt;B630,"Ship Before Order",""))</f>
        <v>Ship Before Order</v>
      </c>
      <c r="Z630" s="2">
        <f>IFERROR(
  IF(ISNUMBER(B630),B630,
    IF(ISNUMBER(SEARCH("-",B630)*1),
      IF(LEN(LEFT(B630,FIND("-",B630)-1))=4,
        DATE(VALUE(LEFT(B630,4)),VALUE(MID(B630,6,2)),VALUE(RIGHT(B630,2))),
        DATE(VALUE(RIGHT(B630,4)),VALUE(MID(B630,4,2)),VALUE(LEFT(B630,2)))
      ),
      IF(ISNUMBER(SEARCH("/",B630)*1),
        DATE(VALUE(RIGHT(B630,4)),VALUE(LEFT(B630,2)),VALUE(MID(B630,4,2))),
        DATEVALUE(B630)
      )
    )
  ),
"INVALID_DATE")</f>
        <v>45935</v>
      </c>
      <c r="AA630" s="2">
        <f>IFERROR(
  IF(ISNUMBER(C630),C630,
    IF(ISNUMBER(SEARCH("-",C630)*1),
      IF(LEN(LEFT(C630,FIND("-",C630)-1))=4,
        DATE(VALUE(LEFT(C630,4)),VALUE(MID(C630,6,2)),VALUE(RIGHT(C630,2))),
        DATE(VALUE(RIGHT(C630,4)),VALUE(MID(C630,4,2)),VALUE(LEFT(C630,2)))
      ),
      IF(ISNUMBER(SEARCH("/",C630)*1),
        DATE(VALUE(RIGHT(C630,4)),VALUE(LEFT(C630,2)),VALUE(MID(C630,4,2))),
        DATEVALUE(C630)
      )
    )
  ),
"INVALID_DATE")</f>
        <v>45942</v>
      </c>
      <c r="AB630">
        <f>AA630-Z630</f>
        <v>7</v>
      </c>
      <c r="AC630" t="str">
        <f>TEXT(Z630,"mmmm")</f>
        <v>October</v>
      </c>
      <c r="AD630">
        <f>YEAR(Z630)</f>
        <v>2025</v>
      </c>
      <c r="AE630" t="str">
        <f t="shared" si="29"/>
        <v>OK</v>
      </c>
    </row>
    <row r="631" spans="1:31">
      <c r="A631" t="s">
        <v>2992</v>
      </c>
      <c r="B631" t="s">
        <v>581</v>
      </c>
      <c r="C631" t="s">
        <v>2993</v>
      </c>
      <c r="D631" t="s">
        <v>2994</v>
      </c>
      <c r="E631" t="s">
        <v>68</v>
      </c>
      <c r="F631" t="s">
        <v>122</v>
      </c>
      <c r="G631" t="s">
        <v>80</v>
      </c>
      <c r="H631" t="s">
        <v>242</v>
      </c>
      <c r="I631" t="s">
        <v>243</v>
      </c>
      <c r="J631" t="s">
        <v>52</v>
      </c>
      <c r="K631" t="s">
        <v>53</v>
      </c>
      <c r="L631" t="s">
        <v>2995</v>
      </c>
      <c r="M631" t="s">
        <v>55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41</v>
      </c>
      <c r="U631" t="s">
        <v>42</v>
      </c>
      <c r="V631">
        <f>O631*(1-P631)*N631</f>
        <v>10706.073</v>
      </c>
      <c r="W631">
        <f t="shared" si="27"/>
        <v>4778.973</v>
      </c>
      <c r="X631">
        <f t="shared" si="28"/>
        <v>0.44637948378816883</v>
      </c>
      <c r="Y631" t="s">
        <v>4120</v>
      </c>
      <c r="Z631" s="2">
        <f>IFERROR(
  IF(ISNUMBER(B631),B631,
    IF(ISNUMBER(SEARCH("-",B631)*1),
      IF(LEN(LEFT(B631,FIND("-",B631)-1))=4,
        DATE(VALUE(LEFT(B631,4)),VALUE(MID(B631,6,2)),VALUE(RIGHT(B631,2))),
        DATE(VALUE(RIGHT(B631,4)),VALUE(MID(B631,4,2)),VALUE(LEFT(B631,2)))
      ),
      IF(ISNUMBER(SEARCH("/",B631)*1),
        DATE(VALUE(RIGHT(B631,4)),VALUE(LEFT(B631,2)),VALUE(MID(B631,4,2))),
        DATEVALUE(B631)
      )
    )
  ),
"INVALID_DATE")</f>
        <v>45910</v>
      </c>
      <c r="AA631" s="2">
        <f>IFERROR(
  IF(ISNUMBER(C631),C631,
    IF(ISNUMBER(SEARCH("-",C631)*1),
      IF(LEN(LEFT(C631,FIND("-",C631)-1))=4,
        DATE(VALUE(LEFT(C631,4)),VALUE(MID(C631,6,2)),VALUE(RIGHT(C631,2))),
        DATE(VALUE(RIGHT(C631,4)),VALUE(MID(C631,4,2)),VALUE(LEFT(C631,2)))
      ),
      IF(ISNUMBER(SEARCH("/",C631)*1),
        DATE(VALUE(RIGHT(C631,4)),VALUE(LEFT(C631,2)),VALUE(MID(C631,4,2))),
        DATEVALUE(C631)
      )
    )
  ),
"INVALID_DATE")</f>
        <v>45914</v>
      </c>
      <c r="AB631">
        <f>AA631-Z631</f>
        <v>4</v>
      </c>
      <c r="AC631" t="str">
        <f>TEXT(Z631,"mmmm")</f>
        <v>September</v>
      </c>
      <c r="AD631">
        <f>YEAR(Z631)</f>
        <v>2025</v>
      </c>
      <c r="AE631" t="str">
        <f t="shared" si="29"/>
        <v>OK</v>
      </c>
    </row>
    <row r="632" spans="1:31">
      <c r="A632" t="s">
        <v>2996</v>
      </c>
      <c r="B632" t="s">
        <v>2451</v>
      </c>
      <c r="C632" t="s">
        <v>1505</v>
      </c>
      <c r="D632" t="s">
        <v>2997</v>
      </c>
      <c r="E632" t="s">
        <v>149</v>
      </c>
      <c r="F632" t="s">
        <v>115</v>
      </c>
      <c r="G632" t="s">
        <v>49</v>
      </c>
      <c r="H632" t="s">
        <v>223</v>
      </c>
      <c r="I632" t="s">
        <v>224</v>
      </c>
      <c r="J632" t="s">
        <v>37</v>
      </c>
      <c r="K632" t="s">
        <v>38</v>
      </c>
      <c r="L632" t="s">
        <v>2998</v>
      </c>
      <c r="M632" t="s">
        <v>74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41</v>
      </c>
      <c r="U632" t="s">
        <v>42</v>
      </c>
      <c r="V632">
        <f>O632*(1-P632)*N632</f>
        <v>10969.380000000001</v>
      </c>
      <c r="W632">
        <f t="shared" si="27"/>
        <v>1714.9200000000019</v>
      </c>
      <c r="X632">
        <f t="shared" si="28"/>
        <v>0.15633700354988159</v>
      </c>
      <c r="Y632" t="s">
        <v>4120</v>
      </c>
      <c r="Z632" s="2">
        <f>IFERROR(
  IF(ISNUMBER(B632),B632,
    IF(ISNUMBER(SEARCH("-",B632)*1),
      IF(LEN(LEFT(B632,FIND("-",B632)-1))=4,
        DATE(VALUE(LEFT(B632,4)),VALUE(MID(B632,6,2)),VALUE(RIGHT(B632,2))),
        DATE(VALUE(RIGHT(B632,4)),VALUE(MID(B632,4,2)),VALUE(LEFT(B632,2)))
      ),
      IF(ISNUMBER(SEARCH("/",B632)*1),
        DATE(VALUE(RIGHT(B632,4)),VALUE(LEFT(B632,2)),VALUE(MID(B632,4,2))),
        DATEVALUE(B632)
      )
    )
  ),
"INVALID_DATE")</f>
        <v>45391</v>
      </c>
      <c r="AA632" s="2">
        <f>IFERROR(
  IF(ISNUMBER(C632),C632,
    IF(ISNUMBER(SEARCH("-",C632)*1),
      IF(LEN(LEFT(C632,FIND("-",C632)-1))=4,
        DATE(VALUE(LEFT(C632,4)),VALUE(MID(C632,6,2)),VALUE(RIGHT(C632,2))),
        DATE(VALUE(RIGHT(C632,4)),VALUE(MID(C632,4,2)),VALUE(LEFT(C632,2)))
      ),
      IF(ISNUMBER(SEARCH("/",C632)*1),
        DATE(VALUE(RIGHT(C632,4)),VALUE(LEFT(C632,2)),VALUE(MID(C632,4,2))),
        DATEVALUE(C632)
      )
    )
  ),
"INVALID_DATE")</f>
        <v>45392</v>
      </c>
      <c r="AB632">
        <f>AA632-Z632</f>
        <v>1</v>
      </c>
      <c r="AC632" t="str">
        <f>TEXT(Z632,"mmmm")</f>
        <v>April</v>
      </c>
      <c r="AD632">
        <f>YEAR(Z632)</f>
        <v>2024</v>
      </c>
      <c r="AE632" t="str">
        <f t="shared" si="29"/>
        <v>OK</v>
      </c>
    </row>
    <row r="633" spans="1:31">
      <c r="A633" t="s">
        <v>2999</v>
      </c>
      <c r="B633" t="s">
        <v>1448</v>
      </c>
      <c r="C633" t="s">
        <v>1548</v>
      </c>
      <c r="D633" t="s">
        <v>3000</v>
      </c>
      <c r="E633" t="s">
        <v>169</v>
      </c>
      <c r="F633" t="s">
        <v>122</v>
      </c>
      <c r="G633" t="s">
        <v>80</v>
      </c>
      <c r="H633" t="s">
        <v>35</v>
      </c>
      <c r="I633" t="s">
        <v>142</v>
      </c>
      <c r="J633" t="s">
        <v>52</v>
      </c>
      <c r="K633" t="s">
        <v>83</v>
      </c>
      <c r="L633" t="s">
        <v>3001</v>
      </c>
      <c r="M633" t="s">
        <v>74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41</v>
      </c>
      <c r="U633" t="s">
        <v>42</v>
      </c>
      <c r="V633">
        <f>O633*(1-P633)*N633</f>
        <v>31409.855999999996</v>
      </c>
      <c r="W633">
        <f t="shared" si="27"/>
        <v>8886.3159999999953</v>
      </c>
      <c r="X633">
        <f t="shared" si="28"/>
        <v>0.28291498274745575</v>
      </c>
      <c r="Y633" t="s">
        <v>4120</v>
      </c>
      <c r="Z633" s="2">
        <f>IFERROR(
  IF(ISNUMBER(B633),B633,
    IF(ISNUMBER(SEARCH("-",B633)*1),
      IF(LEN(LEFT(B633,FIND("-",B633)-1))=4,
        DATE(VALUE(LEFT(B633,4)),VALUE(MID(B633,6,2)),VALUE(RIGHT(B633,2))),
        DATE(VALUE(RIGHT(B633,4)),VALUE(MID(B633,4,2)),VALUE(LEFT(B633,2)))
      ),
      IF(ISNUMBER(SEARCH("/",B633)*1),
        DATE(VALUE(RIGHT(B633,4)),VALUE(LEFT(B633,2)),VALUE(MID(B633,4,2))),
        DATEVALUE(B633)
      )
    )
  ),
"INVALID_DATE")</f>
        <v>45392</v>
      </c>
      <c r="AA633" s="2">
        <f>IFERROR(
  IF(ISNUMBER(C633),C633,
    IF(ISNUMBER(SEARCH("-",C633)*1),
      IF(LEN(LEFT(C633,FIND("-",C633)-1))=4,
        DATE(VALUE(LEFT(C633,4)),VALUE(MID(C633,6,2)),VALUE(RIGHT(C633,2))),
        DATE(VALUE(RIGHT(C633,4)),VALUE(MID(C633,4,2)),VALUE(LEFT(C633,2)))
      ),
      IF(ISNUMBER(SEARCH("/",C633)*1),
        DATE(VALUE(RIGHT(C633,4)),VALUE(LEFT(C633,2)),VALUE(MID(C633,4,2))),
        DATEVALUE(C633)
      )
    )
  ),
"INVALID_DATE")</f>
        <v>45397</v>
      </c>
      <c r="AB633">
        <f>AA633-Z633</f>
        <v>5</v>
      </c>
      <c r="AC633" t="str">
        <f>TEXT(Z633,"mmmm")</f>
        <v>April</v>
      </c>
      <c r="AD633">
        <f>YEAR(Z633)</f>
        <v>2024</v>
      </c>
      <c r="AE633" t="str">
        <f t="shared" si="29"/>
        <v>OK</v>
      </c>
    </row>
    <row r="634" spans="1:31">
      <c r="A634" t="s">
        <v>3002</v>
      </c>
      <c r="B634" t="s">
        <v>3003</v>
      </c>
      <c r="C634" t="s">
        <v>3004</v>
      </c>
      <c r="D634" t="s">
        <v>3005</v>
      </c>
      <c r="E634" t="s">
        <v>175</v>
      </c>
      <c r="F634" t="s">
        <v>48</v>
      </c>
      <c r="G634" t="s">
        <v>69</v>
      </c>
      <c r="H634" t="s">
        <v>236</v>
      </c>
      <c r="I634" t="s">
        <v>237</v>
      </c>
      <c r="J634" t="s">
        <v>52</v>
      </c>
      <c r="K634" t="s">
        <v>72</v>
      </c>
      <c r="L634" t="s">
        <v>3006</v>
      </c>
      <c r="M634" t="s">
        <v>63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41</v>
      </c>
      <c r="U634" t="s">
        <v>42</v>
      </c>
      <c r="V634">
        <f>O634*(1-P634)*N634</f>
        <v>14252.650000000001</v>
      </c>
      <c r="W634">
        <f t="shared" si="27"/>
        <v>2694.340000000002</v>
      </c>
      <c r="X634">
        <f t="shared" si="28"/>
        <v>0.18904133617257143</v>
      </c>
      <c r="Y634" t="s">
        <v>4120</v>
      </c>
      <c r="Z634" s="2">
        <f>IFERROR(
  IF(ISNUMBER(B634),B634,
    IF(ISNUMBER(SEARCH("-",B634)*1),
      IF(LEN(LEFT(B634,FIND("-",B634)-1))=4,
        DATE(VALUE(LEFT(B634,4)),VALUE(MID(B634,6,2)),VALUE(RIGHT(B634,2))),
        DATE(VALUE(RIGHT(B634,4)),VALUE(MID(B634,4,2)),VALUE(LEFT(B634,2)))
      ),
      IF(ISNUMBER(SEARCH("/",B634)*1),
        DATE(VALUE(RIGHT(B634,4)),VALUE(LEFT(B634,2)),VALUE(MID(B634,4,2))),
        DATEVALUE(B634)
      )
    )
  ),
"INVALID_DATE")</f>
        <v>45762</v>
      </c>
      <c r="AA634" s="2">
        <f>IFERROR(
  IF(ISNUMBER(C634),C634,
    IF(ISNUMBER(SEARCH("-",C634)*1),
      IF(LEN(LEFT(C634,FIND("-",C634)-1))=4,
        DATE(VALUE(LEFT(C634,4)),VALUE(MID(C634,6,2)),VALUE(RIGHT(C634,2))),
        DATE(VALUE(RIGHT(C634,4)),VALUE(MID(C634,4,2)),VALUE(LEFT(C634,2)))
      ),
      IF(ISNUMBER(SEARCH("/",C634)*1),
        DATE(VALUE(RIGHT(C634,4)),VALUE(LEFT(C634,2)),VALUE(MID(C634,4,2))),
        DATEVALUE(C634)
      )
    )
  ),
"INVALID_DATE")</f>
        <v>45763</v>
      </c>
      <c r="AB634">
        <f>AA634-Z634</f>
        <v>1</v>
      </c>
      <c r="AC634" t="str">
        <f>TEXT(Z634,"mmmm")</f>
        <v>April</v>
      </c>
      <c r="AD634">
        <f>YEAR(Z634)</f>
        <v>2025</v>
      </c>
      <c r="AE634" t="str">
        <f t="shared" si="29"/>
        <v>OK</v>
      </c>
    </row>
    <row r="635" spans="1:31">
      <c r="A635" t="s">
        <v>3007</v>
      </c>
      <c r="B635" t="s">
        <v>3008</v>
      </c>
      <c r="C635" t="s">
        <v>3009</v>
      </c>
      <c r="D635" t="s">
        <v>3010</v>
      </c>
      <c r="E635" t="s">
        <v>169</v>
      </c>
      <c r="F635" t="s">
        <v>48</v>
      </c>
      <c r="G635" t="s">
        <v>69</v>
      </c>
      <c r="H635" t="s">
        <v>347</v>
      </c>
      <c r="I635" t="s">
        <v>348</v>
      </c>
      <c r="J635" t="s">
        <v>93</v>
      </c>
      <c r="K635" t="s">
        <v>94</v>
      </c>
      <c r="L635" t="s">
        <v>3011</v>
      </c>
      <c r="M635" t="s">
        <v>40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41</v>
      </c>
      <c r="U635" t="s">
        <v>42</v>
      </c>
      <c r="V635">
        <f>O635*(1-P635)*N635</f>
        <v>1382.1679999999999</v>
      </c>
      <c r="W635">
        <f t="shared" si="27"/>
        <v>572.13799999999992</v>
      </c>
      <c r="X635">
        <f t="shared" si="28"/>
        <v>0.41394329206971642</v>
      </c>
      <c r="Y635" t="s">
        <v>4120</v>
      </c>
      <c r="Z635" s="2">
        <f>IFERROR(
  IF(ISNUMBER(B635),B635,
    IF(ISNUMBER(SEARCH("-",B635)*1),
      IF(LEN(LEFT(B635,FIND("-",B635)-1))=4,
        DATE(VALUE(LEFT(B635,4)),VALUE(MID(B635,6,2)),VALUE(RIGHT(B635,2))),
        DATE(VALUE(RIGHT(B635,4)),VALUE(MID(B635,4,2)),VALUE(LEFT(B635,2)))
      ),
      IF(ISNUMBER(SEARCH("/",B635)*1),
        DATE(VALUE(RIGHT(B635,4)),VALUE(LEFT(B635,2)),VALUE(MID(B635,4,2))),
        DATEVALUE(B635)
      )
    )
  ),
"INVALID_DATE")</f>
        <v>45765</v>
      </c>
      <c r="AA635" s="2">
        <f>IFERROR(
  IF(ISNUMBER(C635),C635,
    IF(ISNUMBER(SEARCH("-",C635)*1),
      IF(LEN(LEFT(C635,FIND("-",C635)-1))=4,
        DATE(VALUE(LEFT(C635,4)),VALUE(MID(C635,6,2)),VALUE(RIGHT(C635,2))),
        DATE(VALUE(RIGHT(C635,4)),VALUE(MID(C635,4,2)),VALUE(LEFT(C635,2)))
      ),
      IF(ISNUMBER(SEARCH("/",C635)*1),
        DATE(VALUE(RIGHT(C635,4)),VALUE(LEFT(C635,2)),VALUE(MID(C635,4,2))),
        DATEVALUE(C635)
      )
    )
  ),
"INVALID_DATE")</f>
        <v>45767</v>
      </c>
      <c r="AB635">
        <f>AA635-Z635</f>
        <v>2</v>
      </c>
      <c r="AC635" t="str">
        <f>TEXT(Z635,"mmmm")</f>
        <v>April</v>
      </c>
      <c r="AD635">
        <f>YEAR(Z635)</f>
        <v>2025</v>
      </c>
      <c r="AE635" t="str">
        <f t="shared" si="29"/>
        <v>OK</v>
      </c>
    </row>
    <row r="636" spans="1:31">
      <c r="A636" t="s">
        <v>3012</v>
      </c>
      <c r="B636" t="s">
        <v>3013</v>
      </c>
      <c r="C636" t="s">
        <v>2186</v>
      </c>
      <c r="D636" t="s">
        <v>3014</v>
      </c>
      <c r="E636" t="s">
        <v>114</v>
      </c>
      <c r="F636" t="s">
        <v>33</v>
      </c>
      <c r="G636" t="s">
        <v>69</v>
      </c>
      <c r="H636" t="s">
        <v>70</v>
      </c>
      <c r="I636" t="s">
        <v>71</v>
      </c>
      <c r="J636" t="s">
        <v>52</v>
      </c>
      <c r="K636" t="s">
        <v>83</v>
      </c>
      <c r="L636" t="s">
        <v>3015</v>
      </c>
      <c r="M636" t="s">
        <v>40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41</v>
      </c>
      <c r="U636" t="s">
        <v>42</v>
      </c>
      <c r="V636">
        <f>O636*(1-P636)*N636</f>
        <v>9223.17</v>
      </c>
      <c r="W636">
        <f t="shared" si="27"/>
        <v>4119.47</v>
      </c>
      <c r="X636">
        <f t="shared" si="28"/>
        <v>0.44664361602355807</v>
      </c>
      <c r="Y636" t="s">
        <v>4120</v>
      </c>
      <c r="Z636" s="2">
        <f>IFERROR(
  IF(ISNUMBER(B636),B636,
    IF(ISNUMBER(SEARCH("-",B636)*1),
      IF(LEN(LEFT(B636,FIND("-",B636)-1))=4,
        DATE(VALUE(LEFT(B636,4)),VALUE(MID(B636,6,2)),VALUE(RIGHT(B636,2))),
        DATE(VALUE(RIGHT(B636,4)),VALUE(MID(B636,4,2)),VALUE(LEFT(B636,2)))
      ),
      IF(ISNUMBER(SEARCH("/",B636)*1),
        DATE(VALUE(RIGHT(B636,4)),VALUE(LEFT(B636,2)),VALUE(MID(B636,4,2))),
        DATEVALUE(B636)
      )
    )
  ),
"INVALID_DATE")</f>
        <v>45668</v>
      </c>
      <c r="AA636" s="2">
        <f>IFERROR(
  IF(ISNUMBER(C636),C636,
    IF(ISNUMBER(SEARCH("-",C636)*1),
      IF(LEN(LEFT(C636,FIND("-",C636)-1))=4,
        DATE(VALUE(LEFT(C636,4)),VALUE(MID(C636,6,2)),VALUE(RIGHT(C636,2))),
        DATE(VALUE(RIGHT(C636,4)),VALUE(MID(C636,4,2)),VALUE(LEFT(C636,2)))
      ),
      IF(ISNUMBER(SEARCH("/",C636)*1),
        DATE(VALUE(RIGHT(C636,4)),VALUE(LEFT(C636,2)),VALUE(MID(C636,4,2))),
        DATEVALUE(C636)
      )
    )
  ),
"INVALID_DATE")</f>
        <v>45669</v>
      </c>
      <c r="AB636">
        <f>AA636-Z636</f>
        <v>1</v>
      </c>
      <c r="AC636" t="str">
        <f>TEXT(Z636,"mmmm")</f>
        <v>January</v>
      </c>
      <c r="AD636">
        <f>YEAR(Z636)</f>
        <v>2025</v>
      </c>
      <c r="AE636" t="str">
        <f t="shared" si="29"/>
        <v>OK</v>
      </c>
    </row>
    <row r="637" spans="1:31">
      <c r="A637" t="s">
        <v>3016</v>
      </c>
      <c r="B637" t="s">
        <v>2912</v>
      </c>
      <c r="C637" t="s">
        <v>3017</v>
      </c>
      <c r="D637" t="s">
        <v>3018</v>
      </c>
      <c r="E637" t="s">
        <v>47</v>
      </c>
      <c r="F637" t="s">
        <v>115</v>
      </c>
      <c r="G637" t="s">
        <v>69</v>
      </c>
      <c r="H637" t="s">
        <v>107</v>
      </c>
      <c r="I637" t="s">
        <v>108</v>
      </c>
      <c r="J637" t="s">
        <v>52</v>
      </c>
      <c r="K637" t="s">
        <v>83</v>
      </c>
      <c r="L637" t="s">
        <v>3019</v>
      </c>
      <c r="M637" t="s">
        <v>55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41</v>
      </c>
      <c r="U637" t="s">
        <v>42</v>
      </c>
      <c r="V637">
        <f>O637*(1-P637)*N637</f>
        <v>16394.962499999998</v>
      </c>
      <c r="W637">
        <f t="shared" si="27"/>
        <v>5990.7924999999977</v>
      </c>
      <c r="X637">
        <f t="shared" si="28"/>
        <v>0.36540436817168204</v>
      </c>
      <c r="Y637" t="s">
        <v>4120</v>
      </c>
      <c r="Z637" s="2">
        <f>IFERROR(
  IF(ISNUMBER(B637),B637,
    IF(ISNUMBER(SEARCH("-",B637)*1),
      IF(LEN(LEFT(B637,FIND("-",B637)-1))=4,
        DATE(VALUE(LEFT(B637,4)),VALUE(MID(B637,6,2)),VALUE(RIGHT(B637,2))),
        DATE(VALUE(RIGHT(B637,4)),VALUE(MID(B637,4,2)),VALUE(LEFT(B637,2)))
      ),
      IF(ISNUMBER(SEARCH("/",B637)*1),
        DATE(VALUE(RIGHT(B637,4)),VALUE(LEFT(B637,2)),VALUE(MID(B637,4,2))),
        DATEVALUE(B637)
      )
    )
  ),
"INVALID_DATE")</f>
        <v>45432</v>
      </c>
      <c r="AA637" s="2">
        <f>IFERROR(
  IF(ISNUMBER(C637),C637,
    IF(ISNUMBER(SEARCH("-",C637)*1),
      IF(LEN(LEFT(C637,FIND("-",C637)-1))=4,
        DATE(VALUE(LEFT(C637,4)),VALUE(MID(C637,6,2)),VALUE(RIGHT(C637,2))),
        DATE(VALUE(RIGHT(C637,4)),VALUE(MID(C637,4,2)),VALUE(LEFT(C637,2)))
      ),
      IF(ISNUMBER(SEARCH("/",C637)*1),
        DATE(VALUE(RIGHT(C637,4)),VALUE(LEFT(C637,2)),VALUE(MID(C637,4,2))),
        DATEVALUE(C637)
      )
    )
  ),
"INVALID_DATE")</f>
        <v>45437</v>
      </c>
      <c r="AB637">
        <f>AA637-Z637</f>
        <v>5</v>
      </c>
      <c r="AC637" t="str">
        <f>TEXT(Z637,"mmmm")</f>
        <v>May</v>
      </c>
      <c r="AD637">
        <f>YEAR(Z637)</f>
        <v>2024</v>
      </c>
      <c r="AE637" t="str">
        <f t="shared" si="29"/>
        <v>OK</v>
      </c>
    </row>
    <row r="638" spans="1:31">
      <c r="A638" t="s">
        <v>3020</v>
      </c>
      <c r="B638" t="s">
        <v>3021</v>
      </c>
      <c r="C638" t="s">
        <v>3022</v>
      </c>
      <c r="D638" t="s">
        <v>3023</v>
      </c>
      <c r="E638" t="s">
        <v>79</v>
      </c>
      <c r="F638" t="s">
        <v>33</v>
      </c>
      <c r="G638" t="s">
        <v>69</v>
      </c>
      <c r="H638" t="s">
        <v>347</v>
      </c>
      <c r="I638" t="s">
        <v>348</v>
      </c>
      <c r="J638" t="s">
        <v>37</v>
      </c>
      <c r="K638" t="s">
        <v>38</v>
      </c>
      <c r="L638" t="s">
        <v>3024</v>
      </c>
      <c r="M638" t="s">
        <v>74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41</v>
      </c>
      <c r="U638" t="s">
        <v>42</v>
      </c>
      <c r="V638">
        <f>O638*(1-P638)*N638</f>
        <v>12990.108</v>
      </c>
      <c r="W638">
        <f t="shared" si="27"/>
        <v>2789.3080000000009</v>
      </c>
      <c r="X638">
        <f t="shared" si="28"/>
        <v>0.21472566437081747</v>
      </c>
      <c r="Y638" t="s">
        <v>4120</v>
      </c>
      <c r="Z638" s="2">
        <f>IFERROR(
  IF(ISNUMBER(B638),B638,
    IF(ISNUMBER(SEARCH("-",B638)*1),
      IF(LEN(LEFT(B638,FIND("-",B638)-1))=4,
        DATE(VALUE(LEFT(B638,4)),VALUE(MID(B638,6,2)),VALUE(RIGHT(B638,2))),
        DATE(VALUE(RIGHT(B638,4)),VALUE(MID(B638,4,2)),VALUE(LEFT(B638,2)))
      ),
      IF(ISNUMBER(SEARCH("/",B638)*1),
        DATE(VALUE(RIGHT(B638,4)),VALUE(LEFT(B638,2)),VALUE(MID(B638,4,2))),
        DATEVALUE(B638)
      )
    )
  ),
"INVALID_DATE")</f>
        <v>45567</v>
      </c>
      <c r="AA638" s="2">
        <f>IFERROR(
  IF(ISNUMBER(C638),C638,
    IF(ISNUMBER(SEARCH("-",C638)*1),
      IF(LEN(LEFT(C638,FIND("-",C638)-1))=4,
        DATE(VALUE(LEFT(C638,4)),VALUE(MID(C638,6,2)),VALUE(RIGHT(C638,2))),
        DATE(VALUE(RIGHT(C638,4)),VALUE(MID(C638,4,2)),VALUE(LEFT(C638,2)))
      ),
      IF(ISNUMBER(SEARCH("/",C638)*1),
        DATE(VALUE(RIGHT(C638,4)),VALUE(LEFT(C638,2)),VALUE(MID(C638,4,2))),
        DATEVALUE(C638)
      )
    )
  ),
"INVALID_DATE")</f>
        <v>45574</v>
      </c>
      <c r="AB638">
        <f>AA638-Z638</f>
        <v>7</v>
      </c>
      <c r="AC638" t="str">
        <f>TEXT(Z638,"mmmm")</f>
        <v>October</v>
      </c>
      <c r="AD638">
        <f>YEAR(Z638)</f>
        <v>2024</v>
      </c>
      <c r="AE638" t="str">
        <f t="shared" si="29"/>
        <v>OK</v>
      </c>
    </row>
    <row r="639" spans="1:31">
      <c r="A639" t="s">
        <v>3025</v>
      </c>
      <c r="B639" t="s">
        <v>3026</v>
      </c>
      <c r="C639" t="s">
        <v>3027</v>
      </c>
      <c r="D639" t="s">
        <v>3028</v>
      </c>
      <c r="E639" t="s">
        <v>155</v>
      </c>
      <c r="F639" t="s">
        <v>48</v>
      </c>
      <c r="G639" t="s">
        <v>80</v>
      </c>
      <c r="H639" t="s">
        <v>256</v>
      </c>
      <c r="I639" t="s">
        <v>257</v>
      </c>
      <c r="J639" t="s">
        <v>93</v>
      </c>
      <c r="K639" t="s">
        <v>101</v>
      </c>
      <c r="L639" t="s">
        <v>3029</v>
      </c>
      <c r="M639" t="s">
        <v>63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41</v>
      </c>
      <c r="U639" t="s">
        <v>42</v>
      </c>
      <c r="V639">
        <f>O639*(1-P639)*N639</f>
        <v>5107.9520000000002</v>
      </c>
      <c r="W639">
        <f t="shared" si="27"/>
        <v>1974.8720000000003</v>
      </c>
      <c r="X639">
        <f t="shared" si="28"/>
        <v>0.38662672892256189</v>
      </c>
      <c r="Y639" t="str">
        <f>_xlfn.TEXTJOIN(", ",TRUE,IF(G639="Unknown","Missing Region",""),IF(M639="Unknown","Missing Ship Mode",""),IF(P639&lt;0,"Negative Discount",""),IF(P639&gt;0.7,"High Discount",""),IF(C639&lt;B639,"Ship Before Order",""))</f>
        <v>Ship Before Order</v>
      </c>
      <c r="Z639" s="2">
        <f>IFERROR(
  IF(ISNUMBER(B639),B639,
    IF(ISNUMBER(SEARCH("-",B639)*1),
      IF(LEN(LEFT(B639,FIND("-",B639)-1))=4,
        DATE(VALUE(LEFT(B639,4)),VALUE(MID(B639,6,2)),VALUE(RIGHT(B639,2))),
        DATE(VALUE(RIGHT(B639,4)),VALUE(MID(B639,4,2)),VALUE(LEFT(B639,2)))
      ),
      IF(ISNUMBER(SEARCH("/",B639)*1),
        DATE(VALUE(RIGHT(B639,4)),VALUE(LEFT(B639,2)),VALUE(MID(B639,4,2))),
        DATEVALUE(B639)
      )
    )
  ),
"INVALID_DATE")</f>
        <v>45438</v>
      </c>
      <c r="AA639" s="2">
        <f>IFERROR(
  IF(ISNUMBER(C639),C639,
    IF(ISNUMBER(SEARCH("-",C639)*1),
      IF(LEN(LEFT(C639,FIND("-",C639)-1))=4,
        DATE(VALUE(LEFT(C639,4)),VALUE(MID(C639,6,2)),VALUE(RIGHT(C639,2))),
        DATE(VALUE(RIGHT(C639,4)),VALUE(MID(C639,4,2)),VALUE(LEFT(C639,2)))
      ),
      IF(ISNUMBER(SEARCH("/",C639)*1),
        DATE(VALUE(RIGHT(C639,4)),VALUE(LEFT(C639,2)),VALUE(MID(C639,4,2))),
        DATEVALUE(C639)
      )
    )
  ),
"INVALID_DATE")</f>
        <v>45438</v>
      </c>
      <c r="AB639">
        <f>AA639-Z639</f>
        <v>0</v>
      </c>
      <c r="AC639" t="str">
        <f>TEXT(Z639,"mmmm")</f>
        <v>May</v>
      </c>
      <c r="AD639">
        <f>YEAR(Z639)</f>
        <v>2024</v>
      </c>
      <c r="AE639" t="str">
        <f t="shared" si="29"/>
        <v>OK</v>
      </c>
    </row>
    <row r="640" spans="1:31">
      <c r="A640" t="s">
        <v>3030</v>
      </c>
      <c r="B640" t="s">
        <v>2878</v>
      </c>
      <c r="C640" t="s">
        <v>3031</v>
      </c>
      <c r="D640" t="s">
        <v>3032</v>
      </c>
      <c r="E640" t="s">
        <v>32</v>
      </c>
      <c r="F640" t="s">
        <v>115</v>
      </c>
      <c r="G640" t="s">
        <v>69</v>
      </c>
      <c r="H640" t="s">
        <v>249</v>
      </c>
      <c r="I640" t="s">
        <v>250</v>
      </c>
      <c r="J640" t="s">
        <v>37</v>
      </c>
      <c r="K640" t="s">
        <v>163</v>
      </c>
      <c r="L640" t="s">
        <v>3033</v>
      </c>
      <c r="M640" t="s">
        <v>40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207</v>
      </c>
      <c r="U640" t="s">
        <v>132</v>
      </c>
      <c r="V640">
        <f>O640*(1-P640)*N640</f>
        <v>7738.3680000000004</v>
      </c>
      <c r="W640">
        <f t="shared" si="27"/>
        <v>3111.518</v>
      </c>
      <c r="X640">
        <f t="shared" si="28"/>
        <v>0.40208984579439855</v>
      </c>
      <c r="Y640" t="s">
        <v>4120</v>
      </c>
      <c r="Z640" s="2">
        <f>IFERROR(
  IF(ISNUMBER(B640),B640,
    IF(ISNUMBER(SEARCH("-",B640)*1),
      IF(LEN(LEFT(B640,FIND("-",B640)-1))=4,
        DATE(VALUE(LEFT(B640,4)),VALUE(MID(B640,6,2)),VALUE(RIGHT(B640,2))),
        DATE(VALUE(RIGHT(B640,4)),VALUE(MID(B640,4,2)),VALUE(LEFT(B640,2)))
      ),
      IF(ISNUMBER(SEARCH("/",B640)*1),
        DATE(VALUE(RIGHT(B640,4)),VALUE(LEFT(B640,2)),VALUE(MID(B640,4,2))),
        DATEVALUE(B640)
      )
    )
  ),
"INVALID_DATE")</f>
        <v>45317</v>
      </c>
      <c r="AA640" s="2">
        <f>IFERROR(
  IF(ISNUMBER(C640),C640,
    IF(ISNUMBER(SEARCH("-",C640)*1),
      IF(LEN(LEFT(C640,FIND("-",C640)-1))=4,
        DATE(VALUE(LEFT(C640,4)),VALUE(MID(C640,6,2)),VALUE(RIGHT(C640,2))),
        DATE(VALUE(RIGHT(C640,4)),VALUE(MID(C640,4,2)),VALUE(LEFT(C640,2)))
      ),
      IF(ISNUMBER(SEARCH("/",C640)*1),
        DATE(VALUE(RIGHT(C640,4)),VALUE(LEFT(C640,2)),VALUE(MID(C640,4,2))),
        DATEVALUE(C640)
      )
    )
  ),
"INVALID_DATE")</f>
        <v>45322</v>
      </c>
      <c r="AB640">
        <f>AA640-Z640</f>
        <v>5</v>
      </c>
      <c r="AC640" t="str">
        <f>TEXT(Z640,"mmmm")</f>
        <v>January</v>
      </c>
      <c r="AD640">
        <f>YEAR(Z640)</f>
        <v>2024</v>
      </c>
      <c r="AE640" t="str">
        <f t="shared" si="29"/>
        <v>OK</v>
      </c>
    </row>
    <row r="641" spans="1:31">
      <c r="A641" t="s">
        <v>3034</v>
      </c>
      <c r="B641" t="s">
        <v>3035</v>
      </c>
      <c r="C641" t="s">
        <v>1879</v>
      </c>
      <c r="D641" t="s">
        <v>3036</v>
      </c>
      <c r="E641" t="s">
        <v>60</v>
      </c>
      <c r="F641" t="s">
        <v>48</v>
      </c>
      <c r="G641" t="s">
        <v>49</v>
      </c>
      <c r="H641" t="s">
        <v>50</v>
      </c>
      <c r="I641" t="s">
        <v>51</v>
      </c>
      <c r="J641" t="s">
        <v>52</v>
      </c>
      <c r="K641" t="s">
        <v>83</v>
      </c>
      <c r="L641" t="s">
        <v>3037</v>
      </c>
      <c r="M641" t="s">
        <v>40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41</v>
      </c>
      <c r="U641" t="s">
        <v>42</v>
      </c>
      <c r="V641">
        <f>O641*(1-P641)*N641</f>
        <v>1514.9649999999999</v>
      </c>
      <c r="W641">
        <f t="shared" si="27"/>
        <v>468.79499999999985</v>
      </c>
      <c r="X641">
        <f t="shared" si="28"/>
        <v>0.30944051328087868</v>
      </c>
      <c r="Y641" t="s">
        <v>4120</v>
      </c>
      <c r="Z641" s="2">
        <f>IFERROR(
  IF(ISNUMBER(B641),B641,
    IF(ISNUMBER(SEARCH("-",B641)*1),
      IF(LEN(LEFT(B641,FIND("-",B641)-1))=4,
        DATE(VALUE(LEFT(B641,4)),VALUE(MID(B641,6,2)),VALUE(RIGHT(B641,2))),
        DATE(VALUE(RIGHT(B641,4)),VALUE(MID(B641,4,2)),VALUE(LEFT(B641,2)))
      ),
      IF(ISNUMBER(SEARCH("/",B641)*1),
        DATE(VALUE(RIGHT(B641,4)),VALUE(LEFT(B641,2)),VALUE(MID(B641,4,2))),
        DATEVALUE(B641)
      )
    )
  ),
"INVALID_DATE")</f>
        <v>45653</v>
      </c>
      <c r="AA641" s="2">
        <f>IFERROR(
  IF(ISNUMBER(C641),C641,
    IF(ISNUMBER(SEARCH("-",C641)*1),
      IF(LEN(LEFT(C641,FIND("-",C641)-1))=4,
        DATE(VALUE(LEFT(C641,4)),VALUE(MID(C641,6,2)),VALUE(RIGHT(C641,2))),
        DATE(VALUE(RIGHT(C641,4)),VALUE(MID(C641,4,2)),VALUE(LEFT(C641,2)))
      ),
      IF(ISNUMBER(SEARCH("/",C641)*1),
        DATE(VALUE(RIGHT(C641,4)),VALUE(LEFT(C641,2)),VALUE(MID(C641,4,2))),
        DATEVALUE(C641)
      )
    )
  ),
"INVALID_DATE")</f>
        <v>45657</v>
      </c>
      <c r="AB641">
        <f>AA641-Z641</f>
        <v>4</v>
      </c>
      <c r="AC641" t="str">
        <f>TEXT(Z641,"mmmm")</f>
        <v>December</v>
      </c>
      <c r="AD641">
        <f>YEAR(Z641)</f>
        <v>2024</v>
      </c>
      <c r="AE641" t="str">
        <f t="shared" si="29"/>
        <v>OK</v>
      </c>
    </row>
    <row r="642" spans="1:31">
      <c r="A642" t="s">
        <v>3038</v>
      </c>
      <c r="B642" t="s">
        <v>3039</v>
      </c>
      <c r="C642" t="s">
        <v>3040</v>
      </c>
      <c r="D642" t="s">
        <v>3041</v>
      </c>
      <c r="E642" t="s">
        <v>90</v>
      </c>
      <c r="F642" t="s">
        <v>33</v>
      </c>
      <c r="G642" t="s">
        <v>80</v>
      </c>
      <c r="H642" t="s">
        <v>256</v>
      </c>
      <c r="I642" t="s">
        <v>257</v>
      </c>
      <c r="J642" t="s">
        <v>37</v>
      </c>
      <c r="K642" t="s">
        <v>163</v>
      </c>
      <c r="L642" t="s">
        <v>3042</v>
      </c>
      <c r="M642" t="s">
        <v>63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41</v>
      </c>
      <c r="U642" t="s">
        <v>42</v>
      </c>
      <c r="V642">
        <f>O642*(1-P642)*N642</f>
        <v>1267.296</v>
      </c>
      <c r="W642">
        <f t="shared" si="27"/>
        <v>343.76600000000008</v>
      </c>
      <c r="X642">
        <f t="shared" si="28"/>
        <v>0.27126173755227651</v>
      </c>
      <c r="Y642" t="s">
        <v>4120</v>
      </c>
      <c r="Z642" s="2">
        <f>IFERROR(
  IF(ISNUMBER(B642),B642,
    IF(ISNUMBER(SEARCH("-",B642)*1),
      IF(LEN(LEFT(B642,FIND("-",B642)-1))=4,
        DATE(VALUE(LEFT(B642,4)),VALUE(MID(B642,6,2)),VALUE(RIGHT(B642,2))),
        DATE(VALUE(RIGHT(B642,4)),VALUE(MID(B642,4,2)),VALUE(LEFT(B642,2)))
      ),
      IF(ISNUMBER(SEARCH("/",B642)*1),
        DATE(VALUE(RIGHT(B642,4)),VALUE(LEFT(B642,2)),VALUE(MID(B642,4,2))),
        DATEVALUE(B642)
      )
    )
  ),
"INVALID_DATE")</f>
        <v>45671</v>
      </c>
      <c r="AA642" s="2">
        <f>IFERROR(
  IF(ISNUMBER(C642),C642,
    IF(ISNUMBER(SEARCH("-",C642)*1),
      IF(LEN(LEFT(C642,FIND("-",C642)-1))=4,
        DATE(VALUE(LEFT(C642,4)),VALUE(MID(C642,6,2)),VALUE(RIGHT(C642,2))),
        DATE(VALUE(RIGHT(C642,4)),VALUE(MID(C642,4,2)),VALUE(LEFT(C642,2)))
      ),
      IF(ISNUMBER(SEARCH("/",C642)*1),
        DATE(VALUE(RIGHT(C642,4)),VALUE(LEFT(C642,2)),VALUE(MID(C642,4,2))),
        DATEVALUE(C642)
      )
    )
  ),
"INVALID_DATE")</f>
        <v>45674</v>
      </c>
      <c r="AB642">
        <f>AA642-Z642</f>
        <v>3</v>
      </c>
      <c r="AC642" t="str">
        <f>TEXT(Z642,"mmmm")</f>
        <v>January</v>
      </c>
      <c r="AD642">
        <f>YEAR(Z642)</f>
        <v>2025</v>
      </c>
      <c r="AE642" t="str">
        <f t="shared" si="29"/>
        <v>OK</v>
      </c>
    </row>
    <row r="643" spans="1:31">
      <c r="A643" t="s">
        <v>3043</v>
      </c>
      <c r="B643" t="s">
        <v>3044</v>
      </c>
      <c r="C643" t="s">
        <v>1970</v>
      </c>
      <c r="D643" t="s">
        <v>3045</v>
      </c>
      <c r="E643" t="s">
        <v>32</v>
      </c>
      <c r="F643" t="s">
        <v>33</v>
      </c>
      <c r="G643" t="s">
        <v>34</v>
      </c>
      <c r="H643" t="s">
        <v>514</v>
      </c>
      <c r="I643" t="s">
        <v>515</v>
      </c>
      <c r="J643" t="s">
        <v>52</v>
      </c>
      <c r="K643" t="s">
        <v>72</v>
      </c>
      <c r="L643" t="s">
        <v>3046</v>
      </c>
      <c r="M643" t="s">
        <v>55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41</v>
      </c>
      <c r="U643" t="s">
        <v>42</v>
      </c>
      <c r="V643">
        <f>O643*(1-P643)*N643</f>
        <v>6405.74</v>
      </c>
      <c r="W643">
        <f t="shared" ref="W643:W706" si="30">V643-R643</f>
        <v>2843.87</v>
      </c>
      <c r="X643">
        <f t="shared" ref="X643:X706" si="31">S643/Q643</f>
        <v>0.44395651400150488</v>
      </c>
      <c r="Y643" t="s">
        <v>4120</v>
      </c>
      <c r="Z643" s="2">
        <f>IFERROR(
  IF(ISNUMBER(B643),B643,
    IF(ISNUMBER(SEARCH("-",B643)*1),
      IF(LEN(LEFT(B643,FIND("-",B643)-1))=4,
        DATE(VALUE(LEFT(B643,4)),VALUE(MID(B643,6,2)),VALUE(RIGHT(B643,2))),
        DATE(VALUE(RIGHT(B643,4)),VALUE(MID(B643,4,2)),VALUE(LEFT(B643,2)))
      ),
      IF(ISNUMBER(SEARCH("/",B643)*1),
        DATE(VALUE(RIGHT(B643,4)),VALUE(LEFT(B643,2)),VALUE(MID(B643,4,2))),
        DATEVALUE(B643)
      )
    )
  ),
"INVALID_DATE")</f>
        <v>45756</v>
      </c>
      <c r="AA643" s="2">
        <f>IFERROR(
  IF(ISNUMBER(C643),C643,
    IF(ISNUMBER(SEARCH("-",C643)*1),
      IF(LEN(LEFT(C643,FIND("-",C643)-1))=4,
        DATE(VALUE(LEFT(C643,4)),VALUE(MID(C643,6,2)),VALUE(RIGHT(C643,2))),
        DATE(VALUE(RIGHT(C643,4)),VALUE(MID(C643,4,2)),VALUE(LEFT(C643,2)))
      ),
      IF(ISNUMBER(SEARCH("/",C643)*1),
        DATE(VALUE(RIGHT(C643,4)),VALUE(LEFT(C643,2)),VALUE(MID(C643,4,2))),
        DATEVALUE(C643)
      )
    )
  ),
"INVALID_DATE")</f>
        <v>45761</v>
      </c>
      <c r="AB643">
        <f>AA643-Z643</f>
        <v>5</v>
      </c>
      <c r="AC643" t="str">
        <f>TEXT(Z643,"mmmm")</f>
        <v>April</v>
      </c>
      <c r="AD643">
        <f>YEAR(Z643)</f>
        <v>2025</v>
      </c>
      <c r="AE643" t="str">
        <f t="shared" ref="AE643:AE706" si="32">IF(OR(Z643="INVALID_DATE",AA643="INVALID_DATE"),"Invalid Date",IF(AA643&lt;Z643,"Ship Before Order","OK"))</f>
        <v>OK</v>
      </c>
    </row>
    <row r="644" spans="1:31">
      <c r="A644" t="s">
        <v>3047</v>
      </c>
      <c r="B644" t="s">
        <v>1958</v>
      </c>
      <c r="C644" t="s">
        <v>44</v>
      </c>
      <c r="D644" t="s">
        <v>3048</v>
      </c>
      <c r="E644" t="s">
        <v>60</v>
      </c>
      <c r="F644" t="s">
        <v>122</v>
      </c>
      <c r="G644" t="s">
        <v>49</v>
      </c>
      <c r="H644" t="s">
        <v>223</v>
      </c>
      <c r="I644" t="s">
        <v>224</v>
      </c>
      <c r="J644" t="s">
        <v>37</v>
      </c>
      <c r="K644" t="s">
        <v>3049</v>
      </c>
      <c r="L644" t="s">
        <v>3050</v>
      </c>
      <c r="M644" t="s">
        <v>40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207</v>
      </c>
      <c r="U644" t="s">
        <v>132</v>
      </c>
      <c r="V644">
        <f>O644*(1-P644)*N644</f>
        <v>8607.6674999999996</v>
      </c>
      <c r="W644">
        <f t="shared" si="30"/>
        <v>3270.0274999999992</v>
      </c>
      <c r="X644">
        <f t="shared" si="31"/>
        <v>0.37989723119032215</v>
      </c>
      <c r="Y644" t="s">
        <v>4120</v>
      </c>
      <c r="Z644" s="2">
        <f>IFERROR(
  IF(ISNUMBER(B644),B644,
    IF(ISNUMBER(SEARCH("-",B644)*1),
      IF(LEN(LEFT(B644,FIND("-",B644)-1))=4,
        DATE(VALUE(LEFT(B644,4)),VALUE(MID(B644,6,2)),VALUE(RIGHT(B644,2))),
        DATE(VALUE(RIGHT(B644,4)),VALUE(MID(B644,4,2)),VALUE(LEFT(B644,2)))
      ),
      IF(ISNUMBER(SEARCH("/",B644)*1),
        DATE(VALUE(RIGHT(B644,4)),VALUE(LEFT(B644,2)),VALUE(MID(B644,4,2))),
        DATEVALUE(B644)
      )
    )
  ),
"INVALID_DATE")</f>
        <v>45533</v>
      </c>
      <c r="AA644" s="2">
        <f>IFERROR(
  IF(ISNUMBER(C644),C644,
    IF(ISNUMBER(SEARCH("-",C644)*1),
      IF(LEN(LEFT(C644,FIND("-",C644)-1))=4,
        DATE(VALUE(LEFT(C644,4)),VALUE(MID(C644,6,2)),VALUE(RIGHT(C644,2))),
        DATE(VALUE(RIGHT(C644,4)),VALUE(MID(C644,4,2)),VALUE(LEFT(C644,2)))
      ),
      IF(ISNUMBER(SEARCH("/",C644)*1),
        DATE(VALUE(RIGHT(C644,4)),VALUE(LEFT(C644,2)),VALUE(MID(C644,4,2))),
        DATEVALUE(C644)
      )
    )
  ),
"INVALID_DATE")</f>
        <v>45535</v>
      </c>
      <c r="AB644">
        <f>AA644-Z644</f>
        <v>2</v>
      </c>
      <c r="AC644" t="str">
        <f>TEXT(Z644,"mmmm")</f>
        <v>August</v>
      </c>
      <c r="AD644">
        <f>YEAR(Z644)</f>
        <v>2024</v>
      </c>
      <c r="AE644" t="str">
        <f t="shared" si="32"/>
        <v>OK</v>
      </c>
    </row>
    <row r="645" spans="1:31">
      <c r="A645" t="s">
        <v>3051</v>
      </c>
      <c r="B645" t="s">
        <v>3052</v>
      </c>
      <c r="C645" t="s">
        <v>3053</v>
      </c>
      <c r="D645" t="s">
        <v>1104</v>
      </c>
      <c r="E645" t="s">
        <v>169</v>
      </c>
      <c r="F645" t="s">
        <v>122</v>
      </c>
      <c r="G645" t="s">
        <v>34</v>
      </c>
      <c r="H645" t="s">
        <v>181</v>
      </c>
      <c r="I645" t="s">
        <v>182</v>
      </c>
      <c r="J645" t="s">
        <v>37</v>
      </c>
      <c r="K645" t="s">
        <v>116</v>
      </c>
      <c r="L645" t="s">
        <v>3054</v>
      </c>
      <c r="M645" t="s">
        <v>74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207</v>
      </c>
      <c r="U645" t="s">
        <v>132</v>
      </c>
      <c r="V645">
        <f>O645*(1-P645)*N645</f>
        <v>26324.023999999998</v>
      </c>
      <c r="W645">
        <f t="shared" si="30"/>
        <v>10046.063999999998</v>
      </c>
      <c r="X645">
        <f t="shared" si="31"/>
        <v>0.38163092111311264</v>
      </c>
      <c r="Y645" t="s">
        <v>4120</v>
      </c>
      <c r="Z645" s="2">
        <f>IFERROR(
  IF(ISNUMBER(B645),B645,
    IF(ISNUMBER(SEARCH("-",B645)*1),
      IF(LEN(LEFT(B645,FIND("-",B645)-1))=4,
        DATE(VALUE(LEFT(B645,4)),VALUE(MID(B645,6,2)),VALUE(RIGHT(B645,2))),
        DATE(VALUE(RIGHT(B645,4)),VALUE(MID(B645,4,2)),VALUE(LEFT(B645,2)))
      ),
      IF(ISNUMBER(SEARCH("/",B645)*1),
        DATE(VALUE(RIGHT(B645,4)),VALUE(LEFT(B645,2)),VALUE(MID(B645,4,2))),
        DATEVALUE(B645)
      )
    )
  ),
"INVALID_DATE")</f>
        <v>45327</v>
      </c>
      <c r="AA645" s="2">
        <f>IFERROR(
  IF(ISNUMBER(C645),C645,
    IF(ISNUMBER(SEARCH("-",C645)*1),
      IF(LEN(LEFT(C645,FIND("-",C645)-1))=4,
        DATE(VALUE(LEFT(C645,4)),VALUE(MID(C645,6,2)),VALUE(RIGHT(C645,2))),
        DATE(VALUE(RIGHT(C645,4)),VALUE(MID(C645,4,2)),VALUE(LEFT(C645,2)))
      ),
      IF(ISNUMBER(SEARCH("/",C645)*1),
        DATE(VALUE(RIGHT(C645,4)),VALUE(LEFT(C645,2)),VALUE(MID(C645,4,2))),
        DATEVALUE(C645)
      )
    )
  ),
"INVALID_DATE")</f>
        <v>45335</v>
      </c>
      <c r="AB645">
        <f>AA645-Z645</f>
        <v>8</v>
      </c>
      <c r="AC645" t="str">
        <f>TEXT(Z645,"mmmm")</f>
        <v>February</v>
      </c>
      <c r="AD645">
        <f>YEAR(Z645)</f>
        <v>2024</v>
      </c>
      <c r="AE645" t="str">
        <f t="shared" si="32"/>
        <v>OK</v>
      </c>
    </row>
    <row r="646" spans="1:31">
      <c r="A646" t="s">
        <v>3055</v>
      </c>
      <c r="B646" t="s">
        <v>2599</v>
      </c>
      <c r="C646" t="s">
        <v>3056</v>
      </c>
      <c r="D646" t="s">
        <v>3057</v>
      </c>
      <c r="E646" t="s">
        <v>90</v>
      </c>
      <c r="F646" t="s">
        <v>33</v>
      </c>
      <c r="G646" t="s">
        <v>49</v>
      </c>
      <c r="H646" t="s">
        <v>128</v>
      </c>
      <c r="I646" t="s">
        <v>129</v>
      </c>
      <c r="J646" t="s">
        <v>52</v>
      </c>
      <c r="K646" t="s">
        <v>83</v>
      </c>
      <c r="L646" t="s">
        <v>3058</v>
      </c>
      <c r="M646" t="s">
        <v>74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41</v>
      </c>
      <c r="U646" t="s">
        <v>42</v>
      </c>
      <c r="V646">
        <f>O646*(1-P646)*N646</f>
        <v>14250.075999999999</v>
      </c>
      <c r="W646">
        <f t="shared" si="30"/>
        <v>3335.155999999999</v>
      </c>
      <c r="X646">
        <f t="shared" si="31"/>
        <v>0.23404500185262117</v>
      </c>
      <c r="Y646" t="str">
        <f>_xlfn.TEXTJOIN(", ",TRUE,IF(G646="Unknown","Missing Region",""),IF(M646="Unknown","Missing Ship Mode",""),IF(P646&lt;0,"Negative Discount",""),IF(P646&gt;0.7,"High Discount",""),IF(C646&lt;B646,"Ship Before Order",""))</f>
        <v>Ship Before Order</v>
      </c>
      <c r="Z646" s="2">
        <f>IFERROR(
  IF(ISNUMBER(B646),B646,
    IF(ISNUMBER(SEARCH("-",B646)*1),
      IF(LEN(LEFT(B646,FIND("-",B646)-1))=4,
        DATE(VALUE(LEFT(B646,4)),VALUE(MID(B646,6,2)),VALUE(RIGHT(B646,2))),
        DATE(VALUE(RIGHT(B646,4)),VALUE(MID(B646,4,2)),VALUE(LEFT(B646,2)))
      ),
      IF(ISNUMBER(SEARCH("/",B646)*1),
        DATE(VALUE(RIGHT(B646,4)),VALUE(LEFT(B646,2)),VALUE(MID(B646,4,2))),
        DATEVALUE(B646)
      )
    )
  ),
"INVALID_DATE")</f>
        <v>45757</v>
      </c>
      <c r="AA646" s="2">
        <f>IFERROR(
  IF(ISNUMBER(C646),C646,
    IF(ISNUMBER(SEARCH("-",C646)*1),
      IF(LEN(LEFT(C646,FIND("-",C646)-1))=4,
        DATE(VALUE(LEFT(C646,4)),VALUE(MID(C646,6,2)),VALUE(RIGHT(C646,2))),
        DATE(VALUE(RIGHT(C646,4)),VALUE(MID(C646,4,2)),VALUE(LEFT(C646,2)))
      ),
      IF(ISNUMBER(SEARCH("/",C646)*1),
        DATE(VALUE(RIGHT(C646,4)),VALUE(LEFT(C646,2)),VALUE(MID(C646,4,2))),
        DATEVALUE(C646)
      )
    )
  ),
"INVALID_DATE")</f>
        <v>45764</v>
      </c>
      <c r="AB646">
        <f>AA646-Z646</f>
        <v>7</v>
      </c>
      <c r="AC646" t="str">
        <f>TEXT(Z646,"mmmm")</f>
        <v>April</v>
      </c>
      <c r="AD646">
        <f>YEAR(Z646)</f>
        <v>2025</v>
      </c>
      <c r="AE646" t="str">
        <f t="shared" si="32"/>
        <v>OK</v>
      </c>
    </row>
    <row r="647" spans="1:31">
      <c r="A647" t="s">
        <v>3059</v>
      </c>
      <c r="B647" t="s">
        <v>3060</v>
      </c>
      <c r="C647" t="s">
        <v>2753</v>
      </c>
      <c r="D647" t="s">
        <v>3061</v>
      </c>
      <c r="E647" t="s">
        <v>374</v>
      </c>
      <c r="F647" t="s">
        <v>33</v>
      </c>
      <c r="G647" t="s">
        <v>49</v>
      </c>
      <c r="H647" t="s">
        <v>193</v>
      </c>
      <c r="I647" t="s">
        <v>194</v>
      </c>
      <c r="J647" t="s">
        <v>52</v>
      </c>
      <c r="K647" t="s">
        <v>83</v>
      </c>
      <c r="L647" t="s">
        <v>3062</v>
      </c>
      <c r="M647" t="s">
        <v>40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41</v>
      </c>
      <c r="U647" t="s">
        <v>42</v>
      </c>
      <c r="V647">
        <f>O647*(1-P647)*N647</f>
        <v>13087.494000000002</v>
      </c>
      <c r="W647">
        <f t="shared" si="30"/>
        <v>5478.6040000000021</v>
      </c>
      <c r="X647">
        <f t="shared" si="31"/>
        <v>0.39222341335122324</v>
      </c>
      <c r="Y647" t="str">
        <f>_xlfn.TEXTJOIN(", ",TRUE,IF(G647="Unknown","Missing Region",""),IF(M647="Unknown","Missing Ship Mode",""),IF(P647&lt;0,"Negative Discount",""),IF(P647&gt;0.7,"High Discount",""),IF(C647&lt;B647,"Ship Before Order",""))</f>
        <v>Ship Before Order</v>
      </c>
      <c r="Z647" s="2">
        <f>IFERROR(
  IF(ISNUMBER(B647),B647,
    IF(ISNUMBER(SEARCH("-",B647)*1),
      IF(LEN(LEFT(B647,FIND("-",B647)-1))=4,
        DATE(VALUE(LEFT(B647,4)),VALUE(MID(B647,6,2)),VALUE(RIGHT(B647,2))),
        DATE(VALUE(RIGHT(B647,4)),VALUE(MID(B647,4,2)),VALUE(LEFT(B647,2)))
      ),
      IF(ISNUMBER(SEARCH("/",B647)*1),
        DATE(VALUE(RIGHT(B647,4)),VALUE(LEFT(B647,2)),VALUE(MID(B647,4,2))),
        DATEVALUE(B647)
      )
    )
  ),
"INVALID_DATE")</f>
        <v>45295</v>
      </c>
      <c r="AA647" s="2">
        <f>IFERROR(
  IF(ISNUMBER(C647),C647,
    IF(ISNUMBER(SEARCH("-",C647)*1),
      IF(LEN(LEFT(C647,FIND("-",C647)-1))=4,
        DATE(VALUE(LEFT(C647,4)),VALUE(MID(C647,6,2)),VALUE(RIGHT(C647,2))),
        DATE(VALUE(RIGHT(C647,4)),VALUE(MID(C647,4,2)),VALUE(LEFT(C647,2)))
      ),
      IF(ISNUMBER(SEARCH("/",C647)*1),
        DATE(VALUE(RIGHT(C647,4)),VALUE(LEFT(C647,2)),VALUE(MID(C647,4,2))),
        DATEVALUE(C647)
      )
    )
  ),
"INVALID_DATE")</f>
        <v>45300</v>
      </c>
      <c r="AB647">
        <f>AA647-Z647</f>
        <v>5</v>
      </c>
      <c r="AC647" t="str">
        <f>TEXT(Z647,"mmmm")</f>
        <v>January</v>
      </c>
      <c r="AD647">
        <f>YEAR(Z647)</f>
        <v>2024</v>
      </c>
      <c r="AE647" t="str">
        <f t="shared" si="32"/>
        <v>OK</v>
      </c>
    </row>
    <row r="648" spans="1:31">
      <c r="A648" t="s">
        <v>3063</v>
      </c>
      <c r="B648" t="s">
        <v>3064</v>
      </c>
      <c r="C648" t="s">
        <v>3065</v>
      </c>
      <c r="D648" t="s">
        <v>3066</v>
      </c>
      <c r="E648" t="s">
        <v>90</v>
      </c>
      <c r="F648" t="s">
        <v>48</v>
      </c>
      <c r="G648" t="s">
        <v>49</v>
      </c>
      <c r="H648" t="s">
        <v>319</v>
      </c>
      <c r="I648" t="s">
        <v>320</v>
      </c>
      <c r="J648" t="s">
        <v>93</v>
      </c>
      <c r="K648" t="s">
        <v>390</v>
      </c>
      <c r="L648" t="s">
        <v>3067</v>
      </c>
      <c r="M648" t="s">
        <v>63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41</v>
      </c>
      <c r="U648" t="s">
        <v>42</v>
      </c>
      <c r="V648">
        <f>O648*(1-P648)*N648</f>
        <v>1640.5650000000001</v>
      </c>
      <c r="W648">
        <f t="shared" si="30"/>
        <v>503.58500000000004</v>
      </c>
      <c r="X648">
        <f t="shared" si="31"/>
        <v>0.30696038571959744</v>
      </c>
      <c r="Y648" t="s">
        <v>4120</v>
      </c>
      <c r="Z648" s="2">
        <f>IFERROR(
  IF(ISNUMBER(B648),B648,
    IF(ISNUMBER(SEARCH("-",B648)*1),
      IF(LEN(LEFT(B648,FIND("-",B648)-1))=4,
        DATE(VALUE(LEFT(B648,4)),VALUE(MID(B648,6,2)),VALUE(RIGHT(B648,2))),
        DATE(VALUE(RIGHT(B648,4)),VALUE(MID(B648,4,2)),VALUE(LEFT(B648,2)))
      ),
      IF(ISNUMBER(SEARCH("/",B648)*1),
        DATE(VALUE(RIGHT(B648,4)),VALUE(LEFT(B648,2)),VALUE(MID(B648,4,2))),
        DATEVALUE(B648)
      )
    )
  ),
"INVALID_DATE")</f>
        <v>45553</v>
      </c>
      <c r="AA648" s="2">
        <f>IFERROR(
  IF(ISNUMBER(C648),C648,
    IF(ISNUMBER(SEARCH("-",C648)*1),
      IF(LEN(LEFT(C648,FIND("-",C648)-1))=4,
        DATE(VALUE(LEFT(C648,4)),VALUE(MID(C648,6,2)),VALUE(RIGHT(C648,2))),
        DATE(VALUE(RIGHT(C648,4)),VALUE(MID(C648,4,2)),VALUE(LEFT(C648,2)))
      ),
      IF(ISNUMBER(SEARCH("/",C648)*1),
        DATE(VALUE(RIGHT(C648,4)),VALUE(LEFT(C648,2)),VALUE(MID(C648,4,2))),
        DATEVALUE(C648)
      )
    )
  ),
"INVALID_DATE")</f>
        <v>45559</v>
      </c>
      <c r="AB648">
        <f>AA648-Z648</f>
        <v>6</v>
      </c>
      <c r="AC648" t="str">
        <f>TEXT(Z648,"mmmm")</f>
        <v>September</v>
      </c>
      <c r="AD648">
        <f>YEAR(Z648)</f>
        <v>2024</v>
      </c>
      <c r="AE648" t="str">
        <f t="shared" si="32"/>
        <v>OK</v>
      </c>
    </row>
    <row r="649" spans="1:31">
      <c r="A649" t="s">
        <v>3068</v>
      </c>
      <c r="B649" t="s">
        <v>1337</v>
      </c>
      <c r="C649" t="s">
        <v>3069</v>
      </c>
      <c r="D649" t="s">
        <v>3070</v>
      </c>
      <c r="E649" t="s">
        <v>3071</v>
      </c>
      <c r="F649" t="s">
        <v>48</v>
      </c>
      <c r="G649" t="s">
        <v>34</v>
      </c>
      <c r="H649" t="s">
        <v>161</v>
      </c>
      <c r="I649" t="s">
        <v>162</v>
      </c>
      <c r="J649" t="s">
        <v>37</v>
      </c>
      <c r="K649" t="s">
        <v>61</v>
      </c>
      <c r="L649" t="s">
        <v>3072</v>
      </c>
      <c r="M649" t="s">
        <v>63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41</v>
      </c>
      <c r="U649" t="s">
        <v>42</v>
      </c>
      <c r="V649">
        <f>O649*(1-P649)*N649</f>
        <v>14441.907999999999</v>
      </c>
      <c r="W649">
        <f t="shared" si="30"/>
        <v>3569.018</v>
      </c>
      <c r="X649">
        <f t="shared" si="31"/>
        <v>0.24712936169800256</v>
      </c>
      <c r="Y649" t="s">
        <v>4120</v>
      </c>
      <c r="Z649" s="2">
        <f>IFERROR(
  IF(ISNUMBER(B649),B649,
    IF(ISNUMBER(SEARCH("-",B649)*1),
      IF(LEN(LEFT(B649,FIND("-",B649)-1))=4,
        DATE(VALUE(LEFT(B649,4)),VALUE(MID(B649,6,2)),VALUE(RIGHT(B649,2))),
        DATE(VALUE(RIGHT(B649,4)),VALUE(MID(B649,4,2)),VALUE(LEFT(B649,2)))
      ),
      IF(ISNUMBER(SEARCH("/",B649)*1),
        DATE(VALUE(RIGHT(B649,4)),VALUE(LEFT(B649,2)),VALUE(MID(B649,4,2))),
        DATEVALUE(B649)
      )
    )
  ),
"INVALID_DATE")</f>
        <v>45658</v>
      </c>
      <c r="AA649" s="2">
        <f>IFERROR(
  IF(ISNUMBER(C649),C649,
    IF(ISNUMBER(SEARCH("-",C649)*1),
      IF(LEN(LEFT(C649,FIND("-",C649)-1))=4,
        DATE(VALUE(LEFT(C649,4)),VALUE(MID(C649,6,2)),VALUE(RIGHT(C649,2))),
        DATE(VALUE(RIGHT(C649,4)),VALUE(MID(C649,4,2)),VALUE(LEFT(C649,2)))
      ),
      IF(ISNUMBER(SEARCH("/",C649)*1),
        DATE(VALUE(RIGHT(C649,4)),VALUE(LEFT(C649,2)),VALUE(MID(C649,4,2))),
        DATEVALUE(C649)
      )
    )
  ),
"INVALID_DATE")</f>
        <v>45666</v>
      </c>
      <c r="AB649">
        <f>AA649-Z649</f>
        <v>8</v>
      </c>
      <c r="AC649" t="str">
        <f>TEXT(Z649,"mmmm")</f>
        <v>January</v>
      </c>
      <c r="AD649">
        <f>YEAR(Z649)</f>
        <v>2025</v>
      </c>
      <c r="AE649" t="str">
        <f t="shared" si="32"/>
        <v>OK</v>
      </c>
    </row>
    <row r="650" spans="1:31">
      <c r="A650" t="s">
        <v>3073</v>
      </c>
      <c r="B650" t="s">
        <v>3074</v>
      </c>
      <c r="C650" t="s">
        <v>366</v>
      </c>
      <c r="D650" t="s">
        <v>3075</v>
      </c>
      <c r="E650" t="s">
        <v>100</v>
      </c>
      <c r="F650" t="s">
        <v>48</v>
      </c>
      <c r="G650" t="s">
        <v>69</v>
      </c>
      <c r="H650" t="s">
        <v>107</v>
      </c>
      <c r="I650" t="s">
        <v>108</v>
      </c>
      <c r="J650" t="s">
        <v>37</v>
      </c>
      <c r="K650" t="s">
        <v>61</v>
      </c>
      <c r="L650" t="s">
        <v>3076</v>
      </c>
      <c r="M650" t="s">
        <v>55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207</v>
      </c>
      <c r="U650" t="s">
        <v>132</v>
      </c>
      <c r="V650">
        <f>O650*(1-P650)*N650</f>
        <v>5065.8480000000009</v>
      </c>
      <c r="W650">
        <f t="shared" si="30"/>
        <v>1548.6180000000008</v>
      </c>
      <c r="X650">
        <f t="shared" si="31"/>
        <v>0.30569795789452903</v>
      </c>
      <c r="Y650" t="s">
        <v>4120</v>
      </c>
      <c r="Z650" s="2">
        <f>IFERROR(
  IF(ISNUMBER(B650),B650,
    IF(ISNUMBER(SEARCH("-",B650)*1),
      IF(LEN(LEFT(B650,FIND("-",B650)-1))=4,
        DATE(VALUE(LEFT(B650,4)),VALUE(MID(B650,6,2)),VALUE(RIGHT(B650,2))),
        DATE(VALUE(RIGHT(B650,4)),VALUE(MID(B650,4,2)),VALUE(LEFT(B650,2)))
      ),
      IF(ISNUMBER(SEARCH("/",B650)*1),
        DATE(VALUE(RIGHT(B650,4)),VALUE(LEFT(B650,2)),VALUE(MID(B650,4,2))),
        DATEVALUE(B650)
      )
    )
  ),
"INVALID_DATE")</f>
        <v>45403</v>
      </c>
      <c r="AA650" s="2">
        <f>IFERROR(
  IF(ISNUMBER(C650),C650,
    IF(ISNUMBER(SEARCH("-",C650)*1),
      IF(LEN(LEFT(C650,FIND("-",C650)-1))=4,
        DATE(VALUE(LEFT(C650,4)),VALUE(MID(C650,6,2)),VALUE(RIGHT(C650,2))),
        DATE(VALUE(RIGHT(C650,4)),VALUE(MID(C650,4,2)),VALUE(LEFT(C650,2)))
      ),
      IF(ISNUMBER(SEARCH("/",C650)*1),
        DATE(VALUE(RIGHT(C650,4)),VALUE(LEFT(C650,2)),VALUE(MID(C650,4,2))),
        DATEVALUE(C650)
      )
    )
  ),
"INVALID_DATE")</f>
        <v>45406</v>
      </c>
      <c r="AB650">
        <f>AA650-Z650</f>
        <v>3</v>
      </c>
      <c r="AC650" t="str">
        <f>TEXT(Z650,"mmmm")</f>
        <v>April</v>
      </c>
      <c r="AD650">
        <f>YEAR(Z650)</f>
        <v>2024</v>
      </c>
      <c r="AE650" t="str">
        <f t="shared" si="32"/>
        <v>OK</v>
      </c>
    </row>
    <row r="651" spans="1:31">
      <c r="A651" t="s">
        <v>3077</v>
      </c>
      <c r="B651" t="s">
        <v>3078</v>
      </c>
      <c r="C651" t="s">
        <v>3079</v>
      </c>
      <c r="D651" t="s">
        <v>3080</v>
      </c>
      <c r="E651" t="s">
        <v>374</v>
      </c>
      <c r="F651" t="s">
        <v>48</v>
      </c>
      <c r="G651" t="s">
        <v>69</v>
      </c>
      <c r="H651" t="s">
        <v>249</v>
      </c>
      <c r="I651" t="s">
        <v>250</v>
      </c>
      <c r="J651" t="s">
        <v>93</v>
      </c>
      <c r="K651" t="s">
        <v>94</v>
      </c>
      <c r="L651" t="s">
        <v>3081</v>
      </c>
      <c r="M651" t="s">
        <v>74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41</v>
      </c>
      <c r="U651" t="s">
        <v>42</v>
      </c>
      <c r="V651">
        <f>O651*(1-P651)*N651</f>
        <v>6776.88</v>
      </c>
      <c r="W651">
        <f t="shared" si="30"/>
        <v>2940.6400000000003</v>
      </c>
      <c r="X651">
        <f t="shared" si="31"/>
        <v>0.43392239496641521</v>
      </c>
      <c r="Y651" t="s">
        <v>4120</v>
      </c>
      <c r="Z651" s="2">
        <f>IFERROR(
  IF(ISNUMBER(B651),B651,
    IF(ISNUMBER(SEARCH("-",B651)*1),
      IF(LEN(LEFT(B651,FIND("-",B651)-1))=4,
        DATE(VALUE(LEFT(B651,4)),VALUE(MID(B651,6,2)),VALUE(RIGHT(B651,2))),
        DATE(VALUE(RIGHT(B651,4)),VALUE(MID(B651,4,2)),VALUE(LEFT(B651,2)))
      ),
      IF(ISNUMBER(SEARCH("/",B651)*1),
        DATE(VALUE(RIGHT(B651,4)),VALUE(LEFT(B651,2)),VALUE(MID(B651,4,2))),
        DATEVALUE(B651)
      )
    )
  ),
"INVALID_DATE")</f>
        <v>45880</v>
      </c>
      <c r="AA651" s="2">
        <f>IFERROR(
  IF(ISNUMBER(C651),C651,
    IF(ISNUMBER(SEARCH("-",C651)*1),
      IF(LEN(LEFT(C651,FIND("-",C651)-1))=4,
        DATE(VALUE(LEFT(C651,4)),VALUE(MID(C651,6,2)),VALUE(RIGHT(C651,2))),
        DATE(VALUE(RIGHT(C651,4)),VALUE(MID(C651,4,2)),VALUE(LEFT(C651,2)))
      ),
      IF(ISNUMBER(SEARCH("/",C651)*1),
        DATE(VALUE(RIGHT(C651,4)),VALUE(LEFT(C651,2)),VALUE(MID(C651,4,2))),
        DATEVALUE(C651)
      )
    )
  ),
"INVALID_DATE")</f>
        <v>45888</v>
      </c>
      <c r="AB651">
        <f>AA651-Z651</f>
        <v>8</v>
      </c>
      <c r="AC651" t="str">
        <f>TEXT(Z651,"mmmm")</f>
        <v>August</v>
      </c>
      <c r="AD651">
        <f>YEAR(Z651)</f>
        <v>2025</v>
      </c>
      <c r="AE651" t="str">
        <f t="shared" si="32"/>
        <v>OK</v>
      </c>
    </row>
    <row r="652" spans="1:31">
      <c r="A652" t="s">
        <v>3082</v>
      </c>
      <c r="B652" t="s">
        <v>3083</v>
      </c>
      <c r="C652" t="s">
        <v>3084</v>
      </c>
      <c r="D652" t="s">
        <v>555</v>
      </c>
      <c r="E652" t="s">
        <v>169</v>
      </c>
      <c r="F652" t="s">
        <v>122</v>
      </c>
      <c r="G652" t="s">
        <v>49</v>
      </c>
      <c r="H652" t="s">
        <v>193</v>
      </c>
      <c r="I652" t="s">
        <v>194</v>
      </c>
      <c r="J652" t="s">
        <v>93</v>
      </c>
      <c r="K652" t="s">
        <v>94</v>
      </c>
      <c r="L652" t="s">
        <v>3085</v>
      </c>
      <c r="M652" t="s">
        <v>55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207</v>
      </c>
      <c r="U652" t="s">
        <v>132</v>
      </c>
      <c r="V652">
        <f>O652*(1-P652)*N652</f>
        <v>15760.121999999999</v>
      </c>
      <c r="W652">
        <f t="shared" si="30"/>
        <v>5828.5919999999987</v>
      </c>
      <c r="X652">
        <f t="shared" si="31"/>
        <v>0.3698315748864856</v>
      </c>
      <c r="Y652" t="s">
        <v>4120</v>
      </c>
      <c r="Z652" s="2">
        <f>IFERROR(
  IF(ISNUMBER(B652),B652,
    IF(ISNUMBER(SEARCH("-",B652)*1),
      IF(LEN(LEFT(B652,FIND("-",B652)-1))=4,
        DATE(VALUE(LEFT(B652,4)),VALUE(MID(B652,6,2)),VALUE(RIGHT(B652,2))),
        DATE(VALUE(RIGHT(B652,4)),VALUE(MID(B652,4,2)),VALUE(LEFT(B652,2)))
      ),
      IF(ISNUMBER(SEARCH("/",B652)*1),
        DATE(VALUE(RIGHT(B652,4)),VALUE(LEFT(B652,2)),VALUE(MID(B652,4,2))),
        DATEVALUE(B652)
      )
    )
  ),
"INVALID_DATE")</f>
        <v>45395</v>
      </c>
      <c r="AA652" s="2">
        <f>IFERROR(
  IF(ISNUMBER(C652),C652,
    IF(ISNUMBER(SEARCH("-",C652)*1),
      IF(LEN(LEFT(C652,FIND("-",C652)-1))=4,
        DATE(VALUE(LEFT(C652,4)),VALUE(MID(C652,6,2)),VALUE(RIGHT(C652,2))),
        DATE(VALUE(RIGHT(C652,4)),VALUE(MID(C652,4,2)),VALUE(LEFT(C652,2)))
      ),
      IF(ISNUMBER(SEARCH("/",C652)*1),
        DATE(VALUE(RIGHT(C652,4)),VALUE(LEFT(C652,2)),VALUE(MID(C652,4,2))),
        DATEVALUE(C652)
      )
    )
  ),
"INVALID_DATE")</f>
        <v>45403</v>
      </c>
      <c r="AB652">
        <f>AA652-Z652</f>
        <v>8</v>
      </c>
      <c r="AC652" t="str">
        <f>TEXT(Z652,"mmmm")</f>
        <v>April</v>
      </c>
      <c r="AD652">
        <f>YEAR(Z652)</f>
        <v>2024</v>
      </c>
      <c r="AE652" t="str">
        <f t="shared" si="32"/>
        <v>OK</v>
      </c>
    </row>
    <row r="653" spans="1:31">
      <c r="A653" t="s">
        <v>3086</v>
      </c>
      <c r="B653" t="s">
        <v>1379</v>
      </c>
      <c r="C653" t="s">
        <v>3087</v>
      </c>
      <c r="D653" t="s">
        <v>3088</v>
      </c>
      <c r="E653" t="s">
        <v>47</v>
      </c>
      <c r="F653" t="s">
        <v>48</v>
      </c>
      <c r="G653" t="s">
        <v>69</v>
      </c>
      <c r="H653" t="s">
        <v>107</v>
      </c>
      <c r="I653" t="s">
        <v>108</v>
      </c>
      <c r="J653" t="s">
        <v>37</v>
      </c>
      <c r="K653" t="s">
        <v>38</v>
      </c>
      <c r="L653" t="s">
        <v>3089</v>
      </c>
      <c r="M653" t="s">
        <v>40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41</v>
      </c>
      <c r="U653" t="s">
        <v>42</v>
      </c>
      <c r="V653">
        <f>O653*(1-P653)*N653</f>
        <v>1795.6499999999999</v>
      </c>
      <c r="W653">
        <f t="shared" si="30"/>
        <v>798.92999999999984</v>
      </c>
      <c r="X653">
        <f t="shared" si="31"/>
        <v>0.44492523598696848</v>
      </c>
      <c r="Y653" t="s">
        <v>4120</v>
      </c>
      <c r="Z653" s="2">
        <f>IFERROR(
  IF(ISNUMBER(B653),B653,
    IF(ISNUMBER(SEARCH("-",B653)*1),
      IF(LEN(LEFT(B653,FIND("-",B653)-1))=4,
        DATE(VALUE(LEFT(B653,4)),VALUE(MID(B653,6,2)),VALUE(RIGHT(B653,2))),
        DATE(VALUE(RIGHT(B653,4)),VALUE(MID(B653,4,2)),VALUE(LEFT(B653,2)))
      ),
      IF(ISNUMBER(SEARCH("/",B653)*1),
        DATE(VALUE(RIGHT(B653,4)),VALUE(LEFT(B653,2)),VALUE(MID(B653,4,2))),
        DATEVALUE(B653)
      )
    )
  ),
"INVALID_DATE")</f>
        <v>45875</v>
      </c>
      <c r="AA653" s="2">
        <f>IFERROR(
  IF(ISNUMBER(C653),C653,
    IF(ISNUMBER(SEARCH("-",C653)*1),
      IF(LEN(LEFT(C653,FIND("-",C653)-1))=4,
        DATE(VALUE(LEFT(C653,4)),VALUE(MID(C653,6,2)),VALUE(RIGHT(C653,2))),
        DATE(VALUE(RIGHT(C653,4)),VALUE(MID(C653,4,2)),VALUE(LEFT(C653,2)))
      ),
      IF(ISNUMBER(SEARCH("/",C653)*1),
        DATE(VALUE(RIGHT(C653,4)),VALUE(LEFT(C653,2)),VALUE(MID(C653,4,2))),
        DATEVALUE(C653)
      )
    )
  ),
"INVALID_DATE")</f>
        <v>45878</v>
      </c>
      <c r="AB653">
        <f>AA653-Z653</f>
        <v>3</v>
      </c>
      <c r="AC653" t="str">
        <f>TEXT(Z653,"mmmm")</f>
        <v>August</v>
      </c>
      <c r="AD653">
        <f>YEAR(Z653)</f>
        <v>2025</v>
      </c>
      <c r="AE653" t="str">
        <f t="shared" si="32"/>
        <v>OK</v>
      </c>
    </row>
    <row r="654" spans="1:31">
      <c r="A654" t="s">
        <v>3090</v>
      </c>
      <c r="B654" t="s">
        <v>3091</v>
      </c>
      <c r="C654" t="s">
        <v>3092</v>
      </c>
      <c r="D654" t="s">
        <v>2575</v>
      </c>
      <c r="E654" t="s">
        <v>175</v>
      </c>
      <c r="F654" t="s">
        <v>33</v>
      </c>
      <c r="G654" t="s">
        <v>34</v>
      </c>
      <c r="H654" t="s">
        <v>181</v>
      </c>
      <c r="I654" t="s">
        <v>182</v>
      </c>
      <c r="J654" t="s">
        <v>37</v>
      </c>
      <c r="K654" t="s">
        <v>205</v>
      </c>
      <c r="L654" t="s">
        <v>3093</v>
      </c>
      <c r="M654" t="s">
        <v>74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41</v>
      </c>
      <c r="U654" t="s">
        <v>42</v>
      </c>
      <c r="V654">
        <f>O654*(1-P654)*N654</f>
        <v>18362.5075</v>
      </c>
      <c r="W654">
        <f t="shared" si="30"/>
        <v>7228.5375000000004</v>
      </c>
      <c r="X654">
        <f t="shared" si="31"/>
        <v>0.39365751196323384</v>
      </c>
      <c r="Y654" t="s">
        <v>4120</v>
      </c>
      <c r="Z654" s="2">
        <f>IFERROR(
  IF(ISNUMBER(B654),B654,
    IF(ISNUMBER(SEARCH("-",B654)*1),
      IF(LEN(LEFT(B654,FIND("-",B654)-1))=4,
        DATE(VALUE(LEFT(B654,4)),VALUE(MID(B654,6,2)),VALUE(RIGHT(B654,2))),
        DATE(VALUE(RIGHT(B654,4)),VALUE(MID(B654,4,2)),VALUE(LEFT(B654,2)))
      ),
      IF(ISNUMBER(SEARCH("/",B654)*1),
        DATE(VALUE(RIGHT(B654,4)),VALUE(LEFT(B654,2)),VALUE(MID(B654,4,2))),
        DATEVALUE(B654)
      )
    )
  ),
"INVALID_DATE")</f>
        <v>45733</v>
      </c>
      <c r="AA654" s="2">
        <f>IFERROR(
  IF(ISNUMBER(C654),C654,
    IF(ISNUMBER(SEARCH("-",C654)*1),
      IF(LEN(LEFT(C654,FIND("-",C654)-1))=4,
        DATE(VALUE(LEFT(C654,4)),VALUE(MID(C654,6,2)),VALUE(RIGHT(C654,2))),
        DATE(VALUE(RIGHT(C654,4)),VALUE(MID(C654,4,2)),VALUE(LEFT(C654,2)))
      ),
      IF(ISNUMBER(SEARCH("/",C654)*1),
        DATE(VALUE(RIGHT(C654,4)),VALUE(LEFT(C654,2)),VALUE(MID(C654,4,2))),
        DATEVALUE(C654)
      )
    )
  ),
"INVALID_DATE")</f>
        <v>45737</v>
      </c>
      <c r="AB654">
        <f>AA654-Z654</f>
        <v>4</v>
      </c>
      <c r="AC654" t="str">
        <f>TEXT(Z654,"mmmm")</f>
        <v>March</v>
      </c>
      <c r="AD654">
        <f>YEAR(Z654)</f>
        <v>2025</v>
      </c>
      <c r="AE654" t="str">
        <f t="shared" si="32"/>
        <v>OK</v>
      </c>
    </row>
    <row r="655" spans="1:31">
      <c r="A655" t="s">
        <v>3094</v>
      </c>
      <c r="B655" t="s">
        <v>3095</v>
      </c>
      <c r="C655" t="s">
        <v>3096</v>
      </c>
      <c r="D655" t="s">
        <v>3097</v>
      </c>
      <c r="E655" t="s">
        <v>149</v>
      </c>
      <c r="F655" t="s">
        <v>48</v>
      </c>
      <c r="G655" t="s">
        <v>69</v>
      </c>
      <c r="H655" t="s">
        <v>347</v>
      </c>
      <c r="I655" t="s">
        <v>348</v>
      </c>
      <c r="J655" t="s">
        <v>93</v>
      </c>
      <c r="K655" t="s">
        <v>101</v>
      </c>
      <c r="L655" t="s">
        <v>3098</v>
      </c>
      <c r="M655" t="s">
        <v>40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41</v>
      </c>
      <c r="U655" t="s">
        <v>42</v>
      </c>
      <c r="V655">
        <f>O655*(1-P655)*N655</f>
        <v>26524.683500000003</v>
      </c>
      <c r="W655">
        <f t="shared" si="30"/>
        <v>5950.3835000000036</v>
      </c>
      <c r="X655">
        <f t="shared" si="31"/>
        <v>0.22433371486479761</v>
      </c>
      <c r="Y655" t="str">
        <f>_xlfn.TEXTJOIN(", ",TRUE,IF(G655="Unknown","Missing Region",""),IF(M655="Unknown","Missing Ship Mode",""),IF(P655&lt;0,"Negative Discount",""),IF(P655&gt;0.7,"High Discount",""),IF(C655&lt;B655,"Ship Before Order",""))</f>
        <v>Ship Before Order</v>
      </c>
      <c r="Z655" s="2">
        <f>IFERROR(
  IF(ISNUMBER(B655),B655,
    IF(ISNUMBER(SEARCH("-",B655)*1),
      IF(LEN(LEFT(B655,FIND("-",B655)-1))=4,
        DATE(VALUE(LEFT(B655,4)),VALUE(MID(B655,6,2)),VALUE(RIGHT(B655,2))),
        DATE(VALUE(RIGHT(B655,4)),VALUE(MID(B655,4,2)),VALUE(LEFT(B655,2)))
      ),
      IF(ISNUMBER(SEARCH("/",B655)*1),
        DATE(VALUE(RIGHT(B655,4)),VALUE(LEFT(B655,2)),VALUE(MID(B655,4,2))),
        DATEVALUE(B655)
      )
    )
  ),
"INVALID_DATE")</f>
        <v>45751</v>
      </c>
      <c r="AA655" s="2">
        <f>IFERROR(
  IF(ISNUMBER(C655),C655,
    IF(ISNUMBER(SEARCH("-",C655)*1),
      IF(LEN(LEFT(C655,FIND("-",C655)-1))=4,
        DATE(VALUE(LEFT(C655,4)),VALUE(MID(C655,6,2)),VALUE(RIGHT(C655,2))),
        DATE(VALUE(RIGHT(C655,4)),VALUE(MID(C655,4,2)),VALUE(LEFT(C655,2)))
      ),
      IF(ISNUMBER(SEARCH("/",C655)*1),
        DATE(VALUE(RIGHT(C655,4)),VALUE(LEFT(C655,2)),VALUE(MID(C655,4,2))),
        DATEVALUE(C655)
      )
    )
  ),
"INVALID_DATE")</f>
        <v>45754</v>
      </c>
      <c r="AB655">
        <f>AA655-Z655</f>
        <v>3</v>
      </c>
      <c r="AC655" t="str">
        <f>TEXT(Z655,"mmmm")</f>
        <v>April</v>
      </c>
      <c r="AD655">
        <f>YEAR(Z655)</f>
        <v>2025</v>
      </c>
      <c r="AE655" t="str">
        <f t="shared" si="32"/>
        <v>OK</v>
      </c>
    </row>
    <row r="656" spans="1:31">
      <c r="A656" t="s">
        <v>3099</v>
      </c>
      <c r="B656" t="s">
        <v>3100</v>
      </c>
      <c r="C656" t="s">
        <v>147</v>
      </c>
      <c r="D656" t="s">
        <v>1424</v>
      </c>
      <c r="E656" t="s">
        <v>217</v>
      </c>
      <c r="F656" t="s">
        <v>115</v>
      </c>
      <c r="G656" t="s">
        <v>49</v>
      </c>
      <c r="H656" t="s">
        <v>193</v>
      </c>
      <c r="I656" t="s">
        <v>194</v>
      </c>
      <c r="J656" t="s">
        <v>93</v>
      </c>
      <c r="K656" t="s">
        <v>390</v>
      </c>
      <c r="L656" t="s">
        <v>3101</v>
      </c>
      <c r="M656" t="s">
        <v>55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41</v>
      </c>
      <c r="U656" t="s">
        <v>42</v>
      </c>
      <c r="V656">
        <f>O656*(1-P656)*N656</f>
        <v>2056.0480000000002</v>
      </c>
      <c r="W656">
        <f t="shared" si="30"/>
        <v>393.65800000000013</v>
      </c>
      <c r="X656">
        <f t="shared" si="31"/>
        <v>0.19146421536441233</v>
      </c>
      <c r="Y656" t="s">
        <v>4120</v>
      </c>
      <c r="Z656" s="2">
        <f>IFERROR(
  IF(ISNUMBER(B656),B656,
    IF(ISNUMBER(SEARCH("-",B656)*1),
      IF(LEN(LEFT(B656,FIND("-",B656)-1))=4,
        DATE(VALUE(LEFT(B656,4)),VALUE(MID(B656,6,2)),VALUE(RIGHT(B656,2))),
        DATE(VALUE(RIGHT(B656,4)),VALUE(MID(B656,4,2)),VALUE(LEFT(B656,2)))
      ),
      IF(ISNUMBER(SEARCH("/",B656)*1),
        DATE(VALUE(RIGHT(B656,4)),VALUE(LEFT(B656,2)),VALUE(MID(B656,4,2))),
        DATEVALUE(B656)
      )
    )
  ),
"INVALID_DATE")</f>
        <v>45942</v>
      </c>
      <c r="AA656" s="2">
        <f>IFERROR(
  IF(ISNUMBER(C656),C656,
    IF(ISNUMBER(SEARCH("-",C656)*1),
      IF(LEN(LEFT(C656,FIND("-",C656)-1))=4,
        DATE(VALUE(LEFT(C656,4)),VALUE(MID(C656,6,2)),VALUE(RIGHT(C656,2))),
        DATE(VALUE(RIGHT(C656,4)),VALUE(MID(C656,4,2)),VALUE(LEFT(C656,2)))
      ),
      IF(ISNUMBER(SEARCH("/",C656)*1),
        DATE(VALUE(RIGHT(C656,4)),VALUE(LEFT(C656,2)),VALUE(MID(C656,4,2))),
        DATEVALUE(C656)
      )
    )
  ),
"INVALID_DATE")</f>
        <v>45946</v>
      </c>
      <c r="AB656">
        <f>AA656-Z656</f>
        <v>4</v>
      </c>
      <c r="AC656" t="str">
        <f>TEXT(Z656,"mmmm")</f>
        <v>October</v>
      </c>
      <c r="AD656">
        <f>YEAR(Z656)</f>
        <v>2025</v>
      </c>
      <c r="AE656" t="str">
        <f t="shared" si="32"/>
        <v>OK</v>
      </c>
    </row>
    <row r="657" spans="1:31">
      <c r="A657" t="s">
        <v>3102</v>
      </c>
      <c r="B657" t="s">
        <v>707</v>
      </c>
      <c r="C657" t="s">
        <v>707</v>
      </c>
      <c r="D657" t="s">
        <v>3103</v>
      </c>
      <c r="E657" t="s">
        <v>100</v>
      </c>
      <c r="F657" t="s">
        <v>122</v>
      </c>
      <c r="G657" t="s">
        <v>49</v>
      </c>
      <c r="H657" t="s">
        <v>128</v>
      </c>
      <c r="I657" t="s">
        <v>129</v>
      </c>
      <c r="J657" t="s">
        <v>52</v>
      </c>
      <c r="K657" t="s">
        <v>72</v>
      </c>
      <c r="L657" t="s">
        <v>3104</v>
      </c>
      <c r="M657" t="s">
        <v>74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41</v>
      </c>
      <c r="U657" t="s">
        <v>42</v>
      </c>
      <c r="V657">
        <f>O657*(1-P657)*N657</f>
        <v>8607.2800000000007</v>
      </c>
      <c r="W657">
        <f t="shared" si="30"/>
        <v>3483.2700000000004</v>
      </c>
      <c r="X657">
        <f t="shared" si="31"/>
        <v>0.40468882155570629</v>
      </c>
      <c r="Y657" t="s">
        <v>4120</v>
      </c>
      <c r="Z657" s="2">
        <f>IFERROR(
  IF(ISNUMBER(B657),B657,
    IF(ISNUMBER(SEARCH("-",B657)*1),
      IF(LEN(LEFT(B657,FIND("-",B657)-1))=4,
        DATE(VALUE(LEFT(B657,4)),VALUE(MID(B657,6,2)),VALUE(RIGHT(B657,2))),
        DATE(VALUE(RIGHT(B657,4)),VALUE(MID(B657,4,2)),VALUE(LEFT(B657,2)))
      ),
      IF(ISNUMBER(SEARCH("/",B657)*1),
        DATE(VALUE(RIGHT(B657,4)),VALUE(LEFT(B657,2)),VALUE(MID(B657,4,2))),
        DATEVALUE(B657)
      )
    )
  ),
"INVALID_DATE")</f>
        <v>45895</v>
      </c>
      <c r="AA657" s="2">
        <f>IFERROR(
  IF(ISNUMBER(C657),C657,
    IF(ISNUMBER(SEARCH("-",C657)*1),
      IF(LEN(LEFT(C657,FIND("-",C657)-1))=4,
        DATE(VALUE(LEFT(C657,4)),VALUE(MID(C657,6,2)),VALUE(RIGHT(C657,2))),
        DATE(VALUE(RIGHT(C657,4)),VALUE(MID(C657,4,2)),VALUE(LEFT(C657,2)))
      ),
      IF(ISNUMBER(SEARCH("/",C657)*1),
        DATE(VALUE(RIGHT(C657,4)),VALUE(LEFT(C657,2)),VALUE(MID(C657,4,2))),
        DATEVALUE(C657)
      )
    )
  ),
"INVALID_DATE")</f>
        <v>45895</v>
      </c>
      <c r="AB657">
        <f>AA657-Z657</f>
        <v>0</v>
      </c>
      <c r="AC657" t="str">
        <f>TEXT(Z657,"mmmm")</f>
        <v>August</v>
      </c>
      <c r="AD657">
        <f>YEAR(Z657)</f>
        <v>2025</v>
      </c>
      <c r="AE657" t="str">
        <f t="shared" si="32"/>
        <v>OK</v>
      </c>
    </row>
    <row r="658" spans="1:31">
      <c r="A658" t="s">
        <v>3105</v>
      </c>
      <c r="B658" t="s">
        <v>3106</v>
      </c>
      <c r="C658" t="s">
        <v>2337</v>
      </c>
      <c r="D658" t="s">
        <v>3107</v>
      </c>
      <c r="E658" t="s">
        <v>100</v>
      </c>
      <c r="F658" t="s">
        <v>48</v>
      </c>
      <c r="G658" t="s">
        <v>34</v>
      </c>
      <c r="H658" t="s">
        <v>331</v>
      </c>
      <c r="I658" t="s">
        <v>332</v>
      </c>
      <c r="J658" t="s">
        <v>93</v>
      </c>
      <c r="K658" t="s">
        <v>390</v>
      </c>
      <c r="L658" t="s">
        <v>3108</v>
      </c>
      <c r="M658" t="s">
        <v>55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41</v>
      </c>
      <c r="U658" t="s">
        <v>42</v>
      </c>
      <c r="V658">
        <f>O658*(1-P658)*N658</f>
        <v>11554.62</v>
      </c>
      <c r="W658">
        <f t="shared" si="30"/>
        <v>3858.3400000000011</v>
      </c>
      <c r="X658">
        <f t="shared" si="31"/>
        <v>0.22290881627147122</v>
      </c>
      <c r="Y658" t="str">
        <f>_xlfn.TEXTJOIN(", ",TRUE,IF(G658="Unknown","Missing Region",""),IF(M658="Unknown","Missing Ship Mode",""),IF(P658&lt;0,"Negative Discount",""),IF(P658&gt;0.7,"High Discount",""),IF(C658&lt;B658,"Ship Before Order",""))</f>
        <v>Negative Discount, Ship Before Order</v>
      </c>
      <c r="Z658" s="2">
        <f>IFERROR(
  IF(ISNUMBER(B658),B658,
    IF(ISNUMBER(SEARCH("-",B658)*1),
      IF(LEN(LEFT(B658,FIND("-",B658)-1))=4,
        DATE(VALUE(LEFT(B658,4)),VALUE(MID(B658,6,2)),VALUE(RIGHT(B658,2))),
        DATE(VALUE(RIGHT(B658,4)),VALUE(MID(B658,4,2)),VALUE(LEFT(B658,2)))
      ),
      IF(ISNUMBER(SEARCH("/",B658)*1),
        DATE(VALUE(RIGHT(B658,4)),VALUE(LEFT(B658,2)),VALUE(MID(B658,4,2))),
        DATEVALUE(B658)
      )
    )
  ),
"INVALID_DATE")</f>
        <v>45419</v>
      </c>
      <c r="AA658" s="2">
        <f>IFERROR(
  IF(ISNUMBER(C658),C658,
    IF(ISNUMBER(SEARCH("-",C658)*1),
      IF(LEN(LEFT(C658,FIND("-",C658)-1))=4,
        DATE(VALUE(LEFT(C658,4)),VALUE(MID(C658,6,2)),VALUE(RIGHT(C658,2))),
        DATE(VALUE(RIGHT(C658,4)),VALUE(MID(C658,4,2)),VALUE(LEFT(C658,2)))
      ),
      IF(ISNUMBER(SEARCH("/",C658)*1),
        DATE(VALUE(RIGHT(C658,4)),VALUE(LEFT(C658,2)),VALUE(MID(C658,4,2))),
        DATEVALUE(C658)
      )
    )
  ),
"INVALID_DATE")</f>
        <v>45426</v>
      </c>
      <c r="AB658">
        <f>AA658-Z658</f>
        <v>7</v>
      </c>
      <c r="AC658" t="str">
        <f>TEXT(Z658,"mmmm")</f>
        <v>May</v>
      </c>
      <c r="AD658">
        <f>YEAR(Z658)</f>
        <v>2024</v>
      </c>
      <c r="AE658" t="str">
        <f t="shared" si="32"/>
        <v>OK</v>
      </c>
    </row>
    <row r="659" spans="1:31">
      <c r="A659" t="s">
        <v>3109</v>
      </c>
      <c r="B659" t="s">
        <v>3110</v>
      </c>
      <c r="C659" t="s">
        <v>3111</v>
      </c>
      <c r="D659" t="s">
        <v>3112</v>
      </c>
      <c r="E659" t="s">
        <v>114</v>
      </c>
      <c r="F659" t="s">
        <v>122</v>
      </c>
      <c r="G659" t="s">
        <v>49</v>
      </c>
      <c r="H659" t="s">
        <v>193</v>
      </c>
      <c r="I659" t="s">
        <v>194</v>
      </c>
      <c r="J659" t="s">
        <v>37</v>
      </c>
      <c r="K659" t="s">
        <v>163</v>
      </c>
      <c r="L659" t="s">
        <v>3113</v>
      </c>
      <c r="M659" t="s">
        <v>40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41</v>
      </c>
      <c r="U659" t="s">
        <v>42</v>
      </c>
      <c r="V659">
        <f>O659*(1-P659)*N659</f>
        <v>2033</v>
      </c>
      <c r="W659">
        <f t="shared" si="30"/>
        <v>741.58999999999992</v>
      </c>
      <c r="X659">
        <f t="shared" si="31"/>
        <v>0.36477619281849483</v>
      </c>
      <c r="Y659" t="s">
        <v>4120</v>
      </c>
      <c r="Z659" s="2">
        <f>IFERROR(
  IF(ISNUMBER(B659),B659,
    IF(ISNUMBER(SEARCH("-",B659)*1),
      IF(LEN(LEFT(B659,FIND("-",B659)-1))=4,
        DATE(VALUE(LEFT(B659,4)),VALUE(MID(B659,6,2)),VALUE(RIGHT(B659,2))),
        DATE(VALUE(RIGHT(B659,4)),VALUE(MID(B659,4,2)),VALUE(LEFT(B659,2)))
      ),
      IF(ISNUMBER(SEARCH("/",B659)*1),
        DATE(VALUE(RIGHT(B659,4)),VALUE(LEFT(B659,2)),VALUE(MID(B659,4,2))),
        DATEVALUE(B659)
      )
    )
  ),
"INVALID_DATE")</f>
        <v>45876</v>
      </c>
      <c r="AA659" s="2">
        <f>IFERROR(
  IF(ISNUMBER(C659),C659,
    IF(ISNUMBER(SEARCH("-",C659)*1),
      IF(LEN(LEFT(C659,FIND("-",C659)-1))=4,
        DATE(VALUE(LEFT(C659,4)),VALUE(MID(C659,6,2)),VALUE(RIGHT(C659,2))),
        DATE(VALUE(RIGHT(C659,4)),VALUE(MID(C659,4,2)),VALUE(LEFT(C659,2)))
      ),
      IF(ISNUMBER(SEARCH("/",C659)*1),
        DATE(VALUE(RIGHT(C659,4)),VALUE(LEFT(C659,2)),VALUE(MID(C659,4,2))),
        DATEVALUE(C659)
      )
    )
  ),
"INVALID_DATE")</f>
        <v>45879</v>
      </c>
      <c r="AB659">
        <f>AA659-Z659</f>
        <v>3</v>
      </c>
      <c r="AC659" t="str">
        <f>TEXT(Z659,"mmmm")</f>
        <v>August</v>
      </c>
      <c r="AD659">
        <f>YEAR(Z659)</f>
        <v>2025</v>
      </c>
      <c r="AE659" t="str">
        <f t="shared" si="32"/>
        <v>OK</v>
      </c>
    </row>
    <row r="660" spans="1:31">
      <c r="A660" t="s">
        <v>3114</v>
      </c>
      <c r="B660" t="s">
        <v>3115</v>
      </c>
      <c r="C660" t="s">
        <v>2221</v>
      </c>
      <c r="D660" t="s">
        <v>3116</v>
      </c>
      <c r="E660" t="s">
        <v>175</v>
      </c>
      <c r="F660" t="s">
        <v>33</v>
      </c>
      <c r="G660" t="s">
        <v>279</v>
      </c>
      <c r="H660" t="s">
        <v>193</v>
      </c>
      <c r="I660" t="s">
        <v>194</v>
      </c>
      <c r="J660" t="s">
        <v>37</v>
      </c>
      <c r="K660" t="s">
        <v>61</v>
      </c>
      <c r="L660" t="s">
        <v>3117</v>
      </c>
      <c r="M660" t="s">
        <v>63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131</v>
      </c>
      <c r="U660" t="s">
        <v>85</v>
      </c>
      <c r="V660">
        <f>O660*(1-P660)*N660</f>
        <v>19966.940000000002</v>
      </c>
      <c r="W660">
        <f t="shared" si="30"/>
        <v>7276.1100000000024</v>
      </c>
      <c r="X660">
        <f t="shared" si="31"/>
        <v>0.36440786620283327</v>
      </c>
      <c r="Y660" t="str">
        <f>_xlfn.TEXTJOIN(", ",TRUE,IF(G660="Unknown","Missing Region",""),IF(M660="Unknown","Missing Ship Mode",""),IF(P660&lt;0,"Negative Discount",""),IF(P660&gt;0.7,"High Discount",""),IF(C660&lt;B660,"Ship Before Order",""))</f>
        <v>Missing Region, Ship Before Order</v>
      </c>
      <c r="Z660" s="2">
        <f>IFERROR(
  IF(ISNUMBER(B660),B660,
    IF(ISNUMBER(SEARCH("-",B660)*1),
      IF(LEN(LEFT(B660,FIND("-",B660)-1))=4,
        DATE(VALUE(LEFT(B660,4)),VALUE(MID(B660,6,2)),VALUE(RIGHT(B660,2))),
        DATE(VALUE(RIGHT(B660,4)),VALUE(MID(B660,4,2)),VALUE(LEFT(B660,2)))
      ),
      IF(ISNUMBER(SEARCH("/",B660)*1),
        DATE(VALUE(RIGHT(B660,4)),VALUE(LEFT(B660,2)),VALUE(MID(B660,4,2))),
        DATEVALUE(B660)
      )
    )
  ),
"INVALID_DATE")</f>
        <v>45817</v>
      </c>
      <c r="AA660" s="2">
        <f>IFERROR(
  IF(ISNUMBER(C660),C660,
    IF(ISNUMBER(SEARCH("-",C660)*1),
      IF(LEN(LEFT(C660,FIND("-",C660)-1))=4,
        DATE(VALUE(LEFT(C660,4)),VALUE(MID(C660,6,2)),VALUE(RIGHT(C660,2))),
        DATE(VALUE(RIGHT(C660,4)),VALUE(MID(C660,4,2)),VALUE(LEFT(C660,2)))
      ),
      IF(ISNUMBER(SEARCH("/",C660)*1),
        DATE(VALUE(RIGHT(C660,4)),VALUE(LEFT(C660,2)),VALUE(MID(C660,4,2))),
        DATEVALUE(C660)
      )
    )
  ),
"INVALID_DATE")</f>
        <v>45820</v>
      </c>
      <c r="AB660">
        <f>AA660-Z660</f>
        <v>3</v>
      </c>
      <c r="AC660" t="str">
        <f>TEXT(Z660,"mmmm")</f>
        <v>June</v>
      </c>
      <c r="AD660">
        <f>YEAR(Z660)</f>
        <v>2025</v>
      </c>
      <c r="AE660" t="str">
        <f t="shared" si="32"/>
        <v>OK</v>
      </c>
    </row>
    <row r="661" spans="1:31">
      <c r="A661" t="s">
        <v>3118</v>
      </c>
      <c r="B661" t="s">
        <v>190</v>
      </c>
      <c r="C661" t="s">
        <v>1845</v>
      </c>
      <c r="D661" t="s">
        <v>3119</v>
      </c>
      <c r="E661" t="s">
        <v>217</v>
      </c>
      <c r="F661" t="s">
        <v>115</v>
      </c>
      <c r="G661" t="s">
        <v>69</v>
      </c>
      <c r="H661" t="s">
        <v>236</v>
      </c>
      <c r="I661" t="s">
        <v>237</v>
      </c>
      <c r="J661" t="s">
        <v>93</v>
      </c>
      <c r="K661" t="s">
        <v>230</v>
      </c>
      <c r="L661" t="s">
        <v>3120</v>
      </c>
      <c r="M661" t="s">
        <v>40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131</v>
      </c>
      <c r="U661" t="s">
        <v>85</v>
      </c>
      <c r="V661">
        <f>O661*(1-P661)*N661</f>
        <v>710.89600000000007</v>
      </c>
      <c r="W661">
        <f t="shared" si="30"/>
        <v>197.01600000000008</v>
      </c>
      <c r="X661">
        <f t="shared" si="31"/>
        <v>0.27714165142776764</v>
      </c>
      <c r="Y661" t="str">
        <f>_xlfn.TEXTJOIN(", ",TRUE,IF(G661="Unknown","Missing Region",""),IF(M661="Unknown","Missing Ship Mode",""),IF(P661&lt;0,"Negative Discount",""),IF(P661&gt;0.7,"High Discount",""),IF(C661&lt;B661,"Ship Before Order",""))</f>
        <v>Ship Before Order</v>
      </c>
      <c r="Z661" s="2">
        <f>IFERROR(
  IF(ISNUMBER(B661),B661,
    IF(ISNUMBER(SEARCH("-",B661)*1),
      IF(LEN(LEFT(B661,FIND("-",B661)-1))=4,
        DATE(VALUE(LEFT(B661,4)),VALUE(MID(B661,6,2)),VALUE(RIGHT(B661,2))),
        DATE(VALUE(RIGHT(B661,4)),VALUE(MID(B661,4,2)),VALUE(LEFT(B661,2)))
      ),
      IF(ISNUMBER(SEARCH("/",B661)*1),
        DATE(VALUE(RIGHT(B661,4)),VALUE(LEFT(B661,2)),VALUE(MID(B661,4,2))),
        DATEVALUE(B661)
      )
    )
  ),
"INVALID_DATE")</f>
        <v>45678</v>
      </c>
      <c r="AA661" s="2">
        <f>IFERROR(
  IF(ISNUMBER(C661),C661,
    IF(ISNUMBER(SEARCH("-",C661)*1),
      IF(LEN(LEFT(C661,FIND("-",C661)-1))=4,
        DATE(VALUE(LEFT(C661,4)),VALUE(MID(C661,6,2)),VALUE(RIGHT(C661,2))),
        DATE(VALUE(RIGHT(C661,4)),VALUE(MID(C661,4,2)),VALUE(LEFT(C661,2)))
      ),
      IF(ISNUMBER(SEARCH("/",C661)*1),
        DATE(VALUE(RIGHT(C661,4)),VALUE(LEFT(C661,2)),VALUE(MID(C661,4,2))),
        DATEVALUE(C661)
      )
    )
  ),
"INVALID_DATE")</f>
        <v>45679</v>
      </c>
      <c r="AB661">
        <f>AA661-Z661</f>
        <v>1</v>
      </c>
      <c r="AC661" t="str">
        <f>TEXT(Z661,"mmmm")</f>
        <v>January</v>
      </c>
      <c r="AD661">
        <f>YEAR(Z661)</f>
        <v>2025</v>
      </c>
      <c r="AE661" t="str">
        <f t="shared" si="32"/>
        <v>OK</v>
      </c>
    </row>
    <row r="662" spans="1:31">
      <c r="A662" t="s">
        <v>3121</v>
      </c>
      <c r="B662" t="s">
        <v>178</v>
      </c>
      <c r="C662" t="s">
        <v>3122</v>
      </c>
      <c r="D662" t="s">
        <v>3123</v>
      </c>
      <c r="E662" t="s">
        <v>68</v>
      </c>
      <c r="F662" t="s">
        <v>48</v>
      </c>
      <c r="G662" t="s">
        <v>49</v>
      </c>
      <c r="H662" t="s">
        <v>319</v>
      </c>
      <c r="I662" t="s">
        <v>320</v>
      </c>
      <c r="J662" t="s">
        <v>93</v>
      </c>
      <c r="K662" t="s">
        <v>230</v>
      </c>
      <c r="L662" t="s">
        <v>3124</v>
      </c>
      <c r="M662" t="s">
        <v>55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41</v>
      </c>
      <c r="U662" t="s">
        <v>42</v>
      </c>
      <c r="V662">
        <f>O662*(1-P662)*N662</f>
        <v>15994.476000000001</v>
      </c>
      <c r="W662">
        <f t="shared" si="30"/>
        <v>6770.1959999999999</v>
      </c>
      <c r="X662">
        <f t="shared" si="31"/>
        <v>0.42328353281882247</v>
      </c>
      <c r="Y662" t="s">
        <v>4120</v>
      </c>
      <c r="Z662" s="2">
        <f>IFERROR(
  IF(ISNUMBER(B662),B662,
    IF(ISNUMBER(SEARCH("-",B662)*1),
      IF(LEN(LEFT(B662,FIND("-",B662)-1))=4,
        DATE(VALUE(LEFT(B662,4)),VALUE(MID(B662,6,2)),VALUE(RIGHT(B662,2))),
        DATE(VALUE(RIGHT(B662,4)),VALUE(MID(B662,4,2)),VALUE(LEFT(B662,2)))
      ),
      IF(ISNUMBER(SEARCH("/",B662)*1),
        DATE(VALUE(RIGHT(B662,4)),VALUE(LEFT(B662,2)),VALUE(MID(B662,4,2))),
        DATEVALUE(B662)
      )
    )
  ),
"INVALID_DATE")</f>
        <v>45853</v>
      </c>
      <c r="AA662" s="2">
        <f>IFERROR(
  IF(ISNUMBER(C662),C662,
    IF(ISNUMBER(SEARCH("-",C662)*1),
      IF(LEN(LEFT(C662,FIND("-",C662)-1))=4,
        DATE(VALUE(LEFT(C662,4)),VALUE(MID(C662,6,2)),VALUE(RIGHT(C662,2))),
        DATE(VALUE(RIGHT(C662,4)),VALUE(MID(C662,4,2)),VALUE(LEFT(C662,2)))
      ),
      IF(ISNUMBER(SEARCH("/",C662)*1),
        DATE(VALUE(RIGHT(C662,4)),VALUE(LEFT(C662,2)),VALUE(MID(C662,4,2))),
        DATEVALUE(C662)
      )
    )
  ),
"INVALID_DATE")</f>
        <v>45853</v>
      </c>
      <c r="AB662">
        <f>AA662-Z662</f>
        <v>0</v>
      </c>
      <c r="AC662" t="str">
        <f>TEXT(Z662,"mmmm")</f>
        <v>July</v>
      </c>
      <c r="AD662">
        <f>YEAR(Z662)</f>
        <v>2025</v>
      </c>
      <c r="AE662" t="str">
        <f t="shared" si="32"/>
        <v>OK</v>
      </c>
    </row>
    <row r="663" spans="1:31">
      <c r="A663" t="s">
        <v>3125</v>
      </c>
      <c r="B663" t="s">
        <v>3126</v>
      </c>
      <c r="C663" t="s">
        <v>3127</v>
      </c>
      <c r="D663" t="s">
        <v>3128</v>
      </c>
      <c r="E663" t="s">
        <v>175</v>
      </c>
      <c r="F663" t="s">
        <v>33</v>
      </c>
      <c r="G663" t="s">
        <v>69</v>
      </c>
      <c r="H663" t="s">
        <v>107</v>
      </c>
      <c r="I663" t="s">
        <v>108</v>
      </c>
      <c r="J663" t="s">
        <v>93</v>
      </c>
      <c r="K663" t="s">
        <v>390</v>
      </c>
      <c r="L663" t="s">
        <v>3129</v>
      </c>
      <c r="M663" t="s">
        <v>40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41</v>
      </c>
      <c r="U663" t="s">
        <v>42</v>
      </c>
      <c r="V663">
        <f>O663*(1-P663)*N663</f>
        <v>1627.5</v>
      </c>
      <c r="W663">
        <f t="shared" si="30"/>
        <v>687.6</v>
      </c>
      <c r="X663">
        <f t="shared" si="31"/>
        <v>0.4224884792626728</v>
      </c>
      <c r="Y663" t="s">
        <v>4120</v>
      </c>
      <c r="Z663" s="2">
        <f>IFERROR(
  IF(ISNUMBER(B663),B663,
    IF(ISNUMBER(SEARCH("-",B663)*1),
      IF(LEN(LEFT(B663,FIND("-",B663)-1))=4,
        DATE(VALUE(LEFT(B663,4)),VALUE(MID(B663,6,2)),VALUE(RIGHT(B663,2))),
        DATE(VALUE(RIGHT(B663,4)),VALUE(MID(B663,4,2)),VALUE(LEFT(B663,2)))
      ),
      IF(ISNUMBER(SEARCH("/",B663)*1),
        DATE(VALUE(RIGHT(B663,4)),VALUE(LEFT(B663,2)),VALUE(MID(B663,4,2))),
        DATEVALUE(B663)
      )
    )
  ),
"INVALID_DATE")</f>
        <v>45429</v>
      </c>
      <c r="AA663" s="2">
        <f>IFERROR(
  IF(ISNUMBER(C663),C663,
    IF(ISNUMBER(SEARCH("-",C663)*1),
      IF(LEN(LEFT(C663,FIND("-",C663)-1))=4,
        DATE(VALUE(LEFT(C663,4)),VALUE(MID(C663,6,2)),VALUE(RIGHT(C663,2))),
        DATE(VALUE(RIGHT(C663,4)),VALUE(MID(C663,4,2)),VALUE(LEFT(C663,2)))
      ),
      IF(ISNUMBER(SEARCH("/",C663)*1),
        DATE(VALUE(RIGHT(C663,4)),VALUE(LEFT(C663,2)),VALUE(MID(C663,4,2))),
        DATEVALUE(C663)
      )
    )
  ),
"INVALID_DATE")</f>
        <v>45434</v>
      </c>
      <c r="AB663">
        <f>AA663-Z663</f>
        <v>5</v>
      </c>
      <c r="AC663" t="str">
        <f>TEXT(Z663,"mmmm")</f>
        <v>May</v>
      </c>
      <c r="AD663">
        <f>YEAR(Z663)</f>
        <v>2024</v>
      </c>
      <c r="AE663" t="str">
        <f t="shared" si="32"/>
        <v>OK</v>
      </c>
    </row>
    <row r="664" spans="1:31">
      <c r="A664" t="s">
        <v>3130</v>
      </c>
      <c r="B664" t="s">
        <v>3131</v>
      </c>
      <c r="C664" t="s">
        <v>3132</v>
      </c>
      <c r="D664" t="s">
        <v>3133</v>
      </c>
      <c r="E664" t="s">
        <v>47</v>
      </c>
      <c r="F664" t="s">
        <v>122</v>
      </c>
      <c r="G664" t="s">
        <v>80</v>
      </c>
      <c r="H664" t="s">
        <v>35</v>
      </c>
      <c r="I664" t="s">
        <v>142</v>
      </c>
      <c r="J664" t="s">
        <v>93</v>
      </c>
      <c r="K664" t="s">
        <v>390</v>
      </c>
      <c r="L664" t="s">
        <v>3134</v>
      </c>
      <c r="M664" t="s">
        <v>55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41</v>
      </c>
      <c r="U664" t="s">
        <v>42</v>
      </c>
      <c r="V664">
        <f>O664*(1-P664)*N664</f>
        <v>9637.92</v>
      </c>
      <c r="W664">
        <f t="shared" si="30"/>
        <v>2308.63</v>
      </c>
      <c r="X664">
        <f t="shared" si="31"/>
        <v>0.2395361239769577</v>
      </c>
      <c r="Y664" t="str">
        <f>_xlfn.TEXTJOIN(", ",TRUE,IF(G664="Unknown","Missing Region",""),IF(M664="Unknown","Missing Ship Mode",""),IF(P664&lt;0,"Negative Discount",""),IF(P664&gt;0.7,"High Discount",""),IF(C664&lt;B664,"Ship Before Order",""))</f>
        <v>Ship Before Order</v>
      </c>
      <c r="Z664" s="2">
        <f>IFERROR(
  IF(ISNUMBER(B664),B664,
    IF(ISNUMBER(SEARCH("-",B664)*1),
      IF(LEN(LEFT(B664,FIND("-",B664)-1))=4,
        DATE(VALUE(LEFT(B664,4)),VALUE(MID(B664,6,2)),VALUE(RIGHT(B664,2))),
        DATE(VALUE(RIGHT(B664,4)),VALUE(MID(B664,4,2)),VALUE(LEFT(B664,2)))
      ),
      IF(ISNUMBER(SEARCH("/",B664)*1),
        DATE(VALUE(RIGHT(B664,4)),VALUE(LEFT(B664,2)),VALUE(MID(B664,4,2))),
        DATEVALUE(B664)
      )
    )
  ),
"INVALID_DATE")</f>
        <v>45305</v>
      </c>
      <c r="AA664" s="2">
        <f>IFERROR(
  IF(ISNUMBER(C664),C664,
    IF(ISNUMBER(SEARCH("-",C664)*1),
      IF(LEN(LEFT(C664,FIND("-",C664)-1))=4,
        DATE(VALUE(LEFT(C664,4)),VALUE(MID(C664,6,2)),VALUE(RIGHT(C664,2))),
        DATE(VALUE(RIGHT(C664,4)),VALUE(MID(C664,4,2)),VALUE(LEFT(C664,2)))
      ),
      IF(ISNUMBER(SEARCH("/",C664)*1),
        DATE(VALUE(RIGHT(C664,4)),VALUE(LEFT(C664,2)),VALUE(MID(C664,4,2))),
        DATEVALUE(C664)
      )
    )
  ),
"INVALID_DATE")</f>
        <v>45309</v>
      </c>
      <c r="AB664">
        <f>AA664-Z664</f>
        <v>4</v>
      </c>
      <c r="AC664" t="str">
        <f>TEXT(Z664,"mmmm")</f>
        <v>January</v>
      </c>
      <c r="AD664">
        <f>YEAR(Z664)</f>
        <v>2024</v>
      </c>
      <c r="AE664" t="str">
        <f t="shared" si="32"/>
        <v>OK</v>
      </c>
    </row>
    <row r="665" spans="1:31">
      <c r="A665" t="s">
        <v>3135</v>
      </c>
      <c r="B665" t="s">
        <v>1233</v>
      </c>
      <c r="C665" t="s">
        <v>2690</v>
      </c>
      <c r="D665" t="s">
        <v>3136</v>
      </c>
      <c r="E665" t="s">
        <v>155</v>
      </c>
      <c r="F665" t="s">
        <v>122</v>
      </c>
      <c r="G665" t="s">
        <v>49</v>
      </c>
      <c r="H665" t="s">
        <v>319</v>
      </c>
      <c r="I665" t="s">
        <v>320</v>
      </c>
      <c r="J665" t="s">
        <v>93</v>
      </c>
      <c r="K665" t="s">
        <v>101</v>
      </c>
      <c r="L665" t="s">
        <v>3137</v>
      </c>
      <c r="M665" t="s">
        <v>40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41</v>
      </c>
      <c r="U665" t="s">
        <v>42</v>
      </c>
      <c r="V665">
        <f>O665*(1-P665)*N665</f>
        <v>7898.8248000000003</v>
      </c>
      <c r="W665">
        <f t="shared" si="30"/>
        <v>4745.8448000000008</v>
      </c>
      <c r="X665">
        <f t="shared" si="31"/>
        <v>0.34003834625496071</v>
      </c>
      <c r="Y665" t="str">
        <f>_xlfn.TEXTJOIN(", ",TRUE,IF(G665="Unknown","Missing Region",""),IF(M665="Unknown","Missing Ship Mode",""),IF(P665&lt;0,"Negative Discount",""),IF(P665&gt;0.7,"High Discount",""),IF(C665&lt;B665,"Ship Before Order",""))</f>
        <v>Negative Discount</v>
      </c>
      <c r="Z665" s="2">
        <f>IFERROR(
  IF(ISNUMBER(B665),B665,
    IF(ISNUMBER(SEARCH("-",B665)*1),
      IF(LEN(LEFT(B665,FIND("-",B665)-1))=4,
        DATE(VALUE(LEFT(B665,4)),VALUE(MID(B665,6,2)),VALUE(RIGHT(B665,2))),
        DATE(VALUE(RIGHT(B665,4)),VALUE(MID(B665,4,2)),VALUE(LEFT(B665,2)))
      ),
      IF(ISNUMBER(SEARCH("/",B665)*1),
        DATE(VALUE(RIGHT(B665,4)),VALUE(LEFT(B665,2)),VALUE(MID(B665,4,2))),
        DATEVALUE(B665)
      )
    )
  ),
"INVALID_DATE")</f>
        <v>45414</v>
      </c>
      <c r="AA665" s="2">
        <f>IFERROR(
  IF(ISNUMBER(C665),C665,
    IF(ISNUMBER(SEARCH("-",C665)*1),
      IF(LEN(LEFT(C665,FIND("-",C665)-1))=4,
        DATE(VALUE(LEFT(C665,4)),VALUE(MID(C665,6,2)),VALUE(RIGHT(C665,2))),
        DATE(VALUE(RIGHT(C665,4)),VALUE(MID(C665,4,2)),VALUE(LEFT(C665,2)))
      ),
      IF(ISNUMBER(SEARCH("/",C665)*1),
        DATE(VALUE(RIGHT(C665,4)),VALUE(LEFT(C665,2)),VALUE(MID(C665,4,2))),
        DATEVALUE(C665)
      )
    )
  ),
"INVALID_DATE")</f>
        <v>45420</v>
      </c>
      <c r="AB665">
        <f>AA665-Z665</f>
        <v>6</v>
      </c>
      <c r="AC665" t="str">
        <f>TEXT(Z665,"mmmm")</f>
        <v>May</v>
      </c>
      <c r="AD665">
        <f>YEAR(Z665)</f>
        <v>2024</v>
      </c>
      <c r="AE665" t="str">
        <f t="shared" si="32"/>
        <v>OK</v>
      </c>
    </row>
    <row r="666" spans="1:31">
      <c r="A666" t="s">
        <v>3138</v>
      </c>
      <c r="B666" t="s">
        <v>3139</v>
      </c>
      <c r="C666" t="s">
        <v>3140</v>
      </c>
      <c r="D666" t="s">
        <v>3141</v>
      </c>
      <c r="E666" t="s">
        <v>47</v>
      </c>
      <c r="F666" t="s">
        <v>122</v>
      </c>
      <c r="G666" t="s">
        <v>69</v>
      </c>
      <c r="H666" t="s">
        <v>70</v>
      </c>
      <c r="I666" t="s">
        <v>71</v>
      </c>
      <c r="J666" t="s">
        <v>93</v>
      </c>
      <c r="K666" t="s">
        <v>94</v>
      </c>
      <c r="L666" t="s">
        <v>3142</v>
      </c>
      <c r="M666" t="s">
        <v>74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41</v>
      </c>
      <c r="U666" t="s">
        <v>42</v>
      </c>
      <c r="V666">
        <f>O666*(1-P666)*N666</f>
        <v>1527.0640000000001</v>
      </c>
      <c r="W666">
        <f t="shared" si="30"/>
        <v>471.17399999999998</v>
      </c>
      <c r="X666">
        <f t="shared" si="31"/>
        <v>0.30854714287585294</v>
      </c>
      <c r="Y666" t="s">
        <v>4120</v>
      </c>
      <c r="Z666" s="2">
        <f>IFERROR(
  IF(ISNUMBER(B666),B666,
    IF(ISNUMBER(SEARCH("-",B666)*1),
      IF(LEN(LEFT(B666,FIND("-",B666)-1))=4,
        DATE(VALUE(LEFT(B666,4)),VALUE(MID(B666,6,2)),VALUE(RIGHT(B666,2))),
        DATE(VALUE(RIGHT(B666,4)),VALUE(MID(B666,4,2)),VALUE(LEFT(B666,2)))
      ),
      IF(ISNUMBER(SEARCH("/",B666)*1),
        DATE(VALUE(RIGHT(B666,4)),VALUE(LEFT(B666,2)),VALUE(MID(B666,4,2))),
        DATEVALUE(B666)
      )
    )
  ),
"INVALID_DATE")</f>
        <v>45633</v>
      </c>
      <c r="AA666" s="2">
        <f>IFERROR(
  IF(ISNUMBER(C666),C666,
    IF(ISNUMBER(SEARCH("-",C666)*1),
      IF(LEN(LEFT(C666,FIND("-",C666)-1))=4,
        DATE(VALUE(LEFT(C666,4)),VALUE(MID(C666,6,2)),VALUE(RIGHT(C666,2))),
        DATE(VALUE(RIGHT(C666,4)),VALUE(MID(C666,4,2)),VALUE(LEFT(C666,2)))
      ),
      IF(ISNUMBER(SEARCH("/",C666)*1),
        DATE(VALUE(RIGHT(C666,4)),VALUE(LEFT(C666,2)),VALUE(MID(C666,4,2))),
        DATEVALUE(C666)
      )
    )
  ),
"INVALID_DATE")</f>
        <v>45636</v>
      </c>
      <c r="AB666">
        <f>AA666-Z666</f>
        <v>3</v>
      </c>
      <c r="AC666" t="str">
        <f>TEXT(Z666,"mmmm")</f>
        <v>December</v>
      </c>
      <c r="AD666">
        <f>YEAR(Z666)</f>
        <v>2024</v>
      </c>
      <c r="AE666" t="str">
        <f t="shared" si="32"/>
        <v>OK</v>
      </c>
    </row>
    <row r="667" spans="1:31">
      <c r="A667" t="s">
        <v>3143</v>
      </c>
      <c r="B667" t="s">
        <v>3144</v>
      </c>
      <c r="C667" t="s">
        <v>3145</v>
      </c>
      <c r="D667" t="s">
        <v>3146</v>
      </c>
      <c r="E667" t="s">
        <v>155</v>
      </c>
      <c r="F667" t="s">
        <v>122</v>
      </c>
      <c r="G667" t="s">
        <v>80</v>
      </c>
      <c r="H667" t="s">
        <v>242</v>
      </c>
      <c r="I667" t="s">
        <v>243</v>
      </c>
      <c r="J667" t="s">
        <v>37</v>
      </c>
      <c r="K667" t="s">
        <v>61</v>
      </c>
      <c r="L667" t="s">
        <v>3147</v>
      </c>
      <c r="M667" t="s">
        <v>74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207</v>
      </c>
      <c r="U667" t="s">
        <v>85</v>
      </c>
      <c r="V667">
        <f>O667*(1-P667)*N667</f>
        <v>5698.4040000000005</v>
      </c>
      <c r="W667">
        <f t="shared" si="30"/>
        <v>2057.5140000000006</v>
      </c>
      <c r="X667">
        <f t="shared" si="31"/>
        <v>0.36106801909307884</v>
      </c>
      <c r="Y667" t="str">
        <f>_xlfn.TEXTJOIN(", ",TRUE,IF(G667="Unknown","Missing Region",""),IF(M667="Unknown","Missing Ship Mode",""),IF(P667&lt;0,"Negative Discount",""),IF(P667&gt;0.7,"High Discount",""),IF(C667&lt;B667,"Ship Before Order",""))</f>
        <v>Ship Before Order</v>
      </c>
      <c r="Z667" s="2">
        <f>IFERROR(
  IF(ISNUMBER(B667),B667,
    IF(ISNUMBER(SEARCH("-",B667)*1),
      IF(LEN(LEFT(B667,FIND("-",B667)-1))=4,
        DATE(VALUE(LEFT(B667,4)),VALUE(MID(B667,6,2)),VALUE(RIGHT(B667,2))),
        DATE(VALUE(RIGHT(B667,4)),VALUE(MID(B667,4,2)),VALUE(LEFT(B667,2)))
      ),
      IF(ISNUMBER(SEARCH("/",B667)*1),
        DATE(VALUE(RIGHT(B667,4)),VALUE(LEFT(B667,2)),VALUE(MID(B667,4,2))),
        DATEVALUE(B667)
      )
    )
  ),
"INVALID_DATE")</f>
        <v>45670</v>
      </c>
      <c r="AA667" s="2">
        <f>IFERROR(
  IF(ISNUMBER(C667),C667,
    IF(ISNUMBER(SEARCH("-",C667)*1),
      IF(LEN(LEFT(C667,FIND("-",C667)-1))=4,
        DATE(VALUE(LEFT(C667,4)),VALUE(MID(C667,6,2)),VALUE(RIGHT(C667,2))),
        DATE(VALUE(RIGHT(C667,4)),VALUE(MID(C667,4,2)),VALUE(LEFT(C667,2)))
      ),
      IF(ISNUMBER(SEARCH("/",C667)*1),
        DATE(VALUE(RIGHT(C667,4)),VALUE(LEFT(C667,2)),VALUE(MID(C667,4,2))),
        DATEVALUE(C667)
      )
    )
  ),
"INVALID_DATE")</f>
        <v>45670</v>
      </c>
      <c r="AB667">
        <f>AA667-Z667</f>
        <v>0</v>
      </c>
      <c r="AC667" t="str">
        <f>TEXT(Z667,"mmmm")</f>
        <v>January</v>
      </c>
      <c r="AD667">
        <f>YEAR(Z667)</f>
        <v>2025</v>
      </c>
      <c r="AE667" t="str">
        <f t="shared" si="32"/>
        <v>OK</v>
      </c>
    </row>
    <row r="668" spans="1:31">
      <c r="A668" t="s">
        <v>3148</v>
      </c>
      <c r="B668" t="s">
        <v>2160</v>
      </c>
      <c r="C668" t="s">
        <v>2102</v>
      </c>
      <c r="D668" t="s">
        <v>3149</v>
      </c>
      <c r="E668" t="s">
        <v>187</v>
      </c>
      <c r="F668" t="s">
        <v>48</v>
      </c>
      <c r="G668" t="s">
        <v>34</v>
      </c>
      <c r="H668" t="s">
        <v>161</v>
      </c>
      <c r="I668" t="s">
        <v>162</v>
      </c>
      <c r="J668" t="s">
        <v>93</v>
      </c>
      <c r="K668" t="s">
        <v>101</v>
      </c>
      <c r="L668" t="s">
        <v>3150</v>
      </c>
      <c r="M668" t="s">
        <v>55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41</v>
      </c>
      <c r="U668" t="s">
        <v>42</v>
      </c>
      <c r="V668">
        <f>O668*(1-P668)*N668</f>
        <v>265.83849999999995</v>
      </c>
      <c r="W668">
        <f t="shared" si="30"/>
        <v>42.348499999999945</v>
      </c>
      <c r="X668">
        <f t="shared" si="31"/>
        <v>0.15930634968402049</v>
      </c>
      <c r="Y668" t="str">
        <f>_xlfn.TEXTJOIN(", ",TRUE,IF(G668="Unknown","Missing Region",""),IF(M668="Unknown","Missing Ship Mode",""),IF(P668&lt;0,"Negative Discount",""),IF(P668&gt;0.7,"High Discount",""),IF(C668&lt;B668,"Ship Before Order",""))</f>
        <v>Ship Before Order</v>
      </c>
      <c r="Z668" s="2">
        <f>IFERROR(
  IF(ISNUMBER(B668),B668,
    IF(ISNUMBER(SEARCH("-",B668)*1),
      IF(LEN(LEFT(B668,FIND("-",B668)-1))=4,
        DATE(VALUE(LEFT(B668,4)),VALUE(MID(B668,6,2)),VALUE(RIGHT(B668,2))),
        DATE(VALUE(RIGHT(B668,4)),VALUE(MID(B668,4,2)),VALUE(LEFT(B668,2)))
      ),
      IF(ISNUMBER(SEARCH("/",B668)*1),
        DATE(VALUE(RIGHT(B668,4)),VALUE(LEFT(B668,2)),VALUE(MID(B668,4,2))),
        DATEVALUE(B668)
      )
    )
  ),
"INVALID_DATE")</f>
        <v>45464</v>
      </c>
      <c r="AA668" s="2">
        <f>IFERROR(
  IF(ISNUMBER(C668),C668,
    IF(ISNUMBER(SEARCH("-",C668)*1),
      IF(LEN(LEFT(C668,FIND("-",C668)-1))=4,
        DATE(VALUE(LEFT(C668,4)),VALUE(MID(C668,6,2)),VALUE(RIGHT(C668,2))),
        DATE(VALUE(RIGHT(C668,4)),VALUE(MID(C668,4,2)),VALUE(LEFT(C668,2)))
      ),
      IF(ISNUMBER(SEARCH("/",C668)*1),
        DATE(VALUE(RIGHT(C668,4)),VALUE(LEFT(C668,2)),VALUE(MID(C668,4,2))),
        DATEVALUE(C668)
      )
    )
  ),
"INVALID_DATE")</f>
        <v>45469</v>
      </c>
      <c r="AB668">
        <f>AA668-Z668</f>
        <v>5</v>
      </c>
      <c r="AC668" t="str">
        <f>TEXT(Z668,"mmmm")</f>
        <v>June</v>
      </c>
      <c r="AD668">
        <f>YEAR(Z668)</f>
        <v>2024</v>
      </c>
      <c r="AE668" t="str">
        <f t="shared" si="32"/>
        <v>OK</v>
      </c>
    </row>
    <row r="669" spans="1:31">
      <c r="A669" t="s">
        <v>3151</v>
      </c>
      <c r="B669" t="s">
        <v>3152</v>
      </c>
      <c r="C669" t="s">
        <v>3153</v>
      </c>
      <c r="D669" t="s">
        <v>3154</v>
      </c>
      <c r="E669" t="s">
        <v>217</v>
      </c>
      <c r="F669" t="s">
        <v>48</v>
      </c>
      <c r="G669" t="s">
        <v>49</v>
      </c>
      <c r="H669" t="s">
        <v>193</v>
      </c>
      <c r="I669" t="s">
        <v>194</v>
      </c>
      <c r="J669" t="s">
        <v>93</v>
      </c>
      <c r="K669" t="s">
        <v>390</v>
      </c>
      <c r="L669" t="s">
        <v>3155</v>
      </c>
      <c r="M669" t="s">
        <v>74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144</v>
      </c>
      <c r="U669" t="s">
        <v>132</v>
      </c>
      <c r="V669">
        <f>O669*(1-P669)*N669</f>
        <v>3959.14</v>
      </c>
      <c r="W669">
        <f t="shared" si="30"/>
        <v>719.60999999999967</v>
      </c>
      <c r="X669">
        <f t="shared" si="31"/>
        <v>0.18175916992074037</v>
      </c>
      <c r="Y669" t="s">
        <v>4120</v>
      </c>
      <c r="Z669" s="2">
        <f>IFERROR(
  IF(ISNUMBER(B669),B669,
    IF(ISNUMBER(SEARCH("-",B669)*1),
      IF(LEN(LEFT(B669,FIND("-",B669)-1))=4,
        DATE(VALUE(LEFT(B669,4)),VALUE(MID(B669,6,2)),VALUE(RIGHT(B669,2))),
        DATE(VALUE(RIGHT(B669,4)),VALUE(MID(B669,4,2)),VALUE(LEFT(B669,2)))
      ),
      IF(ISNUMBER(SEARCH("/",B669)*1),
        DATE(VALUE(RIGHT(B669,4)),VALUE(LEFT(B669,2)),VALUE(MID(B669,4,2))),
        DATEVALUE(B669)
      )
    )
  ),
"INVALID_DATE")</f>
        <v>45797</v>
      </c>
      <c r="AA669" s="2">
        <f>IFERROR(
  IF(ISNUMBER(C669),C669,
    IF(ISNUMBER(SEARCH("-",C669)*1),
      IF(LEN(LEFT(C669,FIND("-",C669)-1))=4,
        DATE(VALUE(LEFT(C669,4)),VALUE(MID(C669,6,2)),VALUE(RIGHT(C669,2))),
        DATE(VALUE(RIGHT(C669,4)),VALUE(MID(C669,4,2)),VALUE(LEFT(C669,2)))
      ),
      IF(ISNUMBER(SEARCH("/",C669)*1),
        DATE(VALUE(RIGHT(C669,4)),VALUE(LEFT(C669,2)),VALUE(MID(C669,4,2))),
        DATEVALUE(C669)
      )
    )
  ),
"INVALID_DATE")</f>
        <v>45804</v>
      </c>
      <c r="AB669">
        <f>AA669-Z669</f>
        <v>7</v>
      </c>
      <c r="AC669" t="str">
        <f>TEXT(Z669,"mmmm")</f>
        <v>May</v>
      </c>
      <c r="AD669">
        <f>YEAR(Z669)</f>
        <v>2025</v>
      </c>
      <c r="AE669" t="str">
        <f t="shared" si="32"/>
        <v>OK</v>
      </c>
    </row>
    <row r="670" spans="1:31">
      <c r="A670" t="s">
        <v>3156</v>
      </c>
      <c r="B670" t="s">
        <v>3157</v>
      </c>
      <c r="C670" t="s">
        <v>228</v>
      </c>
      <c r="D670" t="s">
        <v>3158</v>
      </c>
      <c r="E670" t="s">
        <v>47</v>
      </c>
      <c r="F670" t="s">
        <v>115</v>
      </c>
      <c r="G670" t="s">
        <v>80</v>
      </c>
      <c r="H670" t="s">
        <v>242</v>
      </c>
      <c r="I670" t="s">
        <v>243</v>
      </c>
      <c r="J670" t="s">
        <v>37</v>
      </c>
      <c r="K670" t="s">
        <v>38</v>
      </c>
      <c r="L670" t="s">
        <v>3159</v>
      </c>
      <c r="M670" t="s">
        <v>40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41</v>
      </c>
      <c r="U670" t="s">
        <v>42</v>
      </c>
      <c r="V670">
        <f>O670*(1-P670)*N670</f>
        <v>2401.84</v>
      </c>
      <c r="W670">
        <f t="shared" si="30"/>
        <v>528.73000000000025</v>
      </c>
      <c r="X670">
        <f t="shared" si="31"/>
        <v>0.22013539619624953</v>
      </c>
      <c r="Y670" t="s">
        <v>4120</v>
      </c>
      <c r="Z670" s="2">
        <f>IFERROR(
  IF(ISNUMBER(B670),B670,
    IF(ISNUMBER(SEARCH("-",B670)*1),
      IF(LEN(LEFT(B670,FIND("-",B670)-1))=4,
        DATE(VALUE(LEFT(B670,4)),VALUE(MID(B670,6,2)),VALUE(RIGHT(B670,2))),
        DATE(VALUE(RIGHT(B670,4)),VALUE(MID(B670,4,2)),VALUE(LEFT(B670,2)))
      ),
      IF(ISNUMBER(SEARCH("/",B670)*1),
        DATE(VALUE(RIGHT(B670,4)),VALUE(LEFT(B670,2)),VALUE(MID(B670,4,2))),
        DATEVALUE(B670)
      )
    )
  ),
"INVALID_DATE")</f>
        <v>45617</v>
      </c>
      <c r="AA670" s="2">
        <f>IFERROR(
  IF(ISNUMBER(C670),C670,
    IF(ISNUMBER(SEARCH("-",C670)*1),
      IF(LEN(LEFT(C670,FIND("-",C670)-1))=4,
        DATE(VALUE(LEFT(C670,4)),VALUE(MID(C670,6,2)),VALUE(RIGHT(C670,2))),
        DATE(VALUE(RIGHT(C670,4)),VALUE(MID(C670,4,2)),VALUE(LEFT(C670,2)))
      ),
      IF(ISNUMBER(SEARCH("/",C670)*1),
        DATE(VALUE(RIGHT(C670,4)),VALUE(LEFT(C670,2)),VALUE(MID(C670,4,2))),
        DATEVALUE(C670)
      )
    )
  ),
"INVALID_DATE")</f>
        <v>45619</v>
      </c>
      <c r="AB670">
        <f>AA670-Z670</f>
        <v>2</v>
      </c>
      <c r="AC670" t="str">
        <f>TEXT(Z670,"mmmm")</f>
        <v>November</v>
      </c>
      <c r="AD670">
        <f>YEAR(Z670)</f>
        <v>2024</v>
      </c>
      <c r="AE670" t="str">
        <f t="shared" si="32"/>
        <v>OK</v>
      </c>
    </row>
    <row r="671" spans="1:31">
      <c r="A671" t="s">
        <v>3160</v>
      </c>
      <c r="B671" t="s">
        <v>3161</v>
      </c>
      <c r="C671" t="s">
        <v>3162</v>
      </c>
      <c r="D671" t="s">
        <v>3163</v>
      </c>
      <c r="E671" t="s">
        <v>79</v>
      </c>
      <c r="F671" t="s">
        <v>122</v>
      </c>
      <c r="G671" t="s">
        <v>80</v>
      </c>
      <c r="H671" t="s">
        <v>81</v>
      </c>
      <c r="I671" t="s">
        <v>82</v>
      </c>
      <c r="J671" t="s">
        <v>52</v>
      </c>
      <c r="K671" t="s">
        <v>53</v>
      </c>
      <c r="L671" t="s">
        <v>3164</v>
      </c>
      <c r="M671" t="s">
        <v>40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41</v>
      </c>
      <c r="U671" t="s">
        <v>42</v>
      </c>
      <c r="V671">
        <f>O671*(1-P671)*N671</f>
        <v>5102.16</v>
      </c>
      <c r="W671">
        <f t="shared" si="30"/>
        <v>1875.71</v>
      </c>
      <c r="X671">
        <f t="shared" si="31"/>
        <v>0.36763057214983458</v>
      </c>
      <c r="Y671" t="str">
        <f>_xlfn.TEXTJOIN(", ",TRUE,IF(G671="Unknown","Missing Region",""),IF(M671="Unknown","Missing Ship Mode",""),IF(P671&lt;0,"Negative Discount",""),IF(P671&gt;0.7,"High Discount",""),IF(C671&lt;B671,"Ship Before Order",""))</f>
        <v>Ship Before Order</v>
      </c>
      <c r="Z671" s="2">
        <f>IFERROR(
  IF(ISNUMBER(B671),B671,
    IF(ISNUMBER(SEARCH("-",B671)*1),
      IF(LEN(LEFT(B671,FIND("-",B671)-1))=4,
        DATE(VALUE(LEFT(B671,4)),VALUE(MID(B671,6,2)),VALUE(RIGHT(B671,2))),
        DATE(VALUE(RIGHT(B671,4)),VALUE(MID(B671,4,2)),VALUE(LEFT(B671,2)))
      ),
      IF(ISNUMBER(SEARCH("/",B671)*1),
        DATE(VALUE(RIGHT(B671,4)),VALUE(LEFT(B671,2)),VALUE(MID(B671,4,2))),
        DATEVALUE(B671)
      )
    )
  ),
"INVALID_DATE")</f>
        <v>45375</v>
      </c>
      <c r="AA671" s="2">
        <f>IFERROR(
  IF(ISNUMBER(C671),C671,
    IF(ISNUMBER(SEARCH("-",C671)*1),
      IF(LEN(LEFT(C671,FIND("-",C671)-1))=4,
        DATE(VALUE(LEFT(C671,4)),VALUE(MID(C671,6,2)),VALUE(RIGHT(C671,2))),
        DATE(VALUE(RIGHT(C671,4)),VALUE(MID(C671,4,2)),VALUE(LEFT(C671,2)))
      ),
      IF(ISNUMBER(SEARCH("/",C671)*1),
        DATE(VALUE(RIGHT(C671,4)),VALUE(LEFT(C671,2)),VALUE(MID(C671,4,2))),
        DATEVALUE(C671)
      )
    )
  ),
"INVALID_DATE")</f>
        <v>45383</v>
      </c>
      <c r="AB671">
        <f>AA671-Z671</f>
        <v>8</v>
      </c>
      <c r="AC671" t="str">
        <f>TEXT(Z671,"mmmm")</f>
        <v>March</v>
      </c>
      <c r="AD671">
        <f>YEAR(Z671)</f>
        <v>2024</v>
      </c>
      <c r="AE671" t="str">
        <f t="shared" si="32"/>
        <v>OK</v>
      </c>
    </row>
    <row r="672" spans="1:31">
      <c r="A672" t="s">
        <v>3165</v>
      </c>
      <c r="B672" t="s">
        <v>3166</v>
      </c>
      <c r="C672" t="s">
        <v>2964</v>
      </c>
      <c r="D672" t="s">
        <v>2439</v>
      </c>
      <c r="E672" t="s">
        <v>175</v>
      </c>
      <c r="F672" t="s">
        <v>115</v>
      </c>
      <c r="G672" t="s">
        <v>34</v>
      </c>
      <c r="H672" t="s">
        <v>181</v>
      </c>
      <c r="I672" t="s">
        <v>182</v>
      </c>
      <c r="J672" t="s">
        <v>52</v>
      </c>
      <c r="K672" t="s">
        <v>53</v>
      </c>
      <c r="L672" t="s">
        <v>3167</v>
      </c>
      <c r="M672" t="s">
        <v>74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41</v>
      </c>
      <c r="U672" t="s">
        <v>42</v>
      </c>
      <c r="V672">
        <f>O672*(1-P672)*N672</f>
        <v>6176.5920000000006</v>
      </c>
      <c r="W672">
        <f t="shared" si="30"/>
        <v>2615.6320000000005</v>
      </c>
      <c r="X672">
        <f t="shared" si="31"/>
        <v>0.42347476520215849</v>
      </c>
      <c r="Y672" t="s">
        <v>4120</v>
      </c>
      <c r="Z672" s="2">
        <f>IFERROR(
  IF(ISNUMBER(B672),B672,
    IF(ISNUMBER(SEARCH("-",B672)*1),
      IF(LEN(LEFT(B672,FIND("-",B672)-1))=4,
        DATE(VALUE(LEFT(B672,4)),VALUE(MID(B672,6,2)),VALUE(RIGHT(B672,2))),
        DATE(VALUE(RIGHT(B672,4)),VALUE(MID(B672,4,2)),VALUE(LEFT(B672,2)))
      ),
      IF(ISNUMBER(SEARCH("/",B672)*1),
        DATE(VALUE(RIGHT(B672,4)),VALUE(LEFT(B672,2)),VALUE(MID(B672,4,2))),
        DATEVALUE(B672)
      )
    )
  ),
"INVALID_DATE")</f>
        <v>45690</v>
      </c>
      <c r="AA672" s="2">
        <f>IFERROR(
  IF(ISNUMBER(C672),C672,
    IF(ISNUMBER(SEARCH("-",C672)*1),
      IF(LEN(LEFT(C672,FIND("-",C672)-1))=4,
        DATE(VALUE(LEFT(C672,4)),VALUE(MID(C672,6,2)),VALUE(RIGHT(C672,2))),
        DATE(VALUE(RIGHT(C672,4)),VALUE(MID(C672,4,2)),VALUE(LEFT(C672,2)))
      ),
      IF(ISNUMBER(SEARCH("/",C672)*1),
        DATE(VALUE(RIGHT(C672,4)),VALUE(LEFT(C672,2)),VALUE(MID(C672,4,2))),
        DATEVALUE(C672)
      )
    )
  ),
"INVALID_DATE")</f>
        <v>45694</v>
      </c>
      <c r="AB672">
        <f>AA672-Z672</f>
        <v>4</v>
      </c>
      <c r="AC672" t="str">
        <f>TEXT(Z672,"mmmm")</f>
        <v>February</v>
      </c>
      <c r="AD672">
        <f>YEAR(Z672)</f>
        <v>2025</v>
      </c>
      <c r="AE672" t="str">
        <f t="shared" si="32"/>
        <v>OK</v>
      </c>
    </row>
    <row r="673" spans="1:31">
      <c r="A673" t="s">
        <v>3168</v>
      </c>
      <c r="B673" t="s">
        <v>3169</v>
      </c>
      <c r="C673" t="s">
        <v>3170</v>
      </c>
      <c r="D673" t="s">
        <v>3171</v>
      </c>
      <c r="E673" t="s">
        <v>114</v>
      </c>
      <c r="F673" t="s">
        <v>122</v>
      </c>
      <c r="G673" t="s">
        <v>80</v>
      </c>
      <c r="H673" t="s">
        <v>256</v>
      </c>
      <c r="I673" t="s">
        <v>257</v>
      </c>
      <c r="J673" t="s">
        <v>93</v>
      </c>
      <c r="K673" t="s">
        <v>3172</v>
      </c>
      <c r="L673" t="s">
        <v>3173</v>
      </c>
      <c r="M673" t="s">
        <v>40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41</v>
      </c>
      <c r="U673" t="s">
        <v>42</v>
      </c>
      <c r="V673">
        <f>O673*(1-P673)*N673</f>
        <v>31203.310500000003</v>
      </c>
      <c r="W673">
        <f t="shared" si="30"/>
        <v>13465.180500000002</v>
      </c>
      <c r="X673">
        <f t="shared" si="31"/>
        <v>0.43153050109107016</v>
      </c>
      <c r="Y673" t="s">
        <v>4120</v>
      </c>
      <c r="Z673" s="2">
        <f>IFERROR(
  IF(ISNUMBER(B673),B673,
    IF(ISNUMBER(SEARCH("-",B673)*1),
      IF(LEN(LEFT(B673,FIND("-",B673)-1))=4,
        DATE(VALUE(LEFT(B673,4)),VALUE(MID(B673,6,2)),VALUE(RIGHT(B673,2))),
        DATE(VALUE(RIGHT(B673,4)),VALUE(MID(B673,4,2)),VALUE(LEFT(B673,2)))
      ),
      IF(ISNUMBER(SEARCH("/",B673)*1),
        DATE(VALUE(RIGHT(B673,4)),VALUE(LEFT(B673,2)),VALUE(MID(B673,4,2))),
        DATEVALUE(B673)
      )
    )
  ),
"INVALID_DATE")</f>
        <v>45373</v>
      </c>
      <c r="AA673" s="2">
        <f>IFERROR(
  IF(ISNUMBER(C673),C673,
    IF(ISNUMBER(SEARCH("-",C673)*1),
      IF(LEN(LEFT(C673,FIND("-",C673)-1))=4,
        DATE(VALUE(LEFT(C673,4)),VALUE(MID(C673,6,2)),VALUE(RIGHT(C673,2))),
        DATE(VALUE(RIGHT(C673,4)),VALUE(MID(C673,4,2)),VALUE(LEFT(C673,2)))
      ),
      IF(ISNUMBER(SEARCH("/",C673)*1),
        DATE(VALUE(RIGHT(C673,4)),VALUE(LEFT(C673,2)),VALUE(MID(C673,4,2))),
        DATEVALUE(C673)
      )
    )
  ),
"INVALID_DATE")</f>
        <v>45378</v>
      </c>
      <c r="AB673">
        <f>AA673-Z673</f>
        <v>5</v>
      </c>
      <c r="AC673" t="str">
        <f>TEXT(Z673,"mmmm")</f>
        <v>March</v>
      </c>
      <c r="AD673">
        <f>YEAR(Z673)</f>
        <v>2024</v>
      </c>
      <c r="AE673" t="str">
        <f t="shared" si="32"/>
        <v>OK</v>
      </c>
    </row>
    <row r="674" spans="1:31">
      <c r="A674" t="s">
        <v>3174</v>
      </c>
      <c r="B674" t="s">
        <v>3175</v>
      </c>
      <c r="C674" t="s">
        <v>3176</v>
      </c>
      <c r="D674" t="s">
        <v>3177</v>
      </c>
      <c r="E674" t="s">
        <v>114</v>
      </c>
      <c r="F674" t="s">
        <v>115</v>
      </c>
      <c r="G674" t="s">
        <v>80</v>
      </c>
      <c r="H674" t="s">
        <v>91</v>
      </c>
      <c r="I674" t="s">
        <v>92</v>
      </c>
      <c r="J674" t="s">
        <v>52</v>
      </c>
      <c r="K674" t="s">
        <v>83</v>
      </c>
      <c r="L674" t="s">
        <v>3178</v>
      </c>
      <c r="M674" t="s">
        <v>74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41</v>
      </c>
      <c r="U674" t="s">
        <v>132</v>
      </c>
      <c r="V674">
        <f>O674*(1-P674)*N674</f>
        <v>12010.517500000002</v>
      </c>
      <c r="W674">
        <f t="shared" si="30"/>
        <v>4145.9075000000021</v>
      </c>
      <c r="X674">
        <f t="shared" si="31"/>
        <v>0.34518988353543389</v>
      </c>
      <c r="Y674" t="s">
        <v>4120</v>
      </c>
      <c r="Z674" s="2">
        <f>IFERROR(
  IF(ISNUMBER(B674),B674,
    IF(ISNUMBER(SEARCH("-",B674)*1),
      IF(LEN(LEFT(B674,FIND("-",B674)-1))=4,
        DATE(VALUE(LEFT(B674,4)),VALUE(MID(B674,6,2)),VALUE(RIGHT(B674,2))),
        DATE(VALUE(RIGHT(B674,4)),VALUE(MID(B674,4,2)),VALUE(LEFT(B674,2)))
      ),
      IF(ISNUMBER(SEARCH("/",B674)*1),
        DATE(VALUE(RIGHT(B674,4)),VALUE(LEFT(B674,2)),VALUE(MID(B674,4,2))),
        DATEVALUE(B674)
      )
    )
  ),
"INVALID_DATE")</f>
        <v>45539</v>
      </c>
      <c r="AA674" s="2">
        <f>IFERROR(
  IF(ISNUMBER(C674),C674,
    IF(ISNUMBER(SEARCH("-",C674)*1),
      IF(LEN(LEFT(C674,FIND("-",C674)-1))=4,
        DATE(VALUE(LEFT(C674,4)),VALUE(MID(C674,6,2)),VALUE(RIGHT(C674,2))),
        DATE(VALUE(RIGHT(C674,4)),VALUE(MID(C674,4,2)),VALUE(LEFT(C674,2)))
      ),
      IF(ISNUMBER(SEARCH("/",C674)*1),
        DATE(VALUE(RIGHT(C674,4)),VALUE(LEFT(C674,2)),VALUE(MID(C674,4,2))),
        DATEVALUE(C674)
      )
    )
  ),
"INVALID_DATE")</f>
        <v>45540</v>
      </c>
      <c r="AB674">
        <f>AA674-Z674</f>
        <v>1</v>
      </c>
      <c r="AC674" t="str">
        <f>TEXT(Z674,"mmmm")</f>
        <v>September</v>
      </c>
      <c r="AD674">
        <f>YEAR(Z674)</f>
        <v>2024</v>
      </c>
      <c r="AE674" t="str">
        <f t="shared" si="32"/>
        <v>OK</v>
      </c>
    </row>
    <row r="675" spans="1:31">
      <c r="A675" t="s">
        <v>3179</v>
      </c>
      <c r="B675" t="s">
        <v>2409</v>
      </c>
      <c r="C675" t="s">
        <v>3180</v>
      </c>
      <c r="D675" t="s">
        <v>3181</v>
      </c>
      <c r="E675" t="s">
        <v>68</v>
      </c>
      <c r="F675" t="s">
        <v>48</v>
      </c>
      <c r="G675" t="s">
        <v>80</v>
      </c>
      <c r="H675" t="s">
        <v>35</v>
      </c>
      <c r="I675" t="s">
        <v>142</v>
      </c>
      <c r="J675" t="s">
        <v>52</v>
      </c>
      <c r="K675" t="s">
        <v>211</v>
      </c>
      <c r="L675" t="s">
        <v>3182</v>
      </c>
      <c r="M675" t="s">
        <v>40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41</v>
      </c>
      <c r="U675" t="s">
        <v>42</v>
      </c>
      <c r="V675">
        <f>O675*(1-P675)*N675</f>
        <v>13847.86</v>
      </c>
      <c r="W675">
        <f t="shared" si="30"/>
        <v>5376.08</v>
      </c>
      <c r="X675">
        <f t="shared" si="31"/>
        <v>0.38822460654570451</v>
      </c>
      <c r="Y675" t="str">
        <f>_xlfn.TEXTJOIN(", ",TRUE,IF(G675="Unknown","Missing Region",""),IF(M675="Unknown","Missing Ship Mode",""),IF(P675&lt;0,"Negative Discount",""),IF(P675&gt;0.7,"High Discount",""),IF(C675&lt;B675,"Ship Before Order",""))</f>
        <v>Ship Before Order</v>
      </c>
      <c r="Z675" s="2">
        <f>IFERROR(
  IF(ISNUMBER(B675),B675,
    IF(ISNUMBER(SEARCH("-",B675)*1),
      IF(LEN(LEFT(B675,FIND("-",B675)-1))=4,
        DATE(VALUE(LEFT(B675,4)),VALUE(MID(B675,6,2)),VALUE(RIGHT(B675,2))),
        DATE(VALUE(RIGHT(B675,4)),VALUE(MID(B675,4,2)),VALUE(LEFT(B675,2)))
      ),
      IF(ISNUMBER(SEARCH("/",B675)*1),
        DATE(VALUE(RIGHT(B675,4)),VALUE(LEFT(B675,2)),VALUE(MID(B675,4,2))),
        DATEVALUE(B675)
      )
    )
  ),
"INVALID_DATE")</f>
        <v>45701</v>
      </c>
      <c r="AA675" s="2">
        <f>IFERROR(
  IF(ISNUMBER(C675),C675,
    IF(ISNUMBER(SEARCH("-",C675)*1),
      IF(LEN(LEFT(C675,FIND("-",C675)-1))=4,
        DATE(VALUE(LEFT(C675,4)),VALUE(MID(C675,6,2)),VALUE(RIGHT(C675,2))),
        DATE(VALUE(RIGHT(C675,4)),VALUE(MID(C675,4,2)),VALUE(LEFT(C675,2)))
      ),
      IF(ISNUMBER(SEARCH("/",C675)*1),
        DATE(VALUE(RIGHT(C675,4)),VALUE(LEFT(C675,2)),VALUE(MID(C675,4,2))),
        DATEVALUE(C675)
      )
    )
  ),
"INVALID_DATE")</f>
        <v>45704</v>
      </c>
      <c r="AB675">
        <f>AA675-Z675</f>
        <v>3</v>
      </c>
      <c r="AC675" t="str">
        <f>TEXT(Z675,"mmmm")</f>
        <v>February</v>
      </c>
      <c r="AD675">
        <f>YEAR(Z675)</f>
        <v>2025</v>
      </c>
      <c r="AE675" t="str">
        <f t="shared" si="32"/>
        <v>OK</v>
      </c>
    </row>
    <row r="676" spans="1:31">
      <c r="A676" t="s">
        <v>3183</v>
      </c>
      <c r="B676" t="s">
        <v>3184</v>
      </c>
      <c r="C676" t="s">
        <v>3185</v>
      </c>
      <c r="D676" t="s">
        <v>3186</v>
      </c>
      <c r="E676" t="s">
        <v>90</v>
      </c>
      <c r="F676" t="s">
        <v>115</v>
      </c>
      <c r="G676" t="s">
        <v>49</v>
      </c>
      <c r="H676" t="s">
        <v>319</v>
      </c>
      <c r="I676" t="s">
        <v>320</v>
      </c>
      <c r="J676" t="s">
        <v>93</v>
      </c>
      <c r="K676" t="s">
        <v>94</v>
      </c>
      <c r="L676" t="s">
        <v>3187</v>
      </c>
      <c r="M676" t="s">
        <v>40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144</v>
      </c>
      <c r="U676" t="s">
        <v>132</v>
      </c>
      <c r="V676">
        <f>O676*(1-P676)*N676</f>
        <v>1033.71</v>
      </c>
      <c r="W676">
        <f t="shared" si="30"/>
        <v>402.89</v>
      </c>
      <c r="X676">
        <f t="shared" si="31"/>
        <v>0.38975147768716562</v>
      </c>
      <c r="Y676" t="s">
        <v>4120</v>
      </c>
      <c r="Z676" s="2">
        <f>IFERROR(
  IF(ISNUMBER(B676),B676,
    IF(ISNUMBER(SEARCH("-",B676)*1),
      IF(LEN(LEFT(B676,FIND("-",B676)-1))=4,
        DATE(VALUE(LEFT(B676,4)),VALUE(MID(B676,6,2)),VALUE(RIGHT(B676,2))),
        DATE(VALUE(RIGHT(B676,4)),VALUE(MID(B676,4,2)),VALUE(LEFT(B676,2)))
      ),
      IF(ISNUMBER(SEARCH("/",B676)*1),
        DATE(VALUE(RIGHT(B676,4)),VALUE(LEFT(B676,2)),VALUE(MID(B676,4,2))),
        DATEVALUE(B676)
      )
    )
  ),
"INVALID_DATE")</f>
        <v>45430</v>
      </c>
      <c r="AA676" s="2">
        <f>IFERROR(
  IF(ISNUMBER(C676),C676,
    IF(ISNUMBER(SEARCH("-",C676)*1),
      IF(LEN(LEFT(C676,FIND("-",C676)-1))=4,
        DATE(VALUE(LEFT(C676,4)),VALUE(MID(C676,6,2)),VALUE(RIGHT(C676,2))),
        DATE(VALUE(RIGHT(C676,4)),VALUE(MID(C676,4,2)),VALUE(LEFT(C676,2)))
      ),
      IF(ISNUMBER(SEARCH("/",C676)*1),
        DATE(VALUE(RIGHT(C676,4)),VALUE(LEFT(C676,2)),VALUE(MID(C676,4,2))),
        DATEVALUE(C676)
      )
    )
  ),
"INVALID_DATE")</f>
        <v>45433</v>
      </c>
      <c r="AB676">
        <f>AA676-Z676</f>
        <v>3</v>
      </c>
      <c r="AC676" t="str">
        <f>TEXT(Z676,"mmmm")</f>
        <v>May</v>
      </c>
      <c r="AD676">
        <f>YEAR(Z676)</f>
        <v>2024</v>
      </c>
      <c r="AE676" t="str">
        <f t="shared" si="32"/>
        <v>OK</v>
      </c>
    </row>
    <row r="677" spans="1:31">
      <c r="A677" t="s">
        <v>3188</v>
      </c>
      <c r="B677" t="s">
        <v>3189</v>
      </c>
      <c r="C677" t="s">
        <v>3190</v>
      </c>
      <c r="D677" t="s">
        <v>3041</v>
      </c>
      <c r="E677" t="s">
        <v>169</v>
      </c>
      <c r="F677" t="s">
        <v>33</v>
      </c>
      <c r="G677" t="s">
        <v>34</v>
      </c>
      <c r="H677" t="s">
        <v>35</v>
      </c>
      <c r="I677" t="s">
        <v>36</v>
      </c>
      <c r="J677" t="s">
        <v>52</v>
      </c>
      <c r="K677" t="s">
        <v>72</v>
      </c>
      <c r="L677" t="s">
        <v>3191</v>
      </c>
      <c r="M677" t="s">
        <v>55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41</v>
      </c>
      <c r="U677" t="s">
        <v>42</v>
      </c>
      <c r="V677">
        <f>O677*(1-P677)*N677</f>
        <v>2889.7799999999997</v>
      </c>
      <c r="W677">
        <f t="shared" si="30"/>
        <v>1078.5499999999997</v>
      </c>
      <c r="X677">
        <f t="shared" si="31"/>
        <v>0.37322910394562903</v>
      </c>
      <c r="Y677" t="str">
        <f>_xlfn.TEXTJOIN(", ",TRUE,IF(G677="Unknown","Missing Region",""),IF(M677="Unknown","Missing Ship Mode",""),IF(P677&lt;0,"Negative Discount",""),IF(P677&gt;0.7,"High Discount",""),IF(C677&lt;B677,"Ship Before Order",""))</f>
        <v>Ship Before Order</v>
      </c>
      <c r="Z677" s="2">
        <f>IFERROR(
  IF(ISNUMBER(B677),B677,
    IF(ISNUMBER(SEARCH("-",B677)*1),
      IF(LEN(LEFT(B677,FIND("-",B677)-1))=4,
        DATE(VALUE(LEFT(B677,4)),VALUE(MID(B677,6,2)),VALUE(RIGHT(B677,2))),
        DATE(VALUE(RIGHT(B677,4)),VALUE(MID(B677,4,2)),VALUE(LEFT(B677,2)))
      ),
      IF(ISNUMBER(SEARCH("/",B677)*1),
        DATE(VALUE(RIGHT(B677,4)),VALUE(LEFT(B677,2)),VALUE(MID(B677,4,2))),
        DATEVALUE(B677)
      )
    )
  ),
"INVALID_DATE")</f>
        <v>45815</v>
      </c>
      <c r="AA677" s="2">
        <f>IFERROR(
  IF(ISNUMBER(C677),C677,
    IF(ISNUMBER(SEARCH("-",C677)*1),
      IF(LEN(LEFT(C677,FIND("-",C677)-1))=4,
        DATE(VALUE(LEFT(C677,4)),VALUE(MID(C677,6,2)),VALUE(RIGHT(C677,2))),
        DATE(VALUE(RIGHT(C677,4)),VALUE(MID(C677,4,2)),VALUE(LEFT(C677,2)))
      ),
      IF(ISNUMBER(SEARCH("/",C677)*1),
        DATE(VALUE(RIGHT(C677,4)),VALUE(LEFT(C677,2)),VALUE(MID(C677,4,2))),
        DATEVALUE(C677)
      )
    )
  ),
"INVALID_DATE")</f>
        <v>45818</v>
      </c>
      <c r="AB677">
        <f>AA677-Z677</f>
        <v>3</v>
      </c>
      <c r="AC677" t="str">
        <f>TEXT(Z677,"mmmm")</f>
        <v>June</v>
      </c>
      <c r="AD677">
        <f>YEAR(Z677)</f>
        <v>2025</v>
      </c>
      <c r="AE677" t="str">
        <f t="shared" si="32"/>
        <v>OK</v>
      </c>
    </row>
    <row r="678" spans="1:31">
      <c r="A678" t="s">
        <v>3192</v>
      </c>
      <c r="B678" t="s">
        <v>3193</v>
      </c>
      <c r="C678" t="s">
        <v>3194</v>
      </c>
      <c r="D678" t="s">
        <v>3195</v>
      </c>
      <c r="E678" t="s">
        <v>155</v>
      </c>
      <c r="F678" t="s">
        <v>48</v>
      </c>
      <c r="G678" t="s">
        <v>34</v>
      </c>
      <c r="H678" t="s">
        <v>514</v>
      </c>
      <c r="I678" t="s">
        <v>515</v>
      </c>
      <c r="J678" t="s">
        <v>93</v>
      </c>
      <c r="K678" t="s">
        <v>230</v>
      </c>
      <c r="L678" t="s">
        <v>3196</v>
      </c>
      <c r="M678" t="s">
        <v>55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41</v>
      </c>
      <c r="U678" t="s">
        <v>42</v>
      </c>
      <c r="V678">
        <f>O678*(1-P678)*N678</f>
        <v>20296.699499999999</v>
      </c>
      <c r="W678">
        <f t="shared" si="30"/>
        <v>5375.829499999998</v>
      </c>
      <c r="X678">
        <f t="shared" si="31"/>
        <v>0.26486226825050374</v>
      </c>
      <c r="Y678" t="s">
        <v>4120</v>
      </c>
      <c r="Z678" s="2">
        <f>IFERROR(
  IF(ISNUMBER(B678),B678,
    IF(ISNUMBER(SEARCH("-",B678)*1),
      IF(LEN(LEFT(B678,FIND("-",B678)-1))=4,
        DATE(VALUE(LEFT(B678,4)),VALUE(MID(B678,6,2)),VALUE(RIGHT(B678,2))),
        DATE(VALUE(RIGHT(B678,4)),VALUE(MID(B678,4,2)),VALUE(LEFT(B678,2)))
      ),
      IF(ISNUMBER(SEARCH("/",B678)*1),
        DATE(VALUE(RIGHT(B678,4)),VALUE(LEFT(B678,2)),VALUE(MID(B678,4,2))),
        DATEVALUE(B678)
      )
    )
  ),
"INVALID_DATE")</f>
        <v>45911</v>
      </c>
      <c r="AA678" s="2">
        <f>IFERROR(
  IF(ISNUMBER(C678),C678,
    IF(ISNUMBER(SEARCH("-",C678)*1),
      IF(LEN(LEFT(C678,FIND("-",C678)-1))=4,
        DATE(VALUE(LEFT(C678,4)),VALUE(MID(C678,6,2)),VALUE(RIGHT(C678,2))),
        DATE(VALUE(RIGHT(C678,4)),VALUE(MID(C678,4,2)),VALUE(LEFT(C678,2)))
      ),
      IF(ISNUMBER(SEARCH("/",C678)*1),
        DATE(VALUE(RIGHT(C678,4)),VALUE(LEFT(C678,2)),VALUE(MID(C678,4,2))),
        DATEVALUE(C678)
      )
    )
  ),
"INVALID_DATE")</f>
        <v>45918</v>
      </c>
      <c r="AB678">
        <f>AA678-Z678</f>
        <v>7</v>
      </c>
      <c r="AC678" t="str">
        <f>TEXT(Z678,"mmmm")</f>
        <v>September</v>
      </c>
      <c r="AD678">
        <f>YEAR(Z678)</f>
        <v>2025</v>
      </c>
      <c r="AE678" t="str">
        <f t="shared" si="32"/>
        <v>OK</v>
      </c>
    </row>
    <row r="679" spans="1:31">
      <c r="A679" t="s">
        <v>3197</v>
      </c>
      <c r="B679" t="s">
        <v>3198</v>
      </c>
      <c r="C679" t="s">
        <v>3199</v>
      </c>
      <c r="D679" t="s">
        <v>31</v>
      </c>
      <c r="E679" t="s">
        <v>60</v>
      </c>
      <c r="F679" t="s">
        <v>122</v>
      </c>
      <c r="G679" t="s">
        <v>69</v>
      </c>
      <c r="H679" t="s">
        <v>236</v>
      </c>
      <c r="I679" t="s">
        <v>237</v>
      </c>
      <c r="J679" t="s">
        <v>52</v>
      </c>
      <c r="K679" t="s">
        <v>83</v>
      </c>
      <c r="L679" t="s">
        <v>3200</v>
      </c>
      <c r="M679" t="s">
        <v>55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41</v>
      </c>
      <c r="U679" t="s">
        <v>42</v>
      </c>
      <c r="V679">
        <f>O679*(1-P679)*N679</f>
        <v>18364.36</v>
      </c>
      <c r="W679">
        <f t="shared" si="30"/>
        <v>2918.5500000000011</v>
      </c>
      <c r="X679">
        <f t="shared" si="31"/>
        <v>0.15892467801763852</v>
      </c>
      <c r="Y679" t="s">
        <v>4120</v>
      </c>
      <c r="Z679" s="2">
        <f>IFERROR(
  IF(ISNUMBER(B679),B679,
    IF(ISNUMBER(SEARCH("-",B679)*1),
      IF(LEN(LEFT(B679,FIND("-",B679)-1))=4,
        DATE(VALUE(LEFT(B679,4)),VALUE(MID(B679,6,2)),VALUE(RIGHT(B679,2))),
        DATE(VALUE(RIGHT(B679,4)),VALUE(MID(B679,4,2)),VALUE(LEFT(B679,2)))
      ),
      IF(ISNUMBER(SEARCH("/",B679)*1),
        DATE(VALUE(RIGHT(B679,4)),VALUE(LEFT(B679,2)),VALUE(MID(B679,4,2))),
        DATEVALUE(B679)
      )
    )
  ),
"INVALID_DATE")</f>
        <v>45465</v>
      </c>
      <c r="AA679" s="2">
        <f>IFERROR(
  IF(ISNUMBER(C679),C679,
    IF(ISNUMBER(SEARCH("-",C679)*1),
      IF(LEN(LEFT(C679,FIND("-",C679)-1))=4,
        DATE(VALUE(LEFT(C679,4)),VALUE(MID(C679,6,2)),VALUE(RIGHT(C679,2))),
        DATE(VALUE(RIGHT(C679,4)),VALUE(MID(C679,4,2)),VALUE(LEFT(C679,2)))
      ),
      IF(ISNUMBER(SEARCH("/",C679)*1),
        DATE(VALUE(RIGHT(C679,4)),VALUE(LEFT(C679,2)),VALUE(MID(C679,4,2))),
        DATEVALUE(C679)
      )
    )
  ),
"INVALID_DATE")</f>
        <v>45470</v>
      </c>
      <c r="AB679">
        <f>AA679-Z679</f>
        <v>5</v>
      </c>
      <c r="AC679" t="str">
        <f>TEXT(Z679,"mmmm")</f>
        <v>June</v>
      </c>
      <c r="AD679">
        <f>YEAR(Z679)</f>
        <v>2024</v>
      </c>
      <c r="AE679" t="str">
        <f t="shared" si="32"/>
        <v>OK</v>
      </c>
    </row>
    <row r="680" spans="1:31">
      <c r="A680" t="s">
        <v>3201</v>
      </c>
      <c r="B680" t="s">
        <v>3202</v>
      </c>
      <c r="C680" t="s">
        <v>3203</v>
      </c>
      <c r="D680" t="s">
        <v>3204</v>
      </c>
      <c r="E680" t="s">
        <v>374</v>
      </c>
      <c r="F680" t="s">
        <v>115</v>
      </c>
      <c r="G680" t="s">
        <v>69</v>
      </c>
      <c r="H680" t="s">
        <v>236</v>
      </c>
      <c r="I680" t="s">
        <v>237</v>
      </c>
      <c r="J680" t="s">
        <v>52</v>
      </c>
      <c r="K680" t="s">
        <v>53</v>
      </c>
      <c r="L680" t="s">
        <v>3205</v>
      </c>
      <c r="M680" t="s">
        <v>40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41</v>
      </c>
      <c r="U680" t="s">
        <v>42</v>
      </c>
      <c r="V680">
        <f>O680*(1-P680)*N680</f>
        <v>21141.6165</v>
      </c>
      <c r="W680">
        <f t="shared" si="30"/>
        <v>9465.2865000000002</v>
      </c>
      <c r="X680">
        <f t="shared" si="31"/>
        <v>0.44770883215193547</v>
      </c>
      <c r="Y680" t="str">
        <f>_xlfn.TEXTJOIN(", ",TRUE,IF(G680="Unknown","Missing Region",""),IF(M680="Unknown","Missing Ship Mode",""),IF(P680&lt;0,"Negative Discount",""),IF(P680&gt;0.7,"High Discount",""),IF(C680&lt;B680,"Ship Before Order",""))</f>
        <v>Ship Before Order</v>
      </c>
      <c r="Z680" s="2">
        <f>IFERROR(
  IF(ISNUMBER(B680),B680,
    IF(ISNUMBER(SEARCH("-",B680)*1),
      IF(LEN(LEFT(B680,FIND("-",B680)-1))=4,
        DATE(VALUE(LEFT(B680,4)),VALUE(MID(B680,6,2)),VALUE(RIGHT(B680,2))),
        DATE(VALUE(RIGHT(B680,4)),VALUE(MID(B680,4,2)),VALUE(LEFT(B680,2)))
      ),
      IF(ISNUMBER(SEARCH("/",B680)*1),
        DATE(VALUE(RIGHT(B680,4)),VALUE(LEFT(B680,2)),VALUE(MID(B680,4,2))),
        DATEVALUE(B680)
      )
    )
  ),
"INVALID_DATE")</f>
        <v>45620</v>
      </c>
      <c r="AA680" s="2">
        <f>IFERROR(
  IF(ISNUMBER(C680),C680,
    IF(ISNUMBER(SEARCH("-",C680)*1),
      IF(LEN(LEFT(C680,FIND("-",C680)-1))=4,
        DATE(VALUE(LEFT(C680,4)),VALUE(MID(C680,6,2)),VALUE(RIGHT(C680,2))),
        DATE(VALUE(RIGHT(C680,4)),VALUE(MID(C680,4,2)),VALUE(LEFT(C680,2)))
      ),
      IF(ISNUMBER(SEARCH("/",C680)*1),
        DATE(VALUE(RIGHT(C680,4)),VALUE(LEFT(C680,2)),VALUE(MID(C680,4,2))),
        DATEVALUE(C680)
      )
    )
  ),
"INVALID_DATE")</f>
        <v>45627</v>
      </c>
      <c r="AB680">
        <f>AA680-Z680</f>
        <v>7</v>
      </c>
      <c r="AC680" t="str">
        <f>TEXT(Z680,"mmmm")</f>
        <v>November</v>
      </c>
      <c r="AD680">
        <f>YEAR(Z680)</f>
        <v>2024</v>
      </c>
      <c r="AE680" t="str">
        <f t="shared" si="32"/>
        <v>OK</v>
      </c>
    </row>
    <row r="681" spans="1:31">
      <c r="A681" t="s">
        <v>3206</v>
      </c>
      <c r="B681" t="s">
        <v>3207</v>
      </c>
      <c r="C681" t="s">
        <v>648</v>
      </c>
      <c r="D681" t="s">
        <v>3208</v>
      </c>
      <c r="E681" t="s">
        <v>187</v>
      </c>
      <c r="F681" t="s">
        <v>115</v>
      </c>
      <c r="G681" t="s">
        <v>34</v>
      </c>
      <c r="H681" t="s">
        <v>161</v>
      </c>
      <c r="I681" t="s">
        <v>162</v>
      </c>
      <c r="J681" t="s">
        <v>93</v>
      </c>
      <c r="K681" t="s">
        <v>101</v>
      </c>
      <c r="L681" t="s">
        <v>3209</v>
      </c>
      <c r="M681" t="s">
        <v>55</v>
      </c>
      <c r="N681">
        <v>4</v>
      </c>
      <c r="O681">
        <v>1410.57</v>
      </c>
      <c r="P681" t="s">
        <v>689</v>
      </c>
      <c r="Q681">
        <v>5360.17</v>
      </c>
      <c r="R681">
        <v>3881.51</v>
      </c>
      <c r="S681">
        <v>1478.66</v>
      </c>
      <c r="T681" t="s">
        <v>131</v>
      </c>
      <c r="U681" t="s">
        <v>85</v>
      </c>
      <c r="V681">
        <f>O681*(1-P681)*N681</f>
        <v>1692.6840000000002</v>
      </c>
      <c r="W681">
        <f t="shared" si="30"/>
        <v>-2188.826</v>
      </c>
      <c r="X681">
        <f t="shared" si="31"/>
        <v>0.27586065367329771</v>
      </c>
      <c r="Y681" t="str">
        <f>_xlfn.TEXTJOIN(", ",TRUE,IF(G681="Unknown","Missing Region",""),IF(M681="Unknown","Missing Ship Mode",""),IF(P681&lt;0,"Negative Discount",""),IF(P681&gt;0.7,"High Discount",""),IF(C681&lt;B681,"Ship Before Order",""))</f>
        <v>High Discount</v>
      </c>
      <c r="Z681" s="2">
        <f>IFERROR(
  IF(ISNUMBER(B681),B681,
    IF(ISNUMBER(SEARCH("-",B681)*1),
      IF(LEN(LEFT(B681,FIND("-",B681)-1))=4,
        DATE(VALUE(LEFT(B681,4)),VALUE(MID(B681,6,2)),VALUE(RIGHT(B681,2))),
        DATE(VALUE(RIGHT(B681,4)),VALUE(MID(B681,4,2)),VALUE(LEFT(B681,2)))
      ),
      IF(ISNUMBER(SEARCH("/",B681)*1),
        DATE(VALUE(RIGHT(B681,4)),VALUE(LEFT(B681,2)),VALUE(MID(B681,4,2))),
        DATEVALUE(B681)
      )
    )
  ),
"INVALID_DATE")</f>
        <v>45885</v>
      </c>
      <c r="AA681" s="2">
        <f>IFERROR(
  IF(ISNUMBER(C681),C681,
    IF(ISNUMBER(SEARCH("-",C681)*1),
      IF(LEN(LEFT(C681,FIND("-",C681)-1))=4,
        DATE(VALUE(LEFT(C681,4)),VALUE(MID(C681,6,2)),VALUE(RIGHT(C681,2))),
        DATE(VALUE(RIGHT(C681,4)),VALUE(MID(C681,4,2)),VALUE(LEFT(C681,2)))
      ),
      IF(ISNUMBER(SEARCH("/",C681)*1),
        DATE(VALUE(RIGHT(C681,4)),VALUE(LEFT(C681,2)),VALUE(MID(C681,4,2))),
        DATEVALUE(C681)
      )
    )
  ),
"INVALID_DATE")</f>
        <v>45892</v>
      </c>
      <c r="AB681">
        <f>AA681-Z681</f>
        <v>7</v>
      </c>
      <c r="AC681" t="str">
        <f>TEXT(Z681,"mmmm")</f>
        <v>August</v>
      </c>
      <c r="AD681">
        <f>YEAR(Z681)</f>
        <v>2025</v>
      </c>
      <c r="AE681" t="str">
        <f t="shared" si="32"/>
        <v>OK</v>
      </c>
    </row>
    <row r="682" spans="1:31">
      <c r="A682" t="s">
        <v>3210</v>
      </c>
      <c r="B682" t="s">
        <v>282</v>
      </c>
      <c r="C682" t="s">
        <v>585</v>
      </c>
      <c r="D682" t="s">
        <v>3211</v>
      </c>
      <c r="E682" t="s">
        <v>374</v>
      </c>
      <c r="F682" t="s">
        <v>115</v>
      </c>
      <c r="G682" t="s">
        <v>69</v>
      </c>
      <c r="H682" t="s">
        <v>347</v>
      </c>
      <c r="I682" t="s">
        <v>348</v>
      </c>
      <c r="J682" t="s">
        <v>93</v>
      </c>
      <c r="K682" t="s">
        <v>94</v>
      </c>
      <c r="L682" t="s">
        <v>3212</v>
      </c>
      <c r="M682" t="s">
        <v>63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41</v>
      </c>
      <c r="U682" t="s">
        <v>42</v>
      </c>
      <c r="V682">
        <f>O682*(1-P682)*N682</f>
        <v>14800.96</v>
      </c>
      <c r="W682">
        <f t="shared" si="30"/>
        <v>2752.5699999999997</v>
      </c>
      <c r="X682">
        <f t="shared" si="31"/>
        <v>0.18597239638509935</v>
      </c>
      <c r="Y682" t="str">
        <f>_xlfn.TEXTJOIN(", ",TRUE,IF(G682="Unknown","Missing Region",""),IF(M682="Unknown","Missing Ship Mode",""),IF(P682&lt;0,"Negative Discount",""),IF(P682&gt;0.7,"High Discount",""),IF(C682&lt;B682,"Ship Before Order",""))</f>
        <v>Ship Before Order</v>
      </c>
      <c r="Z682" s="2">
        <f>IFERROR(
  IF(ISNUMBER(B682),B682,
    IF(ISNUMBER(SEARCH("-",B682)*1),
      IF(LEN(LEFT(B682,FIND("-",B682)-1))=4,
        DATE(VALUE(LEFT(B682,4)),VALUE(MID(B682,6,2)),VALUE(RIGHT(B682,2))),
        DATE(VALUE(RIGHT(B682,4)),VALUE(MID(B682,4,2)),VALUE(LEFT(B682,2)))
      ),
      IF(ISNUMBER(SEARCH("/",B682)*1),
        DATE(VALUE(RIGHT(B682,4)),VALUE(LEFT(B682,2)),VALUE(MID(B682,4,2))),
        DATEVALUE(B682)
      )
    )
  ),
"INVALID_DATE")</f>
        <v>45441</v>
      </c>
      <c r="AA682" s="2">
        <f>IFERROR(
  IF(ISNUMBER(C682),C682,
    IF(ISNUMBER(SEARCH("-",C682)*1),
      IF(LEN(LEFT(C682,FIND("-",C682)-1))=4,
        DATE(VALUE(LEFT(C682,4)),VALUE(MID(C682,6,2)),VALUE(RIGHT(C682,2))),
        DATE(VALUE(RIGHT(C682,4)),VALUE(MID(C682,4,2)),VALUE(LEFT(C682,2)))
      ),
      IF(ISNUMBER(SEARCH("/",C682)*1),
        DATE(VALUE(RIGHT(C682,4)),VALUE(LEFT(C682,2)),VALUE(MID(C682,4,2))),
        DATEVALUE(C682)
      )
    )
  ),
"INVALID_DATE")</f>
        <v>45448</v>
      </c>
      <c r="AB682">
        <f>AA682-Z682</f>
        <v>7</v>
      </c>
      <c r="AC682" t="str">
        <f>TEXT(Z682,"mmmm")</f>
        <v>May</v>
      </c>
      <c r="AD682">
        <f>YEAR(Z682)</f>
        <v>2024</v>
      </c>
      <c r="AE682" t="str">
        <f t="shared" si="32"/>
        <v>OK</v>
      </c>
    </row>
    <row r="683" spans="1:31">
      <c r="A683" t="s">
        <v>3213</v>
      </c>
      <c r="B683" t="s">
        <v>3214</v>
      </c>
      <c r="C683" t="s">
        <v>3215</v>
      </c>
      <c r="D683" t="s">
        <v>3216</v>
      </c>
      <c r="E683" t="s">
        <v>90</v>
      </c>
      <c r="F683" t="s">
        <v>115</v>
      </c>
      <c r="G683" t="s">
        <v>34</v>
      </c>
      <c r="H683" t="s">
        <v>514</v>
      </c>
      <c r="I683" t="s">
        <v>515</v>
      </c>
      <c r="J683" t="s">
        <v>52</v>
      </c>
      <c r="K683" t="s">
        <v>53</v>
      </c>
      <c r="L683" t="s">
        <v>3217</v>
      </c>
      <c r="M683" t="s">
        <v>40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41</v>
      </c>
      <c r="U683" t="s">
        <v>85</v>
      </c>
      <c r="V683">
        <f>O683*(1-P683)*N683</f>
        <v>6001.35</v>
      </c>
      <c r="W683">
        <f t="shared" si="30"/>
        <v>1818.3600000000006</v>
      </c>
      <c r="X683">
        <f t="shared" si="31"/>
        <v>0.3029918268389612</v>
      </c>
      <c r="Y683" t="s">
        <v>4120</v>
      </c>
      <c r="Z683" s="2">
        <f>IFERROR(
  IF(ISNUMBER(B683),B683,
    IF(ISNUMBER(SEARCH("-",B683)*1),
      IF(LEN(LEFT(B683,FIND("-",B683)-1))=4,
        DATE(VALUE(LEFT(B683,4)),VALUE(MID(B683,6,2)),VALUE(RIGHT(B683,2))),
        DATE(VALUE(RIGHT(B683,4)),VALUE(MID(B683,4,2)),VALUE(LEFT(B683,2)))
      ),
      IF(ISNUMBER(SEARCH("/",B683)*1),
        DATE(VALUE(RIGHT(B683,4)),VALUE(LEFT(B683,2)),VALUE(MID(B683,4,2))),
        DATEVALUE(B683)
      )
    )
  ),
"INVALID_DATE")</f>
        <v>45477</v>
      </c>
      <c r="AA683" s="2">
        <f>IFERROR(
  IF(ISNUMBER(C683),C683,
    IF(ISNUMBER(SEARCH("-",C683)*1),
      IF(LEN(LEFT(C683,FIND("-",C683)-1))=4,
        DATE(VALUE(LEFT(C683,4)),VALUE(MID(C683,6,2)),VALUE(RIGHT(C683,2))),
        DATE(VALUE(RIGHT(C683,4)),VALUE(MID(C683,4,2)),VALUE(LEFT(C683,2)))
      ),
      IF(ISNUMBER(SEARCH("/",C683)*1),
        DATE(VALUE(RIGHT(C683,4)),VALUE(LEFT(C683,2)),VALUE(MID(C683,4,2))),
        DATEVALUE(C683)
      )
    )
  ),
"INVALID_DATE")</f>
        <v>45483</v>
      </c>
      <c r="AB683">
        <f>AA683-Z683</f>
        <v>6</v>
      </c>
      <c r="AC683" t="str">
        <f>TEXT(Z683,"mmmm")</f>
        <v>July</v>
      </c>
      <c r="AD683">
        <f>YEAR(Z683)</f>
        <v>2024</v>
      </c>
      <c r="AE683" t="str">
        <f t="shared" si="32"/>
        <v>OK</v>
      </c>
    </row>
    <row r="684" spans="1:31">
      <c r="A684" t="s">
        <v>3218</v>
      </c>
      <c r="B684" t="s">
        <v>352</v>
      </c>
      <c r="C684" t="s">
        <v>2891</v>
      </c>
      <c r="D684" t="s">
        <v>3219</v>
      </c>
      <c r="E684" t="s">
        <v>3220</v>
      </c>
      <c r="F684" t="s">
        <v>115</v>
      </c>
      <c r="G684" t="s">
        <v>34</v>
      </c>
      <c r="H684" t="s">
        <v>331</v>
      </c>
      <c r="I684" t="s">
        <v>332</v>
      </c>
      <c r="J684" t="s">
        <v>37</v>
      </c>
      <c r="K684" t="s">
        <v>163</v>
      </c>
      <c r="L684" t="s">
        <v>3221</v>
      </c>
      <c r="M684" t="s">
        <v>55</v>
      </c>
      <c r="N684">
        <v>3</v>
      </c>
      <c r="O684">
        <v>2590.7800000000002</v>
      </c>
      <c r="P684">
        <v>0</v>
      </c>
      <c r="Q684">
        <v>7383.72</v>
      </c>
      <c r="R684">
        <v>4113.66</v>
      </c>
      <c r="S684">
        <v>3270.06</v>
      </c>
      <c r="T684" t="s">
        <v>41</v>
      </c>
      <c r="U684" t="s">
        <v>42</v>
      </c>
      <c r="V684">
        <f>O684*(1-P684)*N684</f>
        <v>7772.34</v>
      </c>
      <c r="W684">
        <f t="shared" si="30"/>
        <v>3658.6800000000003</v>
      </c>
      <c r="X684">
        <f t="shared" si="31"/>
        <v>0.44287432351172579</v>
      </c>
      <c r="Y684" t="s">
        <v>4120</v>
      </c>
      <c r="Z684" s="2">
        <f>IFERROR(
  IF(ISNUMBER(B684),B684,
    IF(ISNUMBER(SEARCH("-",B684)*1),
      IF(LEN(LEFT(B684,FIND("-",B684)-1))=4,
        DATE(VALUE(LEFT(B684,4)),VALUE(MID(B684,6,2)),VALUE(RIGHT(B684,2))),
        DATE(VALUE(RIGHT(B684,4)),VALUE(MID(B684,4,2)),VALUE(LEFT(B684,2)))
      ),
      IF(ISNUMBER(SEARCH("/",B684)*1),
        DATE(VALUE(RIGHT(B684,4)),VALUE(LEFT(B684,2)),VALUE(MID(B684,4,2))),
        DATEVALUE(B684)
      )
    )
  ),
"INVALID_DATE")</f>
        <v>45693</v>
      </c>
      <c r="AA684" s="2">
        <f>IFERROR(
  IF(ISNUMBER(C684),C684,
    IF(ISNUMBER(SEARCH("-",C684)*1),
      IF(LEN(LEFT(C684,FIND("-",C684)-1))=4,
        DATE(VALUE(LEFT(C684,4)),VALUE(MID(C684,6,2)),VALUE(RIGHT(C684,2))),
        DATE(VALUE(RIGHT(C684,4)),VALUE(MID(C684,4,2)),VALUE(LEFT(C684,2)))
      ),
      IF(ISNUMBER(SEARCH("/",C684)*1),
        DATE(VALUE(RIGHT(C684,4)),VALUE(LEFT(C684,2)),VALUE(MID(C684,4,2))),
        DATEVALUE(C684)
      )
    )
  ),
"INVALID_DATE")</f>
        <v>45693</v>
      </c>
      <c r="AB684">
        <f>AA684-Z684</f>
        <v>0</v>
      </c>
      <c r="AC684" t="str">
        <f>TEXT(Z684,"mmmm")</f>
        <v>February</v>
      </c>
      <c r="AD684">
        <f>YEAR(Z684)</f>
        <v>2025</v>
      </c>
      <c r="AE684" t="str">
        <f t="shared" si="32"/>
        <v>OK</v>
      </c>
    </row>
    <row r="685" spans="1:31">
      <c r="A685" t="s">
        <v>3222</v>
      </c>
      <c r="B685" t="s">
        <v>3223</v>
      </c>
      <c r="C685" t="s">
        <v>1737</v>
      </c>
      <c r="D685" t="s">
        <v>3224</v>
      </c>
      <c r="E685" t="s">
        <v>68</v>
      </c>
      <c r="F685" t="s">
        <v>48</v>
      </c>
      <c r="G685" t="s">
        <v>69</v>
      </c>
      <c r="H685" t="s">
        <v>70</v>
      </c>
      <c r="I685" t="s">
        <v>71</v>
      </c>
      <c r="J685" t="s">
        <v>52</v>
      </c>
      <c r="K685" t="s">
        <v>72</v>
      </c>
      <c r="L685" t="s">
        <v>3225</v>
      </c>
      <c r="M685" t="s">
        <v>40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131</v>
      </c>
      <c r="U685" t="s">
        <v>85</v>
      </c>
      <c r="V685">
        <f>O685*(1-P685)*N685</f>
        <v>7902.9600000000009</v>
      </c>
      <c r="W685">
        <f t="shared" si="30"/>
        <v>2390.9300000000012</v>
      </c>
      <c r="X685">
        <f t="shared" si="31"/>
        <v>0.30253601182341805</v>
      </c>
      <c r="Y685" t="s">
        <v>4120</v>
      </c>
      <c r="Z685" s="2">
        <f>IFERROR(
  IF(ISNUMBER(B685),B685,
    IF(ISNUMBER(SEARCH("-",B685)*1),
      IF(LEN(LEFT(B685,FIND("-",B685)-1))=4,
        DATE(VALUE(LEFT(B685,4)),VALUE(MID(B685,6,2)),VALUE(RIGHT(B685,2))),
        DATE(VALUE(RIGHT(B685,4)),VALUE(MID(B685,4,2)),VALUE(LEFT(B685,2)))
      ),
      IF(ISNUMBER(SEARCH("/",B685)*1),
        DATE(VALUE(RIGHT(B685,4)),VALUE(LEFT(B685,2)),VALUE(MID(B685,4,2))),
        DATEVALUE(B685)
      )
    )
  ),
"INVALID_DATE")</f>
        <v>45858</v>
      </c>
      <c r="AA685" s="2">
        <f>IFERROR(
  IF(ISNUMBER(C685),C685,
    IF(ISNUMBER(SEARCH("-",C685)*1),
      IF(LEN(LEFT(C685,FIND("-",C685)-1))=4,
        DATE(VALUE(LEFT(C685,4)),VALUE(MID(C685,6,2)),VALUE(RIGHT(C685,2))),
        DATE(VALUE(RIGHT(C685,4)),VALUE(MID(C685,4,2)),VALUE(LEFT(C685,2)))
      ),
      IF(ISNUMBER(SEARCH("/",C685)*1),
        DATE(VALUE(RIGHT(C685,4)),VALUE(LEFT(C685,2)),VALUE(MID(C685,4,2))),
        DATEVALUE(C685)
      )
    )
  ),
"INVALID_DATE")</f>
        <v>45862</v>
      </c>
      <c r="AB685">
        <f>AA685-Z685</f>
        <v>4</v>
      </c>
      <c r="AC685" t="str">
        <f>TEXT(Z685,"mmmm")</f>
        <v>July</v>
      </c>
      <c r="AD685">
        <f>YEAR(Z685)</f>
        <v>2025</v>
      </c>
      <c r="AE685" t="str">
        <f t="shared" si="32"/>
        <v>OK</v>
      </c>
    </row>
    <row r="686" spans="1:31">
      <c r="A686" t="s">
        <v>3226</v>
      </c>
      <c r="B686" t="s">
        <v>3227</v>
      </c>
      <c r="C686" t="s">
        <v>502</v>
      </c>
      <c r="D686" t="s">
        <v>3228</v>
      </c>
      <c r="E686" t="s">
        <v>60</v>
      </c>
      <c r="F686" t="s">
        <v>122</v>
      </c>
      <c r="G686" t="s">
        <v>69</v>
      </c>
      <c r="H686" t="s">
        <v>347</v>
      </c>
      <c r="I686" t="s">
        <v>348</v>
      </c>
      <c r="J686" t="s">
        <v>52</v>
      </c>
      <c r="K686" t="s">
        <v>211</v>
      </c>
      <c r="L686" t="s">
        <v>3229</v>
      </c>
      <c r="M686" t="s">
        <v>63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131</v>
      </c>
      <c r="U686" t="s">
        <v>85</v>
      </c>
      <c r="V686">
        <f>O686*(1-P686)*N686</f>
        <v>24621.239999999998</v>
      </c>
      <c r="W686">
        <f t="shared" si="30"/>
        <v>7465.7599999999984</v>
      </c>
      <c r="X686">
        <f t="shared" si="31"/>
        <v>0.3032243705028666</v>
      </c>
      <c r="Y686" t="s">
        <v>4120</v>
      </c>
      <c r="Z686" s="2">
        <f>IFERROR(
  IF(ISNUMBER(B686),B686,
    IF(ISNUMBER(SEARCH("-",B686)*1),
      IF(LEN(LEFT(B686,FIND("-",B686)-1))=4,
        DATE(VALUE(LEFT(B686,4)),VALUE(MID(B686,6,2)),VALUE(RIGHT(B686,2))),
        DATE(VALUE(RIGHT(B686,4)),VALUE(MID(B686,4,2)),VALUE(LEFT(B686,2)))
      ),
      IF(ISNUMBER(SEARCH("/",B686)*1),
        DATE(VALUE(RIGHT(B686,4)),VALUE(LEFT(B686,2)),VALUE(MID(B686,4,2))),
        DATEVALUE(B686)
      )
    )
  ),
"INVALID_DATE")</f>
        <v>45859</v>
      </c>
      <c r="AA686" s="2">
        <f>IFERROR(
  IF(ISNUMBER(C686),C686,
    IF(ISNUMBER(SEARCH("-",C686)*1),
      IF(LEN(LEFT(C686,FIND("-",C686)-1))=4,
        DATE(VALUE(LEFT(C686,4)),VALUE(MID(C686,6,2)),VALUE(RIGHT(C686,2))),
        DATE(VALUE(RIGHT(C686,4)),VALUE(MID(C686,4,2)),VALUE(LEFT(C686,2)))
      ),
      IF(ISNUMBER(SEARCH("/",C686)*1),
        DATE(VALUE(RIGHT(C686,4)),VALUE(LEFT(C686,2)),VALUE(MID(C686,4,2))),
        DATEVALUE(C686)
      )
    )
  ),
"INVALID_DATE")</f>
        <v>45859</v>
      </c>
      <c r="AB686">
        <f>AA686-Z686</f>
        <v>0</v>
      </c>
      <c r="AC686" t="str">
        <f>TEXT(Z686,"mmmm")</f>
        <v>July</v>
      </c>
      <c r="AD686">
        <f>YEAR(Z686)</f>
        <v>2025</v>
      </c>
      <c r="AE686" t="str">
        <f t="shared" si="32"/>
        <v>OK</v>
      </c>
    </row>
    <row r="687" spans="1:31">
      <c r="A687" t="s">
        <v>3230</v>
      </c>
      <c r="B687" t="s">
        <v>3231</v>
      </c>
      <c r="C687" t="s">
        <v>507</v>
      </c>
      <c r="D687" t="s">
        <v>2742</v>
      </c>
      <c r="E687" t="s">
        <v>100</v>
      </c>
      <c r="F687" t="s">
        <v>115</v>
      </c>
      <c r="G687" t="s">
        <v>80</v>
      </c>
      <c r="H687" t="s">
        <v>256</v>
      </c>
      <c r="I687" t="s">
        <v>257</v>
      </c>
      <c r="J687" t="s">
        <v>37</v>
      </c>
      <c r="K687" t="s">
        <v>61</v>
      </c>
      <c r="L687" t="s">
        <v>3232</v>
      </c>
      <c r="M687" t="s">
        <v>74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207</v>
      </c>
      <c r="U687" t="s">
        <v>85</v>
      </c>
      <c r="V687">
        <f>O687*(1-P687)*N687</f>
        <v>3313.5074999999997</v>
      </c>
      <c r="W687">
        <f t="shared" si="30"/>
        <v>-2293.2825000000003</v>
      </c>
      <c r="X687">
        <f t="shared" si="31"/>
        <v>0.15394876422398637</v>
      </c>
      <c r="Y687" t="s">
        <v>4120</v>
      </c>
      <c r="Z687" s="2">
        <f>IFERROR(
  IF(ISNUMBER(B687),B687,
    IF(ISNUMBER(SEARCH("-",B687)*1),
      IF(LEN(LEFT(B687,FIND("-",B687)-1))=4,
        DATE(VALUE(LEFT(B687,4)),VALUE(MID(B687,6,2)),VALUE(RIGHT(B687,2))),
        DATE(VALUE(RIGHT(B687,4)),VALUE(MID(B687,4,2)),VALUE(LEFT(B687,2)))
      ),
      IF(ISNUMBER(SEARCH("/",B687)*1),
        DATE(VALUE(RIGHT(B687,4)),VALUE(LEFT(B687,2)),VALUE(MID(B687,4,2))),
        DATEVALUE(B687)
      )
    )
  ),
"INVALID_DATE")</f>
        <v>45931</v>
      </c>
      <c r="AA687" s="2">
        <f>IFERROR(
  IF(ISNUMBER(C687),C687,
    IF(ISNUMBER(SEARCH("-",C687)*1),
      IF(LEN(LEFT(C687,FIND("-",C687)-1))=4,
        DATE(VALUE(LEFT(C687,4)),VALUE(MID(C687,6,2)),VALUE(RIGHT(C687,2))),
        DATE(VALUE(RIGHT(C687,4)),VALUE(MID(C687,4,2)),VALUE(LEFT(C687,2)))
      ),
      IF(ISNUMBER(SEARCH("/",C687)*1),
        DATE(VALUE(RIGHT(C687,4)),VALUE(LEFT(C687,2)),VALUE(MID(C687,4,2))),
        DATEVALUE(C687)
      )
    )
  ),
"INVALID_DATE")</f>
        <v>45933</v>
      </c>
      <c r="AB687">
        <f>AA687-Z687</f>
        <v>2</v>
      </c>
      <c r="AC687" t="str">
        <f>TEXT(Z687,"mmmm")</f>
        <v>October</v>
      </c>
      <c r="AD687">
        <f>YEAR(Z687)</f>
        <v>2025</v>
      </c>
      <c r="AE687" t="str">
        <f t="shared" si="32"/>
        <v>OK</v>
      </c>
    </row>
    <row r="688" spans="1:31">
      <c r="A688" t="s">
        <v>3233</v>
      </c>
      <c r="B688" t="s">
        <v>3234</v>
      </c>
      <c r="C688" t="s">
        <v>2178</v>
      </c>
      <c r="D688" t="s">
        <v>3235</v>
      </c>
      <c r="E688" t="s">
        <v>175</v>
      </c>
      <c r="F688" t="s">
        <v>122</v>
      </c>
      <c r="G688" t="s">
        <v>69</v>
      </c>
      <c r="H688" t="s">
        <v>347</v>
      </c>
      <c r="I688" t="s">
        <v>348</v>
      </c>
      <c r="J688" t="s">
        <v>93</v>
      </c>
      <c r="K688" t="s">
        <v>101</v>
      </c>
      <c r="L688" t="s">
        <v>3236</v>
      </c>
      <c r="M688" t="s">
        <v>74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41</v>
      </c>
      <c r="U688" t="s">
        <v>42</v>
      </c>
      <c r="V688">
        <f>O688*(1-P688)*N688</f>
        <v>4698.26</v>
      </c>
      <c r="W688">
        <f t="shared" si="30"/>
        <v>2043.3400000000001</v>
      </c>
      <c r="X688">
        <f t="shared" si="31"/>
        <v>0.43491420227914163</v>
      </c>
      <c r="Y688" t="str">
        <f>_xlfn.TEXTJOIN(", ",TRUE,IF(G688="Unknown","Missing Region",""),IF(M688="Unknown","Missing Ship Mode",""),IF(P688&lt;0,"Negative Discount",""),IF(P688&gt;0.7,"High Discount",""),IF(C688&lt;B688,"Ship Before Order",""))</f>
        <v>Ship Before Order</v>
      </c>
      <c r="Z688" s="2">
        <f>IFERROR(
  IF(ISNUMBER(B688),B688,
    IF(ISNUMBER(SEARCH("-",B688)*1),
      IF(LEN(LEFT(B688,FIND("-",B688)-1))=4,
        DATE(VALUE(LEFT(B688,4)),VALUE(MID(B688,6,2)),VALUE(RIGHT(B688,2))),
        DATE(VALUE(RIGHT(B688,4)),VALUE(MID(B688,4,2)),VALUE(LEFT(B688,2)))
      ),
      IF(ISNUMBER(SEARCH("/",B688)*1),
        DATE(VALUE(RIGHT(B688,4)),VALUE(LEFT(B688,2)),VALUE(MID(B688,4,2))),
        DATEVALUE(B688)
      )
    )
  ),
"INVALID_DATE")</f>
        <v>45376</v>
      </c>
      <c r="AA688" s="2">
        <f>IFERROR(
  IF(ISNUMBER(C688),C688,
    IF(ISNUMBER(SEARCH("-",C688)*1),
      IF(LEN(LEFT(C688,FIND("-",C688)-1))=4,
        DATE(VALUE(LEFT(C688,4)),VALUE(MID(C688,6,2)),VALUE(RIGHT(C688,2))),
        DATE(VALUE(RIGHT(C688,4)),VALUE(MID(C688,4,2)),VALUE(LEFT(C688,2)))
      ),
      IF(ISNUMBER(SEARCH("/",C688)*1),
        DATE(VALUE(RIGHT(C688,4)),VALUE(LEFT(C688,2)),VALUE(MID(C688,4,2))),
        DATEVALUE(C688)
      )
    )
  ),
"INVALID_DATE")</f>
        <v>45384</v>
      </c>
      <c r="AB688">
        <f>AA688-Z688</f>
        <v>8</v>
      </c>
      <c r="AC688" t="str">
        <f>TEXT(Z688,"mmmm")</f>
        <v>March</v>
      </c>
      <c r="AD688">
        <f>YEAR(Z688)</f>
        <v>2024</v>
      </c>
      <c r="AE688" t="str">
        <f t="shared" si="32"/>
        <v>OK</v>
      </c>
    </row>
    <row r="689" spans="1:31">
      <c r="A689" t="s">
        <v>3237</v>
      </c>
      <c r="B689" t="s">
        <v>1199</v>
      </c>
      <c r="C689" t="s">
        <v>3238</v>
      </c>
      <c r="D689" t="s">
        <v>3239</v>
      </c>
      <c r="E689" t="s">
        <v>47</v>
      </c>
      <c r="F689" t="s">
        <v>122</v>
      </c>
      <c r="G689" t="s">
        <v>34</v>
      </c>
      <c r="H689" t="s">
        <v>161</v>
      </c>
      <c r="I689" t="s">
        <v>162</v>
      </c>
      <c r="J689" t="s">
        <v>52</v>
      </c>
      <c r="K689" t="s">
        <v>53</v>
      </c>
      <c r="L689" t="s">
        <v>3240</v>
      </c>
      <c r="M689" t="s">
        <v>63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207</v>
      </c>
      <c r="U689" t="s">
        <v>85</v>
      </c>
      <c r="V689">
        <f>O689*(1-P689)*N689</f>
        <v>688.2</v>
      </c>
      <c r="W689">
        <f t="shared" si="30"/>
        <v>190.52000000000004</v>
      </c>
      <c r="X689">
        <f t="shared" si="31"/>
        <v>0.27683812845103167</v>
      </c>
      <c r="Y689" t="s">
        <v>4120</v>
      </c>
      <c r="Z689" s="2">
        <f>IFERROR(
  IF(ISNUMBER(B689),B689,
    IF(ISNUMBER(SEARCH("-",B689)*1),
      IF(LEN(LEFT(B689,FIND("-",B689)-1))=4,
        DATE(VALUE(LEFT(B689,4)),VALUE(MID(B689,6,2)),VALUE(RIGHT(B689,2))),
        DATE(VALUE(RIGHT(B689,4)),VALUE(MID(B689,4,2)),VALUE(LEFT(B689,2)))
      ),
      IF(ISNUMBER(SEARCH("/",B689)*1),
        DATE(VALUE(RIGHT(B689,4)),VALUE(LEFT(B689,2)),VALUE(MID(B689,4,2))),
        DATEVALUE(B689)
      )
    )
  ),
"INVALID_DATE")</f>
        <v>45938</v>
      </c>
      <c r="AA689" s="2">
        <f>IFERROR(
  IF(ISNUMBER(C689),C689,
    IF(ISNUMBER(SEARCH("-",C689)*1),
      IF(LEN(LEFT(C689,FIND("-",C689)-1))=4,
        DATE(VALUE(LEFT(C689,4)),VALUE(MID(C689,6,2)),VALUE(RIGHT(C689,2))),
        DATE(VALUE(RIGHT(C689,4)),VALUE(MID(C689,4,2)),VALUE(LEFT(C689,2)))
      ),
      IF(ISNUMBER(SEARCH("/",C689)*1),
        DATE(VALUE(RIGHT(C689,4)),VALUE(LEFT(C689,2)),VALUE(MID(C689,4,2))),
        DATEVALUE(C689)
      )
    )
  ),
"INVALID_DATE")</f>
        <v>45943</v>
      </c>
      <c r="AB689">
        <f>AA689-Z689</f>
        <v>5</v>
      </c>
      <c r="AC689" t="str">
        <f>TEXT(Z689,"mmmm")</f>
        <v>October</v>
      </c>
      <c r="AD689">
        <f>YEAR(Z689)</f>
        <v>2025</v>
      </c>
      <c r="AE689" t="str">
        <f t="shared" si="32"/>
        <v>OK</v>
      </c>
    </row>
    <row r="690" spans="1:31">
      <c r="A690" t="s">
        <v>3241</v>
      </c>
      <c r="B690" t="s">
        <v>1170</v>
      </c>
      <c r="C690" t="s">
        <v>3242</v>
      </c>
      <c r="D690" t="s">
        <v>3243</v>
      </c>
      <c r="E690" t="s">
        <v>100</v>
      </c>
      <c r="F690" t="s">
        <v>122</v>
      </c>
      <c r="G690" t="s">
        <v>34</v>
      </c>
      <c r="H690" t="s">
        <v>331</v>
      </c>
      <c r="I690" t="s">
        <v>332</v>
      </c>
      <c r="J690" t="s">
        <v>37</v>
      </c>
      <c r="K690" t="s">
        <v>61</v>
      </c>
      <c r="L690" t="s">
        <v>3244</v>
      </c>
      <c r="M690" t="s">
        <v>40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41</v>
      </c>
      <c r="U690" t="s">
        <v>42</v>
      </c>
      <c r="V690">
        <f>O690*(1-P690)*N690</f>
        <v>15492.065999999999</v>
      </c>
      <c r="W690">
        <f t="shared" si="30"/>
        <v>2910.8359999999993</v>
      </c>
      <c r="X690">
        <f t="shared" si="31"/>
        <v>0.18789225713542479</v>
      </c>
      <c r="Y690" t="s">
        <v>4120</v>
      </c>
      <c r="Z690" s="2">
        <f>IFERROR(
  IF(ISNUMBER(B690),B690,
    IF(ISNUMBER(SEARCH("-",B690)*1),
      IF(LEN(LEFT(B690,FIND("-",B690)-1))=4,
        DATE(VALUE(LEFT(B690,4)),VALUE(MID(B690,6,2)),VALUE(RIGHT(B690,2))),
        DATE(VALUE(RIGHT(B690,4)),VALUE(MID(B690,4,2)),VALUE(LEFT(B690,2)))
      ),
      IF(ISNUMBER(SEARCH("/",B690)*1),
        DATE(VALUE(RIGHT(B690,4)),VALUE(LEFT(B690,2)),VALUE(MID(B690,4,2))),
        DATEVALUE(B690)
      )
    )
  ),
"INVALID_DATE")</f>
        <v>45714</v>
      </c>
      <c r="AA690" s="2">
        <f>IFERROR(
  IF(ISNUMBER(C690),C690,
    IF(ISNUMBER(SEARCH("-",C690)*1),
      IF(LEN(LEFT(C690,FIND("-",C690)-1))=4,
        DATE(VALUE(LEFT(C690,4)),VALUE(MID(C690,6,2)),VALUE(RIGHT(C690,2))),
        DATE(VALUE(RIGHT(C690,4)),VALUE(MID(C690,4,2)),VALUE(LEFT(C690,2)))
      ),
      IF(ISNUMBER(SEARCH("/",C690)*1),
        DATE(VALUE(RIGHT(C690,4)),VALUE(LEFT(C690,2)),VALUE(MID(C690,4,2))),
        DATEVALUE(C690)
      )
    )
  ),
"INVALID_DATE")</f>
        <v>45715</v>
      </c>
      <c r="AB690">
        <f>AA690-Z690</f>
        <v>1</v>
      </c>
      <c r="AC690" t="str">
        <f>TEXT(Z690,"mmmm")</f>
        <v>February</v>
      </c>
      <c r="AD690">
        <f>YEAR(Z690)</f>
        <v>2025</v>
      </c>
      <c r="AE690" t="str">
        <f t="shared" si="32"/>
        <v>OK</v>
      </c>
    </row>
    <row r="691" spans="1:31">
      <c r="A691" t="s">
        <v>3245</v>
      </c>
      <c r="B691" t="s">
        <v>3246</v>
      </c>
      <c r="C691" t="s">
        <v>3247</v>
      </c>
      <c r="D691" t="s">
        <v>3248</v>
      </c>
      <c r="E691" t="s">
        <v>187</v>
      </c>
      <c r="F691" t="s">
        <v>48</v>
      </c>
      <c r="G691" t="s">
        <v>34</v>
      </c>
      <c r="H691" t="s">
        <v>161</v>
      </c>
      <c r="I691" t="s">
        <v>162</v>
      </c>
      <c r="J691" t="s">
        <v>52</v>
      </c>
      <c r="K691" t="s">
        <v>53</v>
      </c>
      <c r="L691" t="s">
        <v>3249</v>
      </c>
      <c r="M691" t="s">
        <v>74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207</v>
      </c>
      <c r="U691" t="s">
        <v>85</v>
      </c>
      <c r="V691">
        <f>O691*(1-P691)*N691</f>
        <v>3745.2869999999998</v>
      </c>
      <c r="W691">
        <f t="shared" si="30"/>
        <v>1442.6369999999997</v>
      </c>
      <c r="X691">
        <f t="shared" si="31"/>
        <v>0.38518779587161478</v>
      </c>
      <c r="Y691" t="s">
        <v>4120</v>
      </c>
      <c r="Z691" s="2">
        <f>IFERROR(
  IF(ISNUMBER(B691),B691,
    IF(ISNUMBER(SEARCH("-",B691)*1),
      IF(LEN(LEFT(B691,FIND("-",B691)-1))=4,
        DATE(VALUE(LEFT(B691,4)),VALUE(MID(B691,6,2)),VALUE(RIGHT(B691,2))),
        DATE(VALUE(RIGHT(B691,4)),VALUE(MID(B691,4,2)),VALUE(LEFT(B691,2)))
      ),
      IF(ISNUMBER(SEARCH("/",B691)*1),
        DATE(VALUE(RIGHT(B691,4)),VALUE(LEFT(B691,2)),VALUE(MID(B691,4,2))),
        DATEVALUE(B691)
      )
    )
  ),
"INVALID_DATE")</f>
        <v>45570</v>
      </c>
      <c r="AA691" s="2">
        <f>IFERROR(
  IF(ISNUMBER(C691),C691,
    IF(ISNUMBER(SEARCH("-",C691)*1),
      IF(LEN(LEFT(C691,FIND("-",C691)-1))=4,
        DATE(VALUE(LEFT(C691,4)),VALUE(MID(C691,6,2)),VALUE(RIGHT(C691,2))),
        DATE(VALUE(RIGHT(C691,4)),VALUE(MID(C691,4,2)),VALUE(LEFT(C691,2)))
      ),
      IF(ISNUMBER(SEARCH("/",C691)*1),
        DATE(VALUE(RIGHT(C691,4)),VALUE(LEFT(C691,2)),VALUE(MID(C691,4,2))),
        DATEVALUE(C691)
      )
    )
  ),
"INVALID_DATE")</f>
        <v>45571</v>
      </c>
      <c r="AB691">
        <f>AA691-Z691</f>
        <v>1</v>
      </c>
      <c r="AC691" t="str">
        <f>TEXT(Z691,"mmmm")</f>
        <v>October</v>
      </c>
      <c r="AD691">
        <f>YEAR(Z691)</f>
        <v>2024</v>
      </c>
      <c r="AE691" t="str">
        <f t="shared" si="32"/>
        <v>OK</v>
      </c>
    </row>
    <row r="692" spans="1:31">
      <c r="A692" t="s">
        <v>3250</v>
      </c>
      <c r="B692" t="s">
        <v>885</v>
      </c>
      <c r="C692" t="s">
        <v>3251</v>
      </c>
      <c r="D692" t="s">
        <v>3252</v>
      </c>
      <c r="E692" t="s">
        <v>175</v>
      </c>
      <c r="F692" t="s">
        <v>115</v>
      </c>
      <c r="G692" t="s">
        <v>69</v>
      </c>
      <c r="H692" t="s">
        <v>347</v>
      </c>
      <c r="I692" t="s">
        <v>348</v>
      </c>
      <c r="J692" t="s">
        <v>37</v>
      </c>
      <c r="K692" t="s">
        <v>61</v>
      </c>
      <c r="L692" t="s">
        <v>3253</v>
      </c>
      <c r="M692" t="s">
        <v>74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207</v>
      </c>
      <c r="U692" t="s">
        <v>132</v>
      </c>
      <c r="V692">
        <f>O692*(1-P692)*N692</f>
        <v>3462.52</v>
      </c>
      <c r="W692">
        <f t="shared" si="30"/>
        <v>665.23</v>
      </c>
      <c r="X692">
        <f t="shared" si="31"/>
        <v>0.19212307798944123</v>
      </c>
      <c r="Y692" t="s">
        <v>4120</v>
      </c>
      <c r="Z692" s="2">
        <f>IFERROR(
  IF(ISNUMBER(B692),B692,
    IF(ISNUMBER(SEARCH("-",B692)*1),
      IF(LEN(LEFT(B692,FIND("-",B692)-1))=4,
        DATE(VALUE(LEFT(B692,4)),VALUE(MID(B692,6,2)),VALUE(RIGHT(B692,2))),
        DATE(VALUE(RIGHT(B692,4)),VALUE(MID(B692,4,2)),VALUE(LEFT(B692,2)))
      ),
      IF(ISNUMBER(SEARCH("/",B692)*1),
        DATE(VALUE(RIGHT(B692,4)),VALUE(LEFT(B692,2)),VALUE(MID(B692,4,2))),
        DATEVALUE(B692)
      )
    )
  ),
"INVALID_DATE")</f>
        <v>45546</v>
      </c>
      <c r="AA692" s="2">
        <f>IFERROR(
  IF(ISNUMBER(C692),C692,
    IF(ISNUMBER(SEARCH("-",C692)*1),
      IF(LEN(LEFT(C692,FIND("-",C692)-1))=4,
        DATE(VALUE(LEFT(C692,4)),VALUE(MID(C692,6,2)),VALUE(RIGHT(C692,2))),
        DATE(VALUE(RIGHT(C692,4)),VALUE(MID(C692,4,2)),VALUE(LEFT(C692,2)))
      ),
      IF(ISNUMBER(SEARCH("/",C692)*1),
        DATE(VALUE(RIGHT(C692,4)),VALUE(LEFT(C692,2)),VALUE(MID(C692,4,2))),
        DATEVALUE(C692)
      )
    )
  ),
"INVALID_DATE")</f>
        <v>45550</v>
      </c>
      <c r="AB692">
        <f>AA692-Z692</f>
        <v>4</v>
      </c>
      <c r="AC692" t="str">
        <f>TEXT(Z692,"mmmm")</f>
        <v>September</v>
      </c>
      <c r="AD692">
        <f>YEAR(Z692)</f>
        <v>2024</v>
      </c>
      <c r="AE692" t="str">
        <f t="shared" si="32"/>
        <v>OK</v>
      </c>
    </row>
    <row r="693" spans="1:31">
      <c r="A693" t="s">
        <v>3254</v>
      </c>
      <c r="B693" t="s">
        <v>2469</v>
      </c>
      <c r="C693" t="s">
        <v>3255</v>
      </c>
      <c r="D693" t="s">
        <v>3256</v>
      </c>
      <c r="E693" t="s">
        <v>187</v>
      </c>
      <c r="F693" t="s">
        <v>33</v>
      </c>
      <c r="G693" t="s">
        <v>49</v>
      </c>
      <c r="H693" t="s">
        <v>50</v>
      </c>
      <c r="I693" t="s">
        <v>51</v>
      </c>
      <c r="J693" t="s">
        <v>93</v>
      </c>
      <c r="K693" t="s">
        <v>101</v>
      </c>
      <c r="L693" t="s">
        <v>3257</v>
      </c>
      <c r="M693" t="s">
        <v>40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41</v>
      </c>
      <c r="U693" t="s">
        <v>42</v>
      </c>
      <c r="V693">
        <f>O693*(1-P693)*N693</f>
        <v>8767.17</v>
      </c>
      <c r="W693">
        <f t="shared" si="30"/>
        <v>3668.9700000000003</v>
      </c>
      <c r="X693">
        <f t="shared" si="31"/>
        <v>0.41848966085977568</v>
      </c>
      <c r="Y693" t="s">
        <v>4120</v>
      </c>
      <c r="Z693" s="2">
        <f>IFERROR(
  IF(ISNUMBER(B693),B693,
    IF(ISNUMBER(SEARCH("-",B693)*1),
      IF(LEN(LEFT(B693,FIND("-",B693)-1))=4,
        DATE(VALUE(LEFT(B693,4)),VALUE(MID(B693,6,2)),VALUE(RIGHT(B693,2))),
        DATE(VALUE(RIGHT(B693,4)),VALUE(MID(B693,4,2)),VALUE(LEFT(B693,2)))
      ),
      IF(ISNUMBER(SEARCH("/",B693)*1),
        DATE(VALUE(RIGHT(B693,4)),VALUE(LEFT(B693,2)),VALUE(MID(B693,4,2))),
        DATEVALUE(B693)
      )
    )
  ),
"INVALID_DATE")</f>
        <v>45641</v>
      </c>
      <c r="AA693" s="2">
        <f>IFERROR(
  IF(ISNUMBER(C693),C693,
    IF(ISNUMBER(SEARCH("-",C693)*1),
      IF(LEN(LEFT(C693,FIND("-",C693)-1))=4,
        DATE(VALUE(LEFT(C693,4)),VALUE(MID(C693,6,2)),VALUE(RIGHT(C693,2))),
        DATE(VALUE(RIGHT(C693,4)),VALUE(MID(C693,4,2)),VALUE(LEFT(C693,2)))
      ),
      IF(ISNUMBER(SEARCH("/",C693)*1),
        DATE(VALUE(RIGHT(C693,4)),VALUE(LEFT(C693,2)),VALUE(MID(C693,4,2))),
        DATEVALUE(C693)
      )
    )
  ),
"INVALID_DATE")</f>
        <v>45642</v>
      </c>
      <c r="AB693">
        <f>AA693-Z693</f>
        <v>1</v>
      </c>
      <c r="AC693" t="str">
        <f>TEXT(Z693,"mmmm")</f>
        <v>December</v>
      </c>
      <c r="AD693">
        <f>YEAR(Z693)</f>
        <v>2024</v>
      </c>
      <c r="AE693" t="str">
        <f t="shared" si="32"/>
        <v>OK</v>
      </c>
    </row>
    <row r="694" spans="1:31">
      <c r="A694" t="s">
        <v>3258</v>
      </c>
      <c r="B694" t="s">
        <v>234</v>
      </c>
      <c r="C694" t="s">
        <v>3259</v>
      </c>
      <c r="D694" t="s">
        <v>3260</v>
      </c>
      <c r="E694" t="s">
        <v>60</v>
      </c>
      <c r="F694" t="s">
        <v>1789</v>
      </c>
      <c r="G694" t="s">
        <v>69</v>
      </c>
      <c r="H694" t="s">
        <v>236</v>
      </c>
      <c r="I694" t="s">
        <v>237</v>
      </c>
      <c r="J694" t="s">
        <v>52</v>
      </c>
      <c r="K694" t="s">
        <v>72</v>
      </c>
      <c r="L694" t="s">
        <v>3261</v>
      </c>
      <c r="M694" t="s">
        <v>40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41</v>
      </c>
      <c r="U694" t="s">
        <v>42</v>
      </c>
      <c r="V694">
        <f>O694*(1-P694)*N694</f>
        <v>8516.4480000000003</v>
      </c>
      <c r="W694">
        <f t="shared" si="30"/>
        <v>2612.6379999999999</v>
      </c>
      <c r="X694">
        <f t="shared" si="31"/>
        <v>0.30677571053666725</v>
      </c>
      <c r="Y694" t="s">
        <v>4120</v>
      </c>
      <c r="Z694" s="2">
        <f>IFERROR(
  IF(ISNUMBER(B694),B694,
    IF(ISNUMBER(SEARCH("-",B694)*1),
      IF(LEN(LEFT(B694,FIND("-",B694)-1))=4,
        DATE(VALUE(LEFT(B694,4)),VALUE(MID(B694,6,2)),VALUE(RIGHT(B694,2))),
        DATE(VALUE(RIGHT(B694,4)),VALUE(MID(B694,4,2)),VALUE(LEFT(B694,2)))
      ),
      IF(ISNUMBER(SEARCH("/",B694)*1),
        DATE(VALUE(RIGHT(B694,4)),VALUE(LEFT(B694,2)),VALUE(MID(B694,4,2))),
        DATEVALUE(B694)
      )
    )
  ),
"INVALID_DATE")</f>
        <v>45935</v>
      </c>
      <c r="AA694" s="2">
        <f>IFERROR(
  IF(ISNUMBER(C694),C694,
    IF(ISNUMBER(SEARCH("-",C694)*1),
      IF(LEN(LEFT(C694,FIND("-",C694)-1))=4,
        DATE(VALUE(LEFT(C694,4)),VALUE(MID(C694,6,2)),VALUE(RIGHT(C694,2))),
        DATE(VALUE(RIGHT(C694,4)),VALUE(MID(C694,4,2)),VALUE(LEFT(C694,2)))
      ),
      IF(ISNUMBER(SEARCH("/",C694)*1),
        DATE(VALUE(RIGHT(C694,4)),VALUE(LEFT(C694,2)),VALUE(MID(C694,4,2))),
        DATEVALUE(C694)
      )
    )
  ),
"INVALID_DATE")</f>
        <v>45940</v>
      </c>
      <c r="AB694">
        <f>AA694-Z694</f>
        <v>5</v>
      </c>
      <c r="AC694" t="str">
        <f>TEXT(Z694,"mmmm")</f>
        <v>October</v>
      </c>
      <c r="AD694">
        <f>YEAR(Z694)</f>
        <v>2025</v>
      </c>
      <c r="AE694" t="str">
        <f t="shared" si="32"/>
        <v>OK</v>
      </c>
    </row>
    <row r="695" spans="1:31">
      <c r="A695" t="s">
        <v>3262</v>
      </c>
      <c r="B695" t="s">
        <v>3263</v>
      </c>
      <c r="C695" t="s">
        <v>2506</v>
      </c>
      <c r="D695" t="s">
        <v>3264</v>
      </c>
      <c r="E695" t="s">
        <v>68</v>
      </c>
      <c r="F695" t="s">
        <v>33</v>
      </c>
      <c r="G695" t="s">
        <v>69</v>
      </c>
      <c r="H695" t="s">
        <v>347</v>
      </c>
      <c r="I695" t="s">
        <v>348</v>
      </c>
      <c r="J695" t="s">
        <v>52</v>
      </c>
      <c r="K695" t="s">
        <v>211</v>
      </c>
      <c r="L695" t="s">
        <v>3265</v>
      </c>
      <c r="M695" t="s">
        <v>40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41</v>
      </c>
      <c r="U695" t="s">
        <v>42</v>
      </c>
      <c r="V695">
        <f>O695*(1-P695)*N695</f>
        <v>11826.844499999999</v>
      </c>
      <c r="W695">
        <f t="shared" si="30"/>
        <v>3790.8844999999992</v>
      </c>
      <c r="X695">
        <f t="shared" si="31"/>
        <v>0.32053194259836104</v>
      </c>
      <c r="Y695" t="s">
        <v>4120</v>
      </c>
      <c r="Z695" s="2">
        <f>IFERROR(
  IF(ISNUMBER(B695),B695,
    IF(ISNUMBER(SEARCH("-",B695)*1),
      IF(LEN(LEFT(B695,FIND("-",B695)-1))=4,
        DATE(VALUE(LEFT(B695,4)),VALUE(MID(B695,6,2)),VALUE(RIGHT(B695,2))),
        DATE(VALUE(RIGHT(B695,4)),VALUE(MID(B695,4,2)),VALUE(LEFT(B695,2)))
      ),
      IF(ISNUMBER(SEARCH("/",B695)*1),
        DATE(VALUE(RIGHT(B695,4)),VALUE(LEFT(B695,2)),VALUE(MID(B695,4,2))),
        DATEVALUE(B695)
      )
    )
  ),
"INVALID_DATE")</f>
        <v>45750</v>
      </c>
      <c r="AA695" s="2">
        <f>IFERROR(
  IF(ISNUMBER(C695),C695,
    IF(ISNUMBER(SEARCH("-",C695)*1),
      IF(LEN(LEFT(C695,FIND("-",C695)-1))=4,
        DATE(VALUE(LEFT(C695,4)),VALUE(MID(C695,6,2)),VALUE(RIGHT(C695,2))),
        DATE(VALUE(RIGHT(C695,4)),VALUE(MID(C695,4,2)),VALUE(LEFT(C695,2)))
      ),
      IF(ISNUMBER(SEARCH("/",C695)*1),
        DATE(VALUE(RIGHT(C695,4)),VALUE(LEFT(C695,2)),VALUE(MID(C695,4,2))),
        DATEVALUE(C695)
      )
    )
  ),
"INVALID_DATE")</f>
        <v>45758</v>
      </c>
      <c r="AB695">
        <f>AA695-Z695</f>
        <v>8</v>
      </c>
      <c r="AC695" t="str">
        <f>TEXT(Z695,"mmmm")</f>
        <v>April</v>
      </c>
      <c r="AD695">
        <f>YEAR(Z695)</f>
        <v>2025</v>
      </c>
      <c r="AE695" t="str">
        <f t="shared" si="32"/>
        <v>OK</v>
      </c>
    </row>
    <row r="696" spans="1:31">
      <c r="A696" t="s">
        <v>3266</v>
      </c>
      <c r="B696" t="s">
        <v>1738</v>
      </c>
      <c r="C696" t="s">
        <v>3087</v>
      </c>
      <c r="D696" t="s">
        <v>1746</v>
      </c>
      <c r="E696" t="s">
        <v>60</v>
      </c>
      <c r="F696" t="s">
        <v>33</v>
      </c>
      <c r="G696" t="s">
        <v>69</v>
      </c>
      <c r="H696" t="s">
        <v>107</v>
      </c>
      <c r="I696" t="s">
        <v>108</v>
      </c>
      <c r="J696" t="s">
        <v>37</v>
      </c>
      <c r="K696" t="s">
        <v>163</v>
      </c>
      <c r="L696" t="s">
        <v>3267</v>
      </c>
      <c r="M696" t="s">
        <v>63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41</v>
      </c>
      <c r="U696" t="s">
        <v>42</v>
      </c>
      <c r="V696">
        <f>O696*(1-P696)*N696</f>
        <v>11629.019999999999</v>
      </c>
      <c r="W696">
        <f t="shared" si="30"/>
        <v>2001.8099999999995</v>
      </c>
      <c r="X696">
        <f t="shared" si="31"/>
        <v>0.1721391828374188</v>
      </c>
      <c r="Y696" t="s">
        <v>4120</v>
      </c>
      <c r="Z696" s="2">
        <f>IFERROR(
  IF(ISNUMBER(B696),B696,
    IF(ISNUMBER(SEARCH("-",B696)*1),
      IF(LEN(LEFT(B696,FIND("-",B696)-1))=4,
        DATE(VALUE(LEFT(B696,4)),VALUE(MID(B696,6,2)),VALUE(RIGHT(B696,2))),
        DATE(VALUE(RIGHT(B696,4)),VALUE(MID(B696,4,2)),VALUE(LEFT(B696,2)))
      ),
      IF(ISNUMBER(SEARCH("/",B696)*1),
        DATE(VALUE(RIGHT(B696,4)),VALUE(LEFT(B696,2)),VALUE(MID(B696,4,2))),
        DATEVALUE(B696)
      )
    )
  ),
"INVALID_DATE")</f>
        <v>45870</v>
      </c>
      <c r="AA696" s="2">
        <f>IFERROR(
  IF(ISNUMBER(C696),C696,
    IF(ISNUMBER(SEARCH("-",C696)*1),
      IF(LEN(LEFT(C696,FIND("-",C696)-1))=4,
        DATE(VALUE(LEFT(C696,4)),VALUE(MID(C696,6,2)),VALUE(RIGHT(C696,2))),
        DATE(VALUE(RIGHT(C696,4)),VALUE(MID(C696,4,2)),VALUE(LEFT(C696,2)))
      ),
      IF(ISNUMBER(SEARCH("/",C696)*1),
        DATE(VALUE(RIGHT(C696,4)),VALUE(LEFT(C696,2)),VALUE(MID(C696,4,2))),
        DATEVALUE(C696)
      )
    )
  ),
"INVALID_DATE")</f>
        <v>45878</v>
      </c>
      <c r="AB696">
        <f>AA696-Z696</f>
        <v>8</v>
      </c>
      <c r="AC696" t="str">
        <f>TEXT(Z696,"mmmm")</f>
        <v>August</v>
      </c>
      <c r="AD696">
        <f>YEAR(Z696)</f>
        <v>2025</v>
      </c>
      <c r="AE696" t="str">
        <f t="shared" si="32"/>
        <v>OK</v>
      </c>
    </row>
    <row r="697" spans="1:31">
      <c r="A697" t="s">
        <v>3268</v>
      </c>
      <c r="B697" t="s">
        <v>3269</v>
      </c>
      <c r="C697" t="s">
        <v>2113</v>
      </c>
      <c r="D697" t="s">
        <v>3270</v>
      </c>
      <c r="E697" t="s">
        <v>169</v>
      </c>
      <c r="F697" t="s">
        <v>33</v>
      </c>
      <c r="G697" t="s">
        <v>80</v>
      </c>
      <c r="H697" t="s">
        <v>91</v>
      </c>
      <c r="I697" t="s">
        <v>92</v>
      </c>
      <c r="J697" t="s">
        <v>93</v>
      </c>
      <c r="K697" t="s">
        <v>390</v>
      </c>
      <c r="L697" t="s">
        <v>3271</v>
      </c>
      <c r="M697" t="s">
        <v>74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41</v>
      </c>
      <c r="U697" t="s">
        <v>42</v>
      </c>
      <c r="V697">
        <f>O697*(1-P697)*N697</f>
        <v>1029.56</v>
      </c>
      <c r="W697">
        <f t="shared" si="30"/>
        <v>403.2299999999999</v>
      </c>
      <c r="X697">
        <f t="shared" si="31"/>
        <v>0.39165274486188278</v>
      </c>
      <c r="Y697" t="str">
        <f>_xlfn.TEXTJOIN(", ",TRUE,IF(G697="Unknown","Missing Region",""),IF(M697="Unknown","Missing Ship Mode",""),IF(P697&lt;0,"Negative Discount",""),IF(P697&gt;0.7,"High Discount",""),IF(C697&lt;B697,"Ship Before Order",""))</f>
        <v>Ship Before Order</v>
      </c>
      <c r="Z697" s="2">
        <f>IFERROR(
  IF(ISNUMBER(B697),B697,
    IF(ISNUMBER(SEARCH("-",B697)*1),
      IF(LEN(LEFT(B697,FIND("-",B697)-1))=4,
        DATE(VALUE(LEFT(B697,4)),VALUE(MID(B697,6,2)),VALUE(RIGHT(B697,2))),
        DATE(VALUE(RIGHT(B697,4)),VALUE(MID(B697,4,2)),VALUE(LEFT(B697,2)))
      ),
      IF(ISNUMBER(SEARCH("/",B697)*1),
        DATE(VALUE(RIGHT(B697,4)),VALUE(LEFT(B697,2)),VALUE(MID(B697,4,2))),
        DATEVALUE(B697)
      )
    )
  ),
"INVALID_DATE")</f>
        <v>45474</v>
      </c>
      <c r="AA697" s="2">
        <f>IFERROR(
  IF(ISNUMBER(C697),C697,
    IF(ISNUMBER(SEARCH("-",C697)*1),
      IF(LEN(LEFT(C697,FIND("-",C697)-1))=4,
        DATE(VALUE(LEFT(C697,4)),VALUE(MID(C697,6,2)),VALUE(RIGHT(C697,2))),
        DATE(VALUE(RIGHT(C697,4)),VALUE(MID(C697,4,2)),VALUE(LEFT(C697,2)))
      ),
      IF(ISNUMBER(SEARCH("/",C697)*1),
        DATE(VALUE(RIGHT(C697,4)),VALUE(LEFT(C697,2)),VALUE(MID(C697,4,2))),
        DATEVALUE(C697)
      )
    )
  ),
"INVALID_DATE")</f>
        <v>45474</v>
      </c>
      <c r="AB697">
        <f>AA697-Z697</f>
        <v>0</v>
      </c>
      <c r="AC697" t="str">
        <f>TEXT(Z697,"mmmm")</f>
        <v>July</v>
      </c>
      <c r="AD697">
        <f>YEAR(Z697)</f>
        <v>2024</v>
      </c>
      <c r="AE697" t="str">
        <f t="shared" si="32"/>
        <v>OK</v>
      </c>
    </row>
    <row r="698" spans="1:31">
      <c r="A698" t="s">
        <v>3272</v>
      </c>
      <c r="B698" t="s">
        <v>3273</v>
      </c>
      <c r="C698" t="s">
        <v>3274</v>
      </c>
      <c r="D698" t="s">
        <v>3275</v>
      </c>
      <c r="E698" t="s">
        <v>60</v>
      </c>
      <c r="F698" t="s">
        <v>48</v>
      </c>
      <c r="G698" t="s">
        <v>69</v>
      </c>
      <c r="H698" t="s">
        <v>249</v>
      </c>
      <c r="I698" t="s">
        <v>250</v>
      </c>
      <c r="J698" t="s">
        <v>93</v>
      </c>
      <c r="K698" t="s">
        <v>230</v>
      </c>
      <c r="L698" t="s">
        <v>3276</v>
      </c>
      <c r="M698" t="s">
        <v>279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41</v>
      </c>
      <c r="U698" t="s">
        <v>42</v>
      </c>
      <c r="V698">
        <f>O698*(1-P698)*N698</f>
        <v>3536.5199999999995</v>
      </c>
      <c r="W698">
        <f t="shared" si="30"/>
        <v>1434.1099999999997</v>
      </c>
      <c r="X698">
        <f t="shared" si="31"/>
        <v>0.38548629726397698</v>
      </c>
      <c r="Y698" t="str">
        <f>_xlfn.TEXTJOIN(", ",TRUE,IF(G698="Unknown","Missing Region",""),IF(M698="Unknown","Missing Ship Mode",""),IF(P698&lt;0,"Negative Discount",""),IF(P698&gt;0.7,"High Discount",""),IF(C698&lt;B698,"Ship Before Order",""))</f>
        <v>Missing Ship Mode</v>
      </c>
      <c r="Z698" s="2">
        <f>IFERROR(
  IF(ISNUMBER(B698),B698,
    IF(ISNUMBER(SEARCH("-",B698)*1),
      IF(LEN(LEFT(B698,FIND("-",B698)-1))=4,
        DATE(VALUE(LEFT(B698,4)),VALUE(MID(B698,6,2)),VALUE(RIGHT(B698,2))),
        DATE(VALUE(RIGHT(B698,4)),VALUE(MID(B698,4,2)),VALUE(LEFT(B698,2)))
      ),
      IF(ISNUMBER(SEARCH("/",B698)*1),
        DATE(VALUE(RIGHT(B698,4)),VALUE(LEFT(B698,2)),VALUE(MID(B698,4,2))),
        DATEVALUE(B698)
      )
    )
  ),
"INVALID_DATE")</f>
        <v>45922</v>
      </c>
      <c r="AA698" s="2">
        <f>IFERROR(
  IF(ISNUMBER(C698),C698,
    IF(ISNUMBER(SEARCH("-",C698)*1),
      IF(LEN(LEFT(C698,FIND("-",C698)-1))=4,
        DATE(VALUE(LEFT(C698,4)),VALUE(MID(C698,6,2)),VALUE(RIGHT(C698,2))),
        DATE(VALUE(RIGHT(C698,4)),VALUE(MID(C698,4,2)),VALUE(LEFT(C698,2)))
      ),
      IF(ISNUMBER(SEARCH("/",C698)*1),
        DATE(VALUE(RIGHT(C698,4)),VALUE(LEFT(C698,2)),VALUE(MID(C698,4,2))),
        DATEVALUE(C698)
      )
    )
  ),
"INVALID_DATE")</f>
        <v>45925</v>
      </c>
      <c r="AB698">
        <f>AA698-Z698</f>
        <v>3</v>
      </c>
      <c r="AC698" t="str">
        <f>TEXT(Z698,"mmmm")</f>
        <v>September</v>
      </c>
      <c r="AD698">
        <f>YEAR(Z698)</f>
        <v>2025</v>
      </c>
      <c r="AE698" t="str">
        <f t="shared" si="32"/>
        <v>OK</v>
      </c>
    </row>
    <row r="699" spans="1:31">
      <c r="A699" t="s">
        <v>3277</v>
      </c>
      <c r="B699" t="s">
        <v>2331</v>
      </c>
      <c r="C699" t="s">
        <v>795</v>
      </c>
      <c r="D699" t="s">
        <v>3278</v>
      </c>
      <c r="E699" t="s">
        <v>68</v>
      </c>
      <c r="F699" t="s">
        <v>115</v>
      </c>
      <c r="G699" t="s">
        <v>69</v>
      </c>
      <c r="H699" t="s">
        <v>107</v>
      </c>
      <c r="I699" t="s">
        <v>108</v>
      </c>
      <c r="J699" t="s">
        <v>37</v>
      </c>
      <c r="K699" t="s">
        <v>116</v>
      </c>
      <c r="L699" t="s">
        <v>3279</v>
      </c>
      <c r="M699" t="s">
        <v>63</v>
      </c>
      <c r="N699">
        <v>7</v>
      </c>
      <c r="O699">
        <v>567.15</v>
      </c>
      <c r="P699">
        <v>0</v>
      </c>
      <c r="Q699">
        <v>2977.54</v>
      </c>
      <c r="R699">
        <v>1849.3</v>
      </c>
      <c r="S699">
        <v>1128.24</v>
      </c>
      <c r="T699" t="s">
        <v>131</v>
      </c>
      <c r="U699" t="s">
        <v>132</v>
      </c>
      <c r="V699">
        <f>O699*(1-P699)*N699</f>
        <v>3970.0499999999997</v>
      </c>
      <c r="W699">
        <f t="shared" si="30"/>
        <v>2120.75</v>
      </c>
      <c r="X699">
        <f t="shared" si="31"/>
        <v>0.37891682395534571</v>
      </c>
      <c r="Y699" t="s">
        <v>4120</v>
      </c>
      <c r="Z699" s="2">
        <f>IFERROR(
  IF(ISNUMBER(B699),B699,
    IF(ISNUMBER(SEARCH("-",B699)*1),
      IF(LEN(LEFT(B699,FIND("-",B699)-1))=4,
        DATE(VALUE(LEFT(B699,4)),VALUE(MID(B699,6,2)),VALUE(RIGHT(B699,2))),
        DATE(VALUE(RIGHT(B699,4)),VALUE(MID(B699,4,2)),VALUE(LEFT(B699,2)))
      ),
      IF(ISNUMBER(SEARCH("/",B699)*1),
        DATE(VALUE(RIGHT(B699,4)),VALUE(LEFT(B699,2)),VALUE(MID(B699,4,2))),
        DATEVALUE(B699)
      )
    )
  ),
"INVALID_DATE")</f>
        <v>45717</v>
      </c>
      <c r="AA699" s="2">
        <f>IFERROR(
  IF(ISNUMBER(C699),C699,
    IF(ISNUMBER(SEARCH("-",C699)*1),
      IF(LEN(LEFT(C699,FIND("-",C699)-1))=4,
        DATE(VALUE(LEFT(C699,4)),VALUE(MID(C699,6,2)),VALUE(RIGHT(C699,2))),
        DATE(VALUE(RIGHT(C699,4)),VALUE(MID(C699,4,2)),VALUE(LEFT(C699,2)))
      ),
      IF(ISNUMBER(SEARCH("/",C699)*1),
        DATE(VALUE(RIGHT(C699,4)),VALUE(LEFT(C699,2)),VALUE(MID(C699,4,2))),
        DATEVALUE(C699)
      )
    )
  ),
"INVALID_DATE")</f>
        <v>45723</v>
      </c>
      <c r="AB699">
        <f>AA699-Z699</f>
        <v>6</v>
      </c>
      <c r="AC699" t="str">
        <f>TEXT(Z699,"mmmm")</f>
        <v>March</v>
      </c>
      <c r="AD699">
        <f>YEAR(Z699)</f>
        <v>2025</v>
      </c>
      <c r="AE699" t="str">
        <f t="shared" si="32"/>
        <v>OK</v>
      </c>
    </row>
    <row r="700" spans="1:31">
      <c r="A700" t="s">
        <v>3280</v>
      </c>
      <c r="B700" t="s">
        <v>3281</v>
      </c>
      <c r="C700" t="s">
        <v>1749</v>
      </c>
      <c r="D700" t="s">
        <v>3282</v>
      </c>
      <c r="E700" t="s">
        <v>47</v>
      </c>
      <c r="F700" t="s">
        <v>115</v>
      </c>
      <c r="G700" t="s">
        <v>34</v>
      </c>
      <c r="H700" t="s">
        <v>35</v>
      </c>
      <c r="I700" t="s">
        <v>36</v>
      </c>
      <c r="J700" t="s">
        <v>93</v>
      </c>
      <c r="K700" t="s">
        <v>390</v>
      </c>
      <c r="L700" t="s">
        <v>3283</v>
      </c>
      <c r="M700" t="s">
        <v>74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41</v>
      </c>
      <c r="U700" t="s">
        <v>132</v>
      </c>
      <c r="V700">
        <f>O700*(1-P700)*N700</f>
        <v>27755.287999999997</v>
      </c>
      <c r="W700">
        <f t="shared" si="30"/>
        <v>4003.377999999997</v>
      </c>
      <c r="X700">
        <f t="shared" si="31"/>
        <v>0.14192306465164262</v>
      </c>
      <c r="Y700" t="s">
        <v>4120</v>
      </c>
      <c r="Z700" s="2">
        <f>IFERROR(
  IF(ISNUMBER(B700),B700,
    IF(ISNUMBER(SEARCH("-",B700)*1),
      IF(LEN(LEFT(B700,FIND("-",B700)-1))=4,
        DATE(VALUE(LEFT(B700,4)),VALUE(MID(B700,6,2)),VALUE(RIGHT(B700,2))),
        DATE(VALUE(RIGHT(B700,4)),VALUE(MID(B700,4,2)),VALUE(LEFT(B700,2)))
      ),
      IF(ISNUMBER(SEARCH("/",B700)*1),
        DATE(VALUE(RIGHT(B700,4)),VALUE(LEFT(B700,2)),VALUE(MID(B700,4,2))),
        DATEVALUE(B700)
      )
    )
  ),
"INVALID_DATE")</f>
        <v>45549</v>
      </c>
      <c r="AA700" s="2">
        <f>IFERROR(
  IF(ISNUMBER(C700),C700,
    IF(ISNUMBER(SEARCH("-",C700)*1),
      IF(LEN(LEFT(C700,FIND("-",C700)-1))=4,
        DATE(VALUE(LEFT(C700,4)),VALUE(MID(C700,6,2)),VALUE(RIGHT(C700,2))),
        DATE(VALUE(RIGHT(C700,4)),VALUE(MID(C700,4,2)),VALUE(LEFT(C700,2)))
      ),
      IF(ISNUMBER(SEARCH("/",C700)*1),
        DATE(VALUE(RIGHT(C700,4)),VALUE(LEFT(C700,2)),VALUE(MID(C700,4,2))),
        DATEVALUE(C700)
      )
    )
  ),
"INVALID_DATE")</f>
        <v>45549</v>
      </c>
      <c r="AB700">
        <f>AA700-Z700</f>
        <v>0</v>
      </c>
      <c r="AC700" t="str">
        <f>TEXT(Z700,"mmmm")</f>
        <v>September</v>
      </c>
      <c r="AD700">
        <f>YEAR(Z700)</f>
        <v>2024</v>
      </c>
      <c r="AE700" t="str">
        <f t="shared" si="32"/>
        <v>OK</v>
      </c>
    </row>
    <row r="701" spans="1:31">
      <c r="A701" t="s">
        <v>3284</v>
      </c>
      <c r="B701" t="s">
        <v>3285</v>
      </c>
      <c r="C701" t="s">
        <v>3286</v>
      </c>
      <c r="D701" t="s">
        <v>3287</v>
      </c>
      <c r="E701" t="s">
        <v>68</v>
      </c>
      <c r="F701" t="s">
        <v>48</v>
      </c>
      <c r="G701" t="s">
        <v>69</v>
      </c>
      <c r="H701" t="s">
        <v>236</v>
      </c>
      <c r="I701" t="s">
        <v>237</v>
      </c>
      <c r="J701" t="s">
        <v>52</v>
      </c>
      <c r="K701" t="s">
        <v>211</v>
      </c>
      <c r="L701" t="s">
        <v>3288</v>
      </c>
      <c r="M701" t="s">
        <v>74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41</v>
      </c>
      <c r="U701" t="s">
        <v>42</v>
      </c>
      <c r="V701">
        <f>O701*(1-P701)*N701</f>
        <v>9450.7425000000003</v>
      </c>
      <c r="W701">
        <f t="shared" si="30"/>
        <v>1652.1824999999999</v>
      </c>
      <c r="X701">
        <f t="shared" si="31"/>
        <v>0.17482017281186449</v>
      </c>
      <c r="Y701" t="str">
        <f>_xlfn.TEXTJOIN(", ",TRUE,IF(G701="Unknown","Missing Region",""),IF(M701="Unknown","Missing Ship Mode",""),IF(P701&lt;0,"Negative Discount",""),IF(P701&gt;0.7,"High Discount",""),IF(C701&lt;B701,"Ship Before Order",""))</f>
        <v>Ship Before Order</v>
      </c>
      <c r="Z701" s="2">
        <f>IFERROR(
  IF(ISNUMBER(B701),B701,
    IF(ISNUMBER(SEARCH("-",B701)*1),
      IF(LEN(LEFT(B701,FIND("-",B701)-1))=4,
        DATE(VALUE(LEFT(B701,4)),VALUE(MID(B701,6,2)),VALUE(RIGHT(B701,2))),
        DATE(VALUE(RIGHT(B701,4)),VALUE(MID(B701,4,2)),VALUE(LEFT(B701,2)))
      ),
      IF(ISNUMBER(SEARCH("/",B701)*1),
        DATE(VALUE(RIGHT(B701,4)),VALUE(LEFT(B701,2)),VALUE(MID(B701,4,2))),
        DATEVALUE(B701)
      )
    )
  ),
"INVALID_DATE")</f>
        <v>45454</v>
      </c>
      <c r="AA701" s="2">
        <f>IFERROR(
  IF(ISNUMBER(C701),C701,
    IF(ISNUMBER(SEARCH("-",C701)*1),
      IF(LEN(LEFT(C701,FIND("-",C701)-1))=4,
        DATE(VALUE(LEFT(C701,4)),VALUE(MID(C701,6,2)),VALUE(RIGHT(C701,2))),
        DATE(VALUE(RIGHT(C701,4)),VALUE(MID(C701,4,2)),VALUE(LEFT(C701,2)))
      ),
      IF(ISNUMBER(SEARCH("/",C701)*1),
        DATE(VALUE(RIGHT(C701,4)),VALUE(LEFT(C701,2)),VALUE(MID(C701,4,2))),
        DATEVALUE(C701)
      )
    )
  ),
"INVALID_DATE")</f>
        <v>45454</v>
      </c>
      <c r="AB701">
        <f>AA701-Z701</f>
        <v>0</v>
      </c>
      <c r="AC701" t="str">
        <f>TEXT(Z701,"mmmm")</f>
        <v>June</v>
      </c>
      <c r="AD701">
        <f>YEAR(Z701)</f>
        <v>2024</v>
      </c>
      <c r="AE701" t="str">
        <f t="shared" si="32"/>
        <v>OK</v>
      </c>
    </row>
    <row r="702" spans="1:31">
      <c r="A702" t="s">
        <v>3289</v>
      </c>
      <c r="B702" t="s">
        <v>3290</v>
      </c>
      <c r="C702" t="s">
        <v>1142</v>
      </c>
      <c r="D702" t="s">
        <v>3291</v>
      </c>
      <c r="E702" t="s">
        <v>100</v>
      </c>
      <c r="F702" t="s">
        <v>115</v>
      </c>
      <c r="G702" t="s">
        <v>49</v>
      </c>
      <c r="H702" t="s">
        <v>128</v>
      </c>
      <c r="I702" t="s">
        <v>129</v>
      </c>
      <c r="J702" t="s">
        <v>93</v>
      </c>
      <c r="K702" t="s">
        <v>390</v>
      </c>
      <c r="L702" t="s">
        <v>3292</v>
      </c>
      <c r="M702" t="s">
        <v>74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41</v>
      </c>
      <c r="U702" t="s">
        <v>42</v>
      </c>
      <c r="V702">
        <f>O702*(1-P702)*N702</f>
        <v>7792.5450000000001</v>
      </c>
      <c r="W702">
        <f t="shared" si="30"/>
        <v>3100.8150000000005</v>
      </c>
      <c r="X702">
        <f t="shared" si="31"/>
        <v>0.39792109129874048</v>
      </c>
      <c r="Y702" t="str">
        <f>_xlfn.TEXTJOIN(", ",TRUE,IF(G702="Unknown","Missing Region",""),IF(M702="Unknown","Missing Ship Mode",""),IF(P702&lt;0,"Negative Discount",""),IF(P702&gt;0.7,"High Discount",""),IF(C702&lt;B702,"Ship Before Order",""))</f>
        <v>Ship Before Order</v>
      </c>
      <c r="Z702" s="2">
        <f>IFERROR(
  IF(ISNUMBER(B702),B702,
    IF(ISNUMBER(SEARCH("-",B702)*1),
      IF(LEN(LEFT(B702,FIND("-",B702)-1))=4,
        DATE(VALUE(LEFT(B702,4)),VALUE(MID(B702,6,2)),VALUE(RIGHT(B702,2))),
        DATE(VALUE(RIGHT(B702,4)),VALUE(MID(B702,4,2)),VALUE(LEFT(B702,2)))
      ),
      IF(ISNUMBER(SEARCH("/",B702)*1),
        DATE(VALUE(RIGHT(B702,4)),VALUE(LEFT(B702,2)),VALUE(MID(B702,4,2))),
        DATEVALUE(B702)
      )
    )
  ),
"INVALID_DATE")</f>
        <v>45553</v>
      </c>
      <c r="AA702" s="2">
        <f>IFERROR(
  IF(ISNUMBER(C702),C702,
    IF(ISNUMBER(SEARCH("-",C702)*1),
      IF(LEN(LEFT(C702,FIND("-",C702)-1))=4,
        DATE(VALUE(LEFT(C702,4)),VALUE(MID(C702,6,2)),VALUE(RIGHT(C702,2))),
        DATE(VALUE(RIGHT(C702,4)),VALUE(MID(C702,4,2)),VALUE(LEFT(C702,2)))
      ),
      IF(ISNUMBER(SEARCH("/",C702)*1),
        DATE(VALUE(RIGHT(C702,4)),VALUE(LEFT(C702,2)),VALUE(MID(C702,4,2))),
        DATEVALUE(C702)
      )
    )
  ),
"INVALID_DATE")</f>
        <v>45556</v>
      </c>
      <c r="AB702">
        <f>AA702-Z702</f>
        <v>3</v>
      </c>
      <c r="AC702" t="str">
        <f>TEXT(Z702,"mmmm")</f>
        <v>September</v>
      </c>
      <c r="AD702">
        <f>YEAR(Z702)</f>
        <v>2024</v>
      </c>
      <c r="AE702" t="str">
        <f t="shared" si="32"/>
        <v>OK</v>
      </c>
    </row>
    <row r="703" spans="1:31">
      <c r="A703" t="s">
        <v>3293</v>
      </c>
      <c r="B703" t="s">
        <v>1630</v>
      </c>
      <c r="C703" t="s">
        <v>1301</v>
      </c>
      <c r="D703" t="s">
        <v>3294</v>
      </c>
      <c r="E703" t="s">
        <v>187</v>
      </c>
      <c r="F703" t="s">
        <v>48</v>
      </c>
      <c r="G703" t="s">
        <v>80</v>
      </c>
      <c r="H703" t="s">
        <v>242</v>
      </c>
      <c r="I703" t="s">
        <v>243</v>
      </c>
      <c r="J703" t="s">
        <v>37</v>
      </c>
      <c r="K703" t="s">
        <v>61</v>
      </c>
      <c r="L703" t="s">
        <v>3295</v>
      </c>
      <c r="M703" t="s">
        <v>55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41</v>
      </c>
      <c r="U703" t="s">
        <v>132</v>
      </c>
      <c r="V703">
        <f>O703*(1-P703)*N703</f>
        <v>8574.58</v>
      </c>
      <c r="W703">
        <f t="shared" si="30"/>
        <v>1888.7699999999995</v>
      </c>
      <c r="X703">
        <f t="shared" si="31"/>
        <v>0.22027551203674114</v>
      </c>
      <c r="Y703" t="str">
        <f>_xlfn.TEXTJOIN(", ",TRUE,IF(G703="Unknown","Missing Region",""),IF(M703="Unknown","Missing Ship Mode",""),IF(P703&lt;0,"Negative Discount",""),IF(P703&gt;0.7,"High Discount",""),IF(C703&lt;B703,"Ship Before Order",""))</f>
        <v>Ship Before Order</v>
      </c>
      <c r="Z703" s="2">
        <f>IFERROR(
  IF(ISNUMBER(B703),B703,
    IF(ISNUMBER(SEARCH("-",B703)*1),
      IF(LEN(LEFT(B703,FIND("-",B703)-1))=4,
        DATE(VALUE(LEFT(B703,4)),VALUE(MID(B703,6,2)),VALUE(RIGHT(B703,2))),
        DATE(VALUE(RIGHT(B703,4)),VALUE(MID(B703,4,2)),VALUE(LEFT(B703,2)))
      ),
      IF(ISNUMBER(SEARCH("/",B703)*1),
        DATE(VALUE(RIGHT(B703,4)),VALUE(LEFT(B703,2)),VALUE(MID(B703,4,2))),
        DATEVALUE(B703)
      )
    )
  ),
"INVALID_DATE")</f>
        <v>45412</v>
      </c>
      <c r="AA703" s="2">
        <f>IFERROR(
  IF(ISNUMBER(C703),C703,
    IF(ISNUMBER(SEARCH("-",C703)*1),
      IF(LEN(LEFT(C703,FIND("-",C703)-1))=4,
        DATE(VALUE(LEFT(C703,4)),VALUE(MID(C703,6,2)),VALUE(RIGHT(C703,2))),
        DATE(VALUE(RIGHT(C703,4)),VALUE(MID(C703,4,2)),VALUE(LEFT(C703,2)))
      ),
      IF(ISNUMBER(SEARCH("/",C703)*1),
        DATE(VALUE(RIGHT(C703,4)),VALUE(LEFT(C703,2)),VALUE(MID(C703,4,2))),
        DATEVALUE(C703)
      )
    )
  ),
"INVALID_DATE")</f>
        <v>45416</v>
      </c>
      <c r="AB703">
        <f>AA703-Z703</f>
        <v>4</v>
      </c>
      <c r="AC703" t="str">
        <f>TEXT(Z703,"mmmm")</f>
        <v>April</v>
      </c>
      <c r="AD703">
        <f>YEAR(Z703)</f>
        <v>2024</v>
      </c>
      <c r="AE703" t="str">
        <f t="shared" si="32"/>
        <v>OK</v>
      </c>
    </row>
    <row r="704" spans="1:31">
      <c r="A704" t="s">
        <v>3296</v>
      </c>
      <c r="B704" t="s">
        <v>3297</v>
      </c>
      <c r="C704" t="s">
        <v>2892</v>
      </c>
      <c r="D704" t="s">
        <v>3298</v>
      </c>
      <c r="E704" t="s">
        <v>32</v>
      </c>
      <c r="F704" t="s">
        <v>48</v>
      </c>
      <c r="G704" t="s">
        <v>80</v>
      </c>
      <c r="H704" t="s">
        <v>35</v>
      </c>
      <c r="I704" t="s">
        <v>142</v>
      </c>
      <c r="J704" t="s">
        <v>52</v>
      </c>
      <c r="K704" t="s">
        <v>53</v>
      </c>
      <c r="L704" t="s">
        <v>3299</v>
      </c>
      <c r="M704" t="s">
        <v>40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41</v>
      </c>
      <c r="U704" t="s">
        <v>42</v>
      </c>
      <c r="V704">
        <f>O704*(1-P704)*N704</f>
        <v>2692.8180000000002</v>
      </c>
      <c r="W704">
        <f t="shared" si="30"/>
        <v>872.73800000000028</v>
      </c>
      <c r="X704">
        <f t="shared" si="31"/>
        <v>0.3240989000378785</v>
      </c>
      <c r="Y704" t="str">
        <f>_xlfn.TEXTJOIN(", ",TRUE,IF(G704="Unknown","Missing Region",""),IF(M704="Unknown","Missing Ship Mode",""),IF(P704&lt;0,"Negative Discount",""),IF(P704&gt;0.7,"High Discount",""),IF(C704&lt;B704,"Ship Before Order",""))</f>
        <v>Ship Before Order</v>
      </c>
      <c r="Z704" s="2">
        <f>IFERROR(
  IF(ISNUMBER(B704),B704,
    IF(ISNUMBER(SEARCH("-",B704)*1),
      IF(LEN(LEFT(B704,FIND("-",B704)-1))=4,
        DATE(VALUE(LEFT(B704,4)),VALUE(MID(B704,6,2)),VALUE(RIGHT(B704,2))),
        DATE(VALUE(RIGHT(B704,4)),VALUE(MID(B704,4,2)),VALUE(LEFT(B704,2)))
      ),
      IF(ISNUMBER(SEARCH("/",B704)*1),
        DATE(VALUE(RIGHT(B704,4)),VALUE(LEFT(B704,2)),VALUE(MID(B704,4,2))),
        DATEVALUE(B704)
      )
    )
  ),
"INVALID_DATE")</f>
        <v>45690</v>
      </c>
      <c r="AA704" s="2">
        <f>IFERROR(
  IF(ISNUMBER(C704),C704,
    IF(ISNUMBER(SEARCH("-",C704)*1),
      IF(LEN(LEFT(C704,FIND("-",C704)-1))=4,
        DATE(VALUE(LEFT(C704,4)),VALUE(MID(C704,6,2)),VALUE(RIGHT(C704,2))),
        DATE(VALUE(RIGHT(C704,4)),VALUE(MID(C704,4,2)),VALUE(LEFT(C704,2)))
      ),
      IF(ISNUMBER(SEARCH("/",C704)*1),
        DATE(VALUE(RIGHT(C704,4)),VALUE(LEFT(C704,2)),VALUE(MID(C704,4,2))),
        DATEVALUE(C704)
      )
    )
  ),
"INVALID_DATE")</f>
        <v>45694</v>
      </c>
      <c r="AB704">
        <f>AA704-Z704</f>
        <v>4</v>
      </c>
      <c r="AC704" t="str">
        <f>TEXT(Z704,"mmmm")</f>
        <v>February</v>
      </c>
      <c r="AD704">
        <f>YEAR(Z704)</f>
        <v>2025</v>
      </c>
      <c r="AE704" t="str">
        <f t="shared" si="32"/>
        <v>OK</v>
      </c>
    </row>
    <row r="705" spans="1:31">
      <c r="A705" t="s">
        <v>3300</v>
      </c>
      <c r="B705" t="s">
        <v>3301</v>
      </c>
      <c r="C705" t="s">
        <v>2388</v>
      </c>
      <c r="D705" t="s">
        <v>3302</v>
      </c>
      <c r="E705" t="s">
        <v>114</v>
      </c>
      <c r="F705" t="s">
        <v>115</v>
      </c>
      <c r="G705" t="s">
        <v>34</v>
      </c>
      <c r="H705" t="s">
        <v>35</v>
      </c>
      <c r="I705" t="s">
        <v>36</v>
      </c>
      <c r="J705" t="s">
        <v>52</v>
      </c>
      <c r="K705" t="s">
        <v>53</v>
      </c>
      <c r="L705" t="s">
        <v>3303</v>
      </c>
      <c r="M705" t="s">
        <v>63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41</v>
      </c>
      <c r="U705" t="s">
        <v>42</v>
      </c>
      <c r="V705">
        <f>O705*(1-P705)*N705</f>
        <v>1035.027</v>
      </c>
      <c r="W705">
        <f t="shared" si="30"/>
        <v>180.67700000000002</v>
      </c>
      <c r="X705">
        <f t="shared" si="31"/>
        <v>0.17456498845444093</v>
      </c>
      <c r="Y705" t="s">
        <v>4120</v>
      </c>
      <c r="Z705" s="2">
        <f>IFERROR(
  IF(ISNUMBER(B705),B705,
    IF(ISNUMBER(SEARCH("-",B705)*1),
      IF(LEN(LEFT(B705,FIND("-",B705)-1))=4,
        DATE(VALUE(LEFT(B705,4)),VALUE(MID(B705,6,2)),VALUE(RIGHT(B705,2))),
        DATE(VALUE(RIGHT(B705,4)),VALUE(MID(B705,4,2)),VALUE(LEFT(B705,2)))
      ),
      IF(ISNUMBER(SEARCH("/",B705)*1),
        DATE(VALUE(RIGHT(B705,4)),VALUE(LEFT(B705,2)),VALUE(MID(B705,4,2))),
        DATEVALUE(B705)
      )
    )
  ),
"INVALID_DATE")</f>
        <v>45584</v>
      </c>
      <c r="AA705" s="2">
        <f>IFERROR(
  IF(ISNUMBER(C705),C705,
    IF(ISNUMBER(SEARCH("-",C705)*1),
      IF(LEN(LEFT(C705,FIND("-",C705)-1))=4,
        DATE(VALUE(LEFT(C705,4)),VALUE(MID(C705,6,2)),VALUE(RIGHT(C705,2))),
        DATE(VALUE(RIGHT(C705,4)),VALUE(MID(C705,4,2)),VALUE(LEFT(C705,2)))
      ),
      IF(ISNUMBER(SEARCH("/",C705)*1),
        DATE(VALUE(RIGHT(C705,4)),VALUE(LEFT(C705,2)),VALUE(MID(C705,4,2))),
        DATEVALUE(C705)
      )
    )
  ),
"INVALID_DATE")</f>
        <v>45585</v>
      </c>
      <c r="AB705">
        <f>AA705-Z705</f>
        <v>1</v>
      </c>
      <c r="AC705" t="str">
        <f>TEXT(Z705,"mmmm")</f>
        <v>October</v>
      </c>
      <c r="AD705">
        <f>YEAR(Z705)</f>
        <v>2024</v>
      </c>
      <c r="AE705" t="str">
        <f t="shared" si="32"/>
        <v>OK</v>
      </c>
    </row>
    <row r="706" spans="1:31">
      <c r="A706" t="s">
        <v>3304</v>
      </c>
      <c r="B706" t="s">
        <v>1566</v>
      </c>
      <c r="C706" t="s">
        <v>3305</v>
      </c>
      <c r="D706" t="s">
        <v>3306</v>
      </c>
      <c r="E706" t="s">
        <v>149</v>
      </c>
      <c r="F706" t="s">
        <v>122</v>
      </c>
      <c r="G706" t="s">
        <v>69</v>
      </c>
      <c r="H706" t="s">
        <v>347</v>
      </c>
      <c r="I706" t="s">
        <v>348</v>
      </c>
      <c r="J706" t="s">
        <v>52</v>
      </c>
      <c r="K706" t="s">
        <v>211</v>
      </c>
      <c r="L706" t="s">
        <v>3307</v>
      </c>
      <c r="M706" t="s">
        <v>279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41</v>
      </c>
      <c r="U706" t="s">
        <v>42</v>
      </c>
      <c r="V706">
        <f>O706*(1-P706)*N706</f>
        <v>2401.7855</v>
      </c>
      <c r="W706">
        <f t="shared" si="30"/>
        <v>581.44550000000004</v>
      </c>
      <c r="X706">
        <f t="shared" si="31"/>
        <v>0.24209027433705696</v>
      </c>
      <c r="Y706" t="str">
        <f>_xlfn.TEXTJOIN(", ",TRUE,IF(G706="Unknown","Missing Region",""),IF(M706="Unknown","Missing Ship Mode",""),IF(P706&lt;0,"Negative Discount",""),IF(P706&gt;0.7,"High Discount",""),IF(C706&lt;B706,"Ship Before Order",""))</f>
        <v>Missing Ship Mode, Ship Before Order</v>
      </c>
      <c r="Z706" s="2">
        <f>IFERROR(
  IF(ISNUMBER(B706),B706,
    IF(ISNUMBER(SEARCH("-",B706)*1),
      IF(LEN(LEFT(B706,FIND("-",B706)-1))=4,
        DATE(VALUE(LEFT(B706,4)),VALUE(MID(B706,6,2)),VALUE(RIGHT(B706,2))),
        DATE(VALUE(RIGHT(B706,4)),VALUE(MID(B706,4,2)),VALUE(LEFT(B706,2)))
      ),
      IF(ISNUMBER(SEARCH("/",B706)*1),
        DATE(VALUE(RIGHT(B706,4)),VALUE(LEFT(B706,2)),VALUE(MID(B706,4,2))),
        DATEVALUE(B706)
      )
    )
  ),
"INVALID_DATE")</f>
        <v>45364</v>
      </c>
      <c r="AA706" s="2">
        <f>IFERROR(
  IF(ISNUMBER(C706),C706,
    IF(ISNUMBER(SEARCH("-",C706)*1),
      IF(LEN(LEFT(C706,FIND("-",C706)-1))=4,
        DATE(VALUE(LEFT(C706,4)),VALUE(MID(C706,6,2)),VALUE(RIGHT(C706,2))),
        DATE(VALUE(RIGHT(C706,4)),VALUE(MID(C706,4,2)),VALUE(LEFT(C706,2)))
      ),
      IF(ISNUMBER(SEARCH("/",C706)*1),
        DATE(VALUE(RIGHT(C706,4)),VALUE(LEFT(C706,2)),VALUE(MID(C706,4,2))),
        DATEVALUE(C706)
      )
    )
  ),
"INVALID_DATE")</f>
        <v>45371</v>
      </c>
      <c r="AB706">
        <f>AA706-Z706</f>
        <v>7</v>
      </c>
      <c r="AC706" t="str">
        <f>TEXT(Z706,"mmmm")</f>
        <v>March</v>
      </c>
      <c r="AD706">
        <f>YEAR(Z706)</f>
        <v>2024</v>
      </c>
      <c r="AE706" t="str">
        <f t="shared" si="32"/>
        <v>OK</v>
      </c>
    </row>
    <row r="707" spans="1:31">
      <c r="A707" t="s">
        <v>3308</v>
      </c>
      <c r="B707" t="s">
        <v>3309</v>
      </c>
      <c r="C707" t="s">
        <v>3310</v>
      </c>
      <c r="D707" t="s">
        <v>3311</v>
      </c>
      <c r="E707" t="s">
        <v>187</v>
      </c>
      <c r="F707" t="s">
        <v>33</v>
      </c>
      <c r="G707" t="s">
        <v>34</v>
      </c>
      <c r="H707" t="s">
        <v>35</v>
      </c>
      <c r="I707" t="s">
        <v>36</v>
      </c>
      <c r="J707" t="s">
        <v>37</v>
      </c>
      <c r="K707" t="s">
        <v>205</v>
      </c>
      <c r="L707" t="s">
        <v>3312</v>
      </c>
      <c r="M707" t="s">
        <v>74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41</v>
      </c>
      <c r="U707" t="s">
        <v>42</v>
      </c>
      <c r="V707">
        <f>O707*(1-P707)*N707</f>
        <v>16015.8125</v>
      </c>
      <c r="W707">
        <f t="shared" ref="W707:W770" si="33">V707-R707</f>
        <v>4663.4325000000008</v>
      </c>
      <c r="X707">
        <f t="shared" ref="X707:X770" si="34">S707/Q707</f>
        <v>0.2911766560667241</v>
      </c>
      <c r="Y707" t="s">
        <v>4120</v>
      </c>
      <c r="Z707" s="2">
        <f>IFERROR(
  IF(ISNUMBER(B707),B707,
    IF(ISNUMBER(SEARCH("-",B707)*1),
      IF(LEN(LEFT(B707,FIND("-",B707)-1))=4,
        DATE(VALUE(LEFT(B707,4)),VALUE(MID(B707,6,2)),VALUE(RIGHT(B707,2))),
        DATE(VALUE(RIGHT(B707,4)),VALUE(MID(B707,4,2)),VALUE(LEFT(B707,2)))
      ),
      IF(ISNUMBER(SEARCH("/",B707)*1),
        DATE(VALUE(RIGHT(B707,4)),VALUE(LEFT(B707,2)),VALUE(MID(B707,4,2))),
        DATEVALUE(B707)
      )
    )
  ),
"INVALID_DATE")</f>
        <v>45543</v>
      </c>
      <c r="AA707" s="2">
        <f>IFERROR(
  IF(ISNUMBER(C707),C707,
    IF(ISNUMBER(SEARCH("-",C707)*1),
      IF(LEN(LEFT(C707,FIND("-",C707)-1))=4,
        DATE(VALUE(LEFT(C707,4)),VALUE(MID(C707,6,2)),VALUE(RIGHT(C707,2))),
        DATE(VALUE(RIGHT(C707,4)),VALUE(MID(C707,4,2)),VALUE(LEFT(C707,2)))
      ),
      IF(ISNUMBER(SEARCH("/",C707)*1),
        DATE(VALUE(RIGHT(C707,4)),VALUE(LEFT(C707,2)),VALUE(MID(C707,4,2))),
        DATEVALUE(C707)
      )
    )
  ),
"INVALID_DATE")</f>
        <v>45549</v>
      </c>
      <c r="AB707">
        <f>AA707-Z707</f>
        <v>6</v>
      </c>
      <c r="AC707" t="str">
        <f>TEXT(Z707,"mmmm")</f>
        <v>September</v>
      </c>
      <c r="AD707">
        <f>YEAR(Z707)</f>
        <v>2024</v>
      </c>
      <c r="AE707" t="str">
        <f t="shared" ref="AE707:AE770" si="35">IF(OR(Z707="INVALID_DATE",AA707="INVALID_DATE"),"Invalid Date",IF(AA707&lt;Z707,"Ship Before Order","OK"))</f>
        <v>OK</v>
      </c>
    </row>
    <row r="708" spans="1:31">
      <c r="A708" t="s">
        <v>3313</v>
      </c>
      <c r="B708" t="s">
        <v>3314</v>
      </c>
      <c r="C708" t="s">
        <v>1051</v>
      </c>
      <c r="D708" t="s">
        <v>3315</v>
      </c>
      <c r="E708" t="s">
        <v>60</v>
      </c>
      <c r="F708" t="s">
        <v>48</v>
      </c>
      <c r="G708" t="s">
        <v>49</v>
      </c>
      <c r="H708" t="s">
        <v>50</v>
      </c>
      <c r="I708" t="s">
        <v>51</v>
      </c>
      <c r="J708" t="s">
        <v>37</v>
      </c>
      <c r="K708" t="s">
        <v>38</v>
      </c>
      <c r="L708" t="s">
        <v>3316</v>
      </c>
      <c r="M708" t="s">
        <v>55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41</v>
      </c>
      <c r="U708" t="s">
        <v>42</v>
      </c>
      <c r="V708">
        <f>O708*(1-P708)*N708</f>
        <v>1901.4750000000001</v>
      </c>
      <c r="W708">
        <f t="shared" si="33"/>
        <v>547.19500000000016</v>
      </c>
      <c r="X708">
        <f t="shared" si="34"/>
        <v>0.2877758377684751</v>
      </c>
      <c r="Y708" t="s">
        <v>4120</v>
      </c>
      <c r="Z708" s="2">
        <f>IFERROR(
  IF(ISNUMBER(B708),B708,
    IF(ISNUMBER(SEARCH("-",B708)*1),
      IF(LEN(LEFT(B708,FIND("-",B708)-1))=4,
        DATE(VALUE(LEFT(B708,4)),VALUE(MID(B708,6,2)),VALUE(RIGHT(B708,2))),
        DATE(VALUE(RIGHT(B708,4)),VALUE(MID(B708,4,2)),VALUE(LEFT(B708,2)))
      ),
      IF(ISNUMBER(SEARCH("/",B708)*1),
        DATE(VALUE(RIGHT(B708,4)),VALUE(LEFT(B708,2)),VALUE(MID(B708,4,2))),
        DATEVALUE(B708)
      )
    )
  ),
"INVALID_DATE")</f>
        <v>45467</v>
      </c>
      <c r="AA708" s="2">
        <f>IFERROR(
  IF(ISNUMBER(C708),C708,
    IF(ISNUMBER(SEARCH("-",C708)*1),
      IF(LEN(LEFT(C708,FIND("-",C708)-1))=4,
        DATE(VALUE(LEFT(C708,4)),VALUE(MID(C708,6,2)),VALUE(RIGHT(C708,2))),
        DATE(VALUE(RIGHT(C708,4)),VALUE(MID(C708,4,2)),VALUE(LEFT(C708,2)))
      ),
      IF(ISNUMBER(SEARCH("/",C708)*1),
        DATE(VALUE(RIGHT(C708,4)),VALUE(LEFT(C708,2)),VALUE(MID(C708,4,2))),
        DATEVALUE(C708)
      )
    )
  ),
"INVALID_DATE")</f>
        <v>45471</v>
      </c>
      <c r="AB708">
        <f>AA708-Z708</f>
        <v>4</v>
      </c>
      <c r="AC708" t="str">
        <f>TEXT(Z708,"mmmm")</f>
        <v>June</v>
      </c>
      <c r="AD708">
        <f>YEAR(Z708)</f>
        <v>2024</v>
      </c>
      <c r="AE708" t="str">
        <f t="shared" si="35"/>
        <v>OK</v>
      </c>
    </row>
    <row r="709" spans="1:31">
      <c r="A709" t="s">
        <v>3317</v>
      </c>
      <c r="B709" t="s">
        <v>3318</v>
      </c>
      <c r="C709" t="s">
        <v>2379</v>
      </c>
      <c r="D709" t="s">
        <v>3319</v>
      </c>
      <c r="E709" t="s">
        <v>90</v>
      </c>
      <c r="F709" t="s">
        <v>33</v>
      </c>
      <c r="G709" t="s">
        <v>34</v>
      </c>
      <c r="H709" t="s">
        <v>35</v>
      </c>
      <c r="I709" t="s">
        <v>36</v>
      </c>
      <c r="J709" t="s">
        <v>93</v>
      </c>
      <c r="K709" t="s">
        <v>94</v>
      </c>
      <c r="L709" t="s">
        <v>3320</v>
      </c>
      <c r="M709" t="s">
        <v>55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41</v>
      </c>
      <c r="U709" t="s">
        <v>42</v>
      </c>
      <c r="V709">
        <f>O709*(1-P709)*N709</f>
        <v>8375.9849999999988</v>
      </c>
      <c r="W709">
        <f t="shared" si="33"/>
        <v>-3302.3350000000009</v>
      </c>
      <c r="X709">
        <f t="shared" si="34"/>
        <v>0.3028688566180574</v>
      </c>
      <c r="Y709" t="str">
        <f>_xlfn.TEXTJOIN(", ",TRUE,IF(G709="Unknown","Missing Region",""),IF(M709="Unknown","Missing Ship Mode",""),IF(P709&lt;0,"Negative Discount",""),IF(P709&gt;0.7,"High Discount",""),IF(C709&lt;B709,"Ship Before Order",""))</f>
        <v>Ship Before Order</v>
      </c>
      <c r="Z709" s="2">
        <f>IFERROR(
  IF(ISNUMBER(B709),B709,
    IF(ISNUMBER(SEARCH("-",B709)*1),
      IF(LEN(LEFT(B709,FIND("-",B709)-1))=4,
        DATE(VALUE(LEFT(B709,4)),VALUE(MID(B709,6,2)),VALUE(RIGHT(B709,2))),
        DATE(VALUE(RIGHT(B709,4)),VALUE(MID(B709,4,2)),VALUE(LEFT(B709,2)))
      ),
      IF(ISNUMBER(SEARCH("/",B709)*1),
        DATE(VALUE(RIGHT(B709,4)),VALUE(LEFT(B709,2)),VALUE(MID(B709,4,2))),
        DATEVALUE(B709)
      )
    )
  ),
"INVALID_DATE")</f>
        <v>45832</v>
      </c>
      <c r="AA709" s="2">
        <f>IFERROR(
  IF(ISNUMBER(C709),C709,
    IF(ISNUMBER(SEARCH("-",C709)*1),
      IF(LEN(LEFT(C709,FIND("-",C709)-1))=4,
        DATE(VALUE(LEFT(C709,4)),VALUE(MID(C709,6,2)),VALUE(RIGHT(C709,2))),
        DATE(VALUE(RIGHT(C709,4)),VALUE(MID(C709,4,2)),VALUE(LEFT(C709,2)))
      ),
      IF(ISNUMBER(SEARCH("/",C709)*1),
        DATE(VALUE(RIGHT(C709,4)),VALUE(LEFT(C709,2)),VALUE(MID(C709,4,2))),
        DATEVALUE(C709)
      )
    )
  ),
"INVALID_DATE")</f>
        <v>45834</v>
      </c>
      <c r="AB709">
        <f>AA709-Z709</f>
        <v>2</v>
      </c>
      <c r="AC709" t="str">
        <f>TEXT(Z709,"mmmm")</f>
        <v>June</v>
      </c>
      <c r="AD709">
        <f>YEAR(Z709)</f>
        <v>2025</v>
      </c>
      <c r="AE709" t="str">
        <f t="shared" si="35"/>
        <v>OK</v>
      </c>
    </row>
    <row r="710" spans="1:31">
      <c r="A710" t="s">
        <v>3321</v>
      </c>
      <c r="B710" t="s">
        <v>3322</v>
      </c>
      <c r="C710" t="s">
        <v>3323</v>
      </c>
      <c r="D710" t="s">
        <v>3324</v>
      </c>
      <c r="E710" t="s">
        <v>175</v>
      </c>
      <c r="F710" t="s">
        <v>33</v>
      </c>
      <c r="G710" t="s">
        <v>49</v>
      </c>
      <c r="H710" t="s">
        <v>223</v>
      </c>
      <c r="I710" t="s">
        <v>224</v>
      </c>
      <c r="J710" t="s">
        <v>52</v>
      </c>
      <c r="K710" t="s">
        <v>211</v>
      </c>
      <c r="L710" t="s">
        <v>3325</v>
      </c>
      <c r="M710" t="s">
        <v>63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41</v>
      </c>
      <c r="U710" t="s">
        <v>42</v>
      </c>
      <c r="V710">
        <f>O710*(1-P710)*N710</f>
        <v>16559.108</v>
      </c>
      <c r="W710">
        <f t="shared" si="33"/>
        <v>3325.3179999999993</v>
      </c>
      <c r="X710">
        <f t="shared" si="34"/>
        <v>0.20081514042723311</v>
      </c>
      <c r="Y710" t="s">
        <v>4120</v>
      </c>
      <c r="Z710" s="2">
        <f>IFERROR(
  IF(ISNUMBER(B710),B710,
    IF(ISNUMBER(SEARCH("-",B710)*1),
      IF(LEN(LEFT(B710,FIND("-",B710)-1))=4,
        DATE(VALUE(LEFT(B710,4)),VALUE(MID(B710,6,2)),VALUE(RIGHT(B710,2))),
        DATE(VALUE(RIGHT(B710,4)),VALUE(MID(B710,4,2)),VALUE(LEFT(B710,2)))
      ),
      IF(ISNUMBER(SEARCH("/",B710)*1),
        DATE(VALUE(RIGHT(B710,4)),VALUE(LEFT(B710,2)),VALUE(MID(B710,4,2))),
        DATEVALUE(B710)
      )
    )
  ),
"INVALID_DATE")</f>
        <v>45736</v>
      </c>
      <c r="AA710" s="2">
        <f>IFERROR(
  IF(ISNUMBER(C710),C710,
    IF(ISNUMBER(SEARCH("-",C710)*1),
      IF(LEN(LEFT(C710,FIND("-",C710)-1))=4,
        DATE(VALUE(LEFT(C710,4)),VALUE(MID(C710,6,2)),VALUE(RIGHT(C710,2))),
        DATE(VALUE(RIGHT(C710,4)),VALUE(MID(C710,4,2)),VALUE(LEFT(C710,2)))
      ),
      IF(ISNUMBER(SEARCH("/",C710)*1),
        DATE(VALUE(RIGHT(C710,4)),VALUE(LEFT(C710,2)),VALUE(MID(C710,4,2))),
        DATEVALUE(C710)
      )
    )
  ),
"INVALID_DATE")</f>
        <v>45742</v>
      </c>
      <c r="AB710">
        <f>AA710-Z710</f>
        <v>6</v>
      </c>
      <c r="AC710" t="str">
        <f>TEXT(Z710,"mmmm")</f>
        <v>March</v>
      </c>
      <c r="AD710">
        <f>YEAR(Z710)</f>
        <v>2025</v>
      </c>
      <c r="AE710" t="str">
        <f t="shared" si="35"/>
        <v>OK</v>
      </c>
    </row>
    <row r="711" spans="1:31">
      <c r="A711" t="s">
        <v>3326</v>
      </c>
      <c r="B711" t="s">
        <v>202</v>
      </c>
      <c r="C711" t="s">
        <v>191</v>
      </c>
      <c r="D711" t="s">
        <v>3327</v>
      </c>
      <c r="E711" t="s">
        <v>374</v>
      </c>
      <c r="F711" t="s">
        <v>122</v>
      </c>
      <c r="G711" t="s">
        <v>34</v>
      </c>
      <c r="H711" t="s">
        <v>161</v>
      </c>
      <c r="I711" t="s">
        <v>162</v>
      </c>
      <c r="J711" t="s">
        <v>93</v>
      </c>
      <c r="K711" t="s">
        <v>230</v>
      </c>
      <c r="L711" t="s">
        <v>3328</v>
      </c>
      <c r="M711" t="s">
        <v>55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41</v>
      </c>
      <c r="U711" t="s">
        <v>85</v>
      </c>
      <c r="V711">
        <f>O711*(1-P711)*N711</f>
        <v>8110.0879999999988</v>
      </c>
      <c r="W711">
        <f t="shared" si="33"/>
        <v>1692.7679999999991</v>
      </c>
      <c r="X711">
        <f t="shared" si="34"/>
        <v>0.20872394757641408</v>
      </c>
      <c r="Y711" t="s">
        <v>4120</v>
      </c>
      <c r="Z711" s="2">
        <f>IFERROR(
  IF(ISNUMBER(B711),B711,
    IF(ISNUMBER(SEARCH("-",B711)*1),
      IF(LEN(LEFT(B711,FIND("-",B711)-1))=4,
        DATE(VALUE(LEFT(B711,4)),VALUE(MID(B711,6,2)),VALUE(RIGHT(B711,2))),
        DATE(VALUE(RIGHT(B711,4)),VALUE(MID(B711,4,2)),VALUE(LEFT(B711,2)))
      ),
      IF(ISNUMBER(SEARCH("/",B711)*1),
        DATE(VALUE(RIGHT(B711,4)),VALUE(LEFT(B711,2)),VALUE(MID(B711,4,2))),
        DATEVALUE(B711)
      )
    )
  ),
"INVALID_DATE")</f>
        <v>45676</v>
      </c>
      <c r="AA711" s="2">
        <f>IFERROR(
  IF(ISNUMBER(C711),C711,
    IF(ISNUMBER(SEARCH("-",C711)*1),
      IF(LEN(LEFT(C711,FIND("-",C711)-1))=4,
        DATE(VALUE(LEFT(C711,4)),VALUE(MID(C711,6,2)),VALUE(RIGHT(C711,2))),
        DATE(VALUE(RIGHT(C711,4)),VALUE(MID(C711,4,2)),VALUE(LEFT(C711,2)))
      ),
      IF(ISNUMBER(SEARCH("/",C711)*1),
        DATE(VALUE(RIGHT(C711,4)),VALUE(LEFT(C711,2)),VALUE(MID(C711,4,2))),
        DATEVALUE(C711)
      )
    )
  ),
"INVALID_DATE")</f>
        <v>45680</v>
      </c>
      <c r="AB711">
        <f>AA711-Z711</f>
        <v>4</v>
      </c>
      <c r="AC711" t="str">
        <f>TEXT(Z711,"mmmm")</f>
        <v>January</v>
      </c>
      <c r="AD711">
        <f>YEAR(Z711)</f>
        <v>2025</v>
      </c>
      <c r="AE711" t="str">
        <f t="shared" si="35"/>
        <v>OK</v>
      </c>
    </row>
    <row r="712" spans="1:31">
      <c r="A712" t="s">
        <v>3329</v>
      </c>
      <c r="B712" t="s">
        <v>3330</v>
      </c>
      <c r="C712" t="s">
        <v>3331</v>
      </c>
      <c r="D712" t="s">
        <v>3332</v>
      </c>
      <c r="E712" t="s">
        <v>90</v>
      </c>
      <c r="F712" t="s">
        <v>115</v>
      </c>
      <c r="G712" t="s">
        <v>34</v>
      </c>
      <c r="H712" t="s">
        <v>161</v>
      </c>
      <c r="I712" t="s">
        <v>162</v>
      </c>
      <c r="J712" t="s">
        <v>37</v>
      </c>
      <c r="K712" t="s">
        <v>61</v>
      </c>
      <c r="L712" t="s">
        <v>3333</v>
      </c>
      <c r="M712" t="s">
        <v>40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41</v>
      </c>
      <c r="U712" t="s">
        <v>42</v>
      </c>
      <c r="V712">
        <f>O712*(1-P712)*N712</f>
        <v>7406.01</v>
      </c>
      <c r="W712">
        <f t="shared" si="33"/>
        <v>1464.2700000000004</v>
      </c>
      <c r="X712">
        <f t="shared" si="34"/>
        <v>0.19771374869869199</v>
      </c>
      <c r="Y712" t="s">
        <v>4120</v>
      </c>
      <c r="Z712" s="2">
        <f>IFERROR(
  IF(ISNUMBER(B712),B712,
    IF(ISNUMBER(SEARCH("-",B712)*1),
      IF(LEN(LEFT(B712,FIND("-",B712)-1))=4,
        DATE(VALUE(LEFT(B712,4)),VALUE(MID(B712,6,2)),VALUE(RIGHT(B712,2))),
        DATE(VALUE(RIGHT(B712,4)),VALUE(MID(B712,4,2)),VALUE(LEFT(B712,2)))
      ),
      IF(ISNUMBER(SEARCH("/",B712)*1),
        DATE(VALUE(RIGHT(B712,4)),VALUE(LEFT(B712,2)),VALUE(MID(B712,4,2))),
        DATEVALUE(B712)
      )
    )
  ),
"INVALID_DATE")</f>
        <v>45485</v>
      </c>
      <c r="AA712" s="2">
        <f>IFERROR(
  IF(ISNUMBER(C712),C712,
    IF(ISNUMBER(SEARCH("-",C712)*1),
      IF(LEN(LEFT(C712,FIND("-",C712)-1))=4,
        DATE(VALUE(LEFT(C712,4)),VALUE(MID(C712,6,2)),VALUE(RIGHT(C712,2))),
        DATE(VALUE(RIGHT(C712,4)),VALUE(MID(C712,4,2)),VALUE(LEFT(C712,2)))
      ),
      IF(ISNUMBER(SEARCH("/",C712)*1),
        DATE(VALUE(RIGHT(C712,4)),VALUE(LEFT(C712,2)),VALUE(MID(C712,4,2))),
        DATEVALUE(C712)
      )
    )
  ),
"INVALID_DATE")</f>
        <v>45492</v>
      </c>
      <c r="AB712">
        <f>AA712-Z712</f>
        <v>7</v>
      </c>
      <c r="AC712" t="str">
        <f>TEXT(Z712,"mmmm")</f>
        <v>July</v>
      </c>
      <c r="AD712">
        <f>YEAR(Z712)</f>
        <v>2024</v>
      </c>
      <c r="AE712" t="str">
        <f t="shared" si="35"/>
        <v>OK</v>
      </c>
    </row>
    <row r="713" spans="1:31">
      <c r="A713" t="s">
        <v>3334</v>
      </c>
      <c r="B713" t="s">
        <v>3335</v>
      </c>
      <c r="C713" t="s">
        <v>3297</v>
      </c>
      <c r="D713" t="s">
        <v>3336</v>
      </c>
      <c r="E713" t="s">
        <v>374</v>
      </c>
      <c r="F713" t="s">
        <v>115</v>
      </c>
      <c r="G713" t="s">
        <v>49</v>
      </c>
      <c r="H713" t="s">
        <v>128</v>
      </c>
      <c r="I713" t="s">
        <v>129</v>
      </c>
      <c r="J713" t="s">
        <v>93</v>
      </c>
      <c r="K713" t="s">
        <v>390</v>
      </c>
      <c r="L713" t="s">
        <v>3337</v>
      </c>
      <c r="M713" t="s">
        <v>63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144</v>
      </c>
      <c r="U713" t="s">
        <v>132</v>
      </c>
      <c r="V713">
        <f>O713*(1-P713)*N713</f>
        <v>4110.4124999999995</v>
      </c>
      <c r="W713">
        <f t="shared" si="33"/>
        <v>1716.2724999999996</v>
      </c>
      <c r="X713">
        <f t="shared" si="34"/>
        <v>0.41754228896874035</v>
      </c>
      <c r="Y713" t="s">
        <v>4120</v>
      </c>
      <c r="Z713" s="2">
        <f>IFERROR(
  IF(ISNUMBER(B713),B713,
    IF(ISNUMBER(SEARCH("-",B713)*1),
      IF(LEN(LEFT(B713,FIND("-",B713)-1))=4,
        DATE(VALUE(LEFT(B713,4)),VALUE(MID(B713,6,2)),VALUE(RIGHT(B713,2))),
        DATE(VALUE(RIGHT(B713,4)),VALUE(MID(B713,4,2)),VALUE(LEFT(B713,2)))
      ),
      IF(ISNUMBER(SEARCH("/",B713)*1),
        DATE(VALUE(RIGHT(B713,4)),VALUE(LEFT(B713,2)),VALUE(MID(B713,4,2))),
        DATEVALUE(B713)
      )
    )
  ),
"INVALID_DATE")</f>
        <v>45690</v>
      </c>
      <c r="AA713" s="2">
        <f>IFERROR(
  IF(ISNUMBER(C713),C713,
    IF(ISNUMBER(SEARCH("-",C713)*1),
      IF(LEN(LEFT(C713,FIND("-",C713)-1))=4,
        DATE(VALUE(LEFT(C713,4)),VALUE(MID(C713,6,2)),VALUE(RIGHT(C713,2))),
        DATE(VALUE(RIGHT(C713,4)),VALUE(MID(C713,4,2)),VALUE(LEFT(C713,2)))
      ),
      IF(ISNUMBER(SEARCH("/",C713)*1),
        DATE(VALUE(RIGHT(C713,4)),VALUE(LEFT(C713,2)),VALUE(MID(C713,4,2))),
        DATEVALUE(C713)
      )
    )
  ),
"INVALID_DATE")</f>
        <v>45690</v>
      </c>
      <c r="AB713">
        <f>AA713-Z713</f>
        <v>0</v>
      </c>
      <c r="AC713" t="str">
        <f>TEXT(Z713,"mmmm")</f>
        <v>February</v>
      </c>
      <c r="AD713">
        <f>YEAR(Z713)</f>
        <v>2025</v>
      </c>
      <c r="AE713" t="str">
        <f t="shared" si="35"/>
        <v>OK</v>
      </c>
    </row>
    <row r="714" spans="1:31">
      <c r="A714" t="s">
        <v>3338</v>
      </c>
      <c r="B714" t="s">
        <v>2137</v>
      </c>
      <c r="C714" t="s">
        <v>3339</v>
      </c>
      <c r="D714" t="s">
        <v>3340</v>
      </c>
      <c r="E714" t="s">
        <v>60</v>
      </c>
      <c r="F714" t="s">
        <v>122</v>
      </c>
      <c r="G714" t="s">
        <v>80</v>
      </c>
      <c r="H714" t="s">
        <v>91</v>
      </c>
      <c r="I714" t="s">
        <v>92</v>
      </c>
      <c r="J714" t="s">
        <v>52</v>
      </c>
      <c r="K714" t="s">
        <v>83</v>
      </c>
      <c r="L714" t="s">
        <v>3341</v>
      </c>
      <c r="M714" t="s">
        <v>63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41</v>
      </c>
      <c r="U714" t="s">
        <v>42</v>
      </c>
      <c r="V714">
        <f>O714*(1-P714)*N714</f>
        <v>9680.0199999999986</v>
      </c>
      <c r="W714">
        <f t="shared" si="33"/>
        <v>2803.3599999999988</v>
      </c>
      <c r="X714">
        <f t="shared" si="34"/>
        <v>0.28960270743242267</v>
      </c>
      <c r="Y714" t="s">
        <v>4120</v>
      </c>
      <c r="Z714" s="2">
        <f>IFERROR(
  IF(ISNUMBER(B714),B714,
    IF(ISNUMBER(SEARCH("-",B714)*1),
      IF(LEN(LEFT(B714,FIND("-",B714)-1))=4,
        DATE(VALUE(LEFT(B714,4)),VALUE(MID(B714,6,2)),VALUE(RIGHT(B714,2))),
        DATE(VALUE(RIGHT(B714,4)),VALUE(MID(B714,4,2)),VALUE(LEFT(B714,2)))
      ),
      IF(ISNUMBER(SEARCH("/",B714)*1),
        DATE(VALUE(RIGHT(B714,4)),VALUE(LEFT(B714,2)),VALUE(MID(B714,4,2))),
        DATEVALUE(B714)
      )
    )
  ),
"INVALID_DATE")</f>
        <v>45332</v>
      </c>
      <c r="AA714" s="2">
        <f>IFERROR(
  IF(ISNUMBER(C714),C714,
    IF(ISNUMBER(SEARCH("-",C714)*1),
      IF(LEN(LEFT(C714,FIND("-",C714)-1))=4,
        DATE(VALUE(LEFT(C714,4)),VALUE(MID(C714,6,2)),VALUE(RIGHT(C714,2))),
        DATE(VALUE(RIGHT(C714,4)),VALUE(MID(C714,4,2)),VALUE(LEFT(C714,2)))
      ),
      IF(ISNUMBER(SEARCH("/",C714)*1),
        DATE(VALUE(RIGHT(C714,4)),VALUE(LEFT(C714,2)),VALUE(MID(C714,4,2))),
        DATEVALUE(C714)
      )
    )
  ),
"INVALID_DATE")</f>
        <v>45340</v>
      </c>
      <c r="AB714">
        <f>AA714-Z714</f>
        <v>8</v>
      </c>
      <c r="AC714" t="str">
        <f>TEXT(Z714,"mmmm")</f>
        <v>February</v>
      </c>
      <c r="AD714">
        <f>YEAR(Z714)</f>
        <v>2024</v>
      </c>
      <c r="AE714" t="str">
        <f t="shared" si="35"/>
        <v>OK</v>
      </c>
    </row>
    <row r="715" spans="1:31">
      <c r="A715" t="s">
        <v>3342</v>
      </c>
      <c r="B715" t="s">
        <v>3343</v>
      </c>
      <c r="C715" t="s">
        <v>3190</v>
      </c>
      <c r="D715" t="s">
        <v>911</v>
      </c>
      <c r="E715" t="s">
        <v>47</v>
      </c>
      <c r="F715" t="s">
        <v>33</v>
      </c>
      <c r="G715" t="s">
        <v>80</v>
      </c>
      <c r="H715" t="s">
        <v>35</v>
      </c>
      <c r="I715" t="s">
        <v>142</v>
      </c>
      <c r="J715" t="s">
        <v>93</v>
      </c>
      <c r="K715" t="s">
        <v>390</v>
      </c>
      <c r="L715" t="s">
        <v>3344</v>
      </c>
      <c r="M715" t="s">
        <v>40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41</v>
      </c>
      <c r="U715" t="s">
        <v>42</v>
      </c>
      <c r="V715">
        <f>O715*(1-P715)*N715</f>
        <v>217.47750000000002</v>
      </c>
      <c r="W715">
        <f t="shared" si="33"/>
        <v>85.347500000000025</v>
      </c>
      <c r="X715">
        <f t="shared" si="34"/>
        <v>0.39244988044877688</v>
      </c>
      <c r="Y715" t="s">
        <v>4120</v>
      </c>
      <c r="Z715" s="2">
        <f>IFERROR(
  IF(ISNUMBER(B715),B715,
    IF(ISNUMBER(SEARCH("-",B715)*1),
      IF(LEN(LEFT(B715,FIND("-",B715)-1))=4,
        DATE(VALUE(LEFT(B715,4)),VALUE(MID(B715,6,2)),VALUE(RIGHT(B715,2))),
        DATE(VALUE(RIGHT(B715,4)),VALUE(MID(B715,4,2)),VALUE(LEFT(B715,2)))
      ),
      IF(ISNUMBER(SEARCH("/",B715)*1),
        DATE(VALUE(RIGHT(B715,4)),VALUE(LEFT(B715,2)),VALUE(MID(B715,4,2))),
        DATEVALUE(B715)
      )
    )
  ),
"INVALID_DATE")</f>
        <v>45814</v>
      </c>
      <c r="AA715" s="2">
        <f>IFERROR(
  IF(ISNUMBER(C715),C715,
    IF(ISNUMBER(SEARCH("-",C715)*1),
      IF(LEN(LEFT(C715,FIND("-",C715)-1))=4,
        DATE(VALUE(LEFT(C715,4)),VALUE(MID(C715,6,2)),VALUE(RIGHT(C715,2))),
        DATE(VALUE(RIGHT(C715,4)),VALUE(MID(C715,4,2)),VALUE(LEFT(C715,2)))
      ),
      IF(ISNUMBER(SEARCH("/",C715)*1),
        DATE(VALUE(RIGHT(C715,4)),VALUE(LEFT(C715,2)),VALUE(MID(C715,4,2))),
        DATEVALUE(C715)
      )
    )
  ),
"INVALID_DATE")</f>
        <v>45818</v>
      </c>
      <c r="AB715">
        <f>AA715-Z715</f>
        <v>4</v>
      </c>
      <c r="AC715" t="str">
        <f>TEXT(Z715,"mmmm")</f>
        <v>June</v>
      </c>
      <c r="AD715">
        <f>YEAR(Z715)</f>
        <v>2025</v>
      </c>
      <c r="AE715" t="str">
        <f t="shared" si="35"/>
        <v>OK</v>
      </c>
    </row>
    <row r="716" spans="1:31">
      <c r="A716" t="s">
        <v>3345</v>
      </c>
      <c r="B716" t="s">
        <v>2123</v>
      </c>
      <c r="C716" t="s">
        <v>2239</v>
      </c>
      <c r="D716" t="s">
        <v>3346</v>
      </c>
      <c r="E716" t="s">
        <v>32</v>
      </c>
      <c r="F716" t="s">
        <v>122</v>
      </c>
      <c r="G716" t="s">
        <v>34</v>
      </c>
      <c r="H716" t="s">
        <v>514</v>
      </c>
      <c r="I716" t="s">
        <v>515</v>
      </c>
      <c r="J716" t="s">
        <v>93</v>
      </c>
      <c r="K716" t="s">
        <v>101</v>
      </c>
      <c r="L716" t="s">
        <v>3347</v>
      </c>
      <c r="M716" t="s">
        <v>74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41</v>
      </c>
      <c r="U716" t="s">
        <v>42</v>
      </c>
      <c r="V716">
        <f>O716*(1-P716)*N716</f>
        <v>18675.18</v>
      </c>
      <c r="W716">
        <f t="shared" si="33"/>
        <v>4700.4799999999996</v>
      </c>
      <c r="X716">
        <f t="shared" si="34"/>
        <v>0.25169663692665878</v>
      </c>
      <c r="Y716" t="str">
        <f>_xlfn.TEXTJOIN(", ",TRUE,IF(G716="Unknown","Missing Region",""),IF(M716="Unknown","Missing Ship Mode",""),IF(P716&lt;0,"Negative Discount",""),IF(P716&gt;0.7,"High Discount",""),IF(C716&lt;B716,"Ship Before Order",""))</f>
        <v>Ship Before Order</v>
      </c>
      <c r="Z716" s="2">
        <f>IFERROR(
  IF(ISNUMBER(B716),B716,
    IF(ISNUMBER(SEARCH("-",B716)*1),
      IF(LEN(LEFT(B716,FIND("-",B716)-1))=4,
        DATE(VALUE(LEFT(B716,4)),VALUE(MID(B716,6,2)),VALUE(RIGHT(B716,2))),
        DATE(VALUE(RIGHT(B716,4)),VALUE(MID(B716,4,2)),VALUE(LEFT(B716,2)))
      ),
      IF(ISNUMBER(SEARCH("/",B716)*1),
        DATE(VALUE(RIGHT(B716,4)),VALUE(LEFT(B716,2)),VALUE(MID(B716,4,2))),
        DATEVALUE(B716)
      )
    )
  ),
"INVALID_DATE")</f>
        <v>45738</v>
      </c>
      <c r="AA716" s="2">
        <f>IFERROR(
  IF(ISNUMBER(C716),C716,
    IF(ISNUMBER(SEARCH("-",C716)*1),
      IF(LEN(LEFT(C716,FIND("-",C716)-1))=4,
        DATE(VALUE(LEFT(C716,4)),VALUE(MID(C716,6,2)),VALUE(RIGHT(C716,2))),
        DATE(VALUE(RIGHT(C716,4)),VALUE(MID(C716,4,2)),VALUE(LEFT(C716,2)))
      ),
      IF(ISNUMBER(SEARCH("/",C716)*1),
        DATE(VALUE(RIGHT(C716,4)),VALUE(LEFT(C716,2)),VALUE(MID(C716,4,2))),
        DATEVALUE(C716)
      )
    )
  ),
"INVALID_DATE")</f>
        <v>45739</v>
      </c>
      <c r="AB716">
        <f>AA716-Z716</f>
        <v>1</v>
      </c>
      <c r="AC716" t="str">
        <f>TEXT(Z716,"mmmm")</f>
        <v>March</v>
      </c>
      <c r="AD716">
        <f>YEAR(Z716)</f>
        <v>2025</v>
      </c>
      <c r="AE716" t="str">
        <f t="shared" si="35"/>
        <v>OK</v>
      </c>
    </row>
    <row r="717" spans="1:31">
      <c r="A717" t="s">
        <v>3348</v>
      </c>
      <c r="B717" t="s">
        <v>462</v>
      </c>
      <c r="C717" t="s">
        <v>463</v>
      </c>
      <c r="D717" t="s">
        <v>3349</v>
      </c>
      <c r="E717" t="s">
        <v>149</v>
      </c>
      <c r="F717" t="s">
        <v>33</v>
      </c>
      <c r="G717" t="s">
        <v>34</v>
      </c>
      <c r="H717" t="s">
        <v>331</v>
      </c>
      <c r="I717" t="s">
        <v>332</v>
      </c>
      <c r="J717" t="s">
        <v>52</v>
      </c>
      <c r="K717" t="s">
        <v>83</v>
      </c>
      <c r="L717" t="s">
        <v>3350</v>
      </c>
      <c r="M717" t="s">
        <v>40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131</v>
      </c>
      <c r="U717" t="s">
        <v>85</v>
      </c>
      <c r="V717">
        <f>O717*(1-P717)*N717</f>
        <v>19901.63</v>
      </c>
      <c r="W717">
        <f t="shared" si="33"/>
        <v>4409.6000000000004</v>
      </c>
      <c r="X717">
        <f t="shared" si="34"/>
        <v>0.22156979101711771</v>
      </c>
      <c r="Y717" t="s">
        <v>4120</v>
      </c>
      <c r="Z717" s="2">
        <f>IFERROR(
  IF(ISNUMBER(B717),B717,
    IF(ISNUMBER(SEARCH("-",B717)*1),
      IF(LEN(LEFT(B717,FIND("-",B717)-1))=4,
        DATE(VALUE(LEFT(B717,4)),VALUE(MID(B717,6,2)),VALUE(RIGHT(B717,2))),
        DATE(VALUE(RIGHT(B717,4)),VALUE(MID(B717,4,2)),VALUE(LEFT(B717,2)))
      ),
      IF(ISNUMBER(SEARCH("/",B717)*1),
        DATE(VALUE(RIGHT(B717,4)),VALUE(LEFT(B717,2)),VALUE(MID(B717,4,2))),
        DATEVALUE(B717)
      )
    )
  ),
"INVALID_DATE")</f>
        <v>45891</v>
      </c>
      <c r="AA717" s="2">
        <f>IFERROR(
  IF(ISNUMBER(C717),C717,
    IF(ISNUMBER(SEARCH("-",C717)*1),
      IF(LEN(LEFT(C717,FIND("-",C717)-1))=4,
        DATE(VALUE(LEFT(C717,4)),VALUE(MID(C717,6,2)),VALUE(RIGHT(C717,2))),
        DATE(VALUE(RIGHT(C717,4)),VALUE(MID(C717,4,2)),VALUE(LEFT(C717,2)))
      ),
      IF(ISNUMBER(SEARCH("/",C717)*1),
        DATE(VALUE(RIGHT(C717,4)),VALUE(LEFT(C717,2)),VALUE(MID(C717,4,2))),
        DATEVALUE(C717)
      )
    )
  ),
"INVALID_DATE")</f>
        <v>45896</v>
      </c>
      <c r="AB717">
        <f>AA717-Z717</f>
        <v>5</v>
      </c>
      <c r="AC717" t="str">
        <f>TEXT(Z717,"mmmm")</f>
        <v>August</v>
      </c>
      <c r="AD717">
        <f>YEAR(Z717)</f>
        <v>2025</v>
      </c>
      <c r="AE717" t="str">
        <f t="shared" si="35"/>
        <v>OK</v>
      </c>
    </row>
    <row r="718" spans="1:31">
      <c r="A718" t="s">
        <v>3351</v>
      </c>
      <c r="B718" t="s">
        <v>3352</v>
      </c>
      <c r="C718" t="s">
        <v>209</v>
      </c>
      <c r="D718" t="s">
        <v>3353</v>
      </c>
      <c r="E718" t="s">
        <v>217</v>
      </c>
      <c r="F718" t="s">
        <v>48</v>
      </c>
      <c r="G718" t="s">
        <v>34</v>
      </c>
      <c r="H718" t="s">
        <v>331</v>
      </c>
      <c r="I718" t="s">
        <v>332</v>
      </c>
      <c r="J718" t="s">
        <v>93</v>
      </c>
      <c r="K718" t="s">
        <v>230</v>
      </c>
      <c r="L718" t="s">
        <v>3354</v>
      </c>
      <c r="M718" t="s">
        <v>63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41</v>
      </c>
      <c r="U718" t="s">
        <v>42</v>
      </c>
      <c r="V718">
        <f>O718*(1-P718)*N718</f>
        <v>2879.817</v>
      </c>
      <c r="W718">
        <f t="shared" si="33"/>
        <v>1054.9369999999999</v>
      </c>
      <c r="X718">
        <f t="shared" si="34"/>
        <v>0.36632150620524895</v>
      </c>
      <c r="Y718" t="s">
        <v>4120</v>
      </c>
      <c r="Z718" s="2">
        <f>IFERROR(
  IF(ISNUMBER(B718),B718,
    IF(ISNUMBER(SEARCH("-",B718)*1),
      IF(LEN(LEFT(B718,FIND("-",B718)-1))=4,
        DATE(VALUE(LEFT(B718,4)),VALUE(MID(B718,6,2)),VALUE(RIGHT(B718,2))),
        DATE(VALUE(RIGHT(B718,4)),VALUE(MID(B718,4,2)),VALUE(LEFT(B718,2)))
      ),
      IF(ISNUMBER(SEARCH("/",B718)*1),
        DATE(VALUE(RIGHT(B718,4)),VALUE(LEFT(B718,2)),VALUE(MID(B718,4,2))),
        DATEVALUE(B718)
      )
    )
  ),
"INVALID_DATE")</f>
        <v>45895</v>
      </c>
      <c r="AA718" s="2">
        <f>IFERROR(
  IF(ISNUMBER(C718),C718,
    IF(ISNUMBER(SEARCH("-",C718)*1),
      IF(LEN(LEFT(C718,FIND("-",C718)-1))=4,
        DATE(VALUE(LEFT(C718,4)),VALUE(MID(C718,6,2)),VALUE(RIGHT(C718,2))),
        DATE(VALUE(RIGHT(C718,4)),VALUE(MID(C718,4,2)),VALUE(LEFT(C718,2)))
      ),
      IF(ISNUMBER(SEARCH("/",C718)*1),
        DATE(VALUE(RIGHT(C718,4)),VALUE(LEFT(C718,2)),VALUE(MID(C718,4,2))),
        DATEVALUE(C718)
      )
    )
  ),
"INVALID_DATE")</f>
        <v>45900</v>
      </c>
      <c r="AB718">
        <f>AA718-Z718</f>
        <v>5</v>
      </c>
      <c r="AC718" t="str">
        <f>TEXT(Z718,"mmmm")</f>
        <v>August</v>
      </c>
      <c r="AD718">
        <f>YEAR(Z718)</f>
        <v>2025</v>
      </c>
      <c r="AE718" t="str">
        <f t="shared" si="35"/>
        <v>OK</v>
      </c>
    </row>
    <row r="719" spans="1:31">
      <c r="A719" t="s">
        <v>3355</v>
      </c>
      <c r="B719" t="s">
        <v>3356</v>
      </c>
      <c r="C719" t="s">
        <v>317</v>
      </c>
      <c r="D719" t="s">
        <v>3357</v>
      </c>
      <c r="E719" t="s">
        <v>374</v>
      </c>
      <c r="F719" t="s">
        <v>48</v>
      </c>
      <c r="G719" t="s">
        <v>34</v>
      </c>
      <c r="H719" t="s">
        <v>331</v>
      </c>
      <c r="I719" t="s">
        <v>332</v>
      </c>
      <c r="J719" t="s">
        <v>93</v>
      </c>
      <c r="K719" t="s">
        <v>390</v>
      </c>
      <c r="L719" t="s">
        <v>3358</v>
      </c>
      <c r="M719" t="s">
        <v>74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144</v>
      </c>
      <c r="U719" t="s">
        <v>85</v>
      </c>
      <c r="V719">
        <f>O719*(1-P719)*N719</f>
        <v>18712.223999999998</v>
      </c>
      <c r="W719">
        <f t="shared" si="33"/>
        <v>6860.003999999999</v>
      </c>
      <c r="X719">
        <f t="shared" si="34"/>
        <v>0.36660535201061123</v>
      </c>
      <c r="Y719" t="s">
        <v>4120</v>
      </c>
      <c r="Z719" s="2">
        <f>IFERROR(
  IF(ISNUMBER(B719),B719,
    IF(ISNUMBER(SEARCH("-",B719)*1),
      IF(LEN(LEFT(B719,FIND("-",B719)-1))=4,
        DATE(VALUE(LEFT(B719,4)),VALUE(MID(B719,6,2)),VALUE(RIGHT(B719,2))),
        DATE(VALUE(RIGHT(B719,4)),VALUE(MID(B719,4,2)),VALUE(LEFT(B719,2)))
      ),
      IF(ISNUMBER(SEARCH("/",B719)*1),
        DATE(VALUE(RIGHT(B719,4)),VALUE(LEFT(B719,2)),VALUE(MID(B719,4,2))),
        DATEVALUE(B719)
      )
    )
  ),
"INVALID_DATE")</f>
        <v>45942</v>
      </c>
      <c r="AA719" s="2">
        <f>IFERROR(
  IF(ISNUMBER(C719),C719,
    IF(ISNUMBER(SEARCH("-",C719)*1),
      IF(LEN(LEFT(C719,FIND("-",C719)-1))=4,
        DATE(VALUE(LEFT(C719,4)),VALUE(MID(C719,6,2)),VALUE(RIGHT(C719,2))),
        DATE(VALUE(RIGHT(C719,4)),VALUE(MID(C719,4,2)),VALUE(LEFT(C719,2)))
      ),
      IF(ISNUMBER(SEARCH("/",C719)*1),
        DATE(VALUE(RIGHT(C719,4)),VALUE(LEFT(C719,2)),VALUE(MID(C719,4,2))),
        DATEVALUE(C719)
      )
    )
  ),
"INVALID_DATE")</f>
        <v>45945</v>
      </c>
      <c r="AB719">
        <f>AA719-Z719</f>
        <v>3</v>
      </c>
      <c r="AC719" t="str">
        <f>TEXT(Z719,"mmmm")</f>
        <v>October</v>
      </c>
      <c r="AD719">
        <f>YEAR(Z719)</f>
        <v>2025</v>
      </c>
      <c r="AE719" t="str">
        <f t="shared" si="35"/>
        <v>OK</v>
      </c>
    </row>
    <row r="720" spans="1:31">
      <c r="A720" t="s">
        <v>3359</v>
      </c>
      <c r="B720" t="s">
        <v>3360</v>
      </c>
      <c r="C720" t="s">
        <v>884</v>
      </c>
      <c r="D720" t="s">
        <v>3361</v>
      </c>
      <c r="E720" t="s">
        <v>47</v>
      </c>
      <c r="F720" t="s">
        <v>33</v>
      </c>
      <c r="G720" t="s">
        <v>80</v>
      </c>
      <c r="H720" t="s">
        <v>81</v>
      </c>
      <c r="I720" t="s">
        <v>82</v>
      </c>
      <c r="J720" t="s">
        <v>37</v>
      </c>
      <c r="K720" t="s">
        <v>61</v>
      </c>
      <c r="L720" t="s">
        <v>3362</v>
      </c>
      <c r="M720" t="s">
        <v>55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41</v>
      </c>
      <c r="U720" t="s">
        <v>42</v>
      </c>
      <c r="V720">
        <f>O720*(1-P720)*N720</f>
        <v>4733.4480000000003</v>
      </c>
      <c r="W720">
        <f t="shared" si="33"/>
        <v>1061.1280000000002</v>
      </c>
      <c r="X720">
        <f t="shared" si="34"/>
        <v>0.22417686887999241</v>
      </c>
      <c r="Y720" t="s">
        <v>4120</v>
      </c>
      <c r="Z720" s="2">
        <f>IFERROR(
  IF(ISNUMBER(B720),B720,
    IF(ISNUMBER(SEARCH("-",B720)*1),
      IF(LEN(LEFT(B720,FIND("-",B720)-1))=4,
        DATE(VALUE(LEFT(B720,4)),VALUE(MID(B720,6,2)),VALUE(RIGHT(B720,2))),
        DATE(VALUE(RIGHT(B720,4)),VALUE(MID(B720,4,2)),VALUE(LEFT(B720,2)))
      ),
      IF(ISNUMBER(SEARCH("/",B720)*1),
        DATE(VALUE(RIGHT(B720,4)),VALUE(LEFT(B720,2)),VALUE(MID(B720,4,2))),
        DATEVALUE(B720)
      )
    )
  ),
"INVALID_DATE")</f>
        <v>45541</v>
      </c>
      <c r="AA720" s="2">
        <f>IFERROR(
  IF(ISNUMBER(C720),C720,
    IF(ISNUMBER(SEARCH("-",C720)*1),
      IF(LEN(LEFT(C720,FIND("-",C720)-1))=4,
        DATE(VALUE(LEFT(C720,4)),VALUE(MID(C720,6,2)),VALUE(RIGHT(C720,2))),
        DATE(VALUE(RIGHT(C720,4)),VALUE(MID(C720,4,2)),VALUE(LEFT(C720,2)))
      ),
      IF(ISNUMBER(SEARCH("/",C720)*1),
        DATE(VALUE(RIGHT(C720,4)),VALUE(LEFT(C720,2)),VALUE(MID(C720,4,2))),
        DATEVALUE(C720)
      )
    )
  ),
"INVALID_DATE")</f>
        <v>45544</v>
      </c>
      <c r="AB720">
        <f>AA720-Z720</f>
        <v>3</v>
      </c>
      <c r="AC720" t="str">
        <f>TEXT(Z720,"mmmm")</f>
        <v>September</v>
      </c>
      <c r="AD720">
        <f>YEAR(Z720)</f>
        <v>2024</v>
      </c>
      <c r="AE720" t="str">
        <f t="shared" si="35"/>
        <v>OK</v>
      </c>
    </row>
    <row r="721" spans="1:31">
      <c r="A721" t="s">
        <v>3363</v>
      </c>
      <c r="B721" t="s">
        <v>1732</v>
      </c>
      <c r="C721" t="s">
        <v>1733</v>
      </c>
      <c r="D721" t="s">
        <v>192</v>
      </c>
      <c r="E721" t="s">
        <v>374</v>
      </c>
      <c r="F721" t="s">
        <v>115</v>
      </c>
      <c r="G721" t="s">
        <v>80</v>
      </c>
      <c r="H721" t="s">
        <v>242</v>
      </c>
      <c r="I721" t="s">
        <v>243</v>
      </c>
      <c r="J721" t="s">
        <v>37</v>
      </c>
      <c r="K721" t="s">
        <v>61</v>
      </c>
      <c r="L721" t="s">
        <v>3364</v>
      </c>
      <c r="M721" t="s">
        <v>55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41</v>
      </c>
      <c r="U721" t="s">
        <v>42</v>
      </c>
      <c r="V721">
        <f>O721*(1-P721)*N721</f>
        <v>3795.8559999999998</v>
      </c>
      <c r="W721">
        <f t="shared" si="33"/>
        <v>1530.9359999999997</v>
      </c>
      <c r="X721">
        <f t="shared" si="34"/>
        <v>0.40331835209939249</v>
      </c>
      <c r="Y721" t="s">
        <v>4120</v>
      </c>
      <c r="Z721" s="2">
        <f>IFERROR(
  IF(ISNUMBER(B721),B721,
    IF(ISNUMBER(SEARCH("-",B721)*1),
      IF(LEN(LEFT(B721,FIND("-",B721)-1))=4,
        DATE(VALUE(LEFT(B721,4)),VALUE(MID(B721,6,2)),VALUE(RIGHT(B721,2))),
        DATE(VALUE(RIGHT(B721,4)),VALUE(MID(B721,4,2)),VALUE(LEFT(B721,2)))
      ),
      IF(ISNUMBER(SEARCH("/",B721)*1),
        DATE(VALUE(RIGHT(B721,4)),VALUE(LEFT(B721,2)),VALUE(MID(B721,4,2))),
        DATEVALUE(B721)
      )
    )
  ),
"INVALID_DATE")</f>
        <v>45908</v>
      </c>
      <c r="AA721" s="2">
        <f>IFERROR(
  IF(ISNUMBER(C721),C721,
    IF(ISNUMBER(SEARCH("-",C721)*1),
      IF(LEN(LEFT(C721,FIND("-",C721)-1))=4,
        DATE(VALUE(LEFT(C721,4)),VALUE(MID(C721,6,2)),VALUE(RIGHT(C721,2))),
        DATE(VALUE(RIGHT(C721,4)),VALUE(MID(C721,4,2)),VALUE(LEFT(C721,2)))
      ),
      IF(ISNUMBER(SEARCH("/",C721)*1),
        DATE(VALUE(RIGHT(C721,4)),VALUE(LEFT(C721,2)),VALUE(MID(C721,4,2))),
        DATEVALUE(C721)
      )
    )
  ),
"INVALID_DATE")</f>
        <v>45909</v>
      </c>
      <c r="AB721">
        <f>AA721-Z721</f>
        <v>1</v>
      </c>
      <c r="AC721" t="str">
        <f>TEXT(Z721,"mmmm")</f>
        <v>September</v>
      </c>
      <c r="AD721">
        <f>YEAR(Z721)</f>
        <v>2025</v>
      </c>
      <c r="AE721" t="str">
        <f t="shared" si="35"/>
        <v>OK</v>
      </c>
    </row>
    <row r="722" spans="1:31">
      <c r="A722" t="s">
        <v>3365</v>
      </c>
      <c r="B722" t="s">
        <v>1117</v>
      </c>
      <c r="C722" t="s">
        <v>3366</v>
      </c>
      <c r="D722" t="s">
        <v>3367</v>
      </c>
      <c r="E722" t="s">
        <v>114</v>
      </c>
      <c r="F722" t="s">
        <v>122</v>
      </c>
      <c r="G722" t="s">
        <v>80</v>
      </c>
      <c r="H722" t="s">
        <v>91</v>
      </c>
      <c r="I722" t="s">
        <v>92</v>
      </c>
      <c r="J722" t="s">
        <v>93</v>
      </c>
      <c r="K722" t="s">
        <v>101</v>
      </c>
      <c r="L722" t="s">
        <v>3368</v>
      </c>
      <c r="M722" t="s">
        <v>55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41</v>
      </c>
      <c r="U722" t="s">
        <v>42</v>
      </c>
      <c r="V722">
        <f>O722*(1-P722)*N722</f>
        <v>15231.727999999999</v>
      </c>
      <c r="W722">
        <f t="shared" si="33"/>
        <v>2780.268</v>
      </c>
      <c r="X722">
        <f t="shared" si="34"/>
        <v>0.18253146556563174</v>
      </c>
      <c r="Y722" t="str">
        <f>_xlfn.TEXTJOIN(", ",TRUE,IF(G722="Unknown","Missing Region",""),IF(M722="Unknown","Missing Ship Mode",""),IF(P722&lt;0,"Negative Discount",""),IF(P722&gt;0.7,"High Discount",""),IF(C722&lt;B722,"Ship Before Order",""))</f>
        <v>Ship Before Order</v>
      </c>
      <c r="Z722" s="2">
        <f>IFERROR(
  IF(ISNUMBER(B722),B722,
    IF(ISNUMBER(SEARCH("-",B722)*1),
      IF(LEN(LEFT(B722,FIND("-",B722)-1))=4,
        DATE(VALUE(LEFT(B722,4)),VALUE(MID(B722,6,2)),VALUE(RIGHT(B722,2))),
        DATE(VALUE(RIGHT(B722,4)),VALUE(MID(B722,4,2)),VALUE(LEFT(B722,2)))
      ),
      IF(ISNUMBER(SEARCH("/",B722)*1),
        DATE(VALUE(RIGHT(B722,4)),VALUE(LEFT(B722,2)),VALUE(MID(B722,4,2))),
        DATEVALUE(B722)
      )
    )
  ),
"INVALID_DATE")</f>
        <v>45489</v>
      </c>
      <c r="AA722" s="2">
        <f>IFERROR(
  IF(ISNUMBER(C722),C722,
    IF(ISNUMBER(SEARCH("-",C722)*1),
      IF(LEN(LEFT(C722,FIND("-",C722)-1))=4,
        DATE(VALUE(LEFT(C722,4)),VALUE(MID(C722,6,2)),VALUE(RIGHT(C722,2))),
        DATE(VALUE(RIGHT(C722,4)),VALUE(MID(C722,4,2)),VALUE(LEFT(C722,2)))
      ),
      IF(ISNUMBER(SEARCH("/",C722)*1),
        DATE(VALUE(RIGHT(C722,4)),VALUE(LEFT(C722,2)),VALUE(MID(C722,4,2))),
        DATEVALUE(C722)
      )
    )
  ),
"INVALID_DATE")</f>
        <v>45489</v>
      </c>
      <c r="AB722">
        <f>AA722-Z722</f>
        <v>0</v>
      </c>
      <c r="AC722" t="str">
        <f>TEXT(Z722,"mmmm")</f>
        <v>July</v>
      </c>
      <c r="AD722">
        <f>YEAR(Z722)</f>
        <v>2024</v>
      </c>
      <c r="AE722" t="str">
        <f t="shared" si="35"/>
        <v>OK</v>
      </c>
    </row>
    <row r="723" spans="1:31">
      <c r="A723" t="s">
        <v>3369</v>
      </c>
      <c r="B723" t="s">
        <v>261</v>
      </c>
      <c r="C723" t="s">
        <v>3370</v>
      </c>
      <c r="D723" t="s">
        <v>3371</v>
      </c>
      <c r="E723" t="s">
        <v>175</v>
      </c>
      <c r="F723" t="s">
        <v>33</v>
      </c>
      <c r="G723" t="s">
        <v>69</v>
      </c>
      <c r="H723" t="s">
        <v>236</v>
      </c>
      <c r="I723" t="s">
        <v>237</v>
      </c>
      <c r="J723" t="s">
        <v>93</v>
      </c>
      <c r="K723" t="s">
        <v>101</v>
      </c>
      <c r="L723" t="s">
        <v>3372</v>
      </c>
      <c r="M723" t="s">
        <v>63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41</v>
      </c>
      <c r="U723" t="s">
        <v>42</v>
      </c>
      <c r="V723">
        <f>O723*(1-P723)*N723</f>
        <v>13649.75</v>
      </c>
      <c r="W723">
        <f t="shared" si="33"/>
        <v>3361.7199999999993</v>
      </c>
      <c r="X723">
        <f t="shared" si="34"/>
        <v>0.24628436418249416</v>
      </c>
      <c r="Y723" t="s">
        <v>4120</v>
      </c>
      <c r="Z723" s="2">
        <f>IFERROR(
  IF(ISNUMBER(B723),B723,
    IF(ISNUMBER(SEARCH("-",B723)*1),
      IF(LEN(LEFT(B723,FIND("-",B723)-1))=4,
        DATE(VALUE(LEFT(B723,4)),VALUE(MID(B723,6,2)),VALUE(RIGHT(B723,2))),
        DATE(VALUE(RIGHT(B723,4)),VALUE(MID(B723,4,2)),VALUE(LEFT(B723,2)))
      ),
      IF(ISNUMBER(SEARCH("/",B723)*1),
        DATE(VALUE(RIGHT(B723,4)),VALUE(LEFT(B723,2)),VALUE(MID(B723,4,2))),
        DATEVALUE(B723)
      )
    )
  ),
"INVALID_DATE")</f>
        <v>45827</v>
      </c>
      <c r="AA723" s="2">
        <f>IFERROR(
  IF(ISNUMBER(C723),C723,
    IF(ISNUMBER(SEARCH("-",C723)*1),
      IF(LEN(LEFT(C723,FIND("-",C723)-1))=4,
        DATE(VALUE(LEFT(C723,4)),VALUE(MID(C723,6,2)),VALUE(RIGHT(C723,2))),
        DATE(VALUE(RIGHT(C723,4)),VALUE(MID(C723,4,2)),VALUE(LEFT(C723,2)))
      ),
      IF(ISNUMBER(SEARCH("/",C723)*1),
        DATE(VALUE(RIGHT(C723,4)),VALUE(LEFT(C723,2)),VALUE(MID(C723,4,2))),
        DATEVALUE(C723)
      )
    )
  ),
"INVALID_DATE")</f>
        <v>45831</v>
      </c>
      <c r="AB723">
        <f>AA723-Z723</f>
        <v>4</v>
      </c>
      <c r="AC723" t="str">
        <f>TEXT(Z723,"mmmm")</f>
        <v>June</v>
      </c>
      <c r="AD723">
        <f>YEAR(Z723)</f>
        <v>2025</v>
      </c>
      <c r="AE723" t="str">
        <f t="shared" si="35"/>
        <v>OK</v>
      </c>
    </row>
    <row r="724" spans="1:31">
      <c r="A724" t="s">
        <v>3373</v>
      </c>
      <c r="B724" t="s">
        <v>2565</v>
      </c>
      <c r="C724" t="s">
        <v>3374</v>
      </c>
      <c r="D724" t="s">
        <v>3375</v>
      </c>
      <c r="E724" t="s">
        <v>90</v>
      </c>
      <c r="F724" t="s">
        <v>33</v>
      </c>
      <c r="G724" t="s">
        <v>49</v>
      </c>
      <c r="H724" t="s">
        <v>128</v>
      </c>
      <c r="I724" t="s">
        <v>129</v>
      </c>
      <c r="J724" t="s">
        <v>52</v>
      </c>
      <c r="K724" t="s">
        <v>83</v>
      </c>
      <c r="L724" t="s">
        <v>3376</v>
      </c>
      <c r="M724" t="s">
        <v>40</v>
      </c>
      <c r="N724">
        <v>9</v>
      </c>
      <c r="O724">
        <v>481.51</v>
      </c>
      <c r="P724">
        <v>0</v>
      </c>
      <c r="Q724">
        <v>4333.59</v>
      </c>
      <c r="R724">
        <v>2533.59</v>
      </c>
      <c r="S724">
        <v>1800</v>
      </c>
      <c r="T724" t="s">
        <v>131</v>
      </c>
      <c r="U724" t="s">
        <v>85</v>
      </c>
      <c r="V724">
        <f>O724*(1-P724)*N724</f>
        <v>4333.59</v>
      </c>
      <c r="W724">
        <f t="shared" si="33"/>
        <v>1800</v>
      </c>
      <c r="X724">
        <f t="shared" si="34"/>
        <v>0.41536001329152039</v>
      </c>
      <c r="Y724" t="str">
        <f>_xlfn.TEXTJOIN(", ",TRUE,IF(G724="Unknown","Missing Region",""),IF(M724="Unknown","Missing Ship Mode",""),IF(P724&lt;0,"Negative Discount",""),IF(P724&gt;0.7,"High Discount",""),IF(C724&lt;B724,"Ship Before Order",""))</f>
        <v>Ship Before Order</v>
      </c>
      <c r="Z724" s="2">
        <f>IFERROR(
  IF(ISNUMBER(B724),B724,
    IF(ISNUMBER(SEARCH("-",B724)*1),
      IF(LEN(LEFT(B724,FIND("-",B724)-1))=4,
        DATE(VALUE(LEFT(B724,4)),VALUE(MID(B724,6,2)),VALUE(RIGHT(B724,2))),
        DATE(VALUE(RIGHT(B724,4)),VALUE(MID(B724,4,2)),VALUE(LEFT(B724,2)))
      ),
      IF(ISNUMBER(SEARCH("/",B724)*1),
        DATE(VALUE(RIGHT(B724,4)),VALUE(LEFT(B724,2)),VALUE(MID(B724,4,2))),
        DATEVALUE(B724)
      )
    )
  ),
"INVALID_DATE")</f>
        <v>45572</v>
      </c>
      <c r="AA724" s="2">
        <f>IFERROR(
  IF(ISNUMBER(C724),C724,
    IF(ISNUMBER(SEARCH("-",C724)*1),
      IF(LEN(LEFT(C724,FIND("-",C724)-1))=4,
        DATE(VALUE(LEFT(C724,4)),VALUE(MID(C724,6,2)),VALUE(RIGHT(C724,2))),
        DATE(VALUE(RIGHT(C724,4)),VALUE(MID(C724,4,2)),VALUE(LEFT(C724,2)))
      ),
      IF(ISNUMBER(SEARCH("/",C724)*1),
        DATE(VALUE(RIGHT(C724,4)),VALUE(LEFT(C724,2)),VALUE(MID(C724,4,2))),
        DATEVALUE(C724)
      )
    )
  ),
"INVALID_DATE")</f>
        <v>45575</v>
      </c>
      <c r="AB724">
        <f>AA724-Z724</f>
        <v>3</v>
      </c>
      <c r="AC724" t="str">
        <f>TEXT(Z724,"mmmm")</f>
        <v>October</v>
      </c>
      <c r="AD724">
        <f>YEAR(Z724)</f>
        <v>2024</v>
      </c>
      <c r="AE724" t="str">
        <f t="shared" si="35"/>
        <v>OK</v>
      </c>
    </row>
    <row r="725" spans="1:31">
      <c r="A725" t="s">
        <v>3377</v>
      </c>
      <c r="B725" t="s">
        <v>895</v>
      </c>
      <c r="C725" t="s">
        <v>3378</v>
      </c>
      <c r="D725" t="s">
        <v>3379</v>
      </c>
      <c r="E725" t="s">
        <v>374</v>
      </c>
      <c r="F725" t="s">
        <v>122</v>
      </c>
      <c r="G725" t="s">
        <v>49</v>
      </c>
      <c r="H725" t="s">
        <v>319</v>
      </c>
      <c r="I725" t="s">
        <v>320</v>
      </c>
      <c r="J725" t="s">
        <v>93</v>
      </c>
      <c r="K725" t="s">
        <v>94</v>
      </c>
      <c r="L725" t="s">
        <v>3380</v>
      </c>
      <c r="M725" t="s">
        <v>74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207</v>
      </c>
      <c r="U725" t="s">
        <v>132</v>
      </c>
      <c r="V725">
        <f>O725*(1-P725)*N725</f>
        <v>13634.000999999998</v>
      </c>
      <c r="W725">
        <f t="shared" si="33"/>
        <v>4044.1909999999989</v>
      </c>
      <c r="X725">
        <f t="shared" si="34"/>
        <v>0.29662534839372157</v>
      </c>
      <c r="Y725" t="s">
        <v>4120</v>
      </c>
      <c r="Z725" s="2">
        <f>IFERROR(
  IF(ISNUMBER(B725),B725,
    IF(ISNUMBER(SEARCH("-",B725)*1),
      IF(LEN(LEFT(B725,FIND("-",B725)-1))=4,
        DATE(VALUE(LEFT(B725,4)),VALUE(MID(B725,6,2)),VALUE(RIGHT(B725,2))),
        DATE(VALUE(RIGHT(B725,4)),VALUE(MID(B725,4,2)),VALUE(LEFT(B725,2)))
      ),
      IF(ISNUMBER(SEARCH("/",B725)*1),
        DATE(VALUE(RIGHT(B725,4)),VALUE(LEFT(B725,2)),VALUE(MID(B725,4,2))),
        DATEVALUE(B725)
      )
    )
  ),
"INVALID_DATE")</f>
        <v>45936</v>
      </c>
      <c r="AA725" s="2">
        <f>IFERROR(
  IF(ISNUMBER(C725),C725,
    IF(ISNUMBER(SEARCH("-",C725)*1),
      IF(LEN(LEFT(C725,FIND("-",C725)-1))=4,
        DATE(VALUE(LEFT(C725,4)),VALUE(MID(C725,6,2)),VALUE(RIGHT(C725,2))),
        DATE(VALUE(RIGHT(C725,4)),VALUE(MID(C725,4,2)),VALUE(LEFT(C725,2)))
      ),
      IF(ISNUMBER(SEARCH("/",C725)*1),
        DATE(VALUE(RIGHT(C725,4)),VALUE(LEFT(C725,2)),VALUE(MID(C725,4,2))),
        DATEVALUE(C725)
      )
    )
  ),
"INVALID_DATE")</f>
        <v>45943</v>
      </c>
      <c r="AB725">
        <f>AA725-Z725</f>
        <v>7</v>
      </c>
      <c r="AC725" t="str">
        <f>TEXT(Z725,"mmmm")</f>
        <v>October</v>
      </c>
      <c r="AD725">
        <f>YEAR(Z725)</f>
        <v>2025</v>
      </c>
      <c r="AE725" t="str">
        <f t="shared" si="35"/>
        <v>OK</v>
      </c>
    </row>
    <row r="726" spans="1:31">
      <c r="A726" t="s">
        <v>3381</v>
      </c>
      <c r="B726" t="s">
        <v>3382</v>
      </c>
      <c r="C726" t="s">
        <v>1619</v>
      </c>
      <c r="D726" t="s">
        <v>3383</v>
      </c>
      <c r="E726" t="s">
        <v>32</v>
      </c>
      <c r="F726" t="s">
        <v>33</v>
      </c>
      <c r="G726" t="s">
        <v>80</v>
      </c>
      <c r="H726" t="s">
        <v>256</v>
      </c>
      <c r="I726" t="s">
        <v>257</v>
      </c>
      <c r="J726" t="s">
        <v>52</v>
      </c>
      <c r="K726" t="s">
        <v>72</v>
      </c>
      <c r="L726" t="s">
        <v>3384</v>
      </c>
      <c r="M726" t="s">
        <v>40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41</v>
      </c>
      <c r="U726" t="s">
        <v>42</v>
      </c>
      <c r="V726">
        <f>O726*(1-P726)*N726</f>
        <v>760.29</v>
      </c>
      <c r="W726">
        <f t="shared" si="33"/>
        <v>262.52</v>
      </c>
      <c r="X726">
        <f t="shared" si="34"/>
        <v>0.34528929750489945</v>
      </c>
      <c r="Y726" t="s">
        <v>4120</v>
      </c>
      <c r="Z726" s="2">
        <f>IFERROR(
  IF(ISNUMBER(B726),B726,
    IF(ISNUMBER(SEARCH("-",B726)*1),
      IF(LEN(LEFT(B726,FIND("-",B726)-1))=4,
        DATE(VALUE(LEFT(B726,4)),VALUE(MID(B726,6,2)),VALUE(RIGHT(B726,2))),
        DATE(VALUE(RIGHT(B726,4)),VALUE(MID(B726,4,2)),VALUE(LEFT(B726,2)))
      ),
      IF(ISNUMBER(SEARCH("/",B726)*1),
        DATE(VALUE(RIGHT(B726,4)),VALUE(LEFT(B726,2)),VALUE(MID(B726,4,2))),
        DATEVALUE(B726)
      )
    )
  ),
"INVALID_DATE")</f>
        <v>45332</v>
      </c>
      <c r="AA726" s="2">
        <f>IFERROR(
  IF(ISNUMBER(C726),C726,
    IF(ISNUMBER(SEARCH("-",C726)*1),
      IF(LEN(LEFT(C726,FIND("-",C726)-1))=4,
        DATE(VALUE(LEFT(C726,4)),VALUE(MID(C726,6,2)),VALUE(RIGHT(C726,2))),
        DATE(VALUE(RIGHT(C726,4)),VALUE(MID(C726,4,2)),VALUE(LEFT(C726,2)))
      ),
      IF(ISNUMBER(SEARCH("/",C726)*1),
        DATE(VALUE(RIGHT(C726,4)),VALUE(LEFT(C726,2)),VALUE(MID(C726,4,2))),
        DATEVALUE(C726)
      )
    )
  ),
"INVALID_DATE")</f>
        <v>45338</v>
      </c>
      <c r="AB726">
        <f>AA726-Z726</f>
        <v>6</v>
      </c>
      <c r="AC726" t="str">
        <f>TEXT(Z726,"mmmm")</f>
        <v>February</v>
      </c>
      <c r="AD726">
        <f>YEAR(Z726)</f>
        <v>2024</v>
      </c>
      <c r="AE726" t="str">
        <f t="shared" si="35"/>
        <v>OK</v>
      </c>
    </row>
    <row r="727" spans="1:31">
      <c r="A727" t="s">
        <v>3385</v>
      </c>
      <c r="B727" t="s">
        <v>3386</v>
      </c>
      <c r="C727" t="s">
        <v>146</v>
      </c>
      <c r="D727" t="s">
        <v>3387</v>
      </c>
      <c r="E727" t="s">
        <v>149</v>
      </c>
      <c r="F727" t="s">
        <v>115</v>
      </c>
      <c r="G727" t="s">
        <v>69</v>
      </c>
      <c r="H727" t="s">
        <v>236</v>
      </c>
      <c r="I727" t="s">
        <v>237</v>
      </c>
      <c r="J727" t="s">
        <v>52</v>
      </c>
      <c r="K727" t="s">
        <v>53</v>
      </c>
      <c r="L727" t="s">
        <v>3388</v>
      </c>
      <c r="M727" t="s">
        <v>40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41</v>
      </c>
      <c r="U727" t="s">
        <v>42</v>
      </c>
      <c r="V727">
        <f>O727*(1-P727)*N727</f>
        <v>14943.11</v>
      </c>
      <c r="W727">
        <f t="shared" si="33"/>
        <v>6421.6100000000006</v>
      </c>
      <c r="X727">
        <f t="shared" si="34"/>
        <v>0.42973718322357257</v>
      </c>
      <c r="Y727" t="s">
        <v>4120</v>
      </c>
      <c r="Z727" s="2">
        <f>IFERROR(
  IF(ISNUMBER(B727),B727,
    IF(ISNUMBER(SEARCH("-",B727)*1),
      IF(LEN(LEFT(B727,FIND("-",B727)-1))=4,
        DATE(VALUE(LEFT(B727,4)),VALUE(MID(B727,6,2)),VALUE(RIGHT(B727,2))),
        DATE(VALUE(RIGHT(B727,4)),VALUE(MID(B727,4,2)),VALUE(LEFT(B727,2)))
      ),
      IF(ISNUMBER(SEARCH("/",B727)*1),
        DATE(VALUE(RIGHT(B727,4)),VALUE(LEFT(B727,2)),VALUE(MID(B727,4,2))),
        DATEVALUE(B727)
      )
    )
  ),
"INVALID_DATE")</f>
        <v>45935</v>
      </c>
      <c r="AA727" s="2">
        <f>IFERROR(
  IF(ISNUMBER(C727),C727,
    IF(ISNUMBER(SEARCH("-",C727)*1),
      IF(LEN(LEFT(C727,FIND("-",C727)-1))=4,
        DATE(VALUE(LEFT(C727,4)),VALUE(MID(C727,6,2)),VALUE(RIGHT(C727,2))),
        DATE(VALUE(RIGHT(C727,4)),VALUE(MID(C727,4,2)),VALUE(LEFT(C727,2)))
      ),
      IF(ISNUMBER(SEARCH("/",C727)*1),
        DATE(VALUE(RIGHT(C727,4)),VALUE(LEFT(C727,2)),VALUE(MID(C727,4,2))),
        DATEVALUE(C727)
      )
    )
  ),
"INVALID_DATE")</f>
        <v>45942</v>
      </c>
      <c r="AB727">
        <f>AA727-Z727</f>
        <v>7</v>
      </c>
      <c r="AC727" t="str">
        <f>TEXT(Z727,"mmmm")</f>
        <v>October</v>
      </c>
      <c r="AD727">
        <f>YEAR(Z727)</f>
        <v>2025</v>
      </c>
      <c r="AE727" t="str">
        <f t="shared" si="35"/>
        <v>OK</v>
      </c>
    </row>
    <row r="728" spans="1:31">
      <c r="A728" t="s">
        <v>3389</v>
      </c>
      <c r="B728" t="s">
        <v>3390</v>
      </c>
      <c r="C728" t="s">
        <v>3391</v>
      </c>
      <c r="D728" t="s">
        <v>3392</v>
      </c>
      <c r="E728" t="s">
        <v>374</v>
      </c>
      <c r="F728" t="s">
        <v>122</v>
      </c>
      <c r="G728" t="s">
        <v>80</v>
      </c>
      <c r="H728" t="s">
        <v>242</v>
      </c>
      <c r="I728" t="s">
        <v>243</v>
      </c>
      <c r="J728" t="s">
        <v>93</v>
      </c>
      <c r="K728" t="s">
        <v>230</v>
      </c>
      <c r="L728" t="s">
        <v>3393</v>
      </c>
      <c r="M728" t="s">
        <v>74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144</v>
      </c>
      <c r="U728" t="s">
        <v>132</v>
      </c>
      <c r="V728">
        <f>O728*(1-P728)*N728</f>
        <v>8072</v>
      </c>
      <c r="W728">
        <f t="shared" si="33"/>
        <v>2692.7799999999997</v>
      </c>
      <c r="X728">
        <f t="shared" si="34"/>
        <v>0.33359514370664028</v>
      </c>
      <c r="Y728" t="str">
        <f>_xlfn.TEXTJOIN(", ",TRUE,IF(G728="Unknown","Missing Region",""),IF(M728="Unknown","Missing Ship Mode",""),IF(P728&lt;0,"Negative Discount",""),IF(P728&gt;0.7,"High Discount",""),IF(C728&lt;B728,"Ship Before Order",""))</f>
        <v>Ship Before Order</v>
      </c>
      <c r="Z728" s="2">
        <f>IFERROR(
  IF(ISNUMBER(B728),B728,
    IF(ISNUMBER(SEARCH("-",B728)*1),
      IF(LEN(LEFT(B728,FIND("-",B728)-1))=4,
        DATE(VALUE(LEFT(B728,4)),VALUE(MID(B728,6,2)),VALUE(RIGHT(B728,2))),
        DATE(VALUE(RIGHT(B728,4)),VALUE(MID(B728,4,2)),VALUE(LEFT(B728,2)))
      ),
      IF(ISNUMBER(SEARCH("/",B728)*1),
        DATE(VALUE(RIGHT(B728,4)),VALUE(LEFT(B728,2)),VALUE(MID(B728,4,2))),
        DATEVALUE(B728)
      )
    )
  ),
"INVALID_DATE")</f>
        <v>45308</v>
      </c>
      <c r="AA728" s="2">
        <f>IFERROR(
  IF(ISNUMBER(C728),C728,
    IF(ISNUMBER(SEARCH("-",C728)*1),
      IF(LEN(LEFT(C728,FIND("-",C728)-1))=4,
        DATE(VALUE(LEFT(C728,4)),VALUE(MID(C728,6,2)),VALUE(RIGHT(C728,2))),
        DATE(VALUE(RIGHT(C728,4)),VALUE(MID(C728,4,2)),VALUE(LEFT(C728,2)))
      ),
      IF(ISNUMBER(SEARCH("/",C728)*1),
        DATE(VALUE(RIGHT(C728,4)),VALUE(LEFT(C728,2)),VALUE(MID(C728,4,2))),
        DATEVALUE(C728)
      )
    )
  ),
"INVALID_DATE")</f>
        <v>45314</v>
      </c>
      <c r="AB728">
        <f>AA728-Z728</f>
        <v>6</v>
      </c>
      <c r="AC728" t="str">
        <f>TEXT(Z728,"mmmm")</f>
        <v>January</v>
      </c>
      <c r="AD728">
        <f>YEAR(Z728)</f>
        <v>2024</v>
      </c>
      <c r="AE728" t="str">
        <f t="shared" si="35"/>
        <v>OK</v>
      </c>
    </row>
    <row r="729" spans="1:31">
      <c r="A729" t="s">
        <v>3394</v>
      </c>
      <c r="B729" t="s">
        <v>3395</v>
      </c>
      <c r="C729" t="s">
        <v>3395</v>
      </c>
      <c r="D729" t="s">
        <v>3396</v>
      </c>
      <c r="E729" t="s">
        <v>169</v>
      </c>
      <c r="F729" t="s">
        <v>48</v>
      </c>
      <c r="G729" t="s">
        <v>49</v>
      </c>
      <c r="H729" t="s">
        <v>223</v>
      </c>
      <c r="I729" t="s">
        <v>224</v>
      </c>
      <c r="J729" t="s">
        <v>93</v>
      </c>
      <c r="K729" t="s">
        <v>94</v>
      </c>
      <c r="L729" t="s">
        <v>3397</v>
      </c>
      <c r="M729" t="s">
        <v>40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41</v>
      </c>
      <c r="U729" t="s">
        <v>42</v>
      </c>
      <c r="V729">
        <f>O729*(1-P729)*N729</f>
        <v>28353.015999999996</v>
      </c>
      <c r="W729">
        <f t="shared" si="33"/>
        <v>9095.1659999999974</v>
      </c>
      <c r="X729">
        <f t="shared" si="34"/>
        <v>0.32078311234570428</v>
      </c>
      <c r="Y729" t="s">
        <v>4120</v>
      </c>
      <c r="Z729" s="2">
        <f>IFERROR(
  IF(ISNUMBER(B729),B729,
    IF(ISNUMBER(SEARCH("-",B729)*1),
      IF(LEN(LEFT(B729,FIND("-",B729)-1))=4,
        DATE(VALUE(LEFT(B729,4)),VALUE(MID(B729,6,2)),VALUE(RIGHT(B729,2))),
        DATE(VALUE(RIGHT(B729,4)),VALUE(MID(B729,4,2)),VALUE(LEFT(B729,2)))
      ),
      IF(ISNUMBER(SEARCH("/",B729)*1),
        DATE(VALUE(RIGHT(B729,4)),VALUE(LEFT(B729,2)),VALUE(MID(B729,4,2))),
        DATEVALUE(B729)
      )
    )
  ),
"INVALID_DATE")</f>
        <v>45578</v>
      </c>
      <c r="AA729" s="2">
        <f>IFERROR(
  IF(ISNUMBER(C729),C729,
    IF(ISNUMBER(SEARCH("-",C729)*1),
      IF(LEN(LEFT(C729,FIND("-",C729)-1))=4,
        DATE(VALUE(LEFT(C729,4)),VALUE(MID(C729,6,2)),VALUE(RIGHT(C729,2))),
        DATE(VALUE(RIGHT(C729,4)),VALUE(MID(C729,4,2)),VALUE(LEFT(C729,2)))
      ),
      IF(ISNUMBER(SEARCH("/",C729)*1),
        DATE(VALUE(RIGHT(C729,4)),VALUE(LEFT(C729,2)),VALUE(MID(C729,4,2))),
        DATEVALUE(C729)
      )
    )
  ),
"INVALID_DATE")</f>
        <v>45578</v>
      </c>
      <c r="AB729">
        <f>AA729-Z729</f>
        <v>0</v>
      </c>
      <c r="AC729" t="str">
        <f>TEXT(Z729,"mmmm")</f>
        <v>October</v>
      </c>
      <c r="AD729">
        <f>YEAR(Z729)</f>
        <v>2024</v>
      </c>
      <c r="AE729" t="str">
        <f t="shared" si="35"/>
        <v>OK</v>
      </c>
    </row>
    <row r="730" spans="1:31">
      <c r="A730" t="s">
        <v>3398</v>
      </c>
      <c r="B730" t="s">
        <v>3060</v>
      </c>
      <c r="C730" t="s">
        <v>1770</v>
      </c>
      <c r="D730" t="s">
        <v>3399</v>
      </c>
      <c r="E730" t="s">
        <v>175</v>
      </c>
      <c r="F730" t="s">
        <v>48</v>
      </c>
      <c r="G730" t="s">
        <v>69</v>
      </c>
      <c r="H730" t="s">
        <v>236</v>
      </c>
      <c r="I730" t="s">
        <v>237</v>
      </c>
      <c r="J730" t="s">
        <v>93</v>
      </c>
      <c r="K730" t="s">
        <v>390</v>
      </c>
      <c r="L730" t="s">
        <v>3400</v>
      </c>
      <c r="M730" t="s">
        <v>63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41</v>
      </c>
      <c r="U730" t="s">
        <v>42</v>
      </c>
      <c r="V730">
        <f>O730*(1-P730)*N730</f>
        <v>2008.567</v>
      </c>
      <c r="W730">
        <f t="shared" si="33"/>
        <v>813.73700000000008</v>
      </c>
      <c r="X730">
        <f t="shared" si="34"/>
        <v>0.40513400080654399</v>
      </c>
      <c r="Y730" t="str">
        <f>_xlfn.TEXTJOIN(", ",TRUE,IF(G730="Unknown","Missing Region",""),IF(M730="Unknown","Missing Ship Mode",""),IF(P730&lt;0,"Negative Discount",""),IF(P730&gt;0.7,"High Discount",""),IF(C730&lt;B730,"Ship Before Order",""))</f>
        <v>Ship Before Order</v>
      </c>
      <c r="Z730" s="2">
        <f>IFERROR(
  IF(ISNUMBER(B730),B730,
    IF(ISNUMBER(SEARCH("-",B730)*1),
      IF(LEN(LEFT(B730,FIND("-",B730)-1))=4,
        DATE(VALUE(LEFT(B730,4)),VALUE(MID(B730,6,2)),VALUE(RIGHT(B730,2))),
        DATE(VALUE(RIGHT(B730,4)),VALUE(MID(B730,4,2)),VALUE(LEFT(B730,2)))
      ),
      IF(ISNUMBER(SEARCH("/",B730)*1),
        DATE(VALUE(RIGHT(B730,4)),VALUE(LEFT(B730,2)),VALUE(MID(B730,4,2))),
        DATEVALUE(B730)
      )
    )
  ),
"INVALID_DATE")</f>
        <v>45295</v>
      </c>
      <c r="AA730" s="2">
        <f>IFERROR(
  IF(ISNUMBER(C730),C730,
    IF(ISNUMBER(SEARCH("-",C730)*1),
      IF(LEN(LEFT(C730,FIND("-",C730)-1))=4,
        DATE(VALUE(LEFT(C730,4)),VALUE(MID(C730,6,2)),VALUE(RIGHT(C730,2))),
        DATE(VALUE(RIGHT(C730,4)),VALUE(MID(C730,4,2)),VALUE(LEFT(C730,2)))
      ),
      IF(ISNUMBER(SEARCH("/",C730)*1),
        DATE(VALUE(RIGHT(C730,4)),VALUE(LEFT(C730,2)),VALUE(MID(C730,4,2))),
        DATEVALUE(C730)
      )
    )
  ),
"INVALID_DATE")</f>
        <v>45298</v>
      </c>
      <c r="AB730">
        <f>AA730-Z730</f>
        <v>3</v>
      </c>
      <c r="AC730" t="str">
        <f>TEXT(Z730,"mmmm")</f>
        <v>January</v>
      </c>
      <c r="AD730">
        <f>YEAR(Z730)</f>
        <v>2024</v>
      </c>
      <c r="AE730" t="str">
        <f t="shared" si="35"/>
        <v>OK</v>
      </c>
    </row>
    <row r="731" spans="1:31">
      <c r="A731" t="s">
        <v>3401</v>
      </c>
      <c r="B731" t="s">
        <v>3402</v>
      </c>
      <c r="C731" t="s">
        <v>3403</v>
      </c>
      <c r="D731" t="s">
        <v>3404</v>
      </c>
      <c r="E731" t="s">
        <v>79</v>
      </c>
      <c r="F731" t="s">
        <v>115</v>
      </c>
      <c r="G731" t="s">
        <v>69</v>
      </c>
      <c r="H731" t="s">
        <v>347</v>
      </c>
      <c r="I731" t="s">
        <v>348</v>
      </c>
      <c r="J731" t="s">
        <v>93</v>
      </c>
      <c r="K731" t="s">
        <v>390</v>
      </c>
      <c r="L731" t="s">
        <v>3405</v>
      </c>
      <c r="M731" t="s">
        <v>55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41</v>
      </c>
      <c r="U731" t="s">
        <v>42</v>
      </c>
      <c r="V731">
        <f>O731*(1-P731)*N731</f>
        <v>9234.2129999999997</v>
      </c>
      <c r="W731">
        <f t="shared" si="33"/>
        <v>3717.6929999999993</v>
      </c>
      <c r="X731">
        <f t="shared" si="34"/>
        <v>0.4025996809689189</v>
      </c>
      <c r="Y731" t="s">
        <v>4120</v>
      </c>
      <c r="Z731" s="2">
        <f>IFERROR(
  IF(ISNUMBER(B731),B731,
    IF(ISNUMBER(SEARCH("-",B731)*1),
      IF(LEN(LEFT(B731,FIND("-",B731)-1))=4,
        DATE(VALUE(LEFT(B731,4)),VALUE(MID(B731,6,2)),VALUE(RIGHT(B731,2))),
        DATE(VALUE(RIGHT(B731,4)),VALUE(MID(B731,4,2)),VALUE(LEFT(B731,2)))
      ),
      IF(ISNUMBER(SEARCH("/",B731)*1),
        DATE(VALUE(RIGHT(B731,4)),VALUE(LEFT(B731,2)),VALUE(MID(B731,4,2))),
        DATEVALUE(B731)
      )
    )
  ),
"INVALID_DATE")</f>
        <v>45794</v>
      </c>
      <c r="AA731" s="2">
        <f>IFERROR(
  IF(ISNUMBER(C731),C731,
    IF(ISNUMBER(SEARCH("-",C731)*1),
      IF(LEN(LEFT(C731,FIND("-",C731)-1))=4,
        DATE(VALUE(LEFT(C731,4)),VALUE(MID(C731,6,2)),VALUE(RIGHT(C731,2))),
        DATE(VALUE(RIGHT(C731,4)),VALUE(MID(C731,4,2)),VALUE(LEFT(C731,2)))
      ),
      IF(ISNUMBER(SEARCH("/",C731)*1),
        DATE(VALUE(RIGHT(C731,4)),VALUE(LEFT(C731,2)),VALUE(MID(C731,4,2))),
        DATEVALUE(C731)
      )
    )
  ),
"INVALID_DATE")</f>
        <v>45802</v>
      </c>
      <c r="AB731">
        <f>AA731-Z731</f>
        <v>8</v>
      </c>
      <c r="AC731" t="str">
        <f>TEXT(Z731,"mmmm")</f>
        <v>May</v>
      </c>
      <c r="AD731">
        <f>YEAR(Z731)</f>
        <v>2025</v>
      </c>
      <c r="AE731" t="str">
        <f t="shared" si="35"/>
        <v>OK</v>
      </c>
    </row>
    <row r="732" spans="1:31">
      <c r="A732" t="s">
        <v>3406</v>
      </c>
      <c r="B732" t="s">
        <v>3407</v>
      </c>
      <c r="C732" t="s">
        <v>3318</v>
      </c>
      <c r="D732" t="s">
        <v>3408</v>
      </c>
      <c r="E732" t="s">
        <v>68</v>
      </c>
      <c r="F732" t="s">
        <v>33</v>
      </c>
      <c r="G732" t="s">
        <v>49</v>
      </c>
      <c r="H732" t="s">
        <v>128</v>
      </c>
      <c r="I732" t="s">
        <v>129</v>
      </c>
      <c r="J732" t="s">
        <v>37</v>
      </c>
      <c r="K732" t="s">
        <v>61</v>
      </c>
      <c r="L732" t="s">
        <v>3409</v>
      </c>
      <c r="M732" t="s">
        <v>40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131</v>
      </c>
      <c r="U732" t="s">
        <v>132</v>
      </c>
      <c r="V732">
        <f>O732*(1-P732)*N732</f>
        <v>2658.8339999999998</v>
      </c>
      <c r="W732">
        <f t="shared" si="33"/>
        <v>431.86400000000003</v>
      </c>
      <c r="X732">
        <f t="shared" si="34"/>
        <v>0.16242482595728197</v>
      </c>
      <c r="Y732" t="s">
        <v>4120</v>
      </c>
      <c r="Z732" s="2">
        <f>IFERROR(
  IF(ISNUMBER(B732),B732,
    IF(ISNUMBER(SEARCH("-",B732)*1),
      IF(LEN(LEFT(B732,FIND("-",B732)-1))=4,
        DATE(VALUE(LEFT(B732,4)),VALUE(MID(B732,6,2)),VALUE(RIGHT(B732,2))),
        DATE(VALUE(RIGHT(B732,4)),VALUE(MID(B732,4,2)),VALUE(LEFT(B732,2)))
      ),
      IF(ISNUMBER(SEARCH("/",B732)*1),
        DATE(VALUE(RIGHT(B732,4)),VALUE(LEFT(B732,2)),VALUE(MID(B732,4,2))),
        DATEVALUE(B732)
      )
    )
  ),
"INVALID_DATE")</f>
        <v>45827</v>
      </c>
      <c r="AA732" s="2">
        <f>IFERROR(
  IF(ISNUMBER(C732),C732,
    IF(ISNUMBER(SEARCH("-",C732)*1),
      IF(LEN(LEFT(C732,FIND("-",C732)-1))=4,
        DATE(VALUE(LEFT(C732,4)),VALUE(MID(C732,6,2)),VALUE(RIGHT(C732,2))),
        DATE(VALUE(RIGHT(C732,4)),VALUE(MID(C732,4,2)),VALUE(LEFT(C732,2)))
      ),
      IF(ISNUMBER(SEARCH("/",C732)*1),
        DATE(VALUE(RIGHT(C732,4)),VALUE(LEFT(C732,2)),VALUE(MID(C732,4,2))),
        DATEVALUE(C732)
      )
    )
  ),
"INVALID_DATE")</f>
        <v>45832</v>
      </c>
      <c r="AB732">
        <f>AA732-Z732</f>
        <v>5</v>
      </c>
      <c r="AC732" t="str">
        <f>TEXT(Z732,"mmmm")</f>
        <v>June</v>
      </c>
      <c r="AD732">
        <f>YEAR(Z732)</f>
        <v>2025</v>
      </c>
      <c r="AE732" t="str">
        <f t="shared" si="35"/>
        <v>OK</v>
      </c>
    </row>
    <row r="733" spans="1:31">
      <c r="A733" t="s">
        <v>3410</v>
      </c>
      <c r="B733" t="s">
        <v>3411</v>
      </c>
      <c r="C733" t="s">
        <v>3412</v>
      </c>
      <c r="D733" t="s">
        <v>3413</v>
      </c>
      <c r="E733" t="s">
        <v>79</v>
      </c>
      <c r="F733" t="s">
        <v>115</v>
      </c>
      <c r="G733" t="s">
        <v>49</v>
      </c>
      <c r="H733" t="s">
        <v>50</v>
      </c>
      <c r="I733" t="s">
        <v>51</v>
      </c>
      <c r="J733" t="s">
        <v>37</v>
      </c>
      <c r="K733" t="s">
        <v>205</v>
      </c>
      <c r="L733" t="s">
        <v>3414</v>
      </c>
      <c r="M733" t="s">
        <v>63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41</v>
      </c>
      <c r="U733" t="s">
        <v>42</v>
      </c>
      <c r="V733">
        <f>O733*(1-P733)*N733</f>
        <v>15756.048000000001</v>
      </c>
      <c r="W733">
        <f t="shared" si="33"/>
        <v>5510.6080000000002</v>
      </c>
      <c r="X733">
        <f t="shared" si="34"/>
        <v>0.34974565325700285</v>
      </c>
      <c r="Y733" t="str">
        <f>_xlfn.TEXTJOIN(", ",TRUE,IF(G733="Unknown","Missing Region",""),IF(M733="Unknown","Missing Ship Mode",""),IF(P733&lt;0,"Negative Discount",""),IF(P733&gt;0.7,"High Discount",""),IF(C733&lt;B733,"Ship Before Order",""))</f>
        <v>Ship Before Order</v>
      </c>
      <c r="Z733" s="2">
        <f>IFERROR(
  IF(ISNUMBER(B733),B733,
    IF(ISNUMBER(SEARCH("-",B733)*1),
      IF(LEN(LEFT(B733,FIND("-",B733)-1))=4,
        DATE(VALUE(LEFT(B733,4)),VALUE(MID(B733,6,2)),VALUE(RIGHT(B733,2))),
        DATE(VALUE(RIGHT(B733,4)),VALUE(MID(B733,4,2)),VALUE(LEFT(B733,2)))
      ),
      IF(ISNUMBER(SEARCH("/",B733)*1),
        DATE(VALUE(RIGHT(B733,4)),VALUE(LEFT(B733,2)),VALUE(MID(B733,4,2))),
        DATEVALUE(B733)
      )
    )
  ),
"INVALID_DATE")</f>
        <v>45368</v>
      </c>
      <c r="AA733" s="2">
        <f>IFERROR(
  IF(ISNUMBER(C733),C733,
    IF(ISNUMBER(SEARCH("-",C733)*1),
      IF(LEN(LEFT(C733,FIND("-",C733)-1))=4,
        DATE(VALUE(LEFT(C733,4)),VALUE(MID(C733,6,2)),VALUE(RIGHT(C733,2))),
        DATE(VALUE(RIGHT(C733,4)),VALUE(MID(C733,4,2)),VALUE(LEFT(C733,2)))
      ),
      IF(ISNUMBER(SEARCH("/",C733)*1),
        DATE(VALUE(RIGHT(C733,4)),VALUE(LEFT(C733,2)),VALUE(MID(C733,4,2))),
        DATEVALUE(C733)
      )
    )
  ),
"INVALID_DATE")</f>
        <v>45370</v>
      </c>
      <c r="AB733">
        <f>AA733-Z733</f>
        <v>2</v>
      </c>
      <c r="AC733" t="str">
        <f>TEXT(Z733,"mmmm")</f>
        <v>March</v>
      </c>
      <c r="AD733">
        <f>YEAR(Z733)</f>
        <v>2024</v>
      </c>
      <c r="AE733" t="str">
        <f t="shared" si="35"/>
        <v>OK</v>
      </c>
    </row>
    <row r="734" spans="1:31">
      <c r="A734" t="s">
        <v>3415</v>
      </c>
      <c r="B734" t="s">
        <v>3416</v>
      </c>
      <c r="C734" t="s">
        <v>2829</v>
      </c>
      <c r="D734" t="s">
        <v>3417</v>
      </c>
      <c r="E734" t="s">
        <v>68</v>
      </c>
      <c r="F734" t="s">
        <v>48</v>
      </c>
      <c r="G734" t="s">
        <v>34</v>
      </c>
      <c r="H734" t="s">
        <v>161</v>
      </c>
      <c r="I734" t="s">
        <v>162</v>
      </c>
      <c r="J734" t="s">
        <v>93</v>
      </c>
      <c r="K734" t="s">
        <v>230</v>
      </c>
      <c r="L734" t="s">
        <v>3418</v>
      </c>
      <c r="M734" t="s">
        <v>74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41</v>
      </c>
      <c r="U734" t="s">
        <v>42</v>
      </c>
      <c r="V734">
        <f>O734*(1-P734)*N734</f>
        <v>14787.78</v>
      </c>
      <c r="W734">
        <f t="shared" si="33"/>
        <v>6191.130000000001</v>
      </c>
      <c r="X734">
        <f t="shared" si="34"/>
        <v>0.41866527632950989</v>
      </c>
      <c r="Y734" t="str">
        <f>_xlfn.TEXTJOIN(", ",TRUE,IF(G734="Unknown","Missing Region",""),IF(M734="Unknown","Missing Ship Mode",""),IF(P734&lt;0,"Negative Discount",""),IF(P734&gt;0.7,"High Discount",""),IF(C734&lt;B734,"Ship Before Order",""))</f>
        <v>Ship Before Order</v>
      </c>
      <c r="Z734" s="2">
        <f>IFERROR(
  IF(ISNUMBER(B734),B734,
    IF(ISNUMBER(SEARCH("-",B734)*1),
      IF(LEN(LEFT(B734,FIND("-",B734)-1))=4,
        DATE(VALUE(LEFT(B734,4)),VALUE(MID(B734,6,2)),VALUE(RIGHT(B734,2))),
        DATE(VALUE(RIGHT(B734,4)),VALUE(MID(B734,4,2)),VALUE(LEFT(B734,2)))
      ),
      IF(ISNUMBER(SEARCH("/",B734)*1),
        DATE(VALUE(RIGHT(B734,4)),VALUE(LEFT(B734,2)),VALUE(MID(B734,4,2))),
        DATEVALUE(B734)
      )
    )
  ),
"INVALID_DATE")</f>
        <v>45624</v>
      </c>
      <c r="AA734" s="2">
        <f>IFERROR(
  IF(ISNUMBER(C734),C734,
    IF(ISNUMBER(SEARCH("-",C734)*1),
      IF(LEN(LEFT(C734,FIND("-",C734)-1))=4,
        DATE(VALUE(LEFT(C734,4)),VALUE(MID(C734,6,2)),VALUE(RIGHT(C734,2))),
        DATE(VALUE(RIGHT(C734,4)),VALUE(MID(C734,4,2)),VALUE(LEFT(C734,2)))
      ),
      IF(ISNUMBER(SEARCH("/",C734)*1),
        DATE(VALUE(RIGHT(C734,4)),VALUE(LEFT(C734,2)),VALUE(MID(C734,4,2))),
        DATEVALUE(C734)
      )
    )
  ),
"INVALID_DATE")</f>
        <v>45632</v>
      </c>
      <c r="AB734">
        <f>AA734-Z734</f>
        <v>8</v>
      </c>
      <c r="AC734" t="str">
        <f>TEXT(Z734,"mmmm")</f>
        <v>November</v>
      </c>
      <c r="AD734">
        <f>YEAR(Z734)</f>
        <v>2024</v>
      </c>
      <c r="AE734" t="str">
        <f t="shared" si="35"/>
        <v>OK</v>
      </c>
    </row>
    <row r="735" spans="1:31">
      <c r="A735" t="s">
        <v>3419</v>
      </c>
      <c r="B735" t="s">
        <v>1840</v>
      </c>
      <c r="C735" t="s">
        <v>3420</v>
      </c>
      <c r="D735" t="s">
        <v>3421</v>
      </c>
      <c r="E735" t="s">
        <v>169</v>
      </c>
      <c r="F735" t="s">
        <v>122</v>
      </c>
      <c r="G735" t="s">
        <v>34</v>
      </c>
      <c r="H735" t="s">
        <v>35</v>
      </c>
      <c r="I735" t="s">
        <v>36</v>
      </c>
      <c r="J735" t="s">
        <v>52</v>
      </c>
      <c r="K735" t="s">
        <v>72</v>
      </c>
      <c r="L735" t="s">
        <v>3422</v>
      </c>
      <c r="M735" t="s">
        <v>63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41</v>
      </c>
      <c r="U735" t="s">
        <v>42</v>
      </c>
      <c r="V735">
        <f>O735*(1-P735)*N735</f>
        <v>25181.64</v>
      </c>
      <c r="W735">
        <f t="shared" si="33"/>
        <v>9843.74</v>
      </c>
      <c r="X735">
        <f t="shared" si="34"/>
        <v>0.39090940860086953</v>
      </c>
      <c r="Y735" t="s">
        <v>4120</v>
      </c>
      <c r="Z735" s="2">
        <f>IFERROR(
  IF(ISNUMBER(B735),B735,
    IF(ISNUMBER(SEARCH("-",B735)*1),
      IF(LEN(LEFT(B735,FIND("-",B735)-1))=4,
        DATE(VALUE(LEFT(B735,4)),VALUE(MID(B735,6,2)),VALUE(RIGHT(B735,2))),
        DATE(VALUE(RIGHT(B735,4)),VALUE(MID(B735,4,2)),VALUE(LEFT(B735,2)))
      ),
      IF(ISNUMBER(SEARCH("/",B735)*1),
        DATE(VALUE(RIGHT(B735,4)),VALUE(LEFT(B735,2)),VALUE(MID(B735,4,2))),
        DATEVALUE(B735)
      )
    )
  ),
"INVALID_DATE")</f>
        <v>45464</v>
      </c>
      <c r="AA735" s="2">
        <f>IFERROR(
  IF(ISNUMBER(C735),C735,
    IF(ISNUMBER(SEARCH("-",C735)*1),
      IF(LEN(LEFT(C735,FIND("-",C735)-1))=4,
        DATE(VALUE(LEFT(C735,4)),VALUE(MID(C735,6,2)),VALUE(RIGHT(C735,2))),
        DATE(VALUE(RIGHT(C735,4)),VALUE(MID(C735,4,2)),VALUE(LEFT(C735,2)))
      ),
      IF(ISNUMBER(SEARCH("/",C735)*1),
        DATE(VALUE(RIGHT(C735,4)),VALUE(LEFT(C735,2)),VALUE(MID(C735,4,2))),
        DATEVALUE(C735)
      )
    )
  ),
"INVALID_DATE")</f>
        <v>45471</v>
      </c>
      <c r="AB735">
        <f>AA735-Z735</f>
        <v>7</v>
      </c>
      <c r="AC735" t="str">
        <f>TEXT(Z735,"mmmm")</f>
        <v>June</v>
      </c>
      <c r="AD735">
        <f>YEAR(Z735)</f>
        <v>2024</v>
      </c>
      <c r="AE735" t="str">
        <f t="shared" si="35"/>
        <v>OK</v>
      </c>
    </row>
    <row r="736" spans="1:31">
      <c r="A736" t="s">
        <v>3423</v>
      </c>
      <c r="B736" t="s">
        <v>3424</v>
      </c>
      <c r="C736" t="s">
        <v>3424</v>
      </c>
      <c r="D736" t="s">
        <v>3425</v>
      </c>
      <c r="E736" t="s">
        <v>79</v>
      </c>
      <c r="F736" t="s">
        <v>48</v>
      </c>
      <c r="G736" t="s">
        <v>34</v>
      </c>
      <c r="H736" t="s">
        <v>35</v>
      </c>
      <c r="I736" t="s">
        <v>36</v>
      </c>
      <c r="J736" t="s">
        <v>93</v>
      </c>
      <c r="K736" t="s">
        <v>94</v>
      </c>
      <c r="L736" t="s">
        <v>3426</v>
      </c>
      <c r="M736" t="s">
        <v>63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41</v>
      </c>
      <c r="U736" t="s">
        <v>42</v>
      </c>
      <c r="V736">
        <f>O736*(1-P736)*N736</f>
        <v>8837.9520000000011</v>
      </c>
      <c r="W736">
        <f t="shared" si="33"/>
        <v>2680.6820000000007</v>
      </c>
      <c r="X736">
        <f t="shared" si="34"/>
        <v>0.30331468270356809</v>
      </c>
      <c r="Y736" t="s">
        <v>4120</v>
      </c>
      <c r="Z736" s="2">
        <f>IFERROR(
  IF(ISNUMBER(B736),B736,
    IF(ISNUMBER(SEARCH("-",B736)*1),
      IF(LEN(LEFT(B736,FIND("-",B736)-1))=4,
        DATE(VALUE(LEFT(B736,4)),VALUE(MID(B736,6,2)),VALUE(RIGHT(B736,2))),
        DATE(VALUE(RIGHT(B736,4)),VALUE(MID(B736,4,2)),VALUE(LEFT(B736,2)))
      ),
      IF(ISNUMBER(SEARCH("/",B736)*1),
        DATE(VALUE(RIGHT(B736,4)),VALUE(LEFT(B736,2)),VALUE(MID(B736,4,2))),
        DATEVALUE(B736)
      )
    )
  ),
"INVALID_DATE")</f>
        <v>45528</v>
      </c>
      <c r="AA736" s="2">
        <f>IFERROR(
  IF(ISNUMBER(C736),C736,
    IF(ISNUMBER(SEARCH("-",C736)*1),
      IF(LEN(LEFT(C736,FIND("-",C736)-1))=4,
        DATE(VALUE(LEFT(C736,4)),VALUE(MID(C736,6,2)),VALUE(RIGHT(C736,2))),
        DATE(VALUE(RIGHT(C736,4)),VALUE(MID(C736,4,2)),VALUE(LEFT(C736,2)))
      ),
      IF(ISNUMBER(SEARCH("/",C736)*1),
        DATE(VALUE(RIGHT(C736,4)),VALUE(LEFT(C736,2)),VALUE(MID(C736,4,2))),
        DATEVALUE(C736)
      )
    )
  ),
"INVALID_DATE")</f>
        <v>45528</v>
      </c>
      <c r="AB736">
        <f>AA736-Z736</f>
        <v>0</v>
      </c>
      <c r="AC736" t="str">
        <f>TEXT(Z736,"mmmm")</f>
        <v>August</v>
      </c>
      <c r="AD736">
        <f>YEAR(Z736)</f>
        <v>2024</v>
      </c>
      <c r="AE736" t="str">
        <f t="shared" si="35"/>
        <v>OK</v>
      </c>
    </row>
    <row r="737" spans="1:31">
      <c r="A737" t="s">
        <v>3427</v>
      </c>
      <c r="B737" t="s">
        <v>3428</v>
      </c>
      <c r="C737" t="s">
        <v>2869</v>
      </c>
      <c r="D737" t="s">
        <v>3429</v>
      </c>
      <c r="E737" t="s">
        <v>47</v>
      </c>
      <c r="F737" t="s">
        <v>33</v>
      </c>
      <c r="G737" t="s">
        <v>80</v>
      </c>
      <c r="H737" t="s">
        <v>81</v>
      </c>
      <c r="I737" t="s">
        <v>82</v>
      </c>
      <c r="J737" t="s">
        <v>52</v>
      </c>
      <c r="K737" t="s">
        <v>53</v>
      </c>
      <c r="L737" t="s">
        <v>3430</v>
      </c>
      <c r="M737" t="s">
        <v>74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41</v>
      </c>
      <c r="U737" t="s">
        <v>42</v>
      </c>
      <c r="V737">
        <f>O737*(1-P737)*N737</f>
        <v>7275.7920000000004</v>
      </c>
      <c r="W737">
        <f t="shared" si="33"/>
        <v>1122.9220000000005</v>
      </c>
      <c r="X737">
        <f t="shared" si="34"/>
        <v>0.15433650503931534</v>
      </c>
      <c r="Y737" t="str">
        <f>_xlfn.TEXTJOIN(", ",TRUE,IF(G737="Unknown","Missing Region",""),IF(M737="Unknown","Missing Ship Mode",""),IF(P737&lt;0,"Negative Discount",""),IF(P737&gt;0.7,"High Discount",""),IF(C737&lt;B737,"Ship Before Order",""))</f>
        <v>Ship Before Order</v>
      </c>
      <c r="Z737" s="2">
        <f>IFERROR(
  IF(ISNUMBER(B737),B737,
    IF(ISNUMBER(SEARCH("-",B737)*1),
      IF(LEN(LEFT(B737,FIND("-",B737)-1))=4,
        DATE(VALUE(LEFT(B737,4)),VALUE(MID(B737,6,2)),VALUE(RIGHT(B737,2))),
        DATE(VALUE(RIGHT(B737,4)),VALUE(MID(B737,4,2)),VALUE(LEFT(B737,2)))
      ),
      IF(ISNUMBER(SEARCH("/",B737)*1),
        DATE(VALUE(RIGHT(B737,4)),VALUE(LEFT(B737,2)),VALUE(MID(B737,4,2))),
        DATEVALUE(B737)
      )
    )
  ),
"INVALID_DATE")</f>
        <v>45515</v>
      </c>
      <c r="AA737" s="2">
        <f>IFERROR(
  IF(ISNUMBER(C737),C737,
    IF(ISNUMBER(SEARCH("-",C737)*1),
      IF(LEN(LEFT(C737,FIND("-",C737)-1))=4,
        DATE(VALUE(LEFT(C737,4)),VALUE(MID(C737,6,2)),VALUE(RIGHT(C737,2))),
        DATE(VALUE(RIGHT(C737,4)),VALUE(MID(C737,4,2)),VALUE(LEFT(C737,2)))
      ),
      IF(ISNUMBER(SEARCH("/",C737)*1),
        DATE(VALUE(RIGHT(C737,4)),VALUE(LEFT(C737,2)),VALUE(MID(C737,4,2))),
        DATEVALUE(C737)
      )
    )
  ),
"INVALID_DATE")</f>
        <v>45523</v>
      </c>
      <c r="AB737">
        <f>AA737-Z737</f>
        <v>8</v>
      </c>
      <c r="AC737" t="str">
        <f>TEXT(Z737,"mmmm")</f>
        <v>August</v>
      </c>
      <c r="AD737">
        <f>YEAR(Z737)</f>
        <v>2024</v>
      </c>
      <c r="AE737" t="str">
        <f t="shared" si="35"/>
        <v>OK</v>
      </c>
    </row>
    <row r="738" spans="1:31">
      <c r="A738" t="s">
        <v>3431</v>
      </c>
      <c r="B738" t="s">
        <v>2829</v>
      </c>
      <c r="C738" t="s">
        <v>3432</v>
      </c>
      <c r="D738" t="s">
        <v>3433</v>
      </c>
      <c r="E738" t="s">
        <v>114</v>
      </c>
      <c r="F738" t="s">
        <v>33</v>
      </c>
      <c r="G738" t="s">
        <v>80</v>
      </c>
      <c r="H738" t="s">
        <v>81</v>
      </c>
      <c r="I738" t="s">
        <v>82</v>
      </c>
      <c r="J738" t="s">
        <v>52</v>
      </c>
      <c r="K738" t="s">
        <v>83</v>
      </c>
      <c r="L738" t="s">
        <v>3434</v>
      </c>
      <c r="M738" t="s">
        <v>40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41</v>
      </c>
      <c r="U738" t="s">
        <v>42</v>
      </c>
      <c r="V738">
        <f>O738*(1-P738)*N738</f>
        <v>2355.0750000000003</v>
      </c>
      <c r="W738">
        <f t="shared" si="33"/>
        <v>1005.0450000000003</v>
      </c>
      <c r="X738">
        <f t="shared" si="34"/>
        <v>0.42675832668104691</v>
      </c>
      <c r="Y738" t="s">
        <v>4120</v>
      </c>
      <c r="Z738" s="2">
        <f>IFERROR(
  IF(ISNUMBER(B738),B738,
    IF(ISNUMBER(SEARCH("-",B738)*1),
      IF(LEN(LEFT(B738,FIND("-",B738)-1))=4,
        DATE(VALUE(LEFT(B738,4)),VALUE(MID(B738,6,2)),VALUE(RIGHT(B738,2))),
        DATE(VALUE(RIGHT(B738,4)),VALUE(MID(B738,4,2)),VALUE(LEFT(B738,2)))
      ),
      IF(ISNUMBER(SEARCH("/",B738)*1),
        DATE(VALUE(RIGHT(B738,4)),VALUE(LEFT(B738,2)),VALUE(MID(B738,4,2))),
        DATEVALUE(B738)
      )
    )
  ),
"INVALID_DATE")</f>
        <v>45632</v>
      </c>
      <c r="AA738" s="2">
        <f>IFERROR(
  IF(ISNUMBER(C738),C738,
    IF(ISNUMBER(SEARCH("-",C738)*1),
      IF(LEN(LEFT(C738,FIND("-",C738)-1))=4,
        DATE(VALUE(LEFT(C738,4)),VALUE(MID(C738,6,2)),VALUE(RIGHT(C738,2))),
        DATE(VALUE(RIGHT(C738,4)),VALUE(MID(C738,4,2)),VALUE(LEFT(C738,2)))
      ),
      IF(ISNUMBER(SEARCH("/",C738)*1),
        DATE(VALUE(RIGHT(C738,4)),VALUE(LEFT(C738,2)),VALUE(MID(C738,4,2))),
        DATEVALUE(C738)
      )
    )
  ),
"INVALID_DATE")</f>
        <v>45635</v>
      </c>
      <c r="AB738">
        <f>AA738-Z738</f>
        <v>3</v>
      </c>
      <c r="AC738" t="str">
        <f>TEXT(Z738,"mmmm")</f>
        <v>December</v>
      </c>
      <c r="AD738">
        <f>YEAR(Z738)</f>
        <v>2024</v>
      </c>
      <c r="AE738" t="str">
        <f t="shared" si="35"/>
        <v>OK</v>
      </c>
    </row>
    <row r="739" spans="1:31">
      <c r="A739" t="s">
        <v>3435</v>
      </c>
      <c r="B739" t="s">
        <v>2257</v>
      </c>
      <c r="C739" t="s">
        <v>2137</v>
      </c>
      <c r="D739" t="s">
        <v>3436</v>
      </c>
      <c r="E739" t="s">
        <v>60</v>
      </c>
      <c r="F739" t="s">
        <v>122</v>
      </c>
      <c r="G739" t="s">
        <v>80</v>
      </c>
      <c r="H739" t="s">
        <v>81</v>
      </c>
      <c r="I739" t="s">
        <v>82</v>
      </c>
      <c r="J739" t="s">
        <v>52</v>
      </c>
      <c r="K739" t="s">
        <v>83</v>
      </c>
      <c r="L739" t="s">
        <v>3437</v>
      </c>
      <c r="M739" t="s">
        <v>55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41</v>
      </c>
      <c r="U739" t="s">
        <v>42</v>
      </c>
      <c r="V739">
        <f>O739*(1-P739)*N739</f>
        <v>3609.12</v>
      </c>
      <c r="W739">
        <f t="shared" si="33"/>
        <v>963.61999999999989</v>
      </c>
      <c r="X739">
        <f t="shared" si="34"/>
        <v>0.26699583277918165</v>
      </c>
      <c r="Y739" t="str">
        <f>_xlfn.TEXTJOIN(", ",TRUE,IF(G739="Unknown","Missing Region",""),IF(M739="Unknown","Missing Ship Mode",""),IF(P739&lt;0,"Negative Discount",""),IF(P739&gt;0.7,"High Discount",""),IF(C739&lt;B739,"Ship Before Order",""))</f>
        <v>Ship Before Order</v>
      </c>
      <c r="Z739" s="2">
        <f>IFERROR(
  IF(ISNUMBER(B739),B739,
    IF(ISNUMBER(SEARCH("-",B739)*1),
      IF(LEN(LEFT(B739,FIND("-",B739)-1))=4,
        DATE(VALUE(LEFT(B739,4)),VALUE(MID(B739,6,2)),VALUE(RIGHT(B739,2))),
        DATE(VALUE(RIGHT(B739,4)),VALUE(MID(B739,4,2)),VALUE(LEFT(B739,2)))
      ),
      IF(ISNUMBER(SEARCH("/",B739)*1),
        DATE(VALUE(RIGHT(B739,4)),VALUE(LEFT(B739,2)),VALUE(MID(B739,4,2))),
        DATEVALUE(B739)
      )
    )
  ),
"INVALID_DATE")</f>
        <v>45332</v>
      </c>
      <c r="AA739" s="2">
        <f>IFERROR(
  IF(ISNUMBER(C739),C739,
    IF(ISNUMBER(SEARCH("-",C739)*1),
      IF(LEN(LEFT(C739,FIND("-",C739)-1))=4,
        DATE(VALUE(LEFT(C739,4)),VALUE(MID(C739,6,2)),VALUE(RIGHT(C739,2))),
        DATE(VALUE(RIGHT(C739,4)),VALUE(MID(C739,4,2)),VALUE(LEFT(C739,2)))
      ),
      IF(ISNUMBER(SEARCH("/",C739)*1),
        DATE(VALUE(RIGHT(C739,4)),VALUE(LEFT(C739,2)),VALUE(MID(C739,4,2))),
        DATEVALUE(C739)
      )
    )
  ),
"INVALID_DATE")</f>
        <v>45332</v>
      </c>
      <c r="AB739">
        <f>AA739-Z739</f>
        <v>0</v>
      </c>
      <c r="AC739" t="str">
        <f>TEXT(Z739,"mmmm")</f>
        <v>February</v>
      </c>
      <c r="AD739">
        <f>YEAR(Z739)</f>
        <v>2024</v>
      </c>
      <c r="AE739" t="str">
        <f t="shared" si="35"/>
        <v>OK</v>
      </c>
    </row>
    <row r="740" spans="1:31">
      <c r="A740" t="s">
        <v>3438</v>
      </c>
      <c r="B740" t="s">
        <v>1574</v>
      </c>
      <c r="C740" t="s">
        <v>3439</v>
      </c>
      <c r="D740" t="s">
        <v>3440</v>
      </c>
      <c r="E740" t="s">
        <v>149</v>
      </c>
      <c r="F740" t="s">
        <v>115</v>
      </c>
      <c r="G740" t="s">
        <v>69</v>
      </c>
      <c r="H740" t="s">
        <v>249</v>
      </c>
      <c r="I740" t="s">
        <v>250</v>
      </c>
      <c r="J740" t="s">
        <v>37</v>
      </c>
      <c r="K740" t="s">
        <v>38</v>
      </c>
      <c r="L740" t="s">
        <v>3441</v>
      </c>
      <c r="M740" t="s">
        <v>63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41</v>
      </c>
      <c r="U740" t="s">
        <v>42</v>
      </c>
      <c r="V740">
        <f>O740*(1-P740)*N740</f>
        <v>2188.19</v>
      </c>
      <c r="W740">
        <f t="shared" si="33"/>
        <v>889.35000000000014</v>
      </c>
      <c r="X740">
        <f t="shared" si="34"/>
        <v>0.40643179979800659</v>
      </c>
      <c r="Y740" t="str">
        <f>_xlfn.TEXTJOIN(", ",TRUE,IF(G740="Unknown","Missing Region",""),IF(M740="Unknown","Missing Ship Mode",""),IF(P740&lt;0,"Negative Discount",""),IF(P740&gt;0.7,"High Discount",""),IF(C740&lt;B740,"Ship Before Order",""))</f>
        <v>Ship Before Order</v>
      </c>
      <c r="Z740" s="2">
        <f>IFERROR(
  IF(ISNUMBER(B740),B740,
    IF(ISNUMBER(SEARCH("-",B740)*1),
      IF(LEN(LEFT(B740,FIND("-",B740)-1))=4,
        DATE(VALUE(LEFT(B740,4)),VALUE(MID(B740,6,2)),VALUE(RIGHT(B740,2))),
        DATE(VALUE(RIGHT(B740,4)),VALUE(MID(B740,4,2)),VALUE(LEFT(B740,2)))
      ),
      IF(ISNUMBER(SEARCH("/",B740)*1),
        DATE(VALUE(RIGHT(B740,4)),VALUE(LEFT(B740,2)),VALUE(MID(B740,4,2))),
        DATEVALUE(B740)
      )
    )
  ),
"INVALID_DATE")</f>
        <v>45708</v>
      </c>
      <c r="AA740" s="2">
        <f>IFERROR(
  IF(ISNUMBER(C740),C740,
    IF(ISNUMBER(SEARCH("-",C740)*1),
      IF(LEN(LEFT(C740,FIND("-",C740)-1))=4,
        DATE(VALUE(LEFT(C740,4)),VALUE(MID(C740,6,2)),VALUE(RIGHT(C740,2))),
        DATE(VALUE(RIGHT(C740,4)),VALUE(MID(C740,4,2)),VALUE(LEFT(C740,2)))
      ),
      IF(ISNUMBER(SEARCH("/",C740)*1),
        DATE(VALUE(RIGHT(C740,4)),VALUE(LEFT(C740,2)),VALUE(MID(C740,4,2))),
        DATEVALUE(C740)
      )
    )
  ),
"INVALID_DATE")</f>
        <v>45710</v>
      </c>
      <c r="AB740">
        <f>AA740-Z740</f>
        <v>2</v>
      </c>
      <c r="AC740" t="str">
        <f>TEXT(Z740,"mmmm")</f>
        <v>February</v>
      </c>
      <c r="AD740">
        <f>YEAR(Z740)</f>
        <v>2025</v>
      </c>
      <c r="AE740" t="str">
        <f t="shared" si="35"/>
        <v>OK</v>
      </c>
    </row>
    <row r="741" spans="1:31">
      <c r="A741" t="s">
        <v>3442</v>
      </c>
      <c r="B741" t="s">
        <v>3443</v>
      </c>
      <c r="C741" t="s">
        <v>3444</v>
      </c>
      <c r="D741" t="s">
        <v>3445</v>
      </c>
      <c r="E741" t="s">
        <v>100</v>
      </c>
      <c r="F741" t="s">
        <v>115</v>
      </c>
      <c r="G741" t="s">
        <v>34</v>
      </c>
      <c r="H741" t="s">
        <v>35</v>
      </c>
      <c r="I741" t="s">
        <v>36</v>
      </c>
      <c r="J741" t="s">
        <v>93</v>
      </c>
      <c r="K741" t="s">
        <v>230</v>
      </c>
      <c r="L741" t="s">
        <v>3446</v>
      </c>
      <c r="M741" t="s">
        <v>74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41</v>
      </c>
      <c r="U741" t="s">
        <v>42</v>
      </c>
      <c r="V741">
        <f>O741*(1-P741)*N741</f>
        <v>11370.834999999999</v>
      </c>
      <c r="W741">
        <f t="shared" si="33"/>
        <v>3901.2549999999992</v>
      </c>
      <c r="X741">
        <f t="shared" si="34"/>
        <v>0.34309338624059438</v>
      </c>
      <c r="Y741" t="s">
        <v>4120</v>
      </c>
      <c r="Z741" s="2">
        <f>IFERROR(
  IF(ISNUMBER(B741),B741,
    IF(ISNUMBER(SEARCH("-",B741)*1),
      IF(LEN(LEFT(B741,FIND("-",B741)-1))=4,
        DATE(VALUE(LEFT(B741,4)),VALUE(MID(B741,6,2)),VALUE(RIGHT(B741,2))),
        DATE(VALUE(RIGHT(B741,4)),VALUE(MID(B741,4,2)),VALUE(LEFT(B741,2)))
      ),
      IF(ISNUMBER(SEARCH("/",B741)*1),
        DATE(VALUE(RIGHT(B741,4)),VALUE(LEFT(B741,2)),VALUE(MID(B741,4,2))),
        DATEVALUE(B741)
      )
    )
  ),
"INVALID_DATE")</f>
        <v>45629</v>
      </c>
      <c r="AA741" s="2">
        <f>IFERROR(
  IF(ISNUMBER(C741),C741,
    IF(ISNUMBER(SEARCH("-",C741)*1),
      IF(LEN(LEFT(C741,FIND("-",C741)-1))=4,
        DATE(VALUE(LEFT(C741,4)),VALUE(MID(C741,6,2)),VALUE(RIGHT(C741,2))),
        DATE(VALUE(RIGHT(C741,4)),VALUE(MID(C741,4,2)),VALUE(LEFT(C741,2)))
      ),
      IF(ISNUMBER(SEARCH("/",C741)*1),
        DATE(VALUE(RIGHT(C741,4)),VALUE(LEFT(C741,2)),VALUE(MID(C741,4,2))),
        DATEVALUE(C741)
      )
    )
  ),
"INVALID_DATE")</f>
        <v>45636</v>
      </c>
      <c r="AB741">
        <f>AA741-Z741</f>
        <v>7</v>
      </c>
      <c r="AC741" t="str">
        <f>TEXT(Z741,"mmmm")</f>
        <v>December</v>
      </c>
      <c r="AD741">
        <f>YEAR(Z741)</f>
        <v>2024</v>
      </c>
      <c r="AE741" t="str">
        <f t="shared" si="35"/>
        <v>OK</v>
      </c>
    </row>
    <row r="742" spans="1:31">
      <c r="A742" t="s">
        <v>3447</v>
      </c>
      <c r="B742" t="s">
        <v>3448</v>
      </c>
      <c r="C742" t="s">
        <v>2178</v>
      </c>
      <c r="D742" t="s">
        <v>786</v>
      </c>
      <c r="E742" t="s">
        <v>175</v>
      </c>
      <c r="F742" t="s">
        <v>48</v>
      </c>
      <c r="G742" t="s">
        <v>80</v>
      </c>
      <c r="H742" t="s">
        <v>81</v>
      </c>
      <c r="I742" t="s">
        <v>82</v>
      </c>
      <c r="J742" t="s">
        <v>52</v>
      </c>
      <c r="K742" t="s">
        <v>83</v>
      </c>
      <c r="L742" t="s">
        <v>3449</v>
      </c>
      <c r="M742" t="s">
        <v>63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41</v>
      </c>
      <c r="U742" t="s">
        <v>42</v>
      </c>
      <c r="V742">
        <f>O742*(1-P742)*N742</f>
        <v>9298.8000000000011</v>
      </c>
      <c r="W742">
        <f t="shared" si="33"/>
        <v>2750.3000000000011</v>
      </c>
      <c r="X742">
        <f t="shared" si="34"/>
        <v>0.29576934658235476</v>
      </c>
      <c r="Y742" t="s">
        <v>4120</v>
      </c>
      <c r="Z742" s="2">
        <f>IFERROR(
  IF(ISNUMBER(B742),B742,
    IF(ISNUMBER(SEARCH("-",B742)*1),
      IF(LEN(LEFT(B742,FIND("-",B742)-1))=4,
        DATE(VALUE(LEFT(B742,4)),VALUE(MID(B742,6,2)),VALUE(RIGHT(B742,2))),
        DATE(VALUE(RIGHT(B742,4)),VALUE(MID(B742,4,2)),VALUE(LEFT(B742,2)))
      ),
      IF(ISNUMBER(SEARCH("/",B742)*1),
        DATE(VALUE(RIGHT(B742,4)),VALUE(LEFT(B742,2)),VALUE(MID(B742,4,2))),
        DATEVALUE(B742)
      )
    )
  ),
"INVALID_DATE")</f>
        <v>45384</v>
      </c>
      <c r="AA742" s="2">
        <f>IFERROR(
  IF(ISNUMBER(C742),C742,
    IF(ISNUMBER(SEARCH("-",C742)*1),
      IF(LEN(LEFT(C742,FIND("-",C742)-1))=4,
        DATE(VALUE(LEFT(C742,4)),VALUE(MID(C742,6,2)),VALUE(RIGHT(C742,2))),
        DATE(VALUE(RIGHT(C742,4)),VALUE(MID(C742,4,2)),VALUE(LEFT(C742,2)))
      ),
      IF(ISNUMBER(SEARCH("/",C742)*1),
        DATE(VALUE(RIGHT(C742,4)),VALUE(LEFT(C742,2)),VALUE(MID(C742,4,2))),
        DATEVALUE(C742)
      )
    )
  ),
"INVALID_DATE")</f>
        <v>45384</v>
      </c>
      <c r="AB742">
        <f>AA742-Z742</f>
        <v>0</v>
      </c>
      <c r="AC742" t="str">
        <f>TEXT(Z742,"mmmm")</f>
        <v>April</v>
      </c>
      <c r="AD742">
        <f>YEAR(Z742)</f>
        <v>2024</v>
      </c>
      <c r="AE742" t="str">
        <f t="shared" si="35"/>
        <v>OK</v>
      </c>
    </row>
    <row r="743" spans="1:31">
      <c r="A743" t="s">
        <v>3450</v>
      </c>
      <c r="B743" t="s">
        <v>3451</v>
      </c>
      <c r="C743" t="s">
        <v>3452</v>
      </c>
      <c r="D743" t="s">
        <v>3453</v>
      </c>
      <c r="E743" t="s">
        <v>60</v>
      </c>
      <c r="F743" t="s">
        <v>122</v>
      </c>
      <c r="G743" t="s">
        <v>69</v>
      </c>
      <c r="H743" t="s">
        <v>347</v>
      </c>
      <c r="I743" t="s">
        <v>348</v>
      </c>
      <c r="J743" t="s">
        <v>52</v>
      </c>
      <c r="K743" t="s">
        <v>83</v>
      </c>
      <c r="L743" t="s">
        <v>3454</v>
      </c>
      <c r="M743" t="s">
        <v>40</v>
      </c>
      <c r="N743">
        <v>3</v>
      </c>
      <c r="O743">
        <v>2951.12</v>
      </c>
      <c r="P743">
        <v>0</v>
      </c>
      <c r="Q743">
        <v>7082.69</v>
      </c>
      <c r="R743">
        <v>5596.34</v>
      </c>
      <c r="S743">
        <v>1486.35</v>
      </c>
      <c r="T743" t="s">
        <v>41</v>
      </c>
      <c r="U743" t="s">
        <v>85</v>
      </c>
      <c r="V743">
        <f>O743*(1-P743)*N743</f>
        <v>8853.36</v>
      </c>
      <c r="W743">
        <f t="shared" si="33"/>
        <v>3257.0200000000004</v>
      </c>
      <c r="X743">
        <f t="shared" si="34"/>
        <v>0.2098567069856227</v>
      </c>
      <c r="Y743" t="s">
        <v>4120</v>
      </c>
      <c r="Z743" s="2">
        <f>IFERROR(
  IF(ISNUMBER(B743),B743,
    IF(ISNUMBER(SEARCH("-",B743)*1),
      IF(LEN(LEFT(B743,FIND("-",B743)-1))=4,
        DATE(VALUE(LEFT(B743,4)),VALUE(MID(B743,6,2)),VALUE(RIGHT(B743,2))),
        DATE(VALUE(RIGHT(B743,4)),VALUE(MID(B743,4,2)),VALUE(LEFT(B743,2)))
      ),
      IF(ISNUMBER(SEARCH("/",B743)*1),
        DATE(VALUE(RIGHT(B743,4)),VALUE(LEFT(B743,2)),VALUE(MID(B743,4,2))),
        DATEVALUE(B743)
      )
    )
  ),
"INVALID_DATE")</f>
        <v>45770</v>
      </c>
      <c r="AA743" s="2">
        <f>IFERROR(
  IF(ISNUMBER(C743),C743,
    IF(ISNUMBER(SEARCH("-",C743)*1),
      IF(LEN(LEFT(C743,FIND("-",C743)-1))=4,
        DATE(VALUE(LEFT(C743,4)),VALUE(MID(C743,6,2)),VALUE(RIGHT(C743,2))),
        DATE(VALUE(RIGHT(C743,4)),VALUE(MID(C743,4,2)),VALUE(LEFT(C743,2)))
      ),
      IF(ISNUMBER(SEARCH("/",C743)*1),
        DATE(VALUE(RIGHT(C743,4)),VALUE(LEFT(C743,2)),VALUE(MID(C743,4,2))),
        DATEVALUE(C743)
      )
    )
  ),
"INVALID_DATE")</f>
        <v>45772</v>
      </c>
      <c r="AB743">
        <f>AA743-Z743</f>
        <v>2</v>
      </c>
      <c r="AC743" t="str">
        <f>TEXT(Z743,"mmmm")</f>
        <v>April</v>
      </c>
      <c r="AD743">
        <f>YEAR(Z743)</f>
        <v>2025</v>
      </c>
      <c r="AE743" t="str">
        <f t="shared" si="35"/>
        <v>OK</v>
      </c>
    </row>
    <row r="744" spans="1:31">
      <c r="A744" t="s">
        <v>3455</v>
      </c>
      <c r="B744" t="s">
        <v>3456</v>
      </c>
      <c r="C744" t="s">
        <v>3457</v>
      </c>
      <c r="D744" t="s">
        <v>3458</v>
      </c>
      <c r="E744" t="s">
        <v>32</v>
      </c>
      <c r="F744" t="s">
        <v>115</v>
      </c>
      <c r="G744" t="s">
        <v>3459</v>
      </c>
      <c r="H744" t="s">
        <v>50</v>
      </c>
      <c r="I744" t="s">
        <v>51</v>
      </c>
      <c r="J744" t="s">
        <v>37</v>
      </c>
      <c r="K744" t="s">
        <v>38</v>
      </c>
      <c r="L744" t="s">
        <v>3460</v>
      </c>
      <c r="M744" t="s">
        <v>74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41</v>
      </c>
      <c r="U744" t="s">
        <v>42</v>
      </c>
      <c r="V744">
        <f>O744*(1-P744)*N744</f>
        <v>9043.7999999999993</v>
      </c>
      <c r="W744">
        <f t="shared" si="33"/>
        <v>3130.4199999999992</v>
      </c>
      <c r="X744">
        <f t="shared" si="34"/>
        <v>0.34613989694597408</v>
      </c>
      <c r="Y744" t="s">
        <v>4120</v>
      </c>
      <c r="Z744" s="2">
        <f>IFERROR(
  IF(ISNUMBER(B744),B744,
    IF(ISNUMBER(SEARCH("-",B744)*1),
      IF(LEN(LEFT(B744,FIND("-",B744)-1))=4,
        DATE(VALUE(LEFT(B744,4)),VALUE(MID(B744,6,2)),VALUE(RIGHT(B744,2))),
        DATE(VALUE(RIGHT(B744,4)),VALUE(MID(B744,4,2)),VALUE(LEFT(B744,2)))
      ),
      IF(ISNUMBER(SEARCH("/",B744)*1),
        DATE(VALUE(RIGHT(B744,4)),VALUE(LEFT(B744,2)),VALUE(MID(B744,4,2))),
        DATEVALUE(B744)
      )
    )
  ),
"INVALID_DATE")</f>
        <v>45580</v>
      </c>
      <c r="AA744" s="2">
        <f>IFERROR(
  IF(ISNUMBER(C744),C744,
    IF(ISNUMBER(SEARCH("-",C744)*1),
      IF(LEN(LEFT(C744,FIND("-",C744)-1))=4,
        DATE(VALUE(LEFT(C744,4)),VALUE(MID(C744,6,2)),VALUE(RIGHT(C744,2))),
        DATE(VALUE(RIGHT(C744,4)),VALUE(MID(C744,4,2)),VALUE(LEFT(C744,2)))
      ),
      IF(ISNUMBER(SEARCH("/",C744)*1),
        DATE(VALUE(RIGHT(C744,4)),VALUE(LEFT(C744,2)),VALUE(MID(C744,4,2))),
        DATEVALUE(C744)
      )
    )
  ),
"INVALID_DATE")</f>
        <v>45587</v>
      </c>
      <c r="AB744">
        <f>AA744-Z744</f>
        <v>7</v>
      </c>
      <c r="AC744" t="str">
        <f>TEXT(Z744,"mmmm")</f>
        <v>October</v>
      </c>
      <c r="AD744">
        <f>YEAR(Z744)</f>
        <v>2024</v>
      </c>
      <c r="AE744" t="str">
        <f t="shared" si="35"/>
        <v>OK</v>
      </c>
    </row>
    <row r="745" spans="1:31">
      <c r="A745" t="s">
        <v>3461</v>
      </c>
      <c r="B745" t="s">
        <v>1405</v>
      </c>
      <c r="C745" t="s">
        <v>1948</v>
      </c>
      <c r="D745" t="s">
        <v>3462</v>
      </c>
      <c r="E745" t="s">
        <v>175</v>
      </c>
      <c r="F745" t="s">
        <v>33</v>
      </c>
      <c r="G745" t="s">
        <v>34</v>
      </c>
      <c r="H745" t="s">
        <v>181</v>
      </c>
      <c r="I745" t="s">
        <v>182</v>
      </c>
      <c r="J745" t="s">
        <v>37</v>
      </c>
      <c r="K745" t="s">
        <v>61</v>
      </c>
      <c r="L745" t="s">
        <v>3463</v>
      </c>
      <c r="M745" t="s">
        <v>74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41</v>
      </c>
      <c r="U745" t="s">
        <v>42</v>
      </c>
      <c r="V745">
        <f>O745*(1-P745)*N745</f>
        <v>2211.2999999999997</v>
      </c>
      <c r="W745">
        <f t="shared" si="33"/>
        <v>475.65999999999963</v>
      </c>
      <c r="X745">
        <f t="shared" si="34"/>
        <v>0.21510423732645953</v>
      </c>
      <c r="Y745" t="s">
        <v>4120</v>
      </c>
      <c r="Z745" s="2">
        <f>IFERROR(
  IF(ISNUMBER(B745),B745,
    IF(ISNUMBER(SEARCH("-",B745)*1),
      IF(LEN(LEFT(B745,FIND("-",B745)-1))=4,
        DATE(VALUE(LEFT(B745,4)),VALUE(MID(B745,6,2)),VALUE(RIGHT(B745,2))),
        DATE(VALUE(RIGHT(B745,4)),VALUE(MID(B745,4,2)),VALUE(LEFT(B745,2)))
      ),
      IF(ISNUMBER(SEARCH("/",B745)*1),
        DATE(VALUE(RIGHT(B745,4)),VALUE(LEFT(B745,2)),VALUE(MID(B745,4,2))),
        DATEVALUE(B745)
      )
    )
  ),
"INVALID_DATE")</f>
        <v>45700</v>
      </c>
      <c r="AA745" s="2">
        <f>IFERROR(
  IF(ISNUMBER(C745),C745,
    IF(ISNUMBER(SEARCH("-",C745)*1),
      IF(LEN(LEFT(C745,FIND("-",C745)-1))=4,
        DATE(VALUE(LEFT(C745,4)),VALUE(MID(C745,6,2)),VALUE(RIGHT(C745,2))),
        DATE(VALUE(RIGHT(C745,4)),VALUE(MID(C745,4,2)),VALUE(LEFT(C745,2)))
      ),
      IF(ISNUMBER(SEARCH("/",C745)*1),
        DATE(VALUE(RIGHT(C745,4)),VALUE(LEFT(C745,2)),VALUE(MID(C745,4,2))),
        DATEVALUE(C745)
      )
    )
  ),
"INVALID_DATE")</f>
        <v>45702</v>
      </c>
      <c r="AB745">
        <f>AA745-Z745</f>
        <v>2</v>
      </c>
      <c r="AC745" t="str">
        <f>TEXT(Z745,"mmmm")</f>
        <v>February</v>
      </c>
      <c r="AD745">
        <f>YEAR(Z745)</f>
        <v>2025</v>
      </c>
      <c r="AE745" t="str">
        <f t="shared" si="35"/>
        <v>OK</v>
      </c>
    </row>
    <row r="746" spans="1:31">
      <c r="A746" t="s">
        <v>3464</v>
      </c>
      <c r="B746" t="s">
        <v>3465</v>
      </c>
      <c r="C746" t="s">
        <v>1478</v>
      </c>
      <c r="D746" t="s">
        <v>3466</v>
      </c>
      <c r="E746" t="s">
        <v>47</v>
      </c>
      <c r="F746" t="s">
        <v>122</v>
      </c>
      <c r="G746" t="s">
        <v>34</v>
      </c>
      <c r="H746" t="s">
        <v>161</v>
      </c>
      <c r="I746" t="s">
        <v>162</v>
      </c>
      <c r="J746" t="s">
        <v>37</v>
      </c>
      <c r="K746" t="s">
        <v>205</v>
      </c>
      <c r="L746" t="s">
        <v>3467</v>
      </c>
      <c r="M746" t="s">
        <v>63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41</v>
      </c>
      <c r="U746" t="s">
        <v>85</v>
      </c>
      <c r="V746">
        <f>O746*(1-P746)*N746</f>
        <v>12158.505000000001</v>
      </c>
      <c r="W746">
        <f t="shared" si="33"/>
        <v>1898.4350000000013</v>
      </c>
      <c r="X746">
        <f t="shared" si="34"/>
        <v>0.15614014886704775</v>
      </c>
      <c r="Y746" t="s">
        <v>4120</v>
      </c>
      <c r="Z746" s="2">
        <f>IFERROR(
  IF(ISNUMBER(B746),B746,
    IF(ISNUMBER(SEARCH("-",B746)*1),
      IF(LEN(LEFT(B746,FIND("-",B746)-1))=4,
        DATE(VALUE(LEFT(B746,4)),VALUE(MID(B746,6,2)),VALUE(RIGHT(B746,2))),
        DATE(VALUE(RIGHT(B746,4)),VALUE(MID(B746,4,2)),VALUE(LEFT(B746,2)))
      ),
      IF(ISNUMBER(SEARCH("/",B746)*1),
        DATE(VALUE(RIGHT(B746,4)),VALUE(LEFT(B746,2)),VALUE(MID(B746,4,2))),
        DATEVALUE(B746)
      )
    )
  ),
"INVALID_DATE")</f>
        <v>45886</v>
      </c>
      <c r="AA746" s="2">
        <f>IFERROR(
  IF(ISNUMBER(C746),C746,
    IF(ISNUMBER(SEARCH("-",C746)*1),
      IF(LEN(LEFT(C746,FIND("-",C746)-1))=4,
        DATE(VALUE(LEFT(C746,4)),VALUE(MID(C746,6,2)),VALUE(RIGHT(C746,2))),
        DATE(VALUE(RIGHT(C746,4)),VALUE(MID(C746,4,2)),VALUE(LEFT(C746,2)))
      ),
      IF(ISNUMBER(SEARCH("/",C746)*1),
        DATE(VALUE(RIGHT(C746,4)),VALUE(LEFT(C746,2)),VALUE(MID(C746,4,2))),
        DATEVALUE(C746)
      )
    )
  ),
"INVALID_DATE")</f>
        <v>45889</v>
      </c>
      <c r="AB746">
        <f>AA746-Z746</f>
        <v>3</v>
      </c>
      <c r="AC746" t="str">
        <f>TEXT(Z746,"mmmm")</f>
        <v>August</v>
      </c>
      <c r="AD746">
        <f>YEAR(Z746)</f>
        <v>2025</v>
      </c>
      <c r="AE746" t="str">
        <f t="shared" si="35"/>
        <v>OK</v>
      </c>
    </row>
    <row r="747" spans="1:31">
      <c r="A747" t="s">
        <v>3468</v>
      </c>
      <c r="B747" t="s">
        <v>3469</v>
      </c>
      <c r="C747" t="s">
        <v>3470</v>
      </c>
      <c r="D747" t="s">
        <v>3471</v>
      </c>
      <c r="E747" t="s">
        <v>47</v>
      </c>
      <c r="F747" t="s">
        <v>48</v>
      </c>
      <c r="G747" t="s">
        <v>49</v>
      </c>
      <c r="H747" t="s">
        <v>223</v>
      </c>
      <c r="I747" t="s">
        <v>224</v>
      </c>
      <c r="J747" t="s">
        <v>93</v>
      </c>
      <c r="K747" t="s">
        <v>101</v>
      </c>
      <c r="L747" t="s">
        <v>3472</v>
      </c>
      <c r="M747" t="s">
        <v>74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41</v>
      </c>
      <c r="U747" t="s">
        <v>42</v>
      </c>
      <c r="V747">
        <f>O747*(1-P747)*N747</f>
        <v>1736.6160000000002</v>
      </c>
      <c r="W747">
        <f t="shared" si="33"/>
        <v>677.09600000000023</v>
      </c>
      <c r="X747">
        <f t="shared" si="34"/>
        <v>0.3898953138855939</v>
      </c>
      <c r="Y747" t="s">
        <v>4120</v>
      </c>
      <c r="Z747" s="2">
        <f>IFERROR(
  IF(ISNUMBER(B747),B747,
    IF(ISNUMBER(SEARCH("-",B747)*1),
      IF(LEN(LEFT(B747,FIND("-",B747)-1))=4,
        DATE(VALUE(LEFT(B747,4)),VALUE(MID(B747,6,2)),VALUE(RIGHT(B747,2))),
        DATE(VALUE(RIGHT(B747,4)),VALUE(MID(B747,4,2)),VALUE(LEFT(B747,2)))
      ),
      IF(ISNUMBER(SEARCH("/",B747)*1),
        DATE(VALUE(RIGHT(B747,4)),VALUE(LEFT(B747,2)),VALUE(MID(B747,4,2))),
        DATEVALUE(B747)
      )
    )
  ),
"INVALID_DATE")</f>
        <v>45589</v>
      </c>
      <c r="AA747" s="2">
        <f>IFERROR(
  IF(ISNUMBER(C747),C747,
    IF(ISNUMBER(SEARCH("-",C747)*1),
      IF(LEN(LEFT(C747,FIND("-",C747)-1))=4,
        DATE(VALUE(LEFT(C747,4)),VALUE(MID(C747,6,2)),VALUE(RIGHT(C747,2))),
        DATE(VALUE(RIGHT(C747,4)),VALUE(MID(C747,4,2)),VALUE(LEFT(C747,2)))
      ),
      IF(ISNUMBER(SEARCH("/",C747)*1),
        DATE(VALUE(RIGHT(C747,4)),VALUE(LEFT(C747,2)),VALUE(MID(C747,4,2))),
        DATEVALUE(C747)
      )
    )
  ),
"INVALID_DATE")</f>
        <v>45593</v>
      </c>
      <c r="AB747">
        <f>AA747-Z747</f>
        <v>4</v>
      </c>
      <c r="AC747" t="str">
        <f>TEXT(Z747,"mmmm")</f>
        <v>October</v>
      </c>
      <c r="AD747">
        <f>YEAR(Z747)</f>
        <v>2024</v>
      </c>
      <c r="AE747" t="str">
        <f t="shared" si="35"/>
        <v>OK</v>
      </c>
    </row>
    <row r="748" spans="1:31">
      <c r="A748" t="s">
        <v>3473</v>
      </c>
      <c r="B748" t="s">
        <v>1356</v>
      </c>
      <c r="C748" t="s">
        <v>3474</v>
      </c>
      <c r="D748" t="s">
        <v>3061</v>
      </c>
      <c r="E748" t="s">
        <v>169</v>
      </c>
      <c r="F748" t="s">
        <v>122</v>
      </c>
      <c r="G748" t="s">
        <v>49</v>
      </c>
      <c r="H748" t="s">
        <v>128</v>
      </c>
      <c r="I748" t="s">
        <v>129</v>
      </c>
      <c r="J748" t="s">
        <v>37</v>
      </c>
      <c r="K748" t="s">
        <v>38</v>
      </c>
      <c r="L748" t="s">
        <v>3475</v>
      </c>
      <c r="M748" t="s">
        <v>74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41</v>
      </c>
      <c r="U748" t="s">
        <v>42</v>
      </c>
      <c r="V748">
        <f>O748*(1-P748)*N748</f>
        <v>8266.2080000000005</v>
      </c>
      <c r="W748">
        <f t="shared" si="33"/>
        <v>2029.8880000000008</v>
      </c>
      <c r="X748">
        <f t="shared" si="34"/>
        <v>0.2455647751508854</v>
      </c>
      <c r="Y748" t="str">
        <f>_xlfn.TEXTJOIN(", ",TRUE,IF(G748="Unknown","Missing Region",""),IF(M748="Unknown","Missing Ship Mode",""),IF(P748&lt;0,"Negative Discount",""),IF(P748&gt;0.7,"High Discount",""),IF(C748&lt;B748,"Ship Before Order",""))</f>
        <v>Ship Before Order</v>
      </c>
      <c r="Z748" s="2">
        <f>IFERROR(
  IF(ISNUMBER(B748),B748,
    IF(ISNUMBER(SEARCH("-",B748)*1),
      IF(LEN(LEFT(B748,FIND("-",B748)-1))=4,
        DATE(VALUE(LEFT(B748,4)),VALUE(MID(B748,6,2)),VALUE(RIGHT(B748,2))),
        DATE(VALUE(RIGHT(B748,4)),VALUE(MID(B748,4,2)),VALUE(LEFT(B748,2)))
      ),
      IF(ISNUMBER(SEARCH("/",B748)*1),
        DATE(VALUE(RIGHT(B748,4)),VALUE(LEFT(B748,2)),VALUE(MID(B748,4,2))),
        DATEVALUE(B748)
      )
    )
  ),
"INVALID_DATE")</f>
        <v>45661</v>
      </c>
      <c r="AA748" s="2">
        <f>IFERROR(
  IF(ISNUMBER(C748),C748,
    IF(ISNUMBER(SEARCH("-",C748)*1),
      IF(LEN(LEFT(C748,FIND("-",C748)-1))=4,
        DATE(VALUE(LEFT(C748,4)),VALUE(MID(C748,6,2)),VALUE(RIGHT(C748,2))),
        DATE(VALUE(RIGHT(C748,4)),VALUE(MID(C748,4,2)),VALUE(LEFT(C748,2)))
      ),
      IF(ISNUMBER(SEARCH("/",C748)*1),
        DATE(VALUE(RIGHT(C748,4)),VALUE(LEFT(C748,2)),VALUE(MID(C748,4,2))),
        DATEVALUE(C748)
      )
    )
  ),
"INVALID_DATE")</f>
        <v>45667</v>
      </c>
      <c r="AB748">
        <f>AA748-Z748</f>
        <v>6</v>
      </c>
      <c r="AC748" t="str">
        <f>TEXT(Z748,"mmmm")</f>
        <v>January</v>
      </c>
      <c r="AD748">
        <f>YEAR(Z748)</f>
        <v>2025</v>
      </c>
      <c r="AE748" t="str">
        <f t="shared" si="35"/>
        <v>OK</v>
      </c>
    </row>
    <row r="749" spans="1:31">
      <c r="A749" t="s">
        <v>3476</v>
      </c>
      <c r="B749" t="s">
        <v>3477</v>
      </c>
      <c r="C749" t="s">
        <v>3478</v>
      </c>
      <c r="D749" t="s">
        <v>3479</v>
      </c>
      <c r="E749" t="s">
        <v>60</v>
      </c>
      <c r="F749" t="s">
        <v>122</v>
      </c>
      <c r="G749" t="s">
        <v>49</v>
      </c>
      <c r="H749" t="s">
        <v>50</v>
      </c>
      <c r="I749" t="s">
        <v>51</v>
      </c>
      <c r="J749" t="s">
        <v>37</v>
      </c>
      <c r="K749" t="s">
        <v>38</v>
      </c>
      <c r="L749" t="s">
        <v>3480</v>
      </c>
      <c r="M749" t="s">
        <v>55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41</v>
      </c>
      <c r="U749" t="s">
        <v>42</v>
      </c>
      <c r="V749">
        <f>O749*(1-P749)*N749</f>
        <v>10022.044</v>
      </c>
      <c r="W749">
        <f t="shared" si="33"/>
        <v>4445.0640000000003</v>
      </c>
      <c r="X749">
        <f t="shared" si="34"/>
        <v>0.4435284632669596</v>
      </c>
      <c r="Y749" t="str">
        <f>_xlfn.TEXTJOIN(", ",TRUE,IF(G749="Unknown","Missing Region",""),IF(M749="Unknown","Missing Ship Mode",""),IF(P749&lt;0,"Negative Discount",""),IF(P749&gt;0.7,"High Discount",""),IF(C749&lt;B749,"Ship Before Order",""))</f>
        <v>Ship Before Order</v>
      </c>
      <c r="Z749" s="2">
        <f>IFERROR(
  IF(ISNUMBER(B749),B749,
    IF(ISNUMBER(SEARCH("-",B749)*1),
      IF(LEN(LEFT(B749,FIND("-",B749)-1))=4,
        DATE(VALUE(LEFT(B749,4)),VALUE(MID(B749,6,2)),VALUE(RIGHT(B749,2))),
        DATE(VALUE(RIGHT(B749,4)),VALUE(MID(B749,4,2)),VALUE(LEFT(B749,2)))
      ),
      IF(ISNUMBER(SEARCH("/",B749)*1),
        DATE(VALUE(RIGHT(B749,4)),VALUE(LEFT(B749,2)),VALUE(MID(B749,4,2))),
        DATEVALUE(B749)
      )
    )
  ),
"INVALID_DATE")</f>
        <v>45413</v>
      </c>
      <c r="AA749" s="2">
        <f>IFERROR(
  IF(ISNUMBER(C749),C749,
    IF(ISNUMBER(SEARCH("-",C749)*1),
      IF(LEN(LEFT(C749,FIND("-",C749)-1))=4,
        DATE(VALUE(LEFT(C749,4)),VALUE(MID(C749,6,2)),VALUE(RIGHT(C749,2))),
        DATE(VALUE(RIGHT(C749,4)),VALUE(MID(C749,4,2)),VALUE(LEFT(C749,2)))
      ),
      IF(ISNUMBER(SEARCH("/",C749)*1),
        DATE(VALUE(RIGHT(C749,4)),VALUE(LEFT(C749,2)),VALUE(MID(C749,4,2))),
        DATEVALUE(C749)
      )
    )
  ),
"INVALID_DATE")</f>
        <v>45419</v>
      </c>
      <c r="AB749">
        <f>AA749-Z749</f>
        <v>6</v>
      </c>
      <c r="AC749" t="str">
        <f>TEXT(Z749,"mmmm")</f>
        <v>May</v>
      </c>
      <c r="AD749">
        <f>YEAR(Z749)</f>
        <v>2024</v>
      </c>
      <c r="AE749" t="str">
        <f t="shared" si="35"/>
        <v>OK</v>
      </c>
    </row>
    <row r="750" spans="1:31">
      <c r="A750" t="s">
        <v>3481</v>
      </c>
      <c r="B750" t="s">
        <v>3482</v>
      </c>
      <c r="C750" t="s">
        <v>3483</v>
      </c>
      <c r="D750" t="s">
        <v>3484</v>
      </c>
      <c r="E750" t="s">
        <v>217</v>
      </c>
      <c r="F750" t="s">
        <v>122</v>
      </c>
      <c r="G750" t="s">
        <v>34</v>
      </c>
      <c r="H750" t="s">
        <v>331</v>
      </c>
      <c r="I750" t="s">
        <v>332</v>
      </c>
      <c r="J750" t="s">
        <v>93</v>
      </c>
      <c r="K750" t="s">
        <v>230</v>
      </c>
      <c r="L750" t="s">
        <v>3485</v>
      </c>
      <c r="M750" t="s">
        <v>40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41</v>
      </c>
      <c r="U750" t="s">
        <v>42</v>
      </c>
      <c r="V750">
        <f>O750*(1-P750)*N750</f>
        <v>2886.0299999999997</v>
      </c>
      <c r="W750">
        <f t="shared" si="33"/>
        <v>821.19999999999982</v>
      </c>
      <c r="X750">
        <f t="shared" si="34"/>
        <v>0.28454312671732451</v>
      </c>
      <c r="Y750" t="str">
        <f>_xlfn.TEXTJOIN(", ",TRUE,IF(G750="Unknown","Missing Region",""),IF(M750="Unknown","Missing Ship Mode",""),IF(P750&lt;0,"Negative Discount",""),IF(P750&gt;0.7,"High Discount",""),IF(C750&lt;B750,"Ship Before Order",""))</f>
        <v>Ship Before Order</v>
      </c>
      <c r="Z750" s="2">
        <f>IFERROR(
  IF(ISNUMBER(B750),B750,
    IF(ISNUMBER(SEARCH("-",B750)*1),
      IF(LEN(LEFT(B750,FIND("-",B750)-1))=4,
        DATE(VALUE(LEFT(B750,4)),VALUE(MID(B750,6,2)),VALUE(RIGHT(B750,2))),
        DATE(VALUE(RIGHT(B750,4)),VALUE(MID(B750,4,2)),VALUE(LEFT(B750,2)))
      ),
      IF(ISNUMBER(SEARCH("/",B750)*1),
        DATE(VALUE(RIGHT(B750,4)),VALUE(LEFT(B750,2)),VALUE(MID(B750,4,2))),
        DATEVALUE(B750)
      )
    )
  ),
"INVALID_DATE")</f>
        <v>45442</v>
      </c>
      <c r="AA750" s="2">
        <f>IFERROR(
  IF(ISNUMBER(C750),C750,
    IF(ISNUMBER(SEARCH("-",C750)*1),
      IF(LEN(LEFT(C750,FIND("-",C750)-1))=4,
        DATE(VALUE(LEFT(C750,4)),VALUE(MID(C750,6,2)),VALUE(RIGHT(C750,2))),
        DATE(VALUE(RIGHT(C750,4)),VALUE(MID(C750,4,2)),VALUE(LEFT(C750,2)))
      ),
      IF(ISNUMBER(SEARCH("/",C750)*1),
        DATE(VALUE(RIGHT(C750,4)),VALUE(LEFT(C750,2)),VALUE(MID(C750,4,2))),
        DATEVALUE(C750)
      )
    )
  ),
"INVALID_DATE")</f>
        <v>45442</v>
      </c>
      <c r="AB750">
        <f>AA750-Z750</f>
        <v>0</v>
      </c>
      <c r="AC750" t="str">
        <f>TEXT(Z750,"mmmm")</f>
        <v>May</v>
      </c>
      <c r="AD750">
        <f>YEAR(Z750)</f>
        <v>2024</v>
      </c>
      <c r="AE750" t="str">
        <f t="shared" si="35"/>
        <v>OK</v>
      </c>
    </row>
    <row r="751" spans="1:31">
      <c r="A751" t="s">
        <v>3486</v>
      </c>
      <c r="B751" t="s">
        <v>3487</v>
      </c>
      <c r="C751" t="s">
        <v>3488</v>
      </c>
      <c r="D751" t="s">
        <v>3489</v>
      </c>
      <c r="E751" t="s">
        <v>114</v>
      </c>
      <c r="F751" t="s">
        <v>122</v>
      </c>
      <c r="G751" t="s">
        <v>49</v>
      </c>
      <c r="H751" t="s">
        <v>223</v>
      </c>
      <c r="I751" t="s">
        <v>224</v>
      </c>
      <c r="J751" t="s">
        <v>93</v>
      </c>
      <c r="K751" t="s">
        <v>390</v>
      </c>
      <c r="L751" t="s">
        <v>3490</v>
      </c>
      <c r="M751" t="s">
        <v>74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41</v>
      </c>
      <c r="U751" t="s">
        <v>42</v>
      </c>
      <c r="V751">
        <f>O751*(1-P751)*N751</f>
        <v>1459.1949999999999</v>
      </c>
      <c r="W751">
        <f t="shared" si="33"/>
        <v>403.40499999999997</v>
      </c>
      <c r="X751">
        <f t="shared" si="34"/>
        <v>0.27645474544096382</v>
      </c>
      <c r="Y751" t="str">
        <f>_xlfn.TEXTJOIN(", ",TRUE,IF(G751="Unknown","Missing Region",""),IF(M751="Unknown","Missing Ship Mode",""),IF(P751&lt;0,"Negative Discount",""),IF(P751&gt;0.7,"High Discount",""),IF(C751&lt;B751,"Ship Before Order",""))</f>
        <v>Ship Before Order</v>
      </c>
      <c r="Z751" s="2">
        <f>IFERROR(
  IF(ISNUMBER(B751),B751,
    IF(ISNUMBER(SEARCH("-",B751)*1),
      IF(LEN(LEFT(B751,FIND("-",B751)-1))=4,
        DATE(VALUE(LEFT(B751,4)),VALUE(MID(B751,6,2)),VALUE(RIGHT(B751,2))),
        DATE(VALUE(RIGHT(B751,4)),VALUE(MID(B751,4,2)),VALUE(LEFT(B751,2)))
      ),
      IF(ISNUMBER(SEARCH("/",B751)*1),
        DATE(VALUE(RIGHT(B751,4)),VALUE(LEFT(B751,2)),VALUE(MID(B751,4,2))),
        DATEVALUE(B751)
      )
    )
  ),
"INVALID_DATE")</f>
        <v>45372</v>
      </c>
      <c r="AA751" s="2">
        <f>IFERROR(
  IF(ISNUMBER(C751),C751,
    IF(ISNUMBER(SEARCH("-",C751)*1),
      IF(LEN(LEFT(C751,FIND("-",C751)-1))=4,
        DATE(VALUE(LEFT(C751,4)),VALUE(MID(C751,6,2)),VALUE(RIGHT(C751,2))),
        DATE(VALUE(RIGHT(C751,4)),VALUE(MID(C751,4,2)),VALUE(LEFT(C751,2)))
      ),
      IF(ISNUMBER(SEARCH("/",C751)*1),
        DATE(VALUE(RIGHT(C751,4)),VALUE(LEFT(C751,2)),VALUE(MID(C751,4,2))),
        DATEVALUE(C751)
      )
    )
  ),
"INVALID_DATE")</f>
        <v>45376</v>
      </c>
      <c r="AB751">
        <f>AA751-Z751</f>
        <v>4</v>
      </c>
      <c r="AC751" t="str">
        <f>TEXT(Z751,"mmmm")</f>
        <v>March</v>
      </c>
      <c r="AD751">
        <f>YEAR(Z751)</f>
        <v>2024</v>
      </c>
      <c r="AE751" t="str">
        <f t="shared" si="35"/>
        <v>OK</v>
      </c>
    </row>
    <row r="752" spans="1:31">
      <c r="A752" t="s">
        <v>3491</v>
      </c>
      <c r="B752" t="s">
        <v>3492</v>
      </c>
      <c r="C752" t="s">
        <v>383</v>
      </c>
      <c r="D752" t="s">
        <v>3493</v>
      </c>
      <c r="E752" t="s">
        <v>169</v>
      </c>
      <c r="F752" t="s">
        <v>122</v>
      </c>
      <c r="G752" t="s">
        <v>69</v>
      </c>
      <c r="H752" t="s">
        <v>70</v>
      </c>
      <c r="I752" t="s">
        <v>71</v>
      </c>
      <c r="J752" t="s">
        <v>93</v>
      </c>
      <c r="K752" t="s">
        <v>94</v>
      </c>
      <c r="L752" t="s">
        <v>3494</v>
      </c>
      <c r="M752" t="s">
        <v>63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41</v>
      </c>
      <c r="U752" t="s">
        <v>42</v>
      </c>
      <c r="V752">
        <f>O752*(1-P752)*N752</f>
        <v>26696.323999999997</v>
      </c>
      <c r="W752">
        <f t="shared" si="33"/>
        <v>3971.8039999999964</v>
      </c>
      <c r="X752">
        <f t="shared" si="34"/>
        <v>0.14877705990938078</v>
      </c>
      <c r="Y752" t="s">
        <v>4120</v>
      </c>
      <c r="Z752" s="2">
        <f>IFERROR(
  IF(ISNUMBER(B752),B752,
    IF(ISNUMBER(SEARCH("-",B752)*1),
      IF(LEN(LEFT(B752,FIND("-",B752)-1))=4,
        DATE(VALUE(LEFT(B752,4)),VALUE(MID(B752,6,2)),VALUE(RIGHT(B752,2))),
        DATE(VALUE(RIGHT(B752,4)),VALUE(MID(B752,4,2)),VALUE(LEFT(B752,2)))
      ),
      IF(ISNUMBER(SEARCH("/",B752)*1),
        DATE(VALUE(RIGHT(B752,4)),VALUE(LEFT(B752,2)),VALUE(MID(B752,4,2))),
        DATEVALUE(B752)
      )
    )
  ),
"INVALID_DATE")</f>
        <v>45810</v>
      </c>
      <c r="AA752" s="2">
        <f>IFERROR(
  IF(ISNUMBER(C752),C752,
    IF(ISNUMBER(SEARCH("-",C752)*1),
      IF(LEN(LEFT(C752,FIND("-",C752)-1))=4,
        DATE(VALUE(LEFT(C752,4)),VALUE(MID(C752,6,2)),VALUE(RIGHT(C752,2))),
        DATE(VALUE(RIGHT(C752,4)),VALUE(MID(C752,4,2)),VALUE(LEFT(C752,2)))
      ),
      IF(ISNUMBER(SEARCH("/",C752)*1),
        DATE(VALUE(RIGHT(C752,4)),VALUE(LEFT(C752,2)),VALUE(MID(C752,4,2))),
        DATEVALUE(C752)
      )
    )
  ),
"INVALID_DATE")</f>
        <v>45810</v>
      </c>
      <c r="AB752">
        <f>AA752-Z752</f>
        <v>0</v>
      </c>
      <c r="AC752" t="str">
        <f>TEXT(Z752,"mmmm")</f>
        <v>June</v>
      </c>
      <c r="AD752">
        <f>YEAR(Z752)</f>
        <v>2025</v>
      </c>
      <c r="AE752" t="str">
        <f t="shared" si="35"/>
        <v>OK</v>
      </c>
    </row>
    <row r="753" spans="1:31">
      <c r="A753" t="s">
        <v>3495</v>
      </c>
      <c r="B753" t="s">
        <v>728</v>
      </c>
      <c r="C753" t="s">
        <v>3496</v>
      </c>
      <c r="D753" t="s">
        <v>3497</v>
      </c>
      <c r="E753" t="s">
        <v>149</v>
      </c>
      <c r="F753" t="s">
        <v>122</v>
      </c>
      <c r="G753" t="s">
        <v>279</v>
      </c>
      <c r="H753" t="s">
        <v>181</v>
      </c>
      <c r="I753" t="s">
        <v>182</v>
      </c>
      <c r="J753" t="s">
        <v>93</v>
      </c>
      <c r="K753" t="s">
        <v>390</v>
      </c>
      <c r="L753" t="s">
        <v>3498</v>
      </c>
      <c r="M753" t="s">
        <v>279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41</v>
      </c>
      <c r="U753" t="s">
        <v>42</v>
      </c>
      <c r="V753">
        <f>O753*(1-P753)*N753</f>
        <v>8445.2625000000007</v>
      </c>
      <c r="W753">
        <f t="shared" si="33"/>
        <v>1507.6625000000004</v>
      </c>
      <c r="X753">
        <f t="shared" si="34"/>
        <v>0.17852144279749824</v>
      </c>
      <c r="Y753" t="str">
        <f>_xlfn.TEXTJOIN(", ",TRUE,IF(G753="Unknown","Missing Region",""),IF(M753="Unknown","Missing Ship Mode",""),IF(P753&lt;0,"Negative Discount",""),IF(P753&gt;0.7,"High Discount",""),IF(C753&lt;B753,"Ship Before Order",""))</f>
        <v>Missing Region, Missing Ship Mode</v>
      </c>
      <c r="Z753" s="2">
        <f>IFERROR(
  IF(ISNUMBER(B753),B753,
    IF(ISNUMBER(SEARCH("-",B753)*1),
      IF(LEN(LEFT(B753,FIND("-",B753)-1))=4,
        DATE(VALUE(LEFT(B753,4)),VALUE(MID(B753,6,2)),VALUE(RIGHT(B753,2))),
        DATE(VALUE(RIGHT(B753,4)),VALUE(MID(B753,4,2)),VALUE(LEFT(B753,2)))
      ),
      IF(ISNUMBER(SEARCH("/",B753)*1),
        DATE(VALUE(RIGHT(B753,4)),VALUE(LEFT(B753,2)),VALUE(MID(B753,4,2))),
        DATEVALUE(B753)
      )
    )
  ),
"INVALID_DATE")</f>
        <v>45856</v>
      </c>
      <c r="AA753" s="2">
        <f>IFERROR(
  IF(ISNUMBER(C753),C753,
    IF(ISNUMBER(SEARCH("-",C753)*1),
      IF(LEN(LEFT(C753,FIND("-",C753)-1))=4,
        DATE(VALUE(LEFT(C753,4)),VALUE(MID(C753,6,2)),VALUE(RIGHT(C753,2))),
        DATE(VALUE(RIGHT(C753,4)),VALUE(MID(C753,4,2)),VALUE(LEFT(C753,2)))
      ),
      IF(ISNUMBER(SEARCH("/",C753)*1),
        DATE(VALUE(RIGHT(C753,4)),VALUE(LEFT(C753,2)),VALUE(MID(C753,4,2))),
        DATEVALUE(C753)
      )
    )
  ),
"INVALID_DATE")</f>
        <v>45857</v>
      </c>
      <c r="AB753">
        <f>AA753-Z753</f>
        <v>1</v>
      </c>
      <c r="AC753" t="str">
        <f>TEXT(Z753,"mmmm")</f>
        <v>July</v>
      </c>
      <c r="AD753">
        <f>YEAR(Z753)</f>
        <v>2025</v>
      </c>
      <c r="AE753" t="str">
        <f t="shared" si="35"/>
        <v>OK</v>
      </c>
    </row>
    <row r="754" spans="1:31">
      <c r="A754" t="s">
        <v>3499</v>
      </c>
      <c r="B754" t="s">
        <v>2225</v>
      </c>
      <c r="C754" t="s">
        <v>3170</v>
      </c>
      <c r="D754" t="s">
        <v>3500</v>
      </c>
      <c r="E754" t="s">
        <v>114</v>
      </c>
      <c r="F754" t="s">
        <v>115</v>
      </c>
      <c r="G754" t="s">
        <v>80</v>
      </c>
      <c r="H754" t="s">
        <v>242</v>
      </c>
      <c r="I754" t="s">
        <v>243</v>
      </c>
      <c r="J754" t="s">
        <v>37</v>
      </c>
      <c r="K754" t="s">
        <v>163</v>
      </c>
      <c r="L754" t="s">
        <v>3501</v>
      </c>
      <c r="M754" t="s">
        <v>63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41</v>
      </c>
      <c r="U754" t="s">
        <v>42</v>
      </c>
      <c r="V754">
        <f>O754*(1-P754)*N754</f>
        <v>11709.794999999998</v>
      </c>
      <c r="W754">
        <f t="shared" si="33"/>
        <v>3337.5049999999974</v>
      </c>
      <c r="X754">
        <f t="shared" si="34"/>
        <v>0.28501792090208278</v>
      </c>
      <c r="Y754" t="s">
        <v>4120</v>
      </c>
      <c r="Z754" s="2">
        <f>IFERROR(
  IF(ISNUMBER(B754),B754,
    IF(ISNUMBER(SEARCH("-",B754)*1),
      IF(LEN(LEFT(B754,FIND("-",B754)-1))=4,
        DATE(VALUE(LEFT(B754,4)),VALUE(MID(B754,6,2)),VALUE(RIGHT(B754,2))),
        DATE(VALUE(RIGHT(B754,4)),VALUE(MID(B754,4,2)),VALUE(LEFT(B754,2)))
      ),
      IF(ISNUMBER(SEARCH("/",B754)*1),
        DATE(VALUE(RIGHT(B754,4)),VALUE(LEFT(B754,2)),VALUE(MID(B754,4,2))),
        DATEVALUE(B754)
      )
    )
  ),
"INVALID_DATE")</f>
        <v>45375</v>
      </c>
      <c r="AA754" s="2">
        <f>IFERROR(
  IF(ISNUMBER(C754),C754,
    IF(ISNUMBER(SEARCH("-",C754)*1),
      IF(LEN(LEFT(C754,FIND("-",C754)-1))=4,
        DATE(VALUE(LEFT(C754,4)),VALUE(MID(C754,6,2)),VALUE(RIGHT(C754,2))),
        DATE(VALUE(RIGHT(C754,4)),VALUE(MID(C754,4,2)),VALUE(LEFT(C754,2)))
      ),
      IF(ISNUMBER(SEARCH("/",C754)*1),
        DATE(VALUE(RIGHT(C754,4)),VALUE(LEFT(C754,2)),VALUE(MID(C754,4,2))),
        DATEVALUE(C754)
      )
    )
  ),
"INVALID_DATE")</f>
        <v>45378</v>
      </c>
      <c r="AB754">
        <f>AA754-Z754</f>
        <v>3</v>
      </c>
      <c r="AC754" t="str">
        <f>TEXT(Z754,"mmmm")</f>
        <v>March</v>
      </c>
      <c r="AD754">
        <f>YEAR(Z754)</f>
        <v>2024</v>
      </c>
      <c r="AE754" t="str">
        <f t="shared" si="35"/>
        <v>OK</v>
      </c>
    </row>
    <row r="755" spans="1:31">
      <c r="A755" t="s">
        <v>3502</v>
      </c>
      <c r="B755" t="s">
        <v>2446</v>
      </c>
      <c r="C755" t="s">
        <v>2806</v>
      </c>
      <c r="D755" t="s">
        <v>3503</v>
      </c>
      <c r="E755" t="s">
        <v>114</v>
      </c>
      <c r="F755" t="s">
        <v>115</v>
      </c>
      <c r="G755" t="s">
        <v>34</v>
      </c>
      <c r="H755" t="s">
        <v>514</v>
      </c>
      <c r="I755" t="s">
        <v>515</v>
      </c>
      <c r="J755" t="s">
        <v>52</v>
      </c>
      <c r="K755" t="s">
        <v>72</v>
      </c>
      <c r="L755" t="s">
        <v>3504</v>
      </c>
      <c r="M755" t="s">
        <v>40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207</v>
      </c>
      <c r="U755" t="s">
        <v>132</v>
      </c>
      <c r="V755">
        <f>O755*(1-P755)*N755</f>
        <v>2593.9110000000001</v>
      </c>
      <c r="W755">
        <f t="shared" si="33"/>
        <v>745.43100000000004</v>
      </c>
      <c r="X755">
        <f t="shared" si="34"/>
        <v>0.28737697144465307</v>
      </c>
      <c r="Y755" t="str">
        <f>_xlfn.TEXTJOIN(", ",TRUE,IF(G755="Unknown","Missing Region",""),IF(M755="Unknown","Missing Ship Mode",""),IF(P755&lt;0,"Negative Discount",""),IF(P755&gt;0.7,"High Discount",""),IF(C755&lt;B755,"Ship Before Order",""))</f>
        <v>Ship Before Order</v>
      </c>
      <c r="Z755" s="2">
        <f>IFERROR(
  IF(ISNUMBER(B755),B755,
    IF(ISNUMBER(SEARCH("-",B755)*1),
      IF(LEN(LEFT(B755,FIND("-",B755)-1))=4,
        DATE(VALUE(LEFT(B755,4)),VALUE(MID(B755,6,2)),VALUE(RIGHT(B755,2))),
        DATE(VALUE(RIGHT(B755,4)),VALUE(MID(B755,4,2)),VALUE(LEFT(B755,2)))
      ),
      IF(ISNUMBER(SEARCH("/",B755)*1),
        DATE(VALUE(RIGHT(B755,4)),VALUE(LEFT(B755,2)),VALUE(MID(B755,4,2))),
        DATEVALUE(B755)
      )
    )
  ),
"INVALID_DATE")</f>
        <v>45515</v>
      </c>
      <c r="AA755" s="2">
        <f>IFERROR(
  IF(ISNUMBER(C755),C755,
    IF(ISNUMBER(SEARCH("-",C755)*1),
      IF(LEN(LEFT(C755,FIND("-",C755)-1))=4,
        DATE(VALUE(LEFT(C755,4)),VALUE(MID(C755,6,2)),VALUE(RIGHT(C755,2))),
        DATE(VALUE(RIGHT(C755,4)),VALUE(MID(C755,4,2)),VALUE(LEFT(C755,2)))
      ),
      IF(ISNUMBER(SEARCH("/",C755)*1),
        DATE(VALUE(RIGHT(C755,4)),VALUE(LEFT(C755,2)),VALUE(MID(C755,4,2))),
        DATEVALUE(C755)
      )
    )
  ),
"INVALID_DATE")</f>
        <v>45514</v>
      </c>
      <c r="AB755">
        <f>AA755-Z755</f>
        <v>-1</v>
      </c>
      <c r="AC755" t="str">
        <f>TEXT(Z755,"mmmm")</f>
        <v>August</v>
      </c>
      <c r="AD755">
        <f>YEAR(Z755)</f>
        <v>2024</v>
      </c>
      <c r="AE755" t="str">
        <f t="shared" si="35"/>
        <v>Ship Before Order</v>
      </c>
    </row>
    <row r="756" spans="1:31">
      <c r="A756" t="s">
        <v>3505</v>
      </c>
      <c r="B756" t="s">
        <v>3506</v>
      </c>
      <c r="C756" t="s">
        <v>3506</v>
      </c>
      <c r="D756" t="s">
        <v>3507</v>
      </c>
      <c r="E756" t="s">
        <v>100</v>
      </c>
      <c r="F756" t="s">
        <v>115</v>
      </c>
      <c r="G756" t="s">
        <v>69</v>
      </c>
      <c r="H756" t="s">
        <v>249</v>
      </c>
      <c r="I756" t="s">
        <v>250</v>
      </c>
      <c r="J756" t="s">
        <v>37</v>
      </c>
      <c r="K756" t="s">
        <v>163</v>
      </c>
      <c r="L756" t="s">
        <v>3508</v>
      </c>
      <c r="M756" t="s">
        <v>74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41</v>
      </c>
      <c r="U756" t="s">
        <v>42</v>
      </c>
      <c r="V756">
        <f>O756*(1-P756)*N756</f>
        <v>2674.02</v>
      </c>
      <c r="W756">
        <f t="shared" si="33"/>
        <v>466.44999999999982</v>
      </c>
      <c r="X756">
        <f t="shared" si="34"/>
        <v>0.17443773793763695</v>
      </c>
      <c r="Y756" t="s">
        <v>4120</v>
      </c>
      <c r="Z756" s="2">
        <f>IFERROR(
  IF(ISNUMBER(B756),B756,
    IF(ISNUMBER(SEARCH("-",B756)*1),
      IF(LEN(LEFT(B756,FIND("-",B756)-1))=4,
        DATE(VALUE(LEFT(B756,4)),VALUE(MID(B756,6,2)),VALUE(RIGHT(B756,2))),
        DATE(VALUE(RIGHT(B756,4)),VALUE(MID(B756,4,2)),VALUE(LEFT(B756,2)))
      ),
      IF(ISNUMBER(SEARCH("/",B756)*1),
        DATE(VALUE(RIGHT(B756,4)),VALUE(LEFT(B756,2)),VALUE(MID(B756,4,2))),
        DATEVALUE(B756)
      )
    )
  ),
"INVALID_DATE")</f>
        <v>45812</v>
      </c>
      <c r="AA756" s="2">
        <f>IFERROR(
  IF(ISNUMBER(C756),C756,
    IF(ISNUMBER(SEARCH("-",C756)*1),
      IF(LEN(LEFT(C756,FIND("-",C756)-1))=4,
        DATE(VALUE(LEFT(C756,4)),VALUE(MID(C756,6,2)),VALUE(RIGHT(C756,2))),
        DATE(VALUE(RIGHT(C756,4)),VALUE(MID(C756,4,2)),VALUE(LEFT(C756,2)))
      ),
      IF(ISNUMBER(SEARCH("/",C756)*1),
        DATE(VALUE(RIGHT(C756,4)),VALUE(LEFT(C756,2)),VALUE(MID(C756,4,2))),
        DATEVALUE(C756)
      )
    )
  ),
"INVALID_DATE")</f>
        <v>45812</v>
      </c>
      <c r="AB756">
        <f>AA756-Z756</f>
        <v>0</v>
      </c>
      <c r="AC756" t="str">
        <f>TEXT(Z756,"mmmm")</f>
        <v>June</v>
      </c>
      <c r="AD756">
        <f>YEAR(Z756)</f>
        <v>2025</v>
      </c>
      <c r="AE756" t="str">
        <f t="shared" si="35"/>
        <v>OK</v>
      </c>
    </row>
    <row r="757" spans="1:31">
      <c r="A757" t="s">
        <v>3509</v>
      </c>
      <c r="B757" t="s">
        <v>1102</v>
      </c>
      <c r="C757" t="s">
        <v>1737</v>
      </c>
      <c r="D757" t="s">
        <v>3510</v>
      </c>
      <c r="E757" t="s">
        <v>149</v>
      </c>
      <c r="F757" t="s">
        <v>122</v>
      </c>
      <c r="G757" t="s">
        <v>80</v>
      </c>
      <c r="H757" t="s">
        <v>91</v>
      </c>
      <c r="I757" t="s">
        <v>92</v>
      </c>
      <c r="J757" t="s">
        <v>37</v>
      </c>
      <c r="K757" t="s">
        <v>163</v>
      </c>
      <c r="L757" t="s">
        <v>3511</v>
      </c>
      <c r="M757" t="s">
        <v>40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41</v>
      </c>
      <c r="U757" t="s">
        <v>42</v>
      </c>
      <c r="V757">
        <f>O757*(1-P757)*N757</f>
        <v>9926.9599999999991</v>
      </c>
      <c r="W757">
        <f t="shared" si="33"/>
        <v>1931.9799999999996</v>
      </c>
      <c r="X757">
        <f t="shared" si="34"/>
        <v>0.19461950083409224</v>
      </c>
      <c r="Y757" t="s">
        <v>4120</v>
      </c>
      <c r="Z757" s="2">
        <f>IFERROR(
  IF(ISNUMBER(B757),B757,
    IF(ISNUMBER(SEARCH("-",B757)*1),
      IF(LEN(LEFT(B757,FIND("-",B757)-1))=4,
        DATE(VALUE(LEFT(B757,4)),VALUE(MID(B757,6,2)),VALUE(RIGHT(B757,2))),
        DATE(VALUE(RIGHT(B757,4)),VALUE(MID(B757,4,2)),VALUE(LEFT(B757,2)))
      ),
      IF(ISNUMBER(SEARCH("/",B757)*1),
        DATE(VALUE(RIGHT(B757,4)),VALUE(LEFT(B757,2)),VALUE(MID(B757,4,2))),
        DATEVALUE(B757)
      )
    )
  ),
"INVALID_DATE")</f>
        <v>45858</v>
      </c>
      <c r="AA757" s="2">
        <f>IFERROR(
  IF(ISNUMBER(C757),C757,
    IF(ISNUMBER(SEARCH("-",C757)*1),
      IF(LEN(LEFT(C757,FIND("-",C757)-1))=4,
        DATE(VALUE(LEFT(C757,4)),VALUE(MID(C757,6,2)),VALUE(RIGHT(C757,2))),
        DATE(VALUE(RIGHT(C757,4)),VALUE(MID(C757,4,2)),VALUE(LEFT(C757,2)))
      ),
      IF(ISNUMBER(SEARCH("/",C757)*1),
        DATE(VALUE(RIGHT(C757,4)),VALUE(LEFT(C757,2)),VALUE(MID(C757,4,2))),
        DATEVALUE(C757)
      )
    )
  ),
"INVALID_DATE")</f>
        <v>45862</v>
      </c>
      <c r="AB757">
        <f>AA757-Z757</f>
        <v>4</v>
      </c>
      <c r="AC757" t="str">
        <f>TEXT(Z757,"mmmm")</f>
        <v>July</v>
      </c>
      <c r="AD757">
        <f>YEAR(Z757)</f>
        <v>2025</v>
      </c>
      <c r="AE757" t="str">
        <f t="shared" si="35"/>
        <v>OK</v>
      </c>
    </row>
    <row r="758" spans="1:31">
      <c r="A758" t="s">
        <v>3512</v>
      </c>
      <c r="B758" t="s">
        <v>3513</v>
      </c>
      <c r="C758" t="s">
        <v>3514</v>
      </c>
      <c r="D758" t="s">
        <v>3515</v>
      </c>
      <c r="E758" t="s">
        <v>187</v>
      </c>
      <c r="F758" t="s">
        <v>33</v>
      </c>
      <c r="G758" t="s">
        <v>34</v>
      </c>
      <c r="H758" t="s">
        <v>35</v>
      </c>
      <c r="I758" t="s">
        <v>36</v>
      </c>
      <c r="J758" t="s">
        <v>93</v>
      </c>
      <c r="K758" t="s">
        <v>94</v>
      </c>
      <c r="L758" t="s">
        <v>3516</v>
      </c>
      <c r="M758" t="s">
        <v>55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41</v>
      </c>
      <c r="U758" t="s">
        <v>132</v>
      </c>
      <c r="V758">
        <f>O758*(1-P758)*N758</f>
        <v>12191.76</v>
      </c>
      <c r="W758">
        <f t="shared" si="33"/>
        <v>1734.2700000000004</v>
      </c>
      <c r="X758">
        <f t="shared" si="34"/>
        <v>0.14224935530226973</v>
      </c>
      <c r="Y758" t="s">
        <v>4120</v>
      </c>
      <c r="Z758" s="2">
        <f>IFERROR(
  IF(ISNUMBER(B758),B758,
    IF(ISNUMBER(SEARCH("-",B758)*1),
      IF(LEN(LEFT(B758,FIND("-",B758)-1))=4,
        DATE(VALUE(LEFT(B758,4)),VALUE(MID(B758,6,2)),VALUE(RIGHT(B758,2))),
        DATE(VALUE(RIGHT(B758,4)),VALUE(MID(B758,4,2)),VALUE(LEFT(B758,2)))
      ),
      IF(ISNUMBER(SEARCH("/",B758)*1),
        DATE(VALUE(RIGHT(B758,4)),VALUE(LEFT(B758,2)),VALUE(MID(B758,4,2))),
        DATEVALUE(B758)
      )
    )
  ),
"INVALID_DATE")</f>
        <v>45592</v>
      </c>
      <c r="AA758" s="2">
        <f>IFERROR(
  IF(ISNUMBER(C758),C758,
    IF(ISNUMBER(SEARCH("-",C758)*1),
      IF(LEN(LEFT(C758,FIND("-",C758)-1))=4,
        DATE(VALUE(LEFT(C758,4)),VALUE(MID(C758,6,2)),VALUE(RIGHT(C758,2))),
        DATE(VALUE(RIGHT(C758,4)),VALUE(MID(C758,4,2)),VALUE(LEFT(C758,2)))
      ),
      IF(ISNUMBER(SEARCH("/",C758)*1),
        DATE(VALUE(RIGHT(C758,4)),VALUE(LEFT(C758,2)),VALUE(MID(C758,4,2))),
        DATEVALUE(C758)
      )
    )
  ),
"INVALID_DATE")</f>
        <v>45597</v>
      </c>
      <c r="AB758">
        <f>AA758-Z758</f>
        <v>5</v>
      </c>
      <c r="AC758" t="str">
        <f>TEXT(Z758,"mmmm")</f>
        <v>October</v>
      </c>
      <c r="AD758">
        <f>YEAR(Z758)</f>
        <v>2024</v>
      </c>
      <c r="AE758" t="str">
        <f t="shared" si="35"/>
        <v>OK</v>
      </c>
    </row>
    <row r="759" spans="1:31">
      <c r="A759" t="s">
        <v>3517</v>
      </c>
      <c r="B759" t="s">
        <v>3518</v>
      </c>
      <c r="C759" t="s">
        <v>3519</v>
      </c>
      <c r="D759" t="s">
        <v>3520</v>
      </c>
      <c r="E759" t="s">
        <v>114</v>
      </c>
      <c r="F759" t="s">
        <v>48</v>
      </c>
      <c r="G759" t="s">
        <v>69</v>
      </c>
      <c r="H759" t="s">
        <v>249</v>
      </c>
      <c r="I759" t="s">
        <v>250</v>
      </c>
      <c r="J759" t="s">
        <v>52</v>
      </c>
      <c r="K759" t="s">
        <v>211</v>
      </c>
      <c r="L759" t="s">
        <v>3521</v>
      </c>
      <c r="M759" t="s">
        <v>74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207</v>
      </c>
      <c r="U759" t="s">
        <v>85</v>
      </c>
      <c r="V759">
        <f>O759*(1-P759)*N759</f>
        <v>4285.7550000000001</v>
      </c>
      <c r="W759">
        <f t="shared" si="33"/>
        <v>1899.4250000000002</v>
      </c>
      <c r="X759">
        <f t="shared" si="34"/>
        <v>0.44319560591353691</v>
      </c>
      <c r="Y759" t="s">
        <v>4120</v>
      </c>
      <c r="Z759" s="2">
        <f>IFERROR(
  IF(ISNUMBER(B759),B759,
    IF(ISNUMBER(SEARCH("-",B759)*1),
      IF(LEN(LEFT(B759,FIND("-",B759)-1))=4,
        DATE(VALUE(LEFT(B759,4)),VALUE(MID(B759,6,2)),VALUE(RIGHT(B759,2))),
        DATE(VALUE(RIGHT(B759,4)),VALUE(MID(B759,4,2)),VALUE(LEFT(B759,2)))
      ),
      IF(ISNUMBER(SEARCH("/",B759)*1),
        DATE(VALUE(RIGHT(B759,4)),VALUE(LEFT(B759,2)),VALUE(MID(B759,4,2))),
        DATEVALUE(B759)
      )
    )
  ),
"INVALID_DATE")</f>
        <v>45870</v>
      </c>
      <c r="AA759" s="2">
        <f>IFERROR(
  IF(ISNUMBER(C759),C759,
    IF(ISNUMBER(SEARCH("-",C759)*1),
      IF(LEN(LEFT(C759,FIND("-",C759)-1))=4,
        DATE(VALUE(LEFT(C759,4)),VALUE(MID(C759,6,2)),VALUE(RIGHT(C759,2))),
        DATE(VALUE(RIGHT(C759,4)),VALUE(MID(C759,4,2)),VALUE(LEFT(C759,2)))
      ),
      IF(ISNUMBER(SEARCH("/",C759)*1),
        DATE(VALUE(RIGHT(C759,4)),VALUE(LEFT(C759,2)),VALUE(MID(C759,4,2))),
        DATEVALUE(C759)
      )
    )
  ),
"INVALID_DATE")</f>
        <v>45872</v>
      </c>
      <c r="AB759">
        <f>AA759-Z759</f>
        <v>2</v>
      </c>
      <c r="AC759" t="str">
        <f>TEXT(Z759,"mmmm")</f>
        <v>August</v>
      </c>
      <c r="AD759">
        <f>YEAR(Z759)</f>
        <v>2025</v>
      </c>
      <c r="AE759" t="str">
        <f t="shared" si="35"/>
        <v>OK</v>
      </c>
    </row>
    <row r="760" spans="1:31">
      <c r="A760" t="s">
        <v>3522</v>
      </c>
      <c r="B760" t="s">
        <v>3523</v>
      </c>
      <c r="C760" t="s">
        <v>2712</v>
      </c>
      <c r="D760" t="s">
        <v>3524</v>
      </c>
      <c r="E760" t="s">
        <v>169</v>
      </c>
      <c r="F760" t="s">
        <v>48</v>
      </c>
      <c r="G760" t="s">
        <v>69</v>
      </c>
      <c r="H760" t="s">
        <v>236</v>
      </c>
      <c r="I760" t="s">
        <v>237</v>
      </c>
      <c r="J760" t="s">
        <v>52</v>
      </c>
      <c r="K760" t="s">
        <v>83</v>
      </c>
      <c r="L760" t="s">
        <v>3525</v>
      </c>
      <c r="M760" t="s">
        <v>74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41</v>
      </c>
      <c r="U760" t="s">
        <v>42</v>
      </c>
      <c r="V760">
        <f>O760*(1-P760)*N760</f>
        <v>4166.91</v>
      </c>
      <c r="W760">
        <f t="shared" si="33"/>
        <v>754.27999999999975</v>
      </c>
      <c r="X760">
        <f t="shared" si="34"/>
        <v>0.18101662862888807</v>
      </c>
      <c r="Y760" t="s">
        <v>4120</v>
      </c>
      <c r="Z760" s="2">
        <f>IFERROR(
  IF(ISNUMBER(B760),B760,
    IF(ISNUMBER(SEARCH("-",B760)*1),
      IF(LEN(LEFT(B760,FIND("-",B760)-1))=4,
        DATE(VALUE(LEFT(B760,4)),VALUE(MID(B760,6,2)),VALUE(RIGHT(B760,2))),
        DATE(VALUE(RIGHT(B760,4)),VALUE(MID(B760,4,2)),VALUE(LEFT(B760,2)))
      ),
      IF(ISNUMBER(SEARCH("/",B760)*1),
        DATE(VALUE(RIGHT(B760,4)),VALUE(LEFT(B760,2)),VALUE(MID(B760,4,2))),
        DATEVALUE(B760)
      )
    )
  ),
"INVALID_DATE")</f>
        <v>45414</v>
      </c>
      <c r="AA760" s="2">
        <f>IFERROR(
  IF(ISNUMBER(C760),C760,
    IF(ISNUMBER(SEARCH("-",C760)*1),
      IF(LEN(LEFT(C760,FIND("-",C760)-1))=4,
        DATE(VALUE(LEFT(C760,4)),VALUE(MID(C760,6,2)),VALUE(RIGHT(C760,2))),
        DATE(VALUE(RIGHT(C760,4)),VALUE(MID(C760,4,2)),VALUE(LEFT(C760,2)))
      ),
      IF(ISNUMBER(SEARCH("/",C760)*1),
        DATE(VALUE(RIGHT(C760,4)),VALUE(LEFT(C760,2)),VALUE(MID(C760,4,2))),
        DATEVALUE(C760)
      )
    )
  ),
"INVALID_DATE")</f>
        <v>45422</v>
      </c>
      <c r="AB760">
        <f>AA760-Z760</f>
        <v>8</v>
      </c>
      <c r="AC760" t="str">
        <f>TEXT(Z760,"mmmm")</f>
        <v>May</v>
      </c>
      <c r="AD760">
        <f>YEAR(Z760)</f>
        <v>2024</v>
      </c>
      <c r="AE760" t="str">
        <f t="shared" si="35"/>
        <v>OK</v>
      </c>
    </row>
    <row r="761" spans="1:31">
      <c r="A761" t="s">
        <v>3526</v>
      </c>
      <c r="B761" t="s">
        <v>414</v>
      </c>
      <c r="C761" t="s">
        <v>3527</v>
      </c>
      <c r="D761" t="s">
        <v>3528</v>
      </c>
      <c r="E761" t="s">
        <v>68</v>
      </c>
      <c r="F761" t="s">
        <v>122</v>
      </c>
      <c r="G761" t="s">
        <v>69</v>
      </c>
      <c r="H761" t="s">
        <v>236</v>
      </c>
      <c r="I761" t="s">
        <v>237</v>
      </c>
      <c r="J761" t="s">
        <v>52</v>
      </c>
      <c r="K761" t="s">
        <v>53</v>
      </c>
      <c r="L761" t="s">
        <v>3529</v>
      </c>
      <c r="M761" t="s">
        <v>40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41</v>
      </c>
      <c r="U761" t="s">
        <v>42</v>
      </c>
      <c r="V761">
        <f>O761*(1-P761)*N761</f>
        <v>14947.5375</v>
      </c>
      <c r="W761">
        <f t="shared" si="33"/>
        <v>5509.0775000000012</v>
      </c>
      <c r="X761">
        <f t="shared" si="34"/>
        <v>0.36856098060282827</v>
      </c>
      <c r="Y761" t="s">
        <v>4120</v>
      </c>
      <c r="Z761" s="2">
        <f>IFERROR(
  IF(ISNUMBER(B761),B761,
    IF(ISNUMBER(SEARCH("-",B761)*1),
      IF(LEN(LEFT(B761,FIND("-",B761)-1))=4,
        DATE(VALUE(LEFT(B761,4)),VALUE(MID(B761,6,2)),VALUE(RIGHT(B761,2))),
        DATE(VALUE(RIGHT(B761,4)),VALUE(MID(B761,4,2)),VALUE(LEFT(B761,2)))
      ),
      IF(ISNUMBER(SEARCH("/",B761)*1),
        DATE(VALUE(RIGHT(B761,4)),VALUE(LEFT(B761,2)),VALUE(MID(B761,4,2))),
        DATEVALUE(B761)
      )
    )
  ),
"INVALID_DATE")</f>
        <v>45492</v>
      </c>
      <c r="AA761" s="2">
        <f>IFERROR(
  IF(ISNUMBER(C761),C761,
    IF(ISNUMBER(SEARCH("-",C761)*1),
      IF(LEN(LEFT(C761,FIND("-",C761)-1))=4,
        DATE(VALUE(LEFT(C761,4)),VALUE(MID(C761,6,2)),VALUE(RIGHT(C761,2))),
        DATE(VALUE(RIGHT(C761,4)),VALUE(MID(C761,4,2)),VALUE(LEFT(C761,2)))
      ),
      IF(ISNUMBER(SEARCH("/",C761)*1),
        DATE(VALUE(RIGHT(C761,4)),VALUE(LEFT(C761,2)),VALUE(MID(C761,4,2))),
        DATEVALUE(C761)
      )
    )
  ),
"INVALID_DATE")</f>
        <v>45499</v>
      </c>
      <c r="AB761">
        <f>AA761-Z761</f>
        <v>7</v>
      </c>
      <c r="AC761" t="str">
        <f>TEXT(Z761,"mmmm")</f>
        <v>July</v>
      </c>
      <c r="AD761">
        <f>YEAR(Z761)</f>
        <v>2024</v>
      </c>
      <c r="AE761" t="str">
        <f t="shared" si="35"/>
        <v>OK</v>
      </c>
    </row>
    <row r="762" spans="1:31">
      <c r="A762" t="s">
        <v>3530</v>
      </c>
      <c r="B762" t="s">
        <v>3531</v>
      </c>
      <c r="C762" t="s">
        <v>1203</v>
      </c>
      <c r="D762" t="s">
        <v>3532</v>
      </c>
      <c r="E762" t="s">
        <v>114</v>
      </c>
      <c r="F762" t="s">
        <v>122</v>
      </c>
      <c r="G762" t="s">
        <v>49</v>
      </c>
      <c r="H762" t="s">
        <v>223</v>
      </c>
      <c r="I762" t="s">
        <v>224</v>
      </c>
      <c r="J762" t="s">
        <v>37</v>
      </c>
      <c r="K762" t="s">
        <v>61</v>
      </c>
      <c r="L762" t="s">
        <v>3533</v>
      </c>
      <c r="M762" t="s">
        <v>40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144</v>
      </c>
      <c r="U762" t="s">
        <v>132</v>
      </c>
      <c r="V762">
        <f>O762*(1-P762)*N762</f>
        <v>13462.12</v>
      </c>
      <c r="W762">
        <f t="shared" si="33"/>
        <v>5861.4900000000007</v>
      </c>
      <c r="X762">
        <f t="shared" si="34"/>
        <v>0.43540616188237807</v>
      </c>
      <c r="Y762" t="str">
        <f>_xlfn.TEXTJOIN(", ",TRUE,IF(G762="Unknown","Missing Region",""),IF(M762="Unknown","Missing Ship Mode",""),IF(P762&lt;0,"Negative Discount",""),IF(P762&gt;0.7,"High Discount",""),IF(C762&lt;B762,"Ship Before Order",""))</f>
        <v>Ship Before Order</v>
      </c>
      <c r="Z762" s="2">
        <f>IFERROR(
  IF(ISNUMBER(B762),B762,
    IF(ISNUMBER(SEARCH("-",B762)*1),
      IF(LEN(LEFT(B762,FIND("-",B762)-1))=4,
        DATE(VALUE(LEFT(B762,4)),VALUE(MID(B762,6,2)),VALUE(RIGHT(B762,2))),
        DATE(VALUE(RIGHT(B762,4)),VALUE(MID(B762,4,2)),VALUE(LEFT(B762,2)))
      ),
      IF(ISNUMBER(SEARCH("/",B762)*1),
        DATE(VALUE(RIGHT(B762,4)),VALUE(LEFT(B762,2)),VALUE(MID(B762,4,2))),
        DATEVALUE(B762)
      )
    )
  ),
"INVALID_DATE")</f>
        <v>45532</v>
      </c>
      <c r="AA762" s="2">
        <f>IFERROR(
  IF(ISNUMBER(C762),C762,
    IF(ISNUMBER(SEARCH("-",C762)*1),
      IF(LEN(LEFT(C762,FIND("-",C762)-1))=4,
        DATE(VALUE(LEFT(C762,4)),VALUE(MID(C762,6,2)),VALUE(RIGHT(C762,2))),
        DATE(VALUE(RIGHT(C762,4)),VALUE(MID(C762,4,2)),VALUE(LEFT(C762,2)))
      ),
      IF(ISNUMBER(SEARCH("/",C762)*1),
        DATE(VALUE(RIGHT(C762,4)),VALUE(LEFT(C762,2)),VALUE(MID(C762,4,2))),
        DATEVALUE(C762)
      )
    )
  ),
"INVALID_DATE")</f>
        <v>45537</v>
      </c>
      <c r="AB762">
        <f>AA762-Z762</f>
        <v>5</v>
      </c>
      <c r="AC762" t="str">
        <f>TEXT(Z762,"mmmm")</f>
        <v>August</v>
      </c>
      <c r="AD762">
        <f>YEAR(Z762)</f>
        <v>2024</v>
      </c>
      <c r="AE762" t="str">
        <f t="shared" si="35"/>
        <v>OK</v>
      </c>
    </row>
    <row r="763" spans="1:31">
      <c r="A763" t="s">
        <v>3534</v>
      </c>
      <c r="B763" t="s">
        <v>463</v>
      </c>
      <c r="C763" t="s">
        <v>3535</v>
      </c>
      <c r="D763" t="s">
        <v>3536</v>
      </c>
      <c r="E763" t="s">
        <v>60</v>
      </c>
      <c r="F763" t="s">
        <v>33</v>
      </c>
      <c r="G763" t="s">
        <v>69</v>
      </c>
      <c r="H763" t="s">
        <v>236</v>
      </c>
      <c r="I763" t="s">
        <v>237</v>
      </c>
      <c r="J763" t="s">
        <v>93</v>
      </c>
      <c r="K763" t="s">
        <v>390</v>
      </c>
      <c r="L763" t="s">
        <v>3537</v>
      </c>
      <c r="M763" t="s">
        <v>63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41</v>
      </c>
      <c r="U763" t="s">
        <v>42</v>
      </c>
      <c r="V763">
        <f>O763*(1-P763)*N763</f>
        <v>7467.36</v>
      </c>
      <c r="W763">
        <f t="shared" si="33"/>
        <v>2456.75</v>
      </c>
      <c r="X763">
        <f t="shared" si="34"/>
        <v>0.32899846799940008</v>
      </c>
      <c r="Y763" t="str">
        <f>_xlfn.TEXTJOIN(", ",TRUE,IF(G763="Unknown","Missing Region",""),IF(M763="Unknown","Missing Ship Mode",""),IF(P763&lt;0,"Negative Discount",""),IF(P763&gt;0.7,"High Discount",""),IF(C763&lt;B763,"Ship Before Order",""))</f>
        <v>Ship Before Order</v>
      </c>
      <c r="Z763" s="2">
        <f>IFERROR(
  IF(ISNUMBER(B763),B763,
    IF(ISNUMBER(SEARCH("-",B763)*1),
      IF(LEN(LEFT(B763,FIND("-",B763)-1))=4,
        DATE(VALUE(LEFT(B763,4)),VALUE(MID(B763,6,2)),VALUE(RIGHT(B763,2))),
        DATE(VALUE(RIGHT(B763,4)),VALUE(MID(B763,4,2)),VALUE(LEFT(B763,2)))
      ),
      IF(ISNUMBER(SEARCH("/",B763)*1),
        DATE(VALUE(RIGHT(B763,4)),VALUE(LEFT(B763,2)),VALUE(MID(B763,4,2))),
        DATEVALUE(B763)
      )
    )
  ),
"INVALID_DATE")</f>
        <v>45896</v>
      </c>
      <c r="AA763" s="2">
        <f>IFERROR(
  IF(ISNUMBER(C763),C763,
    IF(ISNUMBER(SEARCH("-",C763)*1),
      IF(LEN(LEFT(C763,FIND("-",C763)-1))=4,
        DATE(VALUE(LEFT(C763,4)),VALUE(MID(C763,6,2)),VALUE(RIGHT(C763,2))),
        DATE(VALUE(RIGHT(C763,4)),VALUE(MID(C763,4,2)),VALUE(LEFT(C763,2)))
      ),
      IF(ISNUMBER(SEARCH("/",C763)*1),
        DATE(VALUE(RIGHT(C763,4)),VALUE(LEFT(C763,2)),VALUE(MID(C763,4,2))),
        DATEVALUE(C763)
      )
    )
  ),
"INVALID_DATE")</f>
        <v>45900</v>
      </c>
      <c r="AB763">
        <f>AA763-Z763</f>
        <v>4</v>
      </c>
      <c r="AC763" t="str">
        <f>TEXT(Z763,"mmmm")</f>
        <v>August</v>
      </c>
      <c r="AD763">
        <f>YEAR(Z763)</f>
        <v>2025</v>
      </c>
      <c r="AE763" t="str">
        <f t="shared" si="35"/>
        <v>OK</v>
      </c>
    </row>
    <row r="764" spans="1:31">
      <c r="A764" t="s">
        <v>3538</v>
      </c>
      <c r="B764" t="s">
        <v>3539</v>
      </c>
      <c r="C764" t="s">
        <v>3540</v>
      </c>
      <c r="D764" t="s">
        <v>3541</v>
      </c>
      <c r="E764" t="s">
        <v>217</v>
      </c>
      <c r="F764" t="s">
        <v>115</v>
      </c>
      <c r="G764" t="s">
        <v>80</v>
      </c>
      <c r="H764" t="s">
        <v>91</v>
      </c>
      <c r="I764" t="s">
        <v>92</v>
      </c>
      <c r="J764" t="s">
        <v>93</v>
      </c>
      <c r="K764" t="s">
        <v>390</v>
      </c>
      <c r="L764" t="s">
        <v>3542</v>
      </c>
      <c r="M764" t="s">
        <v>40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131</v>
      </c>
      <c r="U764" t="s">
        <v>132</v>
      </c>
      <c r="V764">
        <f>O764*(1-P764)*N764</f>
        <v>5910.5920000000006</v>
      </c>
      <c r="W764">
        <f t="shared" si="33"/>
        <v>1135.152000000001</v>
      </c>
      <c r="X764">
        <f t="shared" si="34"/>
        <v>0.19205358517508406</v>
      </c>
      <c r="Y764" t="s">
        <v>4120</v>
      </c>
      <c r="Z764" s="2">
        <f>IFERROR(
  IF(ISNUMBER(B764),B764,
    IF(ISNUMBER(SEARCH("-",B764)*1),
      IF(LEN(LEFT(B764,FIND("-",B764)-1))=4,
        DATE(VALUE(LEFT(B764,4)),VALUE(MID(B764,6,2)),VALUE(RIGHT(B764,2))),
        DATE(VALUE(RIGHT(B764,4)),VALUE(MID(B764,4,2)),VALUE(LEFT(B764,2)))
      ),
      IF(ISNUMBER(SEARCH("/",B764)*1),
        DATE(VALUE(RIGHT(B764,4)),VALUE(LEFT(B764,2)),VALUE(MID(B764,4,2))),
        DATEVALUE(B764)
      )
    )
  ),
"INVALID_DATE")</f>
        <v>45292</v>
      </c>
      <c r="AA764" s="2">
        <f>IFERROR(
  IF(ISNUMBER(C764),C764,
    IF(ISNUMBER(SEARCH("-",C764)*1),
      IF(LEN(LEFT(C764,FIND("-",C764)-1))=4,
        DATE(VALUE(LEFT(C764,4)),VALUE(MID(C764,6,2)),VALUE(RIGHT(C764,2))),
        DATE(VALUE(RIGHT(C764,4)),VALUE(MID(C764,4,2)),VALUE(LEFT(C764,2)))
      ),
      IF(ISNUMBER(SEARCH("/",C764)*1),
        DATE(VALUE(RIGHT(C764,4)),VALUE(LEFT(C764,2)),VALUE(MID(C764,4,2))),
        DATEVALUE(C764)
      )
    )
  ),
"INVALID_DATE")</f>
        <v>45296</v>
      </c>
      <c r="AB764">
        <f>AA764-Z764</f>
        <v>4</v>
      </c>
      <c r="AC764" t="str">
        <f>TEXT(Z764,"mmmm")</f>
        <v>January</v>
      </c>
      <c r="AD764">
        <f>YEAR(Z764)</f>
        <v>2024</v>
      </c>
      <c r="AE764" t="str">
        <f t="shared" si="35"/>
        <v>OK</v>
      </c>
    </row>
    <row r="765" spans="1:31">
      <c r="A765" t="s">
        <v>3543</v>
      </c>
      <c r="B765" t="s">
        <v>3544</v>
      </c>
      <c r="C765" t="s">
        <v>3545</v>
      </c>
      <c r="D765" t="s">
        <v>3546</v>
      </c>
      <c r="E765" t="s">
        <v>217</v>
      </c>
      <c r="F765" t="s">
        <v>33</v>
      </c>
      <c r="G765" t="s">
        <v>34</v>
      </c>
      <c r="H765" t="s">
        <v>35</v>
      </c>
      <c r="I765" t="s">
        <v>36</v>
      </c>
      <c r="J765" t="s">
        <v>52</v>
      </c>
      <c r="K765" t="s">
        <v>72</v>
      </c>
      <c r="L765" t="s">
        <v>3547</v>
      </c>
      <c r="M765" t="s">
        <v>55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41</v>
      </c>
      <c r="U765" t="s">
        <v>42</v>
      </c>
      <c r="V765">
        <f>O765*(1-P765)*N765</f>
        <v>16454.88</v>
      </c>
      <c r="W765">
        <f t="shared" si="33"/>
        <v>4373.34</v>
      </c>
      <c r="X765">
        <f t="shared" si="34"/>
        <v>0.26577769026574488</v>
      </c>
      <c r="Y765" t="str">
        <f>_xlfn.TEXTJOIN(", ",TRUE,IF(G765="Unknown","Missing Region",""),IF(M765="Unknown","Missing Ship Mode",""),IF(P765&lt;0,"Negative Discount",""),IF(P765&gt;0.7,"High Discount",""),IF(C765&lt;B765,"Ship Before Order",""))</f>
        <v>Ship Before Order</v>
      </c>
      <c r="Z765" s="2">
        <f>IFERROR(
  IF(ISNUMBER(B765),B765,
    IF(ISNUMBER(SEARCH("-",B765)*1),
      IF(LEN(LEFT(B765,FIND("-",B765)-1))=4,
        DATE(VALUE(LEFT(B765,4)),VALUE(MID(B765,6,2)),VALUE(RIGHT(B765,2))),
        DATE(VALUE(RIGHT(B765,4)),VALUE(MID(B765,4,2)),VALUE(LEFT(B765,2)))
      ),
      IF(ISNUMBER(SEARCH("/",B765)*1),
        DATE(VALUE(RIGHT(B765,4)),VALUE(LEFT(B765,2)),VALUE(MID(B765,4,2))),
        DATEVALUE(B765)
      )
    )
  ),
"INVALID_DATE")</f>
        <v>45892</v>
      </c>
      <c r="AA765" s="2">
        <f>IFERROR(
  IF(ISNUMBER(C765),C765,
    IF(ISNUMBER(SEARCH("-",C765)*1),
      IF(LEN(LEFT(C765,FIND("-",C765)-1))=4,
        DATE(VALUE(LEFT(C765,4)),VALUE(MID(C765,6,2)),VALUE(RIGHT(C765,2))),
        DATE(VALUE(RIGHT(C765,4)),VALUE(MID(C765,4,2)),VALUE(LEFT(C765,2)))
      ),
      IF(ISNUMBER(SEARCH("/",C765)*1),
        DATE(VALUE(RIGHT(C765,4)),VALUE(LEFT(C765,2)),VALUE(MID(C765,4,2))),
        DATEVALUE(C765)
      )
    )
  ),
"INVALID_DATE")</f>
        <v>45894</v>
      </c>
      <c r="AB765">
        <f>AA765-Z765</f>
        <v>2</v>
      </c>
      <c r="AC765" t="str">
        <f>TEXT(Z765,"mmmm")</f>
        <v>August</v>
      </c>
      <c r="AD765">
        <f>YEAR(Z765)</f>
        <v>2025</v>
      </c>
      <c r="AE765" t="str">
        <f t="shared" si="35"/>
        <v>OK</v>
      </c>
    </row>
    <row r="766" spans="1:31">
      <c r="A766" t="s">
        <v>3548</v>
      </c>
      <c r="B766" t="s">
        <v>1870</v>
      </c>
      <c r="C766" t="s">
        <v>2921</v>
      </c>
      <c r="D766" t="s">
        <v>1362</v>
      </c>
      <c r="E766" t="s">
        <v>149</v>
      </c>
      <c r="F766" t="s">
        <v>115</v>
      </c>
      <c r="G766" t="s">
        <v>69</v>
      </c>
      <c r="H766" t="s">
        <v>249</v>
      </c>
      <c r="I766" t="s">
        <v>250</v>
      </c>
      <c r="J766" t="s">
        <v>52</v>
      </c>
      <c r="K766" t="s">
        <v>211</v>
      </c>
      <c r="L766" t="s">
        <v>3549</v>
      </c>
      <c r="M766" t="s">
        <v>63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41</v>
      </c>
      <c r="U766" t="s">
        <v>42</v>
      </c>
      <c r="V766">
        <f>O766*(1-P766)*N766</f>
        <v>25159.800000000003</v>
      </c>
      <c r="W766">
        <f t="shared" si="33"/>
        <v>3552.9700000000012</v>
      </c>
      <c r="X766">
        <f t="shared" si="34"/>
        <v>0.14121614639226066</v>
      </c>
      <c r="Y766" t="str">
        <f>_xlfn.TEXTJOIN(", ",TRUE,IF(G766="Unknown","Missing Region",""),IF(M766="Unknown","Missing Ship Mode",""),IF(P766&lt;0,"Negative Discount",""),IF(P766&gt;0.7,"High Discount",""),IF(C766&lt;B766,"Ship Before Order",""))</f>
        <v>Ship Before Order</v>
      </c>
      <c r="Z766" s="2">
        <f>IFERROR(
  IF(ISNUMBER(B766),B766,
    IF(ISNUMBER(SEARCH("-",B766)*1),
      IF(LEN(LEFT(B766,FIND("-",B766)-1))=4,
        DATE(VALUE(LEFT(B766,4)),VALUE(MID(B766,6,2)),VALUE(RIGHT(B766,2))),
        DATE(VALUE(RIGHT(B766,4)),VALUE(MID(B766,4,2)),VALUE(LEFT(B766,2)))
      ),
      IF(ISNUMBER(SEARCH("/",B766)*1),
        DATE(VALUE(RIGHT(B766,4)),VALUE(LEFT(B766,2)),VALUE(MID(B766,4,2))),
        DATEVALUE(B766)
      )
    )
  ),
"INVALID_DATE")</f>
        <v>45760</v>
      </c>
      <c r="AA766" s="2">
        <f>IFERROR(
  IF(ISNUMBER(C766),C766,
    IF(ISNUMBER(SEARCH("-",C766)*1),
      IF(LEN(LEFT(C766,FIND("-",C766)-1))=4,
        DATE(VALUE(LEFT(C766,4)),VALUE(MID(C766,6,2)),VALUE(RIGHT(C766,2))),
        DATE(VALUE(RIGHT(C766,4)),VALUE(MID(C766,4,2)),VALUE(LEFT(C766,2)))
      ),
      IF(ISNUMBER(SEARCH("/",C766)*1),
        DATE(VALUE(RIGHT(C766,4)),VALUE(LEFT(C766,2)),VALUE(MID(C766,4,2))),
        DATEVALUE(C766)
      )
    )
  ),
"INVALID_DATE")</f>
        <v>45760</v>
      </c>
      <c r="AB766">
        <f>AA766-Z766</f>
        <v>0</v>
      </c>
      <c r="AC766" t="str">
        <f>TEXT(Z766,"mmmm")</f>
        <v>April</v>
      </c>
      <c r="AD766">
        <f>YEAR(Z766)</f>
        <v>2025</v>
      </c>
      <c r="AE766" t="str">
        <f t="shared" si="35"/>
        <v>OK</v>
      </c>
    </row>
    <row r="767" spans="1:31">
      <c r="A767" t="s">
        <v>3550</v>
      </c>
      <c r="B767" t="s">
        <v>3551</v>
      </c>
      <c r="C767" t="s">
        <v>3552</v>
      </c>
      <c r="D767" t="s">
        <v>3553</v>
      </c>
      <c r="E767" t="s">
        <v>90</v>
      </c>
      <c r="F767" t="s">
        <v>115</v>
      </c>
      <c r="G767" t="s">
        <v>49</v>
      </c>
      <c r="H767" t="s">
        <v>319</v>
      </c>
      <c r="I767" t="s">
        <v>320</v>
      </c>
      <c r="J767" t="s">
        <v>37</v>
      </c>
      <c r="K767" t="s">
        <v>116</v>
      </c>
      <c r="L767" t="s">
        <v>3554</v>
      </c>
      <c r="M767" t="s">
        <v>63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41</v>
      </c>
      <c r="U767" t="s">
        <v>42</v>
      </c>
      <c r="V767">
        <f>O767*(1-P767)*N767</f>
        <v>1824.42</v>
      </c>
      <c r="W767">
        <f t="shared" si="33"/>
        <v>609.55000000000018</v>
      </c>
      <c r="X767">
        <f t="shared" si="34"/>
        <v>0.33410618169061945</v>
      </c>
      <c r="Y767" t="str">
        <f>_xlfn.TEXTJOIN(", ",TRUE,IF(G767="Unknown","Missing Region",""),IF(M767="Unknown","Missing Ship Mode",""),IF(P767&lt;0,"Negative Discount",""),IF(P767&gt;0.7,"High Discount",""),IF(C767&lt;B767,"Ship Before Order",""))</f>
        <v>Ship Before Order</v>
      </c>
      <c r="Z767" s="2">
        <f>IFERROR(
  IF(ISNUMBER(B767),B767,
    IF(ISNUMBER(SEARCH("-",B767)*1),
      IF(LEN(LEFT(B767,FIND("-",B767)-1))=4,
        DATE(VALUE(LEFT(B767,4)),VALUE(MID(B767,6,2)),VALUE(RIGHT(B767,2))),
        DATE(VALUE(RIGHT(B767,4)),VALUE(MID(B767,4,2)),VALUE(LEFT(B767,2)))
      ),
      IF(ISNUMBER(SEARCH("/",B767)*1),
        DATE(VALUE(RIGHT(B767,4)),VALUE(LEFT(B767,2)),VALUE(MID(B767,4,2))),
        DATEVALUE(B767)
      )
    )
  ),
"INVALID_DATE")</f>
        <v>45837</v>
      </c>
      <c r="AA767" s="2">
        <f>IFERROR(
  IF(ISNUMBER(C767),C767,
    IF(ISNUMBER(SEARCH("-",C767)*1),
      IF(LEN(LEFT(C767,FIND("-",C767)-1))=4,
        DATE(VALUE(LEFT(C767,4)),VALUE(MID(C767,6,2)),VALUE(RIGHT(C767,2))),
        DATE(VALUE(RIGHT(C767,4)),VALUE(MID(C767,4,2)),VALUE(LEFT(C767,2)))
      ),
      IF(ISNUMBER(SEARCH("/",C767)*1),
        DATE(VALUE(RIGHT(C767,4)),VALUE(LEFT(C767,2)),VALUE(MID(C767,4,2))),
        DATEVALUE(C767)
      )
    )
  ),
"INVALID_DATE")</f>
        <v>45841</v>
      </c>
      <c r="AB767">
        <f>AA767-Z767</f>
        <v>4</v>
      </c>
      <c r="AC767" t="str">
        <f>TEXT(Z767,"mmmm")</f>
        <v>June</v>
      </c>
      <c r="AD767">
        <f>YEAR(Z767)</f>
        <v>2025</v>
      </c>
      <c r="AE767" t="str">
        <f t="shared" si="35"/>
        <v>OK</v>
      </c>
    </row>
    <row r="768" spans="1:31">
      <c r="A768" t="s">
        <v>3555</v>
      </c>
      <c r="B768" t="s">
        <v>3556</v>
      </c>
      <c r="C768" t="s">
        <v>2017</v>
      </c>
      <c r="D768" t="s">
        <v>3557</v>
      </c>
      <c r="E768" t="s">
        <v>47</v>
      </c>
      <c r="F768" t="s">
        <v>115</v>
      </c>
      <c r="G768" t="s">
        <v>80</v>
      </c>
      <c r="H768" t="s">
        <v>242</v>
      </c>
      <c r="I768" t="s">
        <v>243</v>
      </c>
      <c r="J768" t="s">
        <v>37</v>
      </c>
      <c r="K768" t="s">
        <v>61</v>
      </c>
      <c r="L768" t="s">
        <v>3558</v>
      </c>
      <c r="M768" t="s">
        <v>40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41</v>
      </c>
      <c r="U768" t="s">
        <v>85</v>
      </c>
      <c r="V768">
        <f>O768*(1-P768)*N768</f>
        <v>16617.312000000002</v>
      </c>
      <c r="W768">
        <f t="shared" si="33"/>
        <v>7421.5820000000022</v>
      </c>
      <c r="X768">
        <f t="shared" si="34"/>
        <v>0.44661741280628448</v>
      </c>
      <c r="Y768" t="s">
        <v>4120</v>
      </c>
      <c r="Z768" s="2">
        <f>IFERROR(
  IF(ISNUMBER(B768),B768,
    IF(ISNUMBER(SEARCH("-",B768)*1),
      IF(LEN(LEFT(B768,FIND("-",B768)-1))=4,
        DATE(VALUE(LEFT(B768,4)),VALUE(MID(B768,6,2)),VALUE(RIGHT(B768,2))),
        DATE(VALUE(RIGHT(B768,4)),VALUE(MID(B768,4,2)),VALUE(LEFT(B768,2)))
      ),
      IF(ISNUMBER(SEARCH("/",B768)*1),
        DATE(VALUE(RIGHT(B768,4)),VALUE(LEFT(B768,2)),VALUE(MID(B768,4,2))),
        DATEVALUE(B768)
      )
    )
  ),
"INVALID_DATE")</f>
        <v>45552</v>
      </c>
      <c r="AA768" s="2">
        <f>IFERROR(
  IF(ISNUMBER(C768),C768,
    IF(ISNUMBER(SEARCH("-",C768)*1),
      IF(LEN(LEFT(C768,FIND("-",C768)-1))=4,
        DATE(VALUE(LEFT(C768,4)),VALUE(MID(C768,6,2)),VALUE(RIGHT(C768,2))),
        DATE(VALUE(RIGHT(C768,4)),VALUE(MID(C768,4,2)),VALUE(LEFT(C768,2)))
      ),
      IF(ISNUMBER(SEARCH("/",C768)*1),
        DATE(VALUE(RIGHT(C768,4)),VALUE(LEFT(C768,2)),VALUE(MID(C768,4,2))),
        DATEVALUE(C768)
      )
    )
  ),
"INVALID_DATE")</f>
        <v>45559</v>
      </c>
      <c r="AB768">
        <f>AA768-Z768</f>
        <v>7</v>
      </c>
      <c r="AC768" t="str">
        <f>TEXT(Z768,"mmmm")</f>
        <v>September</v>
      </c>
      <c r="AD768">
        <f>YEAR(Z768)</f>
        <v>2024</v>
      </c>
      <c r="AE768" t="str">
        <f t="shared" si="35"/>
        <v>OK</v>
      </c>
    </row>
    <row r="769" spans="1:31">
      <c r="A769" t="s">
        <v>3559</v>
      </c>
      <c r="B769" t="s">
        <v>3560</v>
      </c>
      <c r="C769" t="s">
        <v>2716</v>
      </c>
      <c r="D769" t="s">
        <v>3561</v>
      </c>
      <c r="E769" t="s">
        <v>79</v>
      </c>
      <c r="F769" t="s">
        <v>122</v>
      </c>
      <c r="G769" t="s">
        <v>34</v>
      </c>
      <c r="H769" t="s">
        <v>181</v>
      </c>
      <c r="I769" t="s">
        <v>182</v>
      </c>
      <c r="J769" t="s">
        <v>926</v>
      </c>
      <c r="K769" t="s">
        <v>205</v>
      </c>
      <c r="L769" t="s">
        <v>3562</v>
      </c>
      <c r="M769" t="s">
        <v>74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41</v>
      </c>
      <c r="U769" t="s">
        <v>42</v>
      </c>
      <c r="V769">
        <f>O769*(1-P769)*N769</f>
        <v>933.43499999999995</v>
      </c>
      <c r="W769">
        <f t="shared" si="33"/>
        <v>350.34499999999991</v>
      </c>
      <c r="X769">
        <f t="shared" si="34"/>
        <v>0.37532541272511061</v>
      </c>
      <c r="Y769" t="s">
        <v>4120</v>
      </c>
      <c r="Z769" s="2">
        <f>IFERROR(
  IF(ISNUMBER(B769),B769,
    IF(ISNUMBER(SEARCH("-",B769)*1),
      IF(LEN(LEFT(B769,FIND("-",B769)-1))=4,
        DATE(VALUE(LEFT(B769,4)),VALUE(MID(B769,6,2)),VALUE(RIGHT(B769,2))),
        DATE(VALUE(RIGHT(B769,4)),VALUE(MID(B769,4,2)),VALUE(LEFT(B769,2)))
      ),
      IF(ISNUMBER(SEARCH("/",B769)*1),
        DATE(VALUE(RIGHT(B769,4)),VALUE(LEFT(B769,2)),VALUE(MID(B769,4,2))),
        DATEVALUE(B769)
      )
    )
  ),
"INVALID_DATE")</f>
        <v>45415</v>
      </c>
      <c r="AA769" s="2">
        <f>IFERROR(
  IF(ISNUMBER(C769),C769,
    IF(ISNUMBER(SEARCH("-",C769)*1),
      IF(LEN(LEFT(C769,FIND("-",C769)-1))=4,
        DATE(VALUE(LEFT(C769,4)),VALUE(MID(C769,6,2)),VALUE(RIGHT(C769,2))),
        DATE(VALUE(RIGHT(C769,4)),VALUE(MID(C769,4,2)),VALUE(LEFT(C769,2)))
      ),
      IF(ISNUMBER(SEARCH("/",C769)*1),
        DATE(VALUE(RIGHT(C769,4)),VALUE(LEFT(C769,2)),VALUE(MID(C769,4,2))),
        DATEVALUE(C769)
      )
    )
  ),
"INVALID_DATE")</f>
        <v>45418</v>
      </c>
      <c r="AB769">
        <f>AA769-Z769</f>
        <v>3</v>
      </c>
      <c r="AC769" t="str">
        <f>TEXT(Z769,"mmmm")</f>
        <v>May</v>
      </c>
      <c r="AD769">
        <f>YEAR(Z769)</f>
        <v>2024</v>
      </c>
      <c r="AE769" t="str">
        <f t="shared" si="35"/>
        <v>OK</v>
      </c>
    </row>
    <row r="770" spans="1:31">
      <c r="A770" t="s">
        <v>3563</v>
      </c>
      <c r="B770" t="s">
        <v>1820</v>
      </c>
      <c r="C770" t="s">
        <v>3564</v>
      </c>
      <c r="D770" t="s">
        <v>3565</v>
      </c>
      <c r="E770" t="s">
        <v>175</v>
      </c>
      <c r="F770" t="s">
        <v>122</v>
      </c>
      <c r="G770" t="s">
        <v>49</v>
      </c>
      <c r="H770" t="s">
        <v>319</v>
      </c>
      <c r="I770" t="s">
        <v>320</v>
      </c>
      <c r="J770" t="s">
        <v>37</v>
      </c>
      <c r="K770" t="s">
        <v>38</v>
      </c>
      <c r="L770" t="s">
        <v>3566</v>
      </c>
      <c r="M770" t="s">
        <v>55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41</v>
      </c>
      <c r="U770" t="s">
        <v>42</v>
      </c>
      <c r="V770">
        <f>O770*(1-P770)*N770</f>
        <v>14554.079999999998</v>
      </c>
      <c r="W770">
        <f t="shared" si="33"/>
        <v>3387.239999999998</v>
      </c>
      <c r="X770">
        <f t="shared" si="34"/>
        <v>0.23273473830018798</v>
      </c>
      <c r="Y770" t="s">
        <v>4120</v>
      </c>
      <c r="Z770" s="2">
        <f>IFERROR(
  IF(ISNUMBER(B770),B770,
    IF(ISNUMBER(SEARCH("-",B770)*1),
      IF(LEN(LEFT(B770,FIND("-",B770)-1))=4,
        DATE(VALUE(LEFT(B770,4)),VALUE(MID(B770,6,2)),VALUE(RIGHT(B770,2))),
        DATE(VALUE(RIGHT(B770,4)),VALUE(MID(B770,4,2)),VALUE(LEFT(B770,2)))
      ),
      IF(ISNUMBER(SEARCH("/",B770)*1),
        DATE(VALUE(RIGHT(B770,4)),VALUE(LEFT(B770,2)),VALUE(MID(B770,4,2))),
        DATEVALUE(B770)
      )
    )
  ),
"INVALID_DATE")</f>
        <v>45749</v>
      </c>
      <c r="AA770" s="2">
        <f>IFERROR(
  IF(ISNUMBER(C770),C770,
    IF(ISNUMBER(SEARCH("-",C770)*1),
      IF(LEN(LEFT(C770,FIND("-",C770)-1))=4,
        DATE(VALUE(LEFT(C770,4)),VALUE(MID(C770,6,2)),VALUE(RIGHT(C770,2))),
        DATE(VALUE(RIGHT(C770,4)),VALUE(MID(C770,4,2)),VALUE(LEFT(C770,2)))
      ),
      IF(ISNUMBER(SEARCH("/",C770)*1),
        DATE(VALUE(RIGHT(C770,4)),VALUE(LEFT(C770,2)),VALUE(MID(C770,4,2))),
        DATEVALUE(C770)
      )
    )
  ),
"INVALID_DATE")</f>
        <v>45751</v>
      </c>
      <c r="AB770">
        <f>AA770-Z770</f>
        <v>2</v>
      </c>
      <c r="AC770" t="str">
        <f>TEXT(Z770,"mmmm")</f>
        <v>April</v>
      </c>
      <c r="AD770">
        <f>YEAR(Z770)</f>
        <v>2025</v>
      </c>
      <c r="AE770" t="str">
        <f t="shared" si="35"/>
        <v>OK</v>
      </c>
    </row>
    <row r="771" spans="1:31">
      <c r="A771" t="s">
        <v>3567</v>
      </c>
      <c r="B771" t="s">
        <v>3568</v>
      </c>
      <c r="C771" t="s">
        <v>2026</v>
      </c>
      <c r="D771" t="s">
        <v>3569</v>
      </c>
      <c r="E771" t="s">
        <v>149</v>
      </c>
      <c r="F771" t="s">
        <v>122</v>
      </c>
      <c r="G771" t="s">
        <v>80</v>
      </c>
      <c r="H771" t="s">
        <v>256</v>
      </c>
      <c r="I771" t="s">
        <v>257</v>
      </c>
      <c r="J771" t="s">
        <v>52</v>
      </c>
      <c r="K771" t="s">
        <v>211</v>
      </c>
      <c r="L771" t="s">
        <v>3570</v>
      </c>
      <c r="M771" t="s">
        <v>55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41</v>
      </c>
      <c r="U771" t="s">
        <v>42</v>
      </c>
      <c r="V771">
        <f>O771*(1-P771)*N771</f>
        <v>8128.6875</v>
      </c>
      <c r="W771">
        <f t="shared" ref="W771:W834" si="36">V771-R771</f>
        <v>3057.0275000000001</v>
      </c>
      <c r="X771">
        <f t="shared" ref="X771:X834" si="37">S771/Q771</f>
        <v>0.37607904840755402</v>
      </c>
      <c r="Y771" t="s">
        <v>4120</v>
      </c>
      <c r="Z771" s="2">
        <f>IFERROR(
  IF(ISNUMBER(B771),B771,
    IF(ISNUMBER(SEARCH("-",B771)*1),
      IF(LEN(LEFT(B771,FIND("-",B771)-1))=4,
        DATE(VALUE(LEFT(B771,4)),VALUE(MID(B771,6,2)),VALUE(RIGHT(B771,2))),
        DATE(VALUE(RIGHT(B771,4)),VALUE(MID(B771,4,2)),VALUE(LEFT(B771,2)))
      ),
      IF(ISNUMBER(SEARCH("/",B771)*1),
        DATE(VALUE(RIGHT(B771,4)),VALUE(LEFT(B771,2)),VALUE(MID(B771,4,2))),
        DATEVALUE(B771)
      )
    )
  ),
"INVALID_DATE")</f>
        <v>45423</v>
      </c>
      <c r="AA771" s="2">
        <f>IFERROR(
  IF(ISNUMBER(C771),C771,
    IF(ISNUMBER(SEARCH("-",C771)*1),
      IF(LEN(LEFT(C771,FIND("-",C771)-1))=4,
        DATE(VALUE(LEFT(C771,4)),VALUE(MID(C771,6,2)),VALUE(RIGHT(C771,2))),
        DATE(VALUE(RIGHT(C771,4)),VALUE(MID(C771,4,2)),VALUE(LEFT(C771,2)))
      ),
      IF(ISNUMBER(SEARCH("/",C771)*1),
        DATE(VALUE(RIGHT(C771,4)),VALUE(LEFT(C771,2)),VALUE(MID(C771,4,2))),
        DATEVALUE(C771)
      )
    )
  ),
"INVALID_DATE")</f>
        <v>45425</v>
      </c>
      <c r="AB771">
        <f>AA771-Z771</f>
        <v>2</v>
      </c>
      <c r="AC771" t="str">
        <f>TEXT(Z771,"mmmm")</f>
        <v>May</v>
      </c>
      <c r="AD771">
        <f>YEAR(Z771)</f>
        <v>2024</v>
      </c>
      <c r="AE771" t="str">
        <f t="shared" ref="AE771:AE834" si="38">IF(OR(Z771="INVALID_DATE",AA771="INVALID_DATE"),"Invalid Date",IF(AA771&lt;Z771,"Ship Before Order","OK"))</f>
        <v>OK</v>
      </c>
    </row>
    <row r="772" spans="1:31">
      <c r="A772" t="s">
        <v>3571</v>
      </c>
      <c r="B772" t="s">
        <v>2315</v>
      </c>
      <c r="C772" t="s">
        <v>2770</v>
      </c>
      <c r="D772" t="s">
        <v>3572</v>
      </c>
      <c r="E772" t="s">
        <v>100</v>
      </c>
      <c r="F772" t="s">
        <v>33</v>
      </c>
      <c r="G772" t="s">
        <v>34</v>
      </c>
      <c r="H772" t="s">
        <v>181</v>
      </c>
      <c r="I772" t="s">
        <v>182</v>
      </c>
      <c r="J772" t="s">
        <v>93</v>
      </c>
      <c r="K772" t="s">
        <v>101</v>
      </c>
      <c r="L772" t="s">
        <v>3573</v>
      </c>
      <c r="M772" t="s">
        <v>63</v>
      </c>
      <c r="N772">
        <v>4</v>
      </c>
      <c r="O772">
        <v>863</v>
      </c>
      <c r="P772">
        <v>0</v>
      </c>
      <c r="Q772">
        <v>3106.8</v>
      </c>
      <c r="R772">
        <v>2376.62</v>
      </c>
      <c r="S772">
        <v>730.18</v>
      </c>
      <c r="T772" t="s">
        <v>41</v>
      </c>
      <c r="U772" t="s">
        <v>42</v>
      </c>
      <c r="V772">
        <f>O772*(1-P772)*N772</f>
        <v>3452</v>
      </c>
      <c r="W772">
        <f t="shared" si="36"/>
        <v>1075.3800000000001</v>
      </c>
      <c r="X772">
        <f t="shared" si="37"/>
        <v>0.23502639371700781</v>
      </c>
      <c r="Y772" t="s">
        <v>4120</v>
      </c>
      <c r="Z772" s="2">
        <f>IFERROR(
  IF(ISNUMBER(B772),B772,
    IF(ISNUMBER(SEARCH("-",B772)*1),
      IF(LEN(LEFT(B772,FIND("-",B772)-1))=4,
        DATE(VALUE(LEFT(B772,4)),VALUE(MID(B772,6,2)),VALUE(RIGHT(B772,2))),
        DATE(VALUE(RIGHT(B772,4)),VALUE(MID(B772,4,2)),VALUE(LEFT(B772,2)))
      ),
      IF(ISNUMBER(SEARCH("/",B772)*1),
        DATE(VALUE(RIGHT(B772,4)),VALUE(LEFT(B772,2)),VALUE(MID(B772,4,2))),
        DATEVALUE(B772)
      )
    )
  ),
"INVALID_DATE")</f>
        <v>45337</v>
      </c>
      <c r="AA772" s="2">
        <f>IFERROR(
  IF(ISNUMBER(C772),C772,
    IF(ISNUMBER(SEARCH("-",C772)*1),
      IF(LEN(LEFT(C772,FIND("-",C772)-1))=4,
        DATE(VALUE(LEFT(C772,4)),VALUE(MID(C772,6,2)),VALUE(RIGHT(C772,2))),
        DATE(VALUE(RIGHT(C772,4)),VALUE(MID(C772,4,2)),VALUE(LEFT(C772,2)))
      ),
      IF(ISNUMBER(SEARCH("/",C772)*1),
        DATE(VALUE(RIGHT(C772,4)),VALUE(LEFT(C772,2)),VALUE(MID(C772,4,2))),
        DATEVALUE(C772)
      )
    )
  ),
"INVALID_DATE")</f>
        <v>45339</v>
      </c>
      <c r="AB772">
        <f>AA772-Z772</f>
        <v>2</v>
      </c>
      <c r="AC772" t="str">
        <f>TEXT(Z772,"mmmm")</f>
        <v>February</v>
      </c>
      <c r="AD772">
        <f>YEAR(Z772)</f>
        <v>2024</v>
      </c>
      <c r="AE772" t="str">
        <f t="shared" si="38"/>
        <v>OK</v>
      </c>
    </row>
    <row r="773" spans="1:31">
      <c r="A773" t="s">
        <v>3574</v>
      </c>
      <c r="B773" t="s">
        <v>3575</v>
      </c>
      <c r="C773" t="s">
        <v>2631</v>
      </c>
      <c r="D773" t="s">
        <v>699</v>
      </c>
      <c r="E773" t="s">
        <v>79</v>
      </c>
      <c r="F773" t="s">
        <v>33</v>
      </c>
      <c r="G773" t="s">
        <v>34</v>
      </c>
      <c r="H773" t="s">
        <v>331</v>
      </c>
      <c r="I773" t="s">
        <v>332</v>
      </c>
      <c r="J773" t="s">
        <v>93</v>
      </c>
      <c r="K773" t="s">
        <v>390</v>
      </c>
      <c r="L773" t="s">
        <v>3576</v>
      </c>
      <c r="M773" t="s">
        <v>40</v>
      </c>
      <c r="N773">
        <v>4</v>
      </c>
      <c r="O773">
        <v>2131.41</v>
      </c>
      <c r="P773">
        <v>0</v>
      </c>
      <c r="Q773">
        <v>6394.23</v>
      </c>
      <c r="R773">
        <v>3520.69</v>
      </c>
      <c r="S773">
        <v>2873.54</v>
      </c>
      <c r="T773" t="s">
        <v>41</v>
      </c>
      <c r="U773" t="s">
        <v>42</v>
      </c>
      <c r="V773">
        <f>O773*(1-P773)*N773</f>
        <v>8525.64</v>
      </c>
      <c r="W773">
        <f t="shared" si="36"/>
        <v>5004.9499999999989</v>
      </c>
      <c r="X773">
        <f t="shared" si="37"/>
        <v>0.44939578338595892</v>
      </c>
      <c r="Y773" t="s">
        <v>4120</v>
      </c>
      <c r="Z773" s="2">
        <f>IFERROR(
  IF(ISNUMBER(B773),B773,
    IF(ISNUMBER(SEARCH("-",B773)*1),
      IF(LEN(LEFT(B773,FIND("-",B773)-1))=4,
        DATE(VALUE(LEFT(B773,4)),VALUE(MID(B773,6,2)),VALUE(RIGHT(B773,2))),
        DATE(VALUE(RIGHT(B773,4)),VALUE(MID(B773,4,2)),VALUE(LEFT(B773,2)))
      ),
      IF(ISNUMBER(SEARCH("/",B773)*1),
        DATE(VALUE(RIGHT(B773,4)),VALUE(LEFT(B773,2)),VALUE(MID(B773,4,2))),
        DATEVALUE(B773)
      )
    )
  ),
"INVALID_DATE")</f>
        <v>45485</v>
      </c>
      <c r="AA773" s="2">
        <f>IFERROR(
  IF(ISNUMBER(C773),C773,
    IF(ISNUMBER(SEARCH("-",C773)*1),
      IF(LEN(LEFT(C773,FIND("-",C773)-1))=4,
        DATE(VALUE(LEFT(C773,4)),VALUE(MID(C773,6,2)),VALUE(RIGHT(C773,2))),
        DATE(VALUE(RIGHT(C773,4)),VALUE(MID(C773,4,2)),VALUE(LEFT(C773,2)))
      ),
      IF(ISNUMBER(SEARCH("/",C773)*1),
        DATE(VALUE(RIGHT(C773,4)),VALUE(LEFT(C773,2)),VALUE(MID(C773,4,2))),
        DATEVALUE(C773)
      )
    )
  ),
"INVALID_DATE")</f>
        <v>45487</v>
      </c>
      <c r="AB773">
        <f>AA773-Z773</f>
        <v>2</v>
      </c>
      <c r="AC773" t="str">
        <f>TEXT(Z773,"mmmm")</f>
        <v>July</v>
      </c>
      <c r="AD773">
        <f>YEAR(Z773)</f>
        <v>2024</v>
      </c>
      <c r="AE773" t="str">
        <f t="shared" si="38"/>
        <v>OK</v>
      </c>
    </row>
    <row r="774" spans="1:31">
      <c r="A774" t="s">
        <v>3577</v>
      </c>
      <c r="B774" t="s">
        <v>178</v>
      </c>
      <c r="C774" t="s">
        <v>1579</v>
      </c>
      <c r="D774" t="s">
        <v>3578</v>
      </c>
      <c r="E774" t="s">
        <v>217</v>
      </c>
      <c r="F774" t="s">
        <v>33</v>
      </c>
      <c r="G774" t="s">
        <v>69</v>
      </c>
      <c r="H774" t="s">
        <v>347</v>
      </c>
      <c r="I774" t="s">
        <v>348</v>
      </c>
      <c r="J774" t="s">
        <v>52</v>
      </c>
      <c r="K774" t="s">
        <v>83</v>
      </c>
      <c r="L774" t="s">
        <v>3579</v>
      </c>
      <c r="M774" t="s">
        <v>55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144</v>
      </c>
      <c r="U774" t="s">
        <v>85</v>
      </c>
      <c r="V774">
        <f>O774*(1-P774)*N774</f>
        <v>3708.0589999999997</v>
      </c>
      <c r="W774">
        <f t="shared" si="36"/>
        <v>947.76899999999978</v>
      </c>
      <c r="X774">
        <f t="shared" si="37"/>
        <v>0.25559726649514841</v>
      </c>
      <c r="Y774" t="s">
        <v>4120</v>
      </c>
      <c r="Z774" s="2">
        <f>IFERROR(
  IF(ISNUMBER(B774),B774,
    IF(ISNUMBER(SEARCH("-",B774)*1),
      IF(LEN(LEFT(B774,FIND("-",B774)-1))=4,
        DATE(VALUE(LEFT(B774,4)),VALUE(MID(B774,6,2)),VALUE(RIGHT(B774,2))),
        DATE(VALUE(RIGHT(B774,4)),VALUE(MID(B774,4,2)),VALUE(LEFT(B774,2)))
      ),
      IF(ISNUMBER(SEARCH("/",B774)*1),
        DATE(VALUE(RIGHT(B774,4)),VALUE(LEFT(B774,2)),VALUE(MID(B774,4,2))),
        DATEVALUE(B774)
      )
    )
  ),
"INVALID_DATE")</f>
        <v>45853</v>
      </c>
      <c r="AA774" s="2">
        <f>IFERROR(
  IF(ISNUMBER(C774),C774,
    IF(ISNUMBER(SEARCH("-",C774)*1),
      IF(LEN(LEFT(C774,FIND("-",C774)-1))=4,
        DATE(VALUE(LEFT(C774,4)),VALUE(MID(C774,6,2)),VALUE(RIGHT(C774,2))),
        DATE(VALUE(RIGHT(C774,4)),VALUE(MID(C774,4,2)),VALUE(LEFT(C774,2)))
      ),
      IF(ISNUMBER(SEARCH("/",C774)*1),
        DATE(VALUE(RIGHT(C774,4)),VALUE(LEFT(C774,2)),VALUE(MID(C774,4,2))),
        DATEVALUE(C774)
      )
    )
  ),
"INVALID_DATE")</f>
        <v>45857</v>
      </c>
      <c r="AB774">
        <f>AA774-Z774</f>
        <v>4</v>
      </c>
      <c r="AC774" t="str">
        <f>TEXT(Z774,"mmmm")</f>
        <v>July</v>
      </c>
      <c r="AD774">
        <f>YEAR(Z774)</f>
        <v>2025</v>
      </c>
      <c r="AE774" t="str">
        <f t="shared" si="38"/>
        <v>OK</v>
      </c>
    </row>
    <row r="775" spans="1:31">
      <c r="A775" t="s">
        <v>3580</v>
      </c>
      <c r="B775" t="s">
        <v>3581</v>
      </c>
      <c r="C775" t="s">
        <v>3582</v>
      </c>
      <c r="D775" t="s">
        <v>3583</v>
      </c>
      <c r="E775" t="s">
        <v>32</v>
      </c>
      <c r="F775" t="s">
        <v>122</v>
      </c>
      <c r="G775" t="s">
        <v>80</v>
      </c>
      <c r="H775" t="s">
        <v>242</v>
      </c>
      <c r="I775" t="s">
        <v>243</v>
      </c>
      <c r="J775" t="s">
        <v>93</v>
      </c>
      <c r="K775" t="s">
        <v>230</v>
      </c>
      <c r="L775" t="s">
        <v>3584</v>
      </c>
      <c r="M775" t="s">
        <v>279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41</v>
      </c>
      <c r="U775" t="s">
        <v>42</v>
      </c>
      <c r="V775">
        <f>O775*(1-P775)*N775</f>
        <v>9424.2240000000002</v>
      </c>
      <c r="W775">
        <f t="shared" si="36"/>
        <v>3245.3040000000001</v>
      </c>
      <c r="X775">
        <f t="shared" si="37"/>
        <v>0.3443574110112031</v>
      </c>
      <c r="Y775" t="str">
        <f>_xlfn.TEXTJOIN(", ",TRUE,IF(G775="Unknown","Missing Region",""),IF(M775="Unknown","Missing Ship Mode",""),IF(P775&lt;0,"Negative Discount",""),IF(P775&gt;0.7,"High Discount",""),IF(C775&lt;B775,"Ship Before Order",""))</f>
        <v>Missing Ship Mode</v>
      </c>
      <c r="Z775" s="2">
        <f>IFERROR(
  IF(ISNUMBER(B775),B775,
    IF(ISNUMBER(SEARCH("-",B775)*1),
      IF(LEN(LEFT(B775,FIND("-",B775)-1))=4,
        DATE(VALUE(LEFT(B775,4)),VALUE(MID(B775,6,2)),VALUE(RIGHT(B775,2))),
        DATE(VALUE(RIGHT(B775,4)),VALUE(MID(B775,4,2)),VALUE(LEFT(B775,2)))
      ),
      IF(ISNUMBER(SEARCH("/",B775)*1),
        DATE(VALUE(RIGHT(B775,4)),VALUE(LEFT(B775,2)),VALUE(MID(B775,4,2))),
        DATEVALUE(B775)
      )
    )
  ),
"INVALID_DATE")</f>
        <v>45709</v>
      </c>
      <c r="AA775" s="2">
        <f>IFERROR(
  IF(ISNUMBER(C775),C775,
    IF(ISNUMBER(SEARCH("-",C775)*1),
      IF(LEN(LEFT(C775,FIND("-",C775)-1))=4,
        DATE(VALUE(LEFT(C775,4)),VALUE(MID(C775,6,2)),VALUE(RIGHT(C775,2))),
        DATE(VALUE(RIGHT(C775,4)),VALUE(MID(C775,4,2)),VALUE(LEFT(C775,2)))
      ),
      IF(ISNUMBER(SEARCH("/",C775)*1),
        DATE(VALUE(RIGHT(C775,4)),VALUE(LEFT(C775,2)),VALUE(MID(C775,4,2))),
        DATEVALUE(C775)
      )
    )
  ),
"INVALID_DATE")</f>
        <v>45709</v>
      </c>
      <c r="AB775">
        <f>AA775-Z775</f>
        <v>0</v>
      </c>
      <c r="AC775" t="str">
        <f>TEXT(Z775,"mmmm")</f>
        <v>February</v>
      </c>
      <c r="AD775">
        <f>YEAR(Z775)</f>
        <v>2025</v>
      </c>
      <c r="AE775" t="str">
        <f t="shared" si="38"/>
        <v>OK</v>
      </c>
    </row>
    <row r="776" spans="1:31">
      <c r="A776" t="s">
        <v>3585</v>
      </c>
      <c r="B776" t="s">
        <v>3586</v>
      </c>
      <c r="C776" t="s">
        <v>1807</v>
      </c>
      <c r="D776" t="s">
        <v>3587</v>
      </c>
      <c r="E776" t="s">
        <v>374</v>
      </c>
      <c r="F776" t="s">
        <v>33</v>
      </c>
      <c r="G776" t="s">
        <v>80</v>
      </c>
      <c r="H776" t="s">
        <v>35</v>
      </c>
      <c r="I776" t="s">
        <v>142</v>
      </c>
      <c r="J776" t="s">
        <v>93</v>
      </c>
      <c r="K776" t="s">
        <v>390</v>
      </c>
      <c r="L776" t="s">
        <v>3588</v>
      </c>
      <c r="M776" t="s">
        <v>279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41</v>
      </c>
      <c r="U776" t="s">
        <v>42</v>
      </c>
      <c r="V776">
        <f>O776*(1-P776)*N776</f>
        <v>7752.6</v>
      </c>
      <c r="W776">
        <f t="shared" si="36"/>
        <v>3063.3</v>
      </c>
      <c r="X776">
        <f t="shared" si="37"/>
        <v>0.39513195573098059</v>
      </c>
      <c r="Y776" t="str">
        <f>_xlfn.TEXTJOIN(", ",TRUE,IF(G776="Unknown","Missing Region",""),IF(M776="Unknown","Missing Ship Mode",""),IF(P776&lt;0,"Negative Discount",""),IF(P776&gt;0.7,"High Discount",""),IF(C776&lt;B776,"Ship Before Order",""))</f>
        <v>Missing Ship Mode</v>
      </c>
      <c r="Z776" s="2">
        <f>IFERROR(
  IF(ISNUMBER(B776),B776,
    IF(ISNUMBER(SEARCH("-",B776)*1),
      IF(LEN(LEFT(B776,FIND("-",B776)-1))=4,
        DATE(VALUE(LEFT(B776,4)),VALUE(MID(B776,6,2)),VALUE(RIGHT(B776,2))),
        DATE(VALUE(RIGHT(B776,4)),VALUE(MID(B776,4,2)),VALUE(LEFT(B776,2)))
      ),
      IF(ISNUMBER(SEARCH("/",B776)*1),
        DATE(VALUE(RIGHT(B776,4)),VALUE(LEFT(B776,2)),VALUE(MID(B776,4,2))),
        DATEVALUE(B776)
      )
    )
  ),
"INVALID_DATE")</f>
        <v>45876</v>
      </c>
      <c r="AA776" s="2">
        <f>IFERROR(
  IF(ISNUMBER(C776),C776,
    IF(ISNUMBER(SEARCH("-",C776)*1),
      IF(LEN(LEFT(C776,FIND("-",C776)-1))=4,
        DATE(VALUE(LEFT(C776,4)),VALUE(MID(C776,6,2)),VALUE(RIGHT(C776,2))),
        DATE(VALUE(RIGHT(C776,4)),VALUE(MID(C776,4,2)),VALUE(LEFT(C776,2)))
      ),
      IF(ISNUMBER(SEARCH("/",C776)*1),
        DATE(VALUE(RIGHT(C776,4)),VALUE(LEFT(C776,2)),VALUE(MID(C776,4,2))),
        DATEVALUE(C776)
      )
    )
  ),
"INVALID_DATE")</f>
        <v>45876</v>
      </c>
      <c r="AB776">
        <f>AA776-Z776</f>
        <v>0</v>
      </c>
      <c r="AC776" t="str">
        <f>TEXT(Z776,"mmmm")</f>
        <v>August</v>
      </c>
      <c r="AD776">
        <f>YEAR(Z776)</f>
        <v>2025</v>
      </c>
      <c r="AE776" t="str">
        <f t="shared" si="38"/>
        <v>OK</v>
      </c>
    </row>
    <row r="777" spans="1:31">
      <c r="A777" t="s">
        <v>3589</v>
      </c>
      <c r="B777" t="s">
        <v>3590</v>
      </c>
      <c r="C777" t="s">
        <v>3591</v>
      </c>
      <c r="D777" t="s">
        <v>3592</v>
      </c>
      <c r="E777" t="s">
        <v>68</v>
      </c>
      <c r="F777" t="s">
        <v>33</v>
      </c>
      <c r="G777" t="s">
        <v>34</v>
      </c>
      <c r="H777" t="s">
        <v>331</v>
      </c>
      <c r="I777" t="s">
        <v>332</v>
      </c>
      <c r="J777" t="s">
        <v>93</v>
      </c>
      <c r="K777" t="s">
        <v>94</v>
      </c>
      <c r="L777" t="s">
        <v>3593</v>
      </c>
      <c r="M777" t="s">
        <v>74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41</v>
      </c>
      <c r="U777" t="s">
        <v>42</v>
      </c>
      <c r="V777">
        <f>O777*(1-P777)*N777</f>
        <v>23736.720000000001</v>
      </c>
      <c r="W777">
        <f t="shared" si="36"/>
        <v>9845.8200000000015</v>
      </c>
      <c r="X777">
        <f t="shared" si="37"/>
        <v>0.4147927767610689</v>
      </c>
      <c r="Y777" t="s">
        <v>4120</v>
      </c>
      <c r="Z777" s="2">
        <f>IFERROR(
  IF(ISNUMBER(B777),B777,
    IF(ISNUMBER(SEARCH("-",B777)*1),
      IF(LEN(LEFT(B777,FIND("-",B777)-1))=4,
        DATE(VALUE(LEFT(B777,4)),VALUE(MID(B777,6,2)),VALUE(RIGHT(B777,2))),
        DATE(VALUE(RIGHT(B777,4)),VALUE(MID(B777,4,2)),VALUE(LEFT(B777,2)))
      ),
      IF(ISNUMBER(SEARCH("/",B777)*1),
        DATE(VALUE(RIGHT(B777,4)),VALUE(LEFT(B777,2)),VALUE(MID(B777,4,2))),
        DATEVALUE(B777)
      )
    )
  ),
"INVALID_DATE")</f>
        <v>45396</v>
      </c>
      <c r="AA777" s="2">
        <f>IFERROR(
  IF(ISNUMBER(C777),C777,
    IF(ISNUMBER(SEARCH("-",C777)*1),
      IF(LEN(LEFT(C777,FIND("-",C777)-1))=4,
        DATE(VALUE(LEFT(C777,4)),VALUE(MID(C777,6,2)),VALUE(RIGHT(C777,2))),
        DATE(VALUE(RIGHT(C777,4)),VALUE(MID(C777,4,2)),VALUE(LEFT(C777,2)))
      ),
      IF(ISNUMBER(SEARCH("/",C777)*1),
        DATE(VALUE(RIGHT(C777,4)),VALUE(LEFT(C777,2)),VALUE(MID(C777,4,2))),
        DATEVALUE(C777)
      )
    )
  ),
"INVALID_DATE")</f>
        <v>45404</v>
      </c>
      <c r="AB777">
        <f>AA777-Z777</f>
        <v>8</v>
      </c>
      <c r="AC777" t="str">
        <f>TEXT(Z777,"mmmm")</f>
        <v>April</v>
      </c>
      <c r="AD777">
        <f>YEAR(Z777)</f>
        <v>2024</v>
      </c>
      <c r="AE777" t="str">
        <f t="shared" si="38"/>
        <v>OK</v>
      </c>
    </row>
    <row r="778" spans="1:31">
      <c r="A778" t="s">
        <v>3594</v>
      </c>
      <c r="B778" t="s">
        <v>3595</v>
      </c>
      <c r="C778" t="s">
        <v>2359</v>
      </c>
      <c r="D778" t="s">
        <v>3596</v>
      </c>
      <c r="E778" t="s">
        <v>114</v>
      </c>
      <c r="F778" t="s">
        <v>48</v>
      </c>
      <c r="G778" t="s">
        <v>34</v>
      </c>
      <c r="H778" t="s">
        <v>35</v>
      </c>
      <c r="I778" t="s">
        <v>36</v>
      </c>
      <c r="J778" t="s">
        <v>93</v>
      </c>
      <c r="K778" t="s">
        <v>101</v>
      </c>
      <c r="L778" t="s">
        <v>3597</v>
      </c>
      <c r="M778" t="s">
        <v>40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41</v>
      </c>
      <c r="U778" t="s">
        <v>42</v>
      </c>
      <c r="V778">
        <f>O778*(1-P778)*N778</f>
        <v>26999.91</v>
      </c>
      <c r="W778">
        <f t="shared" si="36"/>
        <v>9183.93</v>
      </c>
      <c r="X778">
        <f t="shared" si="37"/>
        <v>0.34014668937785347</v>
      </c>
      <c r="Y778" t="str">
        <f>_xlfn.TEXTJOIN(", ",TRUE,IF(G778="Unknown","Missing Region",""),IF(M778="Unknown","Missing Ship Mode",""),IF(P778&lt;0,"Negative Discount",""),IF(P778&gt;0.7,"High Discount",""),IF(C778&lt;B778,"Ship Before Order",""))</f>
        <v>Ship Before Order</v>
      </c>
      <c r="Z778" s="2">
        <f>IFERROR(
  IF(ISNUMBER(B778),B778,
    IF(ISNUMBER(SEARCH("-",B778)*1),
      IF(LEN(LEFT(B778,FIND("-",B778)-1))=4,
        DATE(VALUE(LEFT(B778,4)),VALUE(MID(B778,6,2)),VALUE(RIGHT(B778,2))),
        DATE(VALUE(RIGHT(B778,4)),VALUE(MID(B778,4,2)),VALUE(LEFT(B778,2)))
      ),
      IF(ISNUMBER(SEARCH("/",B778)*1),
        DATE(VALUE(RIGHT(B778,4)),VALUE(LEFT(B778,2)),VALUE(MID(B778,4,2))),
        DATEVALUE(B778)
      )
    )
  ),
"INVALID_DATE")</f>
        <v>45816</v>
      </c>
      <c r="AA778" s="2">
        <f>IFERROR(
  IF(ISNUMBER(C778),C778,
    IF(ISNUMBER(SEARCH("-",C778)*1),
      IF(LEN(LEFT(C778,FIND("-",C778)-1))=4,
        DATE(VALUE(LEFT(C778,4)),VALUE(MID(C778,6,2)),VALUE(RIGHT(C778,2))),
        DATE(VALUE(RIGHT(C778,4)),VALUE(MID(C778,4,2)),VALUE(LEFT(C778,2)))
      ),
      IF(ISNUMBER(SEARCH("/",C778)*1),
        DATE(VALUE(RIGHT(C778,4)),VALUE(LEFT(C778,2)),VALUE(MID(C778,4,2))),
        DATEVALUE(C778)
      )
    )
  ),
"INVALID_DATE")</f>
        <v>45821</v>
      </c>
      <c r="AB778">
        <f>AA778-Z778</f>
        <v>5</v>
      </c>
      <c r="AC778" t="str">
        <f>TEXT(Z778,"mmmm")</f>
        <v>June</v>
      </c>
      <c r="AD778">
        <f>YEAR(Z778)</f>
        <v>2025</v>
      </c>
      <c r="AE778" t="str">
        <f t="shared" si="38"/>
        <v>OK</v>
      </c>
    </row>
    <row r="779" spans="1:31">
      <c r="A779" t="s">
        <v>3598</v>
      </c>
      <c r="B779" t="s">
        <v>3599</v>
      </c>
      <c r="C779" t="s">
        <v>2288</v>
      </c>
      <c r="D779" t="s">
        <v>3600</v>
      </c>
      <c r="E779" t="s">
        <v>374</v>
      </c>
      <c r="F779" t="s">
        <v>48</v>
      </c>
      <c r="G779" t="s">
        <v>80</v>
      </c>
      <c r="H779" t="s">
        <v>91</v>
      </c>
      <c r="I779" t="s">
        <v>92</v>
      </c>
      <c r="J779" t="s">
        <v>93</v>
      </c>
      <c r="K779" t="s">
        <v>94</v>
      </c>
      <c r="L779" t="s">
        <v>3601</v>
      </c>
      <c r="M779" t="s">
        <v>40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207</v>
      </c>
      <c r="U779" t="s">
        <v>85</v>
      </c>
      <c r="V779">
        <f>O779*(1-P779)*N779</f>
        <v>5065.116</v>
      </c>
      <c r="W779">
        <f t="shared" si="36"/>
        <v>1534.9960000000001</v>
      </c>
      <c r="X779">
        <f t="shared" si="37"/>
        <v>0.30305303724294785</v>
      </c>
      <c r="Y779" t="s">
        <v>4120</v>
      </c>
      <c r="Z779" s="2">
        <f>IFERROR(
  IF(ISNUMBER(B779),B779,
    IF(ISNUMBER(SEARCH("-",B779)*1),
      IF(LEN(LEFT(B779,FIND("-",B779)-1))=4,
        DATE(VALUE(LEFT(B779,4)),VALUE(MID(B779,6,2)),VALUE(RIGHT(B779,2))),
        DATE(VALUE(RIGHT(B779,4)),VALUE(MID(B779,4,2)),VALUE(LEFT(B779,2)))
      ),
      IF(ISNUMBER(SEARCH("/",B779)*1),
        DATE(VALUE(RIGHT(B779,4)),VALUE(LEFT(B779,2)),VALUE(MID(B779,4,2))),
        DATEVALUE(B779)
      )
    )
  ),
"INVALID_DATE")</f>
        <v>45326</v>
      </c>
      <c r="AA779" s="2">
        <f>IFERROR(
  IF(ISNUMBER(C779),C779,
    IF(ISNUMBER(SEARCH("-",C779)*1),
      IF(LEN(LEFT(C779,FIND("-",C779)-1))=4,
        DATE(VALUE(LEFT(C779,4)),VALUE(MID(C779,6,2)),VALUE(RIGHT(C779,2))),
        DATE(VALUE(RIGHT(C779,4)),VALUE(MID(C779,4,2)),VALUE(LEFT(C779,2)))
      ),
      IF(ISNUMBER(SEARCH("/",C779)*1),
        DATE(VALUE(RIGHT(C779,4)),VALUE(LEFT(C779,2)),VALUE(MID(C779,4,2))),
        DATEVALUE(C779)
      )
    )
  ),
"INVALID_DATE")</f>
        <v>45328</v>
      </c>
      <c r="AB779">
        <f>AA779-Z779</f>
        <v>2</v>
      </c>
      <c r="AC779" t="str">
        <f>TEXT(Z779,"mmmm")</f>
        <v>February</v>
      </c>
      <c r="AD779">
        <f>YEAR(Z779)</f>
        <v>2024</v>
      </c>
      <c r="AE779" t="str">
        <f t="shared" si="38"/>
        <v>OK</v>
      </c>
    </row>
    <row r="780" spans="1:31">
      <c r="A780" t="s">
        <v>3602</v>
      </c>
      <c r="B780" t="s">
        <v>723</v>
      </c>
      <c r="C780" t="s">
        <v>3603</v>
      </c>
      <c r="D780" t="s">
        <v>3604</v>
      </c>
      <c r="E780" t="s">
        <v>32</v>
      </c>
      <c r="F780" t="s">
        <v>48</v>
      </c>
      <c r="G780" t="s">
        <v>34</v>
      </c>
      <c r="H780" t="s">
        <v>331</v>
      </c>
      <c r="I780" t="s">
        <v>332</v>
      </c>
      <c r="J780" t="s">
        <v>93</v>
      </c>
      <c r="K780" t="s">
        <v>101</v>
      </c>
      <c r="L780" t="s">
        <v>3605</v>
      </c>
      <c r="M780" t="s">
        <v>40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41</v>
      </c>
      <c r="U780" t="s">
        <v>42</v>
      </c>
      <c r="V780">
        <f>O780*(1-P780)*N780</f>
        <v>6707.52</v>
      </c>
      <c r="W780">
        <f t="shared" si="36"/>
        <v>1034.9500000000007</v>
      </c>
      <c r="X780">
        <f t="shared" si="37"/>
        <v>0.1542969681789991</v>
      </c>
      <c r="Y780" t="s">
        <v>4120</v>
      </c>
      <c r="Z780" s="2">
        <f>IFERROR(
  IF(ISNUMBER(B780),B780,
    IF(ISNUMBER(SEARCH("-",B780)*1),
      IF(LEN(LEFT(B780,FIND("-",B780)-1))=4,
        DATE(VALUE(LEFT(B780,4)),VALUE(MID(B780,6,2)),VALUE(RIGHT(B780,2))),
        DATE(VALUE(RIGHT(B780,4)),VALUE(MID(B780,4,2)),VALUE(LEFT(B780,2)))
      ),
      IF(ISNUMBER(SEARCH("/",B780)*1),
        DATE(VALUE(RIGHT(B780,4)),VALUE(LEFT(B780,2)),VALUE(MID(B780,4,2))),
        DATEVALUE(B780)
      )
    )
  ),
"INVALID_DATE")</f>
        <v>45497</v>
      </c>
      <c r="AA780" s="2">
        <f>IFERROR(
  IF(ISNUMBER(C780),C780,
    IF(ISNUMBER(SEARCH("-",C780)*1),
      IF(LEN(LEFT(C780,FIND("-",C780)-1))=4,
        DATE(VALUE(LEFT(C780,4)),VALUE(MID(C780,6,2)),VALUE(RIGHT(C780,2))),
        DATE(VALUE(RIGHT(C780,4)),VALUE(MID(C780,4,2)),VALUE(LEFT(C780,2)))
      ),
      IF(ISNUMBER(SEARCH("/",C780)*1),
        DATE(VALUE(RIGHT(C780,4)),VALUE(LEFT(C780,2)),VALUE(MID(C780,4,2))),
        DATEVALUE(C780)
      )
    )
  ),
"INVALID_DATE")</f>
        <v>45497</v>
      </c>
      <c r="AB780">
        <f>AA780-Z780</f>
        <v>0</v>
      </c>
      <c r="AC780" t="str">
        <f>TEXT(Z780,"mmmm")</f>
        <v>July</v>
      </c>
      <c r="AD780">
        <f>YEAR(Z780)</f>
        <v>2024</v>
      </c>
      <c r="AE780" t="str">
        <f t="shared" si="38"/>
        <v>OK</v>
      </c>
    </row>
    <row r="781" spans="1:31">
      <c r="A781" t="s">
        <v>3606</v>
      </c>
      <c r="B781" t="s">
        <v>2213</v>
      </c>
      <c r="C781" t="s">
        <v>3607</v>
      </c>
      <c r="D781" t="s">
        <v>3608</v>
      </c>
      <c r="E781" t="s">
        <v>149</v>
      </c>
      <c r="F781" t="s">
        <v>48</v>
      </c>
      <c r="G781" t="s">
        <v>69</v>
      </c>
      <c r="H781" t="s">
        <v>107</v>
      </c>
      <c r="I781" t="s">
        <v>108</v>
      </c>
      <c r="J781" t="s">
        <v>52</v>
      </c>
      <c r="K781" t="s">
        <v>83</v>
      </c>
      <c r="L781" t="s">
        <v>3609</v>
      </c>
      <c r="M781" t="s">
        <v>74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41</v>
      </c>
      <c r="U781" t="s">
        <v>42</v>
      </c>
      <c r="V781">
        <f>O781*(1-P781)*N781</f>
        <v>11983.451999999999</v>
      </c>
      <c r="W781">
        <f t="shared" si="36"/>
        <v>3410.5519999999997</v>
      </c>
      <c r="X781">
        <f t="shared" si="37"/>
        <v>0.28460501775365193</v>
      </c>
      <c r="Y781" t="s">
        <v>4120</v>
      </c>
      <c r="Z781" s="2">
        <f>IFERROR(
  IF(ISNUMBER(B781),B781,
    IF(ISNUMBER(SEARCH("-",B781)*1),
      IF(LEN(LEFT(B781,FIND("-",B781)-1))=4,
        DATE(VALUE(LEFT(B781,4)),VALUE(MID(B781,6,2)),VALUE(RIGHT(B781,2))),
        DATE(VALUE(RIGHT(B781,4)),VALUE(MID(B781,4,2)),VALUE(LEFT(B781,2)))
      ),
      IF(ISNUMBER(SEARCH("/",B781)*1),
        DATE(VALUE(RIGHT(B781,4)),VALUE(LEFT(B781,2)),VALUE(MID(B781,4,2))),
        DATEVALUE(B781)
      )
    )
  ),
"INVALID_DATE")</f>
        <v>45306</v>
      </c>
      <c r="AA781" s="2">
        <f>IFERROR(
  IF(ISNUMBER(C781),C781,
    IF(ISNUMBER(SEARCH("-",C781)*1),
      IF(LEN(LEFT(C781,FIND("-",C781)-1))=4,
        DATE(VALUE(LEFT(C781,4)),VALUE(MID(C781,6,2)),VALUE(RIGHT(C781,2))),
        DATE(VALUE(RIGHT(C781,4)),VALUE(MID(C781,4,2)),VALUE(LEFT(C781,2)))
      ),
      IF(ISNUMBER(SEARCH("/",C781)*1),
        DATE(VALUE(RIGHT(C781,4)),VALUE(LEFT(C781,2)),VALUE(MID(C781,4,2))),
        DATEVALUE(C781)
      )
    )
  ),
"INVALID_DATE")</f>
        <v>45311</v>
      </c>
      <c r="AB781">
        <f>AA781-Z781</f>
        <v>5</v>
      </c>
      <c r="AC781" t="str">
        <f>TEXT(Z781,"mmmm")</f>
        <v>January</v>
      </c>
      <c r="AD781">
        <f>YEAR(Z781)</f>
        <v>2024</v>
      </c>
      <c r="AE781" t="str">
        <f t="shared" si="38"/>
        <v>OK</v>
      </c>
    </row>
    <row r="782" spans="1:31">
      <c r="A782" t="s">
        <v>3610</v>
      </c>
      <c r="B782" t="s">
        <v>3611</v>
      </c>
      <c r="C782" t="s">
        <v>2662</v>
      </c>
      <c r="D782" t="s">
        <v>3612</v>
      </c>
      <c r="E782" t="s">
        <v>217</v>
      </c>
      <c r="F782" t="s">
        <v>48</v>
      </c>
      <c r="G782" t="s">
        <v>80</v>
      </c>
      <c r="H782" t="s">
        <v>35</v>
      </c>
      <c r="I782" t="s">
        <v>142</v>
      </c>
      <c r="J782" t="s">
        <v>52</v>
      </c>
      <c r="K782" t="s">
        <v>83</v>
      </c>
      <c r="L782" t="s">
        <v>3613</v>
      </c>
      <c r="M782" t="s">
        <v>55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41</v>
      </c>
      <c r="U782" t="s">
        <v>42</v>
      </c>
      <c r="V782">
        <f>O782*(1-P782)*N782</f>
        <v>1364.576</v>
      </c>
      <c r="W782">
        <f t="shared" si="36"/>
        <v>386.41600000000005</v>
      </c>
      <c r="X782">
        <f t="shared" si="37"/>
        <v>0.28317870700142173</v>
      </c>
      <c r="Y782" t="s">
        <v>4120</v>
      </c>
      <c r="Z782" s="2">
        <f>IFERROR(
  IF(ISNUMBER(B782),B782,
    IF(ISNUMBER(SEARCH("-",B782)*1),
      IF(LEN(LEFT(B782,FIND("-",B782)-1))=4,
        DATE(VALUE(LEFT(B782,4)),VALUE(MID(B782,6,2)),VALUE(RIGHT(B782,2))),
        DATE(VALUE(RIGHT(B782,4)),VALUE(MID(B782,4,2)),VALUE(LEFT(B782,2)))
      ),
      IF(ISNUMBER(SEARCH("/",B782)*1),
        DATE(VALUE(RIGHT(B782,4)),VALUE(LEFT(B782,2)),VALUE(MID(B782,4,2))),
        DATEVALUE(B782)
      )
    )
  ),
"INVALID_DATE")</f>
        <v>45508</v>
      </c>
      <c r="AA782" s="2">
        <f>IFERROR(
  IF(ISNUMBER(C782),C782,
    IF(ISNUMBER(SEARCH("-",C782)*1),
      IF(LEN(LEFT(C782,FIND("-",C782)-1))=4,
        DATE(VALUE(LEFT(C782,4)),VALUE(MID(C782,6,2)),VALUE(RIGHT(C782,2))),
        DATE(VALUE(RIGHT(C782,4)),VALUE(MID(C782,4,2)),VALUE(LEFT(C782,2)))
      ),
      IF(ISNUMBER(SEARCH("/",C782)*1),
        DATE(VALUE(RIGHT(C782,4)),VALUE(LEFT(C782,2)),VALUE(MID(C782,4,2))),
        DATEVALUE(C782)
      )
    )
  ),
"INVALID_DATE")</f>
        <v>45514</v>
      </c>
      <c r="AB782">
        <f>AA782-Z782</f>
        <v>6</v>
      </c>
      <c r="AC782" t="str">
        <f>TEXT(Z782,"mmmm")</f>
        <v>August</v>
      </c>
      <c r="AD782">
        <f>YEAR(Z782)</f>
        <v>2024</v>
      </c>
      <c r="AE782" t="str">
        <f t="shared" si="38"/>
        <v>OK</v>
      </c>
    </row>
    <row r="783" spans="1:31">
      <c r="A783" t="s">
        <v>3614</v>
      </c>
      <c r="B783" t="s">
        <v>3615</v>
      </c>
      <c r="C783" t="s">
        <v>2137</v>
      </c>
      <c r="D783" t="s">
        <v>3616</v>
      </c>
      <c r="E783" t="s">
        <v>32</v>
      </c>
      <c r="F783" t="s">
        <v>122</v>
      </c>
      <c r="G783" t="s">
        <v>80</v>
      </c>
      <c r="H783" t="s">
        <v>35</v>
      </c>
      <c r="I783" t="s">
        <v>142</v>
      </c>
      <c r="J783" t="s">
        <v>37</v>
      </c>
      <c r="K783" t="s">
        <v>116</v>
      </c>
      <c r="L783" t="s">
        <v>3617</v>
      </c>
      <c r="M783" t="s">
        <v>63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144</v>
      </c>
      <c r="U783" t="s">
        <v>132</v>
      </c>
      <c r="V783">
        <f>O783*(1-P783)*N783</f>
        <v>862.64999999999986</v>
      </c>
      <c r="W783">
        <f t="shared" si="36"/>
        <v>258.91999999999985</v>
      </c>
      <c r="X783">
        <f t="shared" si="37"/>
        <v>0.30014490233582569</v>
      </c>
      <c r="Y783" t="str">
        <f>_xlfn.TEXTJOIN(", ",TRUE,IF(G783="Unknown","Missing Region",""),IF(M783="Unknown","Missing Ship Mode",""),IF(P783&lt;0,"Negative Discount",""),IF(P783&gt;0.7,"High Discount",""),IF(C783&lt;B783,"Ship Before Order",""))</f>
        <v>Ship Before Order</v>
      </c>
      <c r="Z783" s="2">
        <f>IFERROR(
  IF(ISNUMBER(B783),B783,
    IF(ISNUMBER(SEARCH("-",B783)*1),
      IF(LEN(LEFT(B783,FIND("-",B783)-1))=4,
        DATE(VALUE(LEFT(B783,4)),VALUE(MID(B783,6,2)),VALUE(RIGHT(B783,2))),
        DATE(VALUE(RIGHT(B783,4)),VALUE(MID(B783,4,2)),VALUE(LEFT(B783,2)))
      ),
      IF(ISNUMBER(SEARCH("/",B783)*1),
        DATE(VALUE(RIGHT(B783,4)),VALUE(LEFT(B783,2)),VALUE(MID(B783,4,2))),
        DATEVALUE(B783)
      )
    )
  ),
"INVALID_DATE")</f>
        <v>45324</v>
      </c>
      <c r="AA783" s="2">
        <f>IFERROR(
  IF(ISNUMBER(C783),C783,
    IF(ISNUMBER(SEARCH("-",C783)*1),
      IF(LEN(LEFT(C783,FIND("-",C783)-1))=4,
        DATE(VALUE(LEFT(C783,4)),VALUE(MID(C783,6,2)),VALUE(RIGHT(C783,2))),
        DATE(VALUE(RIGHT(C783,4)),VALUE(MID(C783,4,2)),VALUE(LEFT(C783,2)))
      ),
      IF(ISNUMBER(SEARCH("/",C783)*1),
        DATE(VALUE(RIGHT(C783,4)),VALUE(LEFT(C783,2)),VALUE(MID(C783,4,2))),
        DATEVALUE(C783)
      )
    )
  ),
"INVALID_DATE")</f>
        <v>45332</v>
      </c>
      <c r="AB783">
        <f>AA783-Z783</f>
        <v>8</v>
      </c>
      <c r="AC783" t="str">
        <f>TEXT(Z783,"mmmm")</f>
        <v>February</v>
      </c>
      <c r="AD783">
        <f>YEAR(Z783)</f>
        <v>2024</v>
      </c>
      <c r="AE783" t="str">
        <f t="shared" si="38"/>
        <v>OK</v>
      </c>
    </row>
    <row r="784" spans="1:31">
      <c r="A784" t="s">
        <v>3618</v>
      </c>
      <c r="B784" t="s">
        <v>1443</v>
      </c>
      <c r="C784" t="s">
        <v>3619</v>
      </c>
      <c r="D784" t="s">
        <v>3620</v>
      </c>
      <c r="E784" t="s">
        <v>47</v>
      </c>
      <c r="F784" t="s">
        <v>115</v>
      </c>
      <c r="G784" t="s">
        <v>49</v>
      </c>
      <c r="H784" t="s">
        <v>128</v>
      </c>
      <c r="I784" t="s">
        <v>129</v>
      </c>
      <c r="J784" t="s">
        <v>93</v>
      </c>
      <c r="K784" t="s">
        <v>101</v>
      </c>
      <c r="L784" t="s">
        <v>3621</v>
      </c>
      <c r="M784" t="s">
        <v>74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41</v>
      </c>
      <c r="U784" t="s">
        <v>42</v>
      </c>
      <c r="V784">
        <f>O784*(1-P784)*N784</f>
        <v>1138.3709999999999</v>
      </c>
      <c r="W784">
        <f t="shared" si="36"/>
        <v>341.03099999999984</v>
      </c>
      <c r="X784">
        <f t="shared" si="37"/>
        <v>0.29957746602598451</v>
      </c>
      <c r="Y784" t="str">
        <f>_xlfn.TEXTJOIN(", ",TRUE,IF(G784="Unknown","Missing Region",""),IF(M784="Unknown","Missing Ship Mode",""),IF(P784&lt;0,"Negative Discount",""),IF(P784&gt;0.7,"High Discount",""),IF(C784&lt;B784,"Ship Before Order",""))</f>
        <v>Ship Before Order</v>
      </c>
      <c r="Z784" s="2">
        <f>IFERROR(
  IF(ISNUMBER(B784),B784,
    IF(ISNUMBER(SEARCH("-",B784)*1),
      IF(LEN(LEFT(B784,FIND("-",B784)-1))=4,
        DATE(VALUE(LEFT(B784,4)),VALUE(MID(B784,6,2)),VALUE(RIGHT(B784,2))),
        DATE(VALUE(RIGHT(B784,4)),VALUE(MID(B784,4,2)),VALUE(LEFT(B784,2)))
      ),
      IF(ISNUMBER(SEARCH("/",B784)*1),
        DATE(VALUE(RIGHT(B784,4)),VALUE(LEFT(B784,2)),VALUE(MID(B784,4,2))),
        DATEVALUE(B784)
      )
    )
  ),
"INVALID_DATE")</f>
        <v>45730</v>
      </c>
      <c r="AA784" s="2">
        <f>IFERROR(
  IF(ISNUMBER(C784),C784,
    IF(ISNUMBER(SEARCH("-",C784)*1),
      IF(LEN(LEFT(C784,FIND("-",C784)-1))=4,
        DATE(VALUE(LEFT(C784,4)),VALUE(MID(C784,6,2)),VALUE(RIGHT(C784,2))),
        DATE(VALUE(RIGHT(C784,4)),VALUE(MID(C784,4,2)),VALUE(LEFT(C784,2)))
      ),
      IF(ISNUMBER(SEARCH("/",C784)*1),
        DATE(VALUE(RIGHT(C784,4)),VALUE(LEFT(C784,2)),VALUE(MID(C784,4,2))),
        DATEVALUE(C784)
      )
    )
  ),
"INVALID_DATE")</f>
        <v>45738</v>
      </c>
      <c r="AB784">
        <f>AA784-Z784</f>
        <v>8</v>
      </c>
      <c r="AC784" t="str">
        <f>TEXT(Z784,"mmmm")</f>
        <v>March</v>
      </c>
      <c r="AD784">
        <f>YEAR(Z784)</f>
        <v>2025</v>
      </c>
      <c r="AE784" t="str">
        <f t="shared" si="38"/>
        <v>OK</v>
      </c>
    </row>
    <row r="785" spans="1:31">
      <c r="A785" t="s">
        <v>3622</v>
      </c>
      <c r="B785" t="s">
        <v>3623</v>
      </c>
      <c r="C785" t="s">
        <v>3624</v>
      </c>
      <c r="D785" t="s">
        <v>3625</v>
      </c>
      <c r="E785" t="s">
        <v>169</v>
      </c>
      <c r="F785" t="s">
        <v>48</v>
      </c>
      <c r="G785" t="s">
        <v>49</v>
      </c>
      <c r="H785" t="s">
        <v>193</v>
      </c>
      <c r="I785" t="s">
        <v>194</v>
      </c>
      <c r="J785" t="s">
        <v>37</v>
      </c>
      <c r="K785" t="s">
        <v>61</v>
      </c>
      <c r="L785" t="s">
        <v>3626</v>
      </c>
      <c r="M785" t="s">
        <v>40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41</v>
      </c>
      <c r="U785" t="s">
        <v>42</v>
      </c>
      <c r="V785">
        <f>O785*(1-P785)*N785</f>
        <v>2452.8334999999997</v>
      </c>
      <c r="W785">
        <f t="shared" si="36"/>
        <v>546.13349999999969</v>
      </c>
      <c r="X785">
        <f t="shared" si="37"/>
        <v>0.22265301712715516</v>
      </c>
      <c r="Y785" t="s">
        <v>4120</v>
      </c>
      <c r="Z785" s="2">
        <f>IFERROR(
  IF(ISNUMBER(B785),B785,
    IF(ISNUMBER(SEARCH("-",B785)*1),
      IF(LEN(LEFT(B785,FIND("-",B785)-1))=4,
        DATE(VALUE(LEFT(B785,4)),VALUE(MID(B785,6,2)),VALUE(RIGHT(B785,2))),
        DATE(VALUE(RIGHT(B785,4)),VALUE(MID(B785,4,2)),VALUE(LEFT(B785,2)))
      ),
      IF(ISNUMBER(SEARCH("/",B785)*1),
        DATE(VALUE(RIGHT(B785,4)),VALUE(LEFT(B785,2)),VALUE(MID(B785,4,2))),
        DATEVALUE(B785)
      )
    )
  ),
"INVALID_DATE")</f>
        <v>45450</v>
      </c>
      <c r="AA785" s="2">
        <f>IFERROR(
  IF(ISNUMBER(C785),C785,
    IF(ISNUMBER(SEARCH("-",C785)*1),
      IF(LEN(LEFT(C785,FIND("-",C785)-1))=4,
        DATE(VALUE(LEFT(C785,4)),VALUE(MID(C785,6,2)),VALUE(RIGHT(C785,2))),
        DATE(VALUE(RIGHT(C785,4)),VALUE(MID(C785,4,2)),VALUE(LEFT(C785,2)))
      ),
      IF(ISNUMBER(SEARCH("/",C785)*1),
        DATE(VALUE(RIGHT(C785,4)),VALUE(LEFT(C785,2)),VALUE(MID(C785,4,2))),
        DATEVALUE(C785)
      )
    )
  ),
"INVALID_DATE")</f>
        <v>45450</v>
      </c>
      <c r="AB785">
        <f>AA785-Z785</f>
        <v>0</v>
      </c>
      <c r="AC785" t="str">
        <f>TEXT(Z785,"mmmm")</f>
        <v>June</v>
      </c>
      <c r="AD785">
        <f>YEAR(Z785)</f>
        <v>2024</v>
      </c>
      <c r="AE785" t="str">
        <f t="shared" si="38"/>
        <v>OK</v>
      </c>
    </row>
    <row r="786" spans="1:31">
      <c r="A786" t="s">
        <v>3627</v>
      </c>
      <c r="B786" t="s">
        <v>3628</v>
      </c>
      <c r="C786" t="s">
        <v>2561</v>
      </c>
      <c r="D786" t="s">
        <v>3629</v>
      </c>
      <c r="E786" t="s">
        <v>149</v>
      </c>
      <c r="F786" t="s">
        <v>115</v>
      </c>
      <c r="G786" t="s">
        <v>3630</v>
      </c>
      <c r="H786" t="s">
        <v>161</v>
      </c>
      <c r="I786" t="s">
        <v>162</v>
      </c>
      <c r="J786" t="s">
        <v>93</v>
      </c>
      <c r="K786" t="s">
        <v>101</v>
      </c>
      <c r="L786" t="s">
        <v>3631</v>
      </c>
      <c r="M786" t="s">
        <v>63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41</v>
      </c>
      <c r="U786" t="s">
        <v>42</v>
      </c>
      <c r="V786">
        <f>O786*(1-P786)*N786</f>
        <v>1589.0840000000001</v>
      </c>
      <c r="W786">
        <f t="shared" si="36"/>
        <v>504.42399999999998</v>
      </c>
      <c r="X786">
        <f t="shared" si="37"/>
        <v>0.31742895260150528</v>
      </c>
      <c r="Y786" t="s">
        <v>4120</v>
      </c>
      <c r="Z786" s="2">
        <f>IFERROR(
  IF(ISNUMBER(B786),B786,
    IF(ISNUMBER(SEARCH("-",B786)*1),
      IF(LEN(LEFT(B786,FIND("-",B786)-1))=4,
        DATE(VALUE(LEFT(B786,4)),VALUE(MID(B786,6,2)),VALUE(RIGHT(B786,2))),
        DATE(VALUE(RIGHT(B786,4)),VALUE(MID(B786,4,2)),VALUE(LEFT(B786,2)))
      ),
      IF(ISNUMBER(SEARCH("/",B786)*1),
        DATE(VALUE(RIGHT(B786,4)),VALUE(LEFT(B786,2)),VALUE(MID(B786,4,2))),
        DATEVALUE(B786)
      )
    )
  ),
"INVALID_DATE")</f>
        <v>45934</v>
      </c>
      <c r="AA786" s="2">
        <f>IFERROR(
  IF(ISNUMBER(C786),C786,
    IF(ISNUMBER(SEARCH("-",C786)*1),
      IF(LEN(LEFT(C786,FIND("-",C786)-1))=4,
        DATE(VALUE(LEFT(C786,4)),VALUE(MID(C786,6,2)),VALUE(RIGHT(C786,2))),
        DATE(VALUE(RIGHT(C786,4)),VALUE(MID(C786,4,2)),VALUE(LEFT(C786,2)))
      ),
      IF(ISNUMBER(SEARCH("/",C786)*1),
        DATE(VALUE(RIGHT(C786,4)),VALUE(LEFT(C786,2)),VALUE(MID(C786,4,2))),
        DATEVALUE(C786)
      )
    )
  ),
"INVALID_DATE")</f>
        <v>45935</v>
      </c>
      <c r="AB786">
        <f>AA786-Z786</f>
        <v>1</v>
      </c>
      <c r="AC786" t="str">
        <f>TEXT(Z786,"mmmm")</f>
        <v>October</v>
      </c>
      <c r="AD786">
        <f>YEAR(Z786)</f>
        <v>2025</v>
      </c>
      <c r="AE786" t="str">
        <f t="shared" si="38"/>
        <v>OK</v>
      </c>
    </row>
    <row r="787" spans="1:31">
      <c r="A787" t="s">
        <v>3632</v>
      </c>
      <c r="B787" t="s">
        <v>3633</v>
      </c>
      <c r="C787" t="s">
        <v>281</v>
      </c>
      <c r="D787" t="s">
        <v>3634</v>
      </c>
      <c r="E787" t="s">
        <v>217</v>
      </c>
      <c r="F787" t="s">
        <v>48</v>
      </c>
      <c r="G787" t="s">
        <v>34</v>
      </c>
      <c r="H787" t="s">
        <v>331</v>
      </c>
      <c r="I787" t="s">
        <v>332</v>
      </c>
      <c r="J787" t="s">
        <v>37</v>
      </c>
      <c r="K787" t="s">
        <v>163</v>
      </c>
      <c r="L787" t="s">
        <v>3635</v>
      </c>
      <c r="M787" t="s">
        <v>55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207</v>
      </c>
      <c r="U787" t="s">
        <v>85</v>
      </c>
      <c r="V787">
        <f>O787*(1-P787)*N787</f>
        <v>4519.41</v>
      </c>
      <c r="W787">
        <f t="shared" si="36"/>
        <v>1015.25</v>
      </c>
      <c r="X787">
        <f t="shared" si="37"/>
        <v>0.28223816825647596</v>
      </c>
      <c r="Y787" t="s">
        <v>4120</v>
      </c>
      <c r="Z787" s="2">
        <f>IFERROR(
  IF(ISNUMBER(B787),B787,
    IF(ISNUMBER(SEARCH("-",B787)*1),
      IF(LEN(LEFT(B787,FIND("-",B787)-1))=4,
        DATE(VALUE(LEFT(B787,4)),VALUE(MID(B787,6,2)),VALUE(RIGHT(B787,2))),
        DATE(VALUE(RIGHT(B787,4)),VALUE(MID(B787,4,2)),VALUE(LEFT(B787,2)))
      ),
      IF(ISNUMBER(SEARCH("/",B787)*1),
        DATE(VALUE(RIGHT(B787,4)),VALUE(LEFT(B787,2)),VALUE(MID(B787,4,2))),
        DATEVALUE(B787)
      )
    )
  ),
"INVALID_DATE")</f>
        <v>45435</v>
      </c>
      <c r="AA787" s="2">
        <f>IFERROR(
  IF(ISNUMBER(C787),C787,
    IF(ISNUMBER(SEARCH("-",C787)*1),
      IF(LEN(LEFT(C787,FIND("-",C787)-1))=4,
        DATE(VALUE(LEFT(C787,4)),VALUE(MID(C787,6,2)),VALUE(RIGHT(C787,2))),
        DATE(VALUE(RIGHT(C787,4)),VALUE(MID(C787,4,2)),VALUE(LEFT(C787,2)))
      ),
      IF(ISNUMBER(SEARCH("/",C787)*1),
        DATE(VALUE(RIGHT(C787,4)),VALUE(LEFT(C787,2)),VALUE(MID(C787,4,2))),
        DATEVALUE(C787)
      )
    )
  ),
"INVALID_DATE")</f>
        <v>45441</v>
      </c>
      <c r="AB787">
        <f>AA787-Z787</f>
        <v>6</v>
      </c>
      <c r="AC787" t="str">
        <f>TEXT(Z787,"mmmm")</f>
        <v>May</v>
      </c>
      <c r="AD787">
        <f>YEAR(Z787)</f>
        <v>2024</v>
      </c>
      <c r="AE787" t="str">
        <f t="shared" si="38"/>
        <v>OK</v>
      </c>
    </row>
    <row r="788" spans="1:31">
      <c r="A788" t="s">
        <v>3636</v>
      </c>
      <c r="B788" t="s">
        <v>1279</v>
      </c>
      <c r="C788" t="s">
        <v>2861</v>
      </c>
      <c r="D788" t="s">
        <v>3637</v>
      </c>
      <c r="E788" t="s">
        <v>79</v>
      </c>
      <c r="F788" t="s">
        <v>115</v>
      </c>
      <c r="G788" t="s">
        <v>34</v>
      </c>
      <c r="H788" t="s">
        <v>35</v>
      </c>
      <c r="I788" t="s">
        <v>36</v>
      </c>
      <c r="J788" t="s">
        <v>52</v>
      </c>
      <c r="K788" t="s">
        <v>72</v>
      </c>
      <c r="L788" t="s">
        <v>3638</v>
      </c>
      <c r="M788" t="s">
        <v>279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131</v>
      </c>
      <c r="U788" t="s">
        <v>132</v>
      </c>
      <c r="V788">
        <f>O788*(1-P788)*N788</f>
        <v>2718.71</v>
      </c>
      <c r="W788">
        <f t="shared" si="36"/>
        <v>653.65999999999985</v>
      </c>
      <c r="X788">
        <f t="shared" si="37"/>
        <v>0.24043020403058801</v>
      </c>
      <c r="Y788" t="str">
        <f>_xlfn.TEXTJOIN(", ",TRUE,IF(G788="Unknown","Missing Region",""),IF(M788="Unknown","Missing Ship Mode",""),IF(P788&lt;0,"Negative Discount",""),IF(P788&gt;0.7,"High Discount",""),IF(C788&lt;B788,"Ship Before Order",""))</f>
        <v>Missing Ship Mode</v>
      </c>
      <c r="Z788" s="2">
        <f>IFERROR(
  IF(ISNUMBER(B788),B788,
    IF(ISNUMBER(SEARCH("-",B788)*1),
      IF(LEN(LEFT(B788,FIND("-",B788)-1))=4,
        DATE(VALUE(LEFT(B788,4)),VALUE(MID(B788,6,2)),VALUE(RIGHT(B788,2))),
        DATE(VALUE(RIGHT(B788,4)),VALUE(MID(B788,4,2)),VALUE(LEFT(B788,2)))
      ),
      IF(ISNUMBER(SEARCH("/",B788)*1),
        DATE(VALUE(RIGHT(B788,4)),VALUE(LEFT(B788,2)),VALUE(MID(B788,4,2))),
        DATEVALUE(B788)
      )
    )
  ),
"INVALID_DATE")</f>
        <v>45844</v>
      </c>
      <c r="AA788" s="2">
        <f>IFERROR(
  IF(ISNUMBER(C788),C788,
    IF(ISNUMBER(SEARCH("-",C788)*1),
      IF(LEN(LEFT(C788,FIND("-",C788)-1))=4,
        DATE(VALUE(LEFT(C788,4)),VALUE(MID(C788,6,2)),VALUE(RIGHT(C788,2))),
        DATE(VALUE(RIGHT(C788,4)),VALUE(MID(C788,4,2)),VALUE(LEFT(C788,2)))
      ),
      IF(ISNUMBER(SEARCH("/",C788)*1),
        DATE(VALUE(RIGHT(C788,4)),VALUE(LEFT(C788,2)),VALUE(MID(C788,4,2))),
        DATEVALUE(C788)
      )
    )
  ),
"INVALID_DATE")</f>
        <v>45846</v>
      </c>
      <c r="AB788">
        <f>AA788-Z788</f>
        <v>2</v>
      </c>
      <c r="AC788" t="str">
        <f>TEXT(Z788,"mmmm")</f>
        <v>July</v>
      </c>
      <c r="AD788">
        <f>YEAR(Z788)</f>
        <v>2025</v>
      </c>
      <c r="AE788" t="str">
        <f t="shared" si="38"/>
        <v>OK</v>
      </c>
    </row>
    <row r="789" spans="1:31">
      <c r="A789" t="s">
        <v>3639</v>
      </c>
      <c r="B789" t="s">
        <v>1332</v>
      </c>
      <c r="C789" t="s">
        <v>3640</v>
      </c>
      <c r="D789" t="s">
        <v>3641</v>
      </c>
      <c r="E789" t="s">
        <v>79</v>
      </c>
      <c r="F789" t="s">
        <v>122</v>
      </c>
      <c r="G789" t="s">
        <v>49</v>
      </c>
      <c r="H789" t="s">
        <v>193</v>
      </c>
      <c r="I789" t="s">
        <v>194</v>
      </c>
      <c r="J789" t="s">
        <v>37</v>
      </c>
      <c r="K789" t="s">
        <v>38</v>
      </c>
      <c r="L789" t="s">
        <v>3642</v>
      </c>
      <c r="M789" t="s">
        <v>40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41</v>
      </c>
      <c r="U789" t="s">
        <v>42</v>
      </c>
      <c r="V789">
        <f>O789*(1-P789)*N789</f>
        <v>7065.6629999999996</v>
      </c>
      <c r="W789">
        <f t="shared" si="36"/>
        <v>2150.3929999999991</v>
      </c>
      <c r="X789">
        <f t="shared" si="37"/>
        <v>0.30434382633752544</v>
      </c>
      <c r="Y789" t="s">
        <v>4120</v>
      </c>
      <c r="Z789" s="2">
        <f>IFERROR(
  IF(ISNUMBER(B789),B789,
    IF(ISNUMBER(SEARCH("-",B789)*1),
      IF(LEN(LEFT(B789,FIND("-",B789)-1))=4,
        DATE(VALUE(LEFT(B789,4)),VALUE(MID(B789,6,2)),VALUE(RIGHT(B789,2))),
        DATE(VALUE(RIGHT(B789,4)),VALUE(MID(B789,4,2)),VALUE(LEFT(B789,2)))
      ),
      IF(ISNUMBER(SEARCH("/",B789)*1),
        DATE(VALUE(RIGHT(B789,4)),VALUE(LEFT(B789,2)),VALUE(MID(B789,4,2))),
        DATEVALUE(B789)
      )
    )
  ),
"INVALID_DATE")</f>
        <v>45547</v>
      </c>
      <c r="AA789" s="2">
        <f>IFERROR(
  IF(ISNUMBER(C789),C789,
    IF(ISNUMBER(SEARCH("-",C789)*1),
      IF(LEN(LEFT(C789,FIND("-",C789)-1))=4,
        DATE(VALUE(LEFT(C789,4)),VALUE(MID(C789,6,2)),VALUE(RIGHT(C789,2))),
        DATE(VALUE(RIGHT(C789,4)),VALUE(MID(C789,4,2)),VALUE(LEFT(C789,2)))
      ),
      IF(ISNUMBER(SEARCH("/",C789)*1),
        DATE(VALUE(RIGHT(C789,4)),VALUE(LEFT(C789,2)),VALUE(MID(C789,4,2))),
        DATEVALUE(C789)
      )
    )
  ),
"INVALID_DATE")</f>
        <v>45553</v>
      </c>
      <c r="AB789">
        <f>AA789-Z789</f>
        <v>6</v>
      </c>
      <c r="AC789" t="str">
        <f>TEXT(Z789,"mmmm")</f>
        <v>September</v>
      </c>
      <c r="AD789">
        <f>YEAR(Z789)</f>
        <v>2024</v>
      </c>
      <c r="AE789" t="str">
        <f t="shared" si="38"/>
        <v>OK</v>
      </c>
    </row>
    <row r="790" spans="1:31">
      <c r="A790" t="s">
        <v>3643</v>
      </c>
      <c r="B790" t="s">
        <v>1307</v>
      </c>
      <c r="C790" t="s">
        <v>546</v>
      </c>
      <c r="D790" t="s">
        <v>3644</v>
      </c>
      <c r="E790" t="s">
        <v>60</v>
      </c>
      <c r="F790" t="s">
        <v>115</v>
      </c>
      <c r="G790" t="s">
        <v>34</v>
      </c>
      <c r="H790" t="s">
        <v>181</v>
      </c>
      <c r="I790" t="s">
        <v>182</v>
      </c>
      <c r="J790" t="s">
        <v>52</v>
      </c>
      <c r="K790" t="s">
        <v>83</v>
      </c>
      <c r="L790" t="s">
        <v>3645</v>
      </c>
      <c r="M790" t="s">
        <v>74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207</v>
      </c>
      <c r="U790" t="s">
        <v>132</v>
      </c>
      <c r="V790">
        <f>O790*(1-P790)*N790</f>
        <v>17911.007999999998</v>
      </c>
      <c r="W790">
        <f t="shared" si="36"/>
        <v>6364.9579999999987</v>
      </c>
      <c r="X790">
        <f t="shared" si="37"/>
        <v>0.35536577780929163</v>
      </c>
      <c r="Y790" t="s">
        <v>4120</v>
      </c>
      <c r="Z790" s="2">
        <f>IFERROR(
  IF(ISNUMBER(B790),B790,
    IF(ISNUMBER(SEARCH("-",B790)*1),
      IF(LEN(LEFT(B790,FIND("-",B790)-1))=4,
        DATE(VALUE(LEFT(B790,4)),VALUE(MID(B790,6,2)),VALUE(RIGHT(B790,2))),
        DATE(VALUE(RIGHT(B790,4)),VALUE(MID(B790,4,2)),VALUE(LEFT(B790,2)))
      ),
      IF(ISNUMBER(SEARCH("/",B790)*1),
        DATE(VALUE(RIGHT(B790,4)),VALUE(LEFT(B790,2)),VALUE(MID(B790,4,2))),
        DATEVALUE(B790)
      )
    )
  ),
"INVALID_DATE")</f>
        <v>45505</v>
      </c>
      <c r="AA790" s="2">
        <f>IFERROR(
  IF(ISNUMBER(C790),C790,
    IF(ISNUMBER(SEARCH("-",C790)*1),
      IF(LEN(LEFT(C790,FIND("-",C790)-1))=4,
        DATE(VALUE(LEFT(C790,4)),VALUE(MID(C790,6,2)),VALUE(RIGHT(C790,2))),
        DATE(VALUE(RIGHT(C790,4)),VALUE(MID(C790,4,2)),VALUE(LEFT(C790,2)))
      ),
      IF(ISNUMBER(SEARCH("/",C790)*1),
        DATE(VALUE(RIGHT(C790,4)),VALUE(LEFT(C790,2)),VALUE(MID(C790,4,2))),
        DATEVALUE(C790)
      )
    )
  ),
"INVALID_DATE")</f>
        <v>45506</v>
      </c>
      <c r="AB790">
        <f>AA790-Z790</f>
        <v>1</v>
      </c>
      <c r="AC790" t="str">
        <f>TEXT(Z790,"mmmm")</f>
        <v>August</v>
      </c>
      <c r="AD790">
        <f>YEAR(Z790)</f>
        <v>2024</v>
      </c>
      <c r="AE790" t="str">
        <f t="shared" si="38"/>
        <v>OK</v>
      </c>
    </row>
    <row r="791" spans="1:31">
      <c r="A791" t="s">
        <v>3646</v>
      </c>
      <c r="B791" t="s">
        <v>3647</v>
      </c>
      <c r="C791" t="s">
        <v>2332</v>
      </c>
      <c r="D791" t="s">
        <v>3648</v>
      </c>
      <c r="E791" t="s">
        <v>149</v>
      </c>
      <c r="F791" t="s">
        <v>122</v>
      </c>
      <c r="G791" t="s">
        <v>279</v>
      </c>
      <c r="H791" t="s">
        <v>35</v>
      </c>
      <c r="I791" t="s">
        <v>142</v>
      </c>
      <c r="J791" t="s">
        <v>93</v>
      </c>
      <c r="K791" t="s">
        <v>101</v>
      </c>
      <c r="L791" t="s">
        <v>3649</v>
      </c>
      <c r="M791" t="s">
        <v>55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41</v>
      </c>
      <c r="U791" t="s">
        <v>42</v>
      </c>
      <c r="V791">
        <f>O791*(1-P791)*N791</f>
        <v>14149.92</v>
      </c>
      <c r="W791">
        <f t="shared" si="36"/>
        <v>4683.41</v>
      </c>
      <c r="X791">
        <f t="shared" si="37"/>
        <v>0.33098491016203624</v>
      </c>
      <c r="Y791" t="str">
        <f>_xlfn.TEXTJOIN(", ",TRUE,IF(G791="Unknown","Missing Region",""),IF(M791="Unknown","Missing Ship Mode",""),IF(P791&lt;0,"Negative Discount",""),IF(P791&gt;0.7,"High Discount",""),IF(C791&lt;B791,"Ship Before Order",""))</f>
        <v>Missing Region</v>
      </c>
      <c r="Z791" s="2">
        <f>IFERROR(
  IF(ISNUMBER(B791),B791,
    IF(ISNUMBER(SEARCH("-",B791)*1),
      IF(LEN(LEFT(B791,FIND("-",B791)-1))=4,
        DATE(VALUE(LEFT(B791,4)),VALUE(MID(B791,6,2)),VALUE(RIGHT(B791,2))),
        DATE(VALUE(RIGHT(B791,4)),VALUE(MID(B791,4,2)),VALUE(LEFT(B791,2)))
      ),
      IF(ISNUMBER(SEARCH("/",B791)*1),
        DATE(VALUE(RIGHT(B791,4)),VALUE(LEFT(B791,2)),VALUE(MID(B791,4,2))),
        DATEVALUE(B791)
      )
    )
  ),
"INVALID_DATE")</f>
        <v>45723</v>
      </c>
      <c r="AA791" s="2">
        <f>IFERROR(
  IF(ISNUMBER(C791),C791,
    IF(ISNUMBER(SEARCH("-",C791)*1),
      IF(LEN(LEFT(C791,FIND("-",C791)-1))=4,
        DATE(VALUE(LEFT(C791,4)),VALUE(MID(C791,6,2)),VALUE(RIGHT(C791,2))),
        DATE(VALUE(RIGHT(C791,4)),VALUE(MID(C791,4,2)),VALUE(LEFT(C791,2)))
      ),
      IF(ISNUMBER(SEARCH("/",C791)*1),
        DATE(VALUE(RIGHT(C791,4)),VALUE(LEFT(C791,2)),VALUE(MID(C791,4,2))),
        DATEVALUE(C791)
      )
    )
  ),
"INVALID_DATE")</f>
        <v>45724</v>
      </c>
      <c r="AB791">
        <f>AA791-Z791</f>
        <v>1</v>
      </c>
      <c r="AC791" t="str">
        <f>TEXT(Z791,"mmmm")</f>
        <v>March</v>
      </c>
      <c r="AD791">
        <f>YEAR(Z791)</f>
        <v>2025</v>
      </c>
      <c r="AE791" t="str">
        <f t="shared" si="38"/>
        <v>OK</v>
      </c>
    </row>
    <row r="792" spans="1:31">
      <c r="A792" t="s">
        <v>3650</v>
      </c>
      <c r="B792" t="s">
        <v>3651</v>
      </c>
      <c r="C792" t="s">
        <v>3652</v>
      </c>
      <c r="D792" t="s">
        <v>3653</v>
      </c>
      <c r="E792" t="s">
        <v>155</v>
      </c>
      <c r="F792" t="s">
        <v>115</v>
      </c>
      <c r="G792" t="s">
        <v>69</v>
      </c>
      <c r="H792" t="s">
        <v>107</v>
      </c>
      <c r="I792" t="s">
        <v>108</v>
      </c>
      <c r="J792" t="s">
        <v>37</v>
      </c>
      <c r="K792" t="s">
        <v>61</v>
      </c>
      <c r="L792" t="s">
        <v>3654</v>
      </c>
      <c r="M792" t="s">
        <v>74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41</v>
      </c>
      <c r="U792" t="s">
        <v>42</v>
      </c>
      <c r="V792">
        <f>O792*(1-P792)*N792</f>
        <v>4272.576</v>
      </c>
      <c r="W792">
        <f t="shared" si="36"/>
        <v>943.65599999999995</v>
      </c>
      <c r="X792">
        <f t="shared" si="37"/>
        <v>0.22086420851101676</v>
      </c>
      <c r="Y792" t="str">
        <f>_xlfn.TEXTJOIN(", ",TRUE,IF(G792="Unknown","Missing Region",""),IF(M792="Unknown","Missing Ship Mode",""),IF(P792&lt;0,"Negative Discount",""),IF(P792&gt;0.7,"High Discount",""),IF(C792&lt;B792,"Ship Before Order",""))</f>
        <v>Ship Before Order</v>
      </c>
      <c r="Z792" s="2">
        <f>IFERROR(
  IF(ISNUMBER(B792),B792,
    IF(ISNUMBER(SEARCH("-",B792)*1),
      IF(LEN(LEFT(B792,FIND("-",B792)-1))=4,
        DATE(VALUE(LEFT(B792,4)),VALUE(MID(B792,6,2)),VALUE(RIGHT(B792,2))),
        DATE(VALUE(RIGHT(B792,4)),VALUE(MID(B792,4,2)),VALUE(LEFT(B792,2)))
      ),
      IF(ISNUMBER(SEARCH("/",B792)*1),
        DATE(VALUE(RIGHT(B792,4)),VALUE(LEFT(B792,2)),VALUE(MID(B792,4,2))),
        DATEVALUE(B792)
      )
    )
  ),
"INVALID_DATE")</f>
        <v>45443</v>
      </c>
      <c r="AA792" s="2">
        <f>IFERROR(
  IF(ISNUMBER(C792),C792,
    IF(ISNUMBER(SEARCH("-",C792)*1),
      IF(LEN(LEFT(C792,FIND("-",C792)-1))=4,
        DATE(VALUE(LEFT(C792,4)),VALUE(MID(C792,6,2)),VALUE(RIGHT(C792,2))),
        DATE(VALUE(RIGHT(C792,4)),VALUE(MID(C792,4,2)),VALUE(LEFT(C792,2)))
      ),
      IF(ISNUMBER(SEARCH("/",C792)*1),
        DATE(VALUE(RIGHT(C792,4)),VALUE(LEFT(C792,2)),VALUE(MID(C792,4,2))),
        DATEVALUE(C792)
      )
    )
  ),
"INVALID_DATE")</f>
        <v>45445</v>
      </c>
      <c r="AB792">
        <f>AA792-Z792</f>
        <v>2</v>
      </c>
      <c r="AC792" t="str">
        <f>TEXT(Z792,"mmmm")</f>
        <v>May</v>
      </c>
      <c r="AD792">
        <f>YEAR(Z792)</f>
        <v>2024</v>
      </c>
      <c r="AE792" t="str">
        <f t="shared" si="38"/>
        <v>OK</v>
      </c>
    </row>
    <row r="793" spans="1:31">
      <c r="A793" t="s">
        <v>3655</v>
      </c>
      <c r="B793" t="s">
        <v>3021</v>
      </c>
      <c r="C793" t="s">
        <v>3656</v>
      </c>
      <c r="D793" t="s">
        <v>3657</v>
      </c>
      <c r="E793" t="s">
        <v>155</v>
      </c>
      <c r="F793" t="s">
        <v>122</v>
      </c>
      <c r="G793" t="s">
        <v>69</v>
      </c>
      <c r="H793" t="s">
        <v>236</v>
      </c>
      <c r="I793" t="s">
        <v>237</v>
      </c>
      <c r="J793" t="s">
        <v>52</v>
      </c>
      <c r="K793" t="s">
        <v>211</v>
      </c>
      <c r="L793" t="s">
        <v>3658</v>
      </c>
      <c r="M793" t="s">
        <v>55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41</v>
      </c>
      <c r="U793" t="s">
        <v>42</v>
      </c>
      <c r="V793">
        <f>O793*(1-P793)*N793</f>
        <v>9352.619999999999</v>
      </c>
      <c r="W793">
        <f t="shared" si="36"/>
        <v>4083.2099999999991</v>
      </c>
      <c r="X793">
        <f t="shared" si="37"/>
        <v>0.43658461479243243</v>
      </c>
      <c r="Y793" t="s">
        <v>4120</v>
      </c>
      <c r="Z793" s="2">
        <f>IFERROR(
  IF(ISNUMBER(B793),B793,
    IF(ISNUMBER(SEARCH("-",B793)*1),
      IF(LEN(LEFT(B793,FIND("-",B793)-1))=4,
        DATE(VALUE(LEFT(B793,4)),VALUE(MID(B793,6,2)),VALUE(RIGHT(B793,2))),
        DATE(VALUE(RIGHT(B793,4)),VALUE(MID(B793,4,2)),VALUE(LEFT(B793,2)))
      ),
      IF(ISNUMBER(SEARCH("/",B793)*1),
        DATE(VALUE(RIGHT(B793,4)),VALUE(LEFT(B793,2)),VALUE(MID(B793,4,2))),
        DATEVALUE(B793)
      )
    )
  ),
"INVALID_DATE")</f>
        <v>45567</v>
      </c>
      <c r="AA793" s="2">
        <f>IFERROR(
  IF(ISNUMBER(C793),C793,
    IF(ISNUMBER(SEARCH("-",C793)*1),
      IF(LEN(LEFT(C793,FIND("-",C793)-1))=4,
        DATE(VALUE(LEFT(C793,4)),VALUE(MID(C793,6,2)),VALUE(RIGHT(C793,2))),
        DATE(VALUE(RIGHT(C793,4)),VALUE(MID(C793,4,2)),VALUE(LEFT(C793,2)))
      ),
      IF(ISNUMBER(SEARCH("/",C793)*1),
        DATE(VALUE(RIGHT(C793,4)),VALUE(LEFT(C793,2)),VALUE(MID(C793,4,2))),
        DATEVALUE(C793)
      )
    )
  ),
"INVALID_DATE")</f>
        <v>45571</v>
      </c>
      <c r="AB793">
        <f>AA793-Z793</f>
        <v>4</v>
      </c>
      <c r="AC793" t="str">
        <f>TEXT(Z793,"mmmm")</f>
        <v>October</v>
      </c>
      <c r="AD793">
        <f>YEAR(Z793)</f>
        <v>2024</v>
      </c>
      <c r="AE793" t="str">
        <f t="shared" si="38"/>
        <v>OK</v>
      </c>
    </row>
    <row r="794" spans="1:31">
      <c r="A794" t="s">
        <v>3659</v>
      </c>
      <c r="B794" t="s">
        <v>1238</v>
      </c>
      <c r="C794" t="s">
        <v>3660</v>
      </c>
      <c r="D794" t="s">
        <v>3661</v>
      </c>
      <c r="E794" t="s">
        <v>68</v>
      </c>
      <c r="F794" t="s">
        <v>48</v>
      </c>
      <c r="G794" t="s">
        <v>49</v>
      </c>
      <c r="H794" t="s">
        <v>223</v>
      </c>
      <c r="I794" t="s">
        <v>224</v>
      </c>
      <c r="J794" t="s">
        <v>52</v>
      </c>
      <c r="K794" t="s">
        <v>72</v>
      </c>
      <c r="L794" t="s">
        <v>3662</v>
      </c>
      <c r="M794" t="s">
        <v>40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41</v>
      </c>
      <c r="U794" t="s">
        <v>132</v>
      </c>
      <c r="V794">
        <f>O794*(1-P794)*N794</f>
        <v>2800.8960000000002</v>
      </c>
      <c r="W794">
        <f t="shared" si="36"/>
        <v>1064.9160000000002</v>
      </c>
      <c r="X794">
        <f t="shared" si="37"/>
        <v>0.38020636224070836</v>
      </c>
      <c r="Y794" t="str">
        <f>_xlfn.TEXTJOIN(", ",TRUE,IF(G794="Unknown","Missing Region",""),IF(M794="Unknown","Missing Ship Mode",""),IF(P794&lt;0,"Negative Discount",""),IF(P794&gt;0.7,"High Discount",""),IF(C794&lt;B794,"Ship Before Order",""))</f>
        <v>Ship Before Order</v>
      </c>
      <c r="Z794" s="2">
        <f>IFERROR(
  IF(ISNUMBER(B794),B794,
    IF(ISNUMBER(SEARCH("-",B794)*1),
      IF(LEN(LEFT(B794,FIND("-",B794)-1))=4,
        DATE(VALUE(LEFT(B794,4)),VALUE(MID(B794,6,2)),VALUE(RIGHT(B794,2))),
        DATE(VALUE(RIGHT(B794,4)),VALUE(MID(B794,4,2)),VALUE(LEFT(B794,2)))
      ),
      IF(ISNUMBER(SEARCH("/",B794)*1),
        DATE(VALUE(RIGHT(B794,4)),VALUE(LEFT(B794,2)),VALUE(MID(B794,4,2))),
        DATEVALUE(B794)
      )
    )
  ),
"INVALID_DATE")</f>
        <v>45812</v>
      </c>
      <c r="AA794" s="2">
        <f>IFERROR(
  IF(ISNUMBER(C794),C794,
    IF(ISNUMBER(SEARCH("-",C794)*1),
      IF(LEN(LEFT(C794,FIND("-",C794)-1))=4,
        DATE(VALUE(LEFT(C794,4)),VALUE(MID(C794,6,2)),VALUE(RIGHT(C794,2))),
        DATE(VALUE(RIGHT(C794,4)),VALUE(MID(C794,4,2)),VALUE(LEFT(C794,2)))
      ),
      IF(ISNUMBER(SEARCH("/",C794)*1),
        DATE(VALUE(RIGHT(C794,4)),VALUE(LEFT(C794,2)),VALUE(MID(C794,4,2))),
        DATEVALUE(C794)
      )
    )
  ),
"INVALID_DATE")</f>
        <v>45816</v>
      </c>
      <c r="AB794">
        <f>AA794-Z794</f>
        <v>4</v>
      </c>
      <c r="AC794" t="str">
        <f>TEXT(Z794,"mmmm")</f>
        <v>June</v>
      </c>
      <c r="AD794">
        <f>YEAR(Z794)</f>
        <v>2025</v>
      </c>
      <c r="AE794" t="str">
        <f t="shared" si="38"/>
        <v>OK</v>
      </c>
    </row>
    <row r="795" spans="1:31">
      <c r="A795" t="s">
        <v>3663</v>
      </c>
      <c r="B795" t="s">
        <v>88</v>
      </c>
      <c r="C795" t="s">
        <v>3664</v>
      </c>
      <c r="D795" t="s">
        <v>3665</v>
      </c>
      <c r="E795" t="s">
        <v>90</v>
      </c>
      <c r="F795" t="s">
        <v>115</v>
      </c>
      <c r="G795" t="s">
        <v>34</v>
      </c>
      <c r="H795" t="s">
        <v>35</v>
      </c>
      <c r="I795" t="s">
        <v>36</v>
      </c>
      <c r="J795" t="s">
        <v>93</v>
      </c>
      <c r="K795" t="s">
        <v>101</v>
      </c>
      <c r="L795" t="s">
        <v>3666</v>
      </c>
      <c r="M795" t="s">
        <v>40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41</v>
      </c>
      <c r="U795" t="s">
        <v>42</v>
      </c>
      <c r="V795">
        <f>O795*(1-P795)*N795</f>
        <v>21511.599999999999</v>
      </c>
      <c r="W795">
        <f t="shared" si="36"/>
        <v>6103.1299999999992</v>
      </c>
      <c r="X795">
        <f t="shared" si="37"/>
        <v>0.28371343833094703</v>
      </c>
      <c r="Y795" t="str">
        <f>_xlfn.TEXTJOIN(", ",TRUE,IF(G795="Unknown","Missing Region",""),IF(M795="Unknown","Missing Ship Mode",""),IF(P795&lt;0,"Negative Discount",""),IF(P795&gt;0.7,"High Discount",""),IF(C795&lt;B795,"Ship Before Order",""))</f>
        <v>Ship Before Order</v>
      </c>
      <c r="Z795" s="2">
        <f>IFERROR(
  IF(ISNUMBER(B795),B795,
    IF(ISNUMBER(SEARCH("-",B795)*1),
      IF(LEN(LEFT(B795,FIND("-",B795)-1))=4,
        DATE(VALUE(LEFT(B795,4)),VALUE(MID(B795,6,2)),VALUE(RIGHT(B795,2))),
        DATE(VALUE(RIGHT(B795,4)),VALUE(MID(B795,4,2)),VALUE(LEFT(B795,2)))
      ),
      IF(ISNUMBER(SEARCH("/",B795)*1),
        DATE(VALUE(RIGHT(B795,4)),VALUE(LEFT(B795,2)),VALUE(MID(B795,4,2))),
        DATEVALUE(B795)
      )
    )
  ),
"INVALID_DATE")</f>
        <v>45440</v>
      </c>
      <c r="AA795" s="2">
        <f>IFERROR(
  IF(ISNUMBER(C795),C795,
    IF(ISNUMBER(SEARCH("-",C795)*1),
      IF(LEN(LEFT(C795,FIND("-",C795)-1))=4,
        DATE(VALUE(LEFT(C795,4)),VALUE(MID(C795,6,2)),VALUE(RIGHT(C795,2))),
        DATE(VALUE(RIGHT(C795,4)),VALUE(MID(C795,4,2)),VALUE(LEFT(C795,2)))
      ),
      IF(ISNUMBER(SEARCH("/",C795)*1),
        DATE(VALUE(RIGHT(C795,4)),VALUE(LEFT(C795,2)),VALUE(MID(C795,4,2))),
        DATEVALUE(C795)
      )
    )
  ),
"INVALID_DATE")</f>
        <v>45446</v>
      </c>
      <c r="AB795">
        <f>AA795-Z795</f>
        <v>6</v>
      </c>
      <c r="AC795" t="str">
        <f>TEXT(Z795,"mmmm")</f>
        <v>May</v>
      </c>
      <c r="AD795">
        <f>YEAR(Z795)</f>
        <v>2024</v>
      </c>
      <c r="AE795" t="str">
        <f t="shared" si="38"/>
        <v>OK</v>
      </c>
    </row>
    <row r="796" spans="1:31">
      <c r="A796" t="s">
        <v>3667</v>
      </c>
      <c r="B796" t="s">
        <v>3668</v>
      </c>
      <c r="C796" t="s">
        <v>1004</v>
      </c>
      <c r="D796" t="s">
        <v>3669</v>
      </c>
      <c r="E796" t="s">
        <v>175</v>
      </c>
      <c r="F796" t="s">
        <v>115</v>
      </c>
      <c r="G796" t="s">
        <v>49</v>
      </c>
      <c r="H796" t="s">
        <v>223</v>
      </c>
      <c r="I796" t="s">
        <v>224</v>
      </c>
      <c r="J796" t="s">
        <v>37</v>
      </c>
      <c r="K796" t="s">
        <v>38</v>
      </c>
      <c r="L796" t="s">
        <v>3670</v>
      </c>
      <c r="M796" t="s">
        <v>74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41</v>
      </c>
      <c r="U796" t="s">
        <v>42</v>
      </c>
      <c r="V796">
        <f>O796*(1-P796)*N796</f>
        <v>7279.3575000000001</v>
      </c>
      <c r="W796">
        <f t="shared" si="36"/>
        <v>2408.9674999999997</v>
      </c>
      <c r="X796">
        <f t="shared" si="37"/>
        <v>0.33093156541234392</v>
      </c>
      <c r="Y796" t="s">
        <v>4120</v>
      </c>
      <c r="Z796" s="2">
        <f>IFERROR(
  IF(ISNUMBER(B796),B796,
    IF(ISNUMBER(SEARCH("-",B796)*1),
      IF(LEN(LEFT(B796,FIND("-",B796)-1))=4,
        DATE(VALUE(LEFT(B796,4)),VALUE(MID(B796,6,2)),VALUE(RIGHT(B796,2))),
        DATE(VALUE(RIGHT(B796,4)),VALUE(MID(B796,4,2)),VALUE(LEFT(B796,2)))
      ),
      IF(ISNUMBER(SEARCH("/",B796)*1),
        DATE(VALUE(RIGHT(B796,4)),VALUE(LEFT(B796,2)),VALUE(MID(B796,4,2))),
        DATEVALUE(B796)
      )
    )
  ),
"INVALID_DATE")</f>
        <v>45830</v>
      </c>
      <c r="AA796" s="2">
        <f>IFERROR(
  IF(ISNUMBER(C796),C796,
    IF(ISNUMBER(SEARCH("-",C796)*1),
      IF(LEN(LEFT(C796,FIND("-",C796)-1))=4,
        DATE(VALUE(LEFT(C796,4)),VALUE(MID(C796,6,2)),VALUE(RIGHT(C796,2))),
        DATE(VALUE(RIGHT(C796,4)),VALUE(MID(C796,4,2)),VALUE(LEFT(C796,2)))
      ),
      IF(ISNUMBER(SEARCH("/",C796)*1),
        DATE(VALUE(RIGHT(C796,4)),VALUE(LEFT(C796,2)),VALUE(MID(C796,4,2))),
        DATEVALUE(C796)
      )
    )
  ),
"INVALID_DATE")</f>
        <v>45832</v>
      </c>
      <c r="AB796">
        <f>AA796-Z796</f>
        <v>2</v>
      </c>
      <c r="AC796" t="str">
        <f>TEXT(Z796,"mmmm")</f>
        <v>June</v>
      </c>
      <c r="AD796">
        <f>YEAR(Z796)</f>
        <v>2025</v>
      </c>
      <c r="AE796" t="str">
        <f t="shared" si="38"/>
        <v>OK</v>
      </c>
    </row>
    <row r="797" spans="1:31">
      <c r="A797" t="s">
        <v>3671</v>
      </c>
      <c r="B797" t="s">
        <v>3672</v>
      </c>
      <c r="C797" t="s">
        <v>537</v>
      </c>
      <c r="D797" t="s">
        <v>3673</v>
      </c>
      <c r="E797" t="s">
        <v>217</v>
      </c>
      <c r="F797" t="s">
        <v>122</v>
      </c>
      <c r="G797" t="s">
        <v>49</v>
      </c>
      <c r="H797" t="s">
        <v>50</v>
      </c>
      <c r="I797" t="s">
        <v>51</v>
      </c>
      <c r="J797" t="s">
        <v>93</v>
      </c>
      <c r="K797" t="s">
        <v>101</v>
      </c>
      <c r="L797" t="s">
        <v>3674</v>
      </c>
      <c r="M797" t="s">
        <v>55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131</v>
      </c>
      <c r="U797" t="s">
        <v>85</v>
      </c>
      <c r="V797">
        <f>O797*(1-P797)*N797</f>
        <v>26051.94</v>
      </c>
      <c r="W797">
        <f t="shared" si="36"/>
        <v>9168.3499999999985</v>
      </c>
      <c r="X797">
        <f t="shared" si="37"/>
        <v>0.35192580667696921</v>
      </c>
      <c r="Y797" t="str">
        <f>_xlfn.TEXTJOIN(", ",TRUE,IF(G797="Unknown","Missing Region",""),IF(M797="Unknown","Missing Ship Mode",""),IF(P797&lt;0,"Negative Discount",""),IF(P797&gt;0.7,"High Discount",""),IF(C797&lt;B797,"Ship Before Order",""))</f>
        <v>Ship Before Order</v>
      </c>
      <c r="Z797" s="2">
        <f>IFERROR(
  IF(ISNUMBER(B797),B797,
    IF(ISNUMBER(SEARCH("-",B797)*1),
      IF(LEN(LEFT(B797,FIND("-",B797)-1))=4,
        DATE(VALUE(LEFT(B797,4)),VALUE(MID(B797,6,2)),VALUE(RIGHT(B797,2))),
        DATE(VALUE(RIGHT(B797,4)),VALUE(MID(B797,4,2)),VALUE(LEFT(B797,2)))
      ),
      IF(ISNUMBER(SEARCH("/",B797)*1),
        DATE(VALUE(RIGHT(B797,4)),VALUE(LEFT(B797,2)),VALUE(MID(B797,4,2))),
        DATEVALUE(B797)
      )
    )
  ),
"INVALID_DATE")</f>
        <v>45503</v>
      </c>
      <c r="AA797" s="2">
        <f>IFERROR(
  IF(ISNUMBER(C797),C797,
    IF(ISNUMBER(SEARCH("-",C797)*1),
      IF(LEN(LEFT(C797,FIND("-",C797)-1))=4,
        DATE(VALUE(LEFT(C797,4)),VALUE(MID(C797,6,2)),VALUE(RIGHT(C797,2))),
        DATE(VALUE(RIGHT(C797,4)),VALUE(MID(C797,4,2)),VALUE(LEFT(C797,2)))
      ),
      IF(ISNUMBER(SEARCH("/",C797)*1),
        DATE(VALUE(RIGHT(C797,4)),VALUE(LEFT(C797,2)),VALUE(MID(C797,4,2))),
        DATEVALUE(C797)
      )
    )
  ),
"INVALID_DATE")</f>
        <v>45503</v>
      </c>
      <c r="AB797">
        <f>AA797-Z797</f>
        <v>0</v>
      </c>
      <c r="AC797" t="str">
        <f>TEXT(Z797,"mmmm")</f>
        <v>July</v>
      </c>
      <c r="AD797">
        <f>YEAR(Z797)</f>
        <v>2024</v>
      </c>
      <c r="AE797" t="str">
        <f t="shared" si="38"/>
        <v>OK</v>
      </c>
    </row>
    <row r="798" spans="1:31">
      <c r="A798" t="s">
        <v>3675</v>
      </c>
      <c r="B798" t="s">
        <v>804</v>
      </c>
      <c r="C798" t="s">
        <v>3676</v>
      </c>
      <c r="D798" t="s">
        <v>3677</v>
      </c>
      <c r="E798" t="s">
        <v>187</v>
      </c>
      <c r="F798" t="s">
        <v>48</v>
      </c>
      <c r="G798" t="s">
        <v>69</v>
      </c>
      <c r="H798" t="s">
        <v>107</v>
      </c>
      <c r="I798" t="s">
        <v>108</v>
      </c>
      <c r="J798" t="s">
        <v>93</v>
      </c>
      <c r="K798" t="s">
        <v>390</v>
      </c>
      <c r="L798" t="s">
        <v>3678</v>
      </c>
      <c r="M798" t="s">
        <v>63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41</v>
      </c>
      <c r="U798" t="s">
        <v>42</v>
      </c>
      <c r="V798">
        <f>O798*(1-P798)*N798</f>
        <v>9661.6440000000002</v>
      </c>
      <c r="W798">
        <f t="shared" si="36"/>
        <v>3357.8739999999998</v>
      </c>
      <c r="X798">
        <f t="shared" si="37"/>
        <v>0.34754658629383833</v>
      </c>
      <c r="Y798" t="s">
        <v>4120</v>
      </c>
      <c r="Z798" s="2">
        <f>IFERROR(
  IF(ISNUMBER(B798),B798,
    IF(ISNUMBER(SEARCH("-",B798)*1),
      IF(LEN(LEFT(B798,FIND("-",B798)-1))=4,
        DATE(VALUE(LEFT(B798,4)),VALUE(MID(B798,6,2)),VALUE(RIGHT(B798,2))),
        DATE(VALUE(RIGHT(B798,4)),VALUE(MID(B798,4,2)),VALUE(LEFT(B798,2)))
      ),
      IF(ISNUMBER(SEARCH("/",B798)*1),
        DATE(VALUE(RIGHT(B798,4)),VALUE(LEFT(B798,2)),VALUE(MID(B798,4,2))),
        DATEVALUE(B798)
      )
    )
  ),
"INVALID_DATE")</f>
        <v>45374</v>
      </c>
      <c r="AA798" s="2">
        <f>IFERROR(
  IF(ISNUMBER(C798),C798,
    IF(ISNUMBER(SEARCH("-",C798)*1),
      IF(LEN(LEFT(C798,FIND("-",C798)-1))=4,
        DATE(VALUE(LEFT(C798,4)),VALUE(MID(C798,6,2)),VALUE(RIGHT(C798,2))),
        DATE(VALUE(RIGHT(C798,4)),VALUE(MID(C798,4,2)),VALUE(LEFT(C798,2)))
      ),
      IF(ISNUMBER(SEARCH("/",C798)*1),
        DATE(VALUE(RIGHT(C798,4)),VALUE(LEFT(C798,2)),VALUE(MID(C798,4,2))),
        DATEVALUE(C798)
      )
    )
  ),
"INVALID_DATE")</f>
        <v>45381</v>
      </c>
      <c r="AB798">
        <f>AA798-Z798</f>
        <v>7</v>
      </c>
      <c r="AC798" t="str">
        <f>TEXT(Z798,"mmmm")</f>
        <v>March</v>
      </c>
      <c r="AD798">
        <f>YEAR(Z798)</f>
        <v>2024</v>
      </c>
      <c r="AE798" t="str">
        <f t="shared" si="38"/>
        <v>OK</v>
      </c>
    </row>
    <row r="799" spans="1:31">
      <c r="A799" t="s">
        <v>3679</v>
      </c>
      <c r="B799" t="s">
        <v>3680</v>
      </c>
      <c r="C799" t="s">
        <v>3591</v>
      </c>
      <c r="D799" t="s">
        <v>3681</v>
      </c>
      <c r="E799" t="s">
        <v>169</v>
      </c>
      <c r="F799" t="s">
        <v>33</v>
      </c>
      <c r="G799" t="s">
        <v>49</v>
      </c>
      <c r="H799" t="s">
        <v>50</v>
      </c>
      <c r="I799" t="s">
        <v>51</v>
      </c>
      <c r="J799" t="s">
        <v>37</v>
      </c>
      <c r="K799" t="s">
        <v>205</v>
      </c>
      <c r="L799" t="s">
        <v>3682</v>
      </c>
      <c r="M799" t="s">
        <v>63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207</v>
      </c>
      <c r="U799" t="s">
        <v>85</v>
      </c>
      <c r="V799">
        <f>O799*(1-P799)*N799</f>
        <v>13714.96</v>
      </c>
      <c r="W799">
        <f t="shared" si="36"/>
        <v>3164.49</v>
      </c>
      <c r="X799">
        <f t="shared" si="37"/>
        <v>0.23073271814135804</v>
      </c>
      <c r="Y799" t="s">
        <v>4120</v>
      </c>
      <c r="Z799" s="2">
        <f>IFERROR(
  IF(ISNUMBER(B799),B799,
    IF(ISNUMBER(SEARCH("-",B799)*1),
      IF(LEN(LEFT(B799,FIND("-",B799)-1))=4,
        DATE(VALUE(LEFT(B799,4)),VALUE(MID(B799,6,2)),VALUE(RIGHT(B799,2))),
        DATE(VALUE(RIGHT(B799,4)),VALUE(MID(B799,4,2)),VALUE(LEFT(B799,2)))
      ),
      IF(ISNUMBER(SEARCH("/",B799)*1),
        DATE(VALUE(RIGHT(B799,4)),VALUE(LEFT(B799,2)),VALUE(MID(B799,4,2))),
        DATEVALUE(B799)
      )
    )
  ),
"INVALID_DATE")</f>
        <v>45400</v>
      </c>
      <c r="AA799" s="2">
        <f>IFERROR(
  IF(ISNUMBER(C799),C799,
    IF(ISNUMBER(SEARCH("-",C799)*1),
      IF(LEN(LEFT(C799,FIND("-",C799)-1))=4,
        DATE(VALUE(LEFT(C799,4)),VALUE(MID(C799,6,2)),VALUE(RIGHT(C799,2))),
        DATE(VALUE(RIGHT(C799,4)),VALUE(MID(C799,4,2)),VALUE(LEFT(C799,2)))
      ),
      IF(ISNUMBER(SEARCH("/",C799)*1),
        DATE(VALUE(RIGHT(C799,4)),VALUE(LEFT(C799,2)),VALUE(MID(C799,4,2))),
        DATEVALUE(C799)
      )
    )
  ),
"INVALID_DATE")</f>
        <v>45404</v>
      </c>
      <c r="AB799">
        <f>AA799-Z799</f>
        <v>4</v>
      </c>
      <c r="AC799" t="str">
        <f>TEXT(Z799,"mmmm")</f>
        <v>April</v>
      </c>
      <c r="AD799">
        <f>YEAR(Z799)</f>
        <v>2024</v>
      </c>
      <c r="AE799" t="str">
        <f t="shared" si="38"/>
        <v>OK</v>
      </c>
    </row>
    <row r="800" spans="1:31">
      <c r="A800" t="s">
        <v>3683</v>
      </c>
      <c r="B800" t="s">
        <v>3684</v>
      </c>
      <c r="C800" t="s">
        <v>3685</v>
      </c>
      <c r="D800" t="s">
        <v>3686</v>
      </c>
      <c r="E800" t="s">
        <v>114</v>
      </c>
      <c r="F800" t="s">
        <v>115</v>
      </c>
      <c r="G800" t="s">
        <v>34</v>
      </c>
      <c r="H800" t="s">
        <v>514</v>
      </c>
      <c r="I800" t="s">
        <v>515</v>
      </c>
      <c r="J800" t="s">
        <v>52</v>
      </c>
      <c r="K800" t="s">
        <v>72</v>
      </c>
      <c r="L800" t="s">
        <v>3687</v>
      </c>
      <c r="M800" t="s">
        <v>74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41</v>
      </c>
      <c r="U800" t="s">
        <v>42</v>
      </c>
      <c r="V800">
        <f>O800*(1-P800)*N800</f>
        <v>15354.449999999999</v>
      </c>
      <c r="W800">
        <f t="shared" si="36"/>
        <v>5697.9499999999989</v>
      </c>
      <c r="X800">
        <f t="shared" si="37"/>
        <v>0.37109437329243311</v>
      </c>
      <c r="Y800" t="str">
        <f>_xlfn.TEXTJOIN(", ",TRUE,IF(G800="Unknown","Missing Region",""),IF(M800="Unknown","Missing Ship Mode",""),IF(P800&lt;0,"Negative Discount",""),IF(P800&gt;0.7,"High Discount",""),IF(C800&lt;B800,"Ship Before Order",""))</f>
        <v>Ship Before Order</v>
      </c>
      <c r="Z800" s="2">
        <f>IFERROR(
  IF(ISNUMBER(B800),B800,
    IF(ISNUMBER(SEARCH("-",B800)*1),
      IF(LEN(LEFT(B800,FIND("-",B800)-1))=4,
        DATE(VALUE(LEFT(B800,4)),VALUE(MID(B800,6,2)),VALUE(RIGHT(B800,2))),
        DATE(VALUE(RIGHT(B800,4)),VALUE(MID(B800,4,2)),VALUE(LEFT(B800,2)))
      ),
      IF(ISNUMBER(SEARCH("/",B800)*1),
        DATE(VALUE(RIGHT(B800,4)),VALUE(LEFT(B800,2)),VALUE(MID(B800,4,2))),
        DATEVALUE(B800)
      )
    )
  ),
"INVALID_DATE")</f>
        <v>45849</v>
      </c>
      <c r="AA800" s="2">
        <f>IFERROR(
  IF(ISNUMBER(C800),C800,
    IF(ISNUMBER(SEARCH("-",C800)*1),
      IF(LEN(LEFT(C800,FIND("-",C800)-1))=4,
        DATE(VALUE(LEFT(C800,4)),VALUE(MID(C800,6,2)),VALUE(RIGHT(C800,2))),
        DATE(VALUE(RIGHT(C800,4)),VALUE(MID(C800,4,2)),VALUE(LEFT(C800,2)))
      ),
      IF(ISNUMBER(SEARCH("/",C800)*1),
        DATE(VALUE(RIGHT(C800,4)),VALUE(LEFT(C800,2)),VALUE(MID(C800,4,2))),
        DATEVALUE(C800)
      )
    )
  ),
"INVALID_DATE")</f>
        <v>45847</v>
      </c>
      <c r="AB800">
        <f>AA800-Z800</f>
        <v>-2</v>
      </c>
      <c r="AC800" t="str">
        <f>TEXT(Z800,"mmmm")</f>
        <v>July</v>
      </c>
      <c r="AD800">
        <f>YEAR(Z800)</f>
        <v>2025</v>
      </c>
      <c r="AE800" t="str">
        <f t="shared" si="38"/>
        <v>Ship Before Order</v>
      </c>
    </row>
    <row r="801" spans="1:31">
      <c r="A801" t="s">
        <v>3688</v>
      </c>
      <c r="B801" t="s">
        <v>3374</v>
      </c>
      <c r="C801" t="s">
        <v>2551</v>
      </c>
      <c r="D801" t="s">
        <v>3689</v>
      </c>
      <c r="E801" t="s">
        <v>60</v>
      </c>
      <c r="F801" t="s">
        <v>122</v>
      </c>
      <c r="G801" t="s">
        <v>34</v>
      </c>
      <c r="H801" t="s">
        <v>331</v>
      </c>
      <c r="I801" t="s">
        <v>332</v>
      </c>
      <c r="J801" t="s">
        <v>93</v>
      </c>
      <c r="K801" t="s">
        <v>94</v>
      </c>
      <c r="L801" t="s">
        <v>3690</v>
      </c>
      <c r="M801" t="s">
        <v>279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41</v>
      </c>
      <c r="U801" t="s">
        <v>132</v>
      </c>
      <c r="V801">
        <f>O801*(1-P801)*N801</f>
        <v>4595.1975000000002</v>
      </c>
      <c r="W801">
        <f t="shared" si="36"/>
        <v>707.78750000000036</v>
      </c>
      <c r="X801">
        <f t="shared" si="37"/>
        <v>0.15402811629526461</v>
      </c>
      <c r="Y801" t="str">
        <f>_xlfn.TEXTJOIN(", ",TRUE,IF(G801="Unknown","Missing Region",""),IF(M801="Unknown","Missing Ship Mode",""),IF(P801&lt;0,"Negative Discount",""),IF(P801&gt;0.7,"High Discount",""),IF(C801&lt;B801,"Ship Before Order",""))</f>
        <v>Missing Ship Mode</v>
      </c>
      <c r="Z801" s="2">
        <f>IFERROR(
  IF(ISNUMBER(B801),B801,
    IF(ISNUMBER(SEARCH("-",B801)*1),
      IF(LEN(LEFT(B801,FIND("-",B801)-1))=4,
        DATE(VALUE(LEFT(B801,4)),VALUE(MID(B801,6,2)),VALUE(RIGHT(B801,2))),
        DATE(VALUE(RIGHT(B801,4)),VALUE(MID(B801,4,2)),VALUE(LEFT(B801,2)))
      ),
      IF(ISNUMBER(SEARCH("/",B801)*1),
        DATE(VALUE(RIGHT(B801,4)),VALUE(LEFT(B801,2)),VALUE(MID(B801,4,2))),
        DATEVALUE(B801)
      )
    )
  ),
"INVALID_DATE")</f>
        <v>45575</v>
      </c>
      <c r="AA801" s="2">
        <f>IFERROR(
  IF(ISNUMBER(C801),C801,
    IF(ISNUMBER(SEARCH("-",C801)*1),
      IF(LEN(LEFT(C801,FIND("-",C801)-1))=4,
        DATE(VALUE(LEFT(C801,4)),VALUE(MID(C801,6,2)),VALUE(RIGHT(C801,2))),
        DATE(VALUE(RIGHT(C801,4)),VALUE(MID(C801,4,2)),VALUE(LEFT(C801,2)))
      ),
      IF(ISNUMBER(SEARCH("/",C801)*1),
        DATE(VALUE(RIGHT(C801,4)),VALUE(LEFT(C801,2)),VALUE(MID(C801,4,2))),
        DATEVALUE(C801)
      )
    )
  ),
"INVALID_DATE")</f>
        <v>45582</v>
      </c>
      <c r="AB801">
        <f>AA801-Z801</f>
        <v>7</v>
      </c>
      <c r="AC801" t="str">
        <f>TEXT(Z801,"mmmm")</f>
        <v>October</v>
      </c>
      <c r="AD801">
        <f>YEAR(Z801)</f>
        <v>2024</v>
      </c>
      <c r="AE801" t="str">
        <f t="shared" si="38"/>
        <v>OK</v>
      </c>
    </row>
    <row r="802" spans="1:31">
      <c r="A802" t="s">
        <v>3691</v>
      </c>
      <c r="B802" t="s">
        <v>3692</v>
      </c>
      <c r="C802" t="s">
        <v>3693</v>
      </c>
      <c r="D802" t="s">
        <v>3694</v>
      </c>
      <c r="E802" t="s">
        <v>90</v>
      </c>
      <c r="F802" t="s">
        <v>48</v>
      </c>
      <c r="G802" t="s">
        <v>80</v>
      </c>
      <c r="H802" t="s">
        <v>81</v>
      </c>
      <c r="I802" t="s">
        <v>82</v>
      </c>
      <c r="J802" t="s">
        <v>37</v>
      </c>
      <c r="K802" t="s">
        <v>163</v>
      </c>
      <c r="L802" t="s">
        <v>3695</v>
      </c>
      <c r="M802" t="s">
        <v>40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41</v>
      </c>
      <c r="U802" t="s">
        <v>42</v>
      </c>
      <c r="V802">
        <f>O802*(1-P802)*N802</f>
        <v>21234.972000000002</v>
      </c>
      <c r="W802">
        <f t="shared" si="36"/>
        <v>4498.8820000000014</v>
      </c>
      <c r="X802">
        <f t="shared" si="37"/>
        <v>0.21186184863929641</v>
      </c>
      <c r="Y802" t="s">
        <v>4120</v>
      </c>
      <c r="Z802" s="2">
        <f>IFERROR(
  IF(ISNUMBER(B802),B802,
    IF(ISNUMBER(SEARCH("-",B802)*1),
      IF(LEN(LEFT(B802,FIND("-",B802)-1))=4,
        DATE(VALUE(LEFT(B802,4)),VALUE(MID(B802,6,2)),VALUE(RIGHT(B802,2))),
        DATE(VALUE(RIGHT(B802,4)),VALUE(MID(B802,4,2)),VALUE(LEFT(B802,2)))
      ),
      IF(ISNUMBER(SEARCH("/",B802)*1),
        DATE(VALUE(RIGHT(B802,4)),VALUE(LEFT(B802,2)),VALUE(MID(B802,4,2))),
        DATEVALUE(B802)
      )
    )
  ),
"INVALID_DATE")</f>
        <v>45352</v>
      </c>
      <c r="AA802" s="2">
        <f>IFERROR(
  IF(ISNUMBER(C802),C802,
    IF(ISNUMBER(SEARCH("-",C802)*1),
      IF(LEN(LEFT(C802,FIND("-",C802)-1))=4,
        DATE(VALUE(LEFT(C802,4)),VALUE(MID(C802,6,2)),VALUE(RIGHT(C802,2))),
        DATE(VALUE(RIGHT(C802,4)),VALUE(MID(C802,4,2)),VALUE(LEFT(C802,2)))
      ),
      IF(ISNUMBER(SEARCH("/",C802)*1),
        DATE(VALUE(RIGHT(C802,4)),VALUE(LEFT(C802,2)),VALUE(MID(C802,4,2))),
        DATEVALUE(C802)
      )
    )
  ),
"INVALID_DATE")</f>
        <v>45358</v>
      </c>
      <c r="AB802">
        <f>AA802-Z802</f>
        <v>6</v>
      </c>
      <c r="AC802" t="str">
        <f>TEXT(Z802,"mmmm")</f>
        <v>March</v>
      </c>
      <c r="AD802">
        <f>YEAR(Z802)</f>
        <v>2024</v>
      </c>
      <c r="AE802" t="str">
        <f t="shared" si="38"/>
        <v>OK</v>
      </c>
    </row>
    <row r="803" spans="1:31">
      <c r="A803" t="s">
        <v>3696</v>
      </c>
      <c r="B803" t="s">
        <v>3697</v>
      </c>
      <c r="C803" t="s">
        <v>317</v>
      </c>
      <c r="D803" t="s">
        <v>3698</v>
      </c>
      <c r="E803" t="s">
        <v>169</v>
      </c>
      <c r="F803" t="s">
        <v>122</v>
      </c>
      <c r="G803" t="s">
        <v>49</v>
      </c>
      <c r="H803" t="s">
        <v>50</v>
      </c>
      <c r="I803" t="s">
        <v>51</v>
      </c>
      <c r="J803" t="s">
        <v>93</v>
      </c>
      <c r="K803" t="s">
        <v>94</v>
      </c>
      <c r="L803" t="s">
        <v>3699</v>
      </c>
      <c r="M803" t="s">
        <v>40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144</v>
      </c>
      <c r="U803" t="s">
        <v>85</v>
      </c>
      <c r="V803">
        <f>O803*(1-P803)*N803</f>
        <v>8093.3040000000001</v>
      </c>
      <c r="W803">
        <f t="shared" si="36"/>
        <v>2040.8739999999998</v>
      </c>
      <c r="X803">
        <f t="shared" si="37"/>
        <v>0.252167842536419</v>
      </c>
      <c r="Y803" t="str">
        <f>_xlfn.TEXTJOIN(", ",TRUE,IF(G803="Unknown","Missing Region",""),IF(M803="Unknown","Missing Ship Mode",""),IF(P803&lt;0,"Negative Discount",""),IF(P803&gt;0.7,"High Discount",""),IF(C803&lt;B803,"Ship Before Order",""))</f>
        <v>Ship Before Order</v>
      </c>
      <c r="Z803" s="2">
        <f>IFERROR(
  IF(ISNUMBER(B803),B803,
    IF(ISNUMBER(SEARCH("-",B803)*1),
      IF(LEN(LEFT(B803,FIND("-",B803)-1))=4,
        DATE(VALUE(LEFT(B803,4)),VALUE(MID(B803,6,2)),VALUE(RIGHT(B803,2))),
        DATE(VALUE(RIGHT(B803,4)),VALUE(MID(B803,4,2)),VALUE(LEFT(B803,2)))
      ),
      IF(ISNUMBER(SEARCH("/",B803)*1),
        DATE(VALUE(RIGHT(B803,4)),VALUE(LEFT(B803,2)),VALUE(MID(B803,4,2))),
        DATEVALUE(B803)
      )
    )
  ),
"INVALID_DATE")</f>
        <v>45938</v>
      </c>
      <c r="AA803" s="2">
        <f>IFERROR(
  IF(ISNUMBER(C803),C803,
    IF(ISNUMBER(SEARCH("-",C803)*1),
      IF(LEN(LEFT(C803,FIND("-",C803)-1))=4,
        DATE(VALUE(LEFT(C803,4)),VALUE(MID(C803,6,2)),VALUE(RIGHT(C803,2))),
        DATE(VALUE(RIGHT(C803,4)),VALUE(MID(C803,4,2)),VALUE(LEFT(C803,2)))
      ),
      IF(ISNUMBER(SEARCH("/",C803)*1),
        DATE(VALUE(RIGHT(C803,4)),VALUE(LEFT(C803,2)),VALUE(MID(C803,4,2))),
        DATEVALUE(C803)
      )
    )
  ),
"INVALID_DATE")</f>
        <v>45945</v>
      </c>
      <c r="AB803">
        <f>AA803-Z803</f>
        <v>7</v>
      </c>
      <c r="AC803" t="str">
        <f>TEXT(Z803,"mmmm")</f>
        <v>October</v>
      </c>
      <c r="AD803">
        <f>YEAR(Z803)</f>
        <v>2025</v>
      </c>
      <c r="AE803" t="str">
        <f t="shared" si="38"/>
        <v>OK</v>
      </c>
    </row>
    <row r="804" spans="1:31">
      <c r="A804" t="s">
        <v>3700</v>
      </c>
      <c r="B804" t="s">
        <v>3180</v>
      </c>
      <c r="C804" t="s">
        <v>3701</v>
      </c>
      <c r="D804" t="s">
        <v>3702</v>
      </c>
      <c r="E804" t="s">
        <v>187</v>
      </c>
      <c r="F804" t="s">
        <v>48</v>
      </c>
      <c r="G804" t="s">
        <v>49</v>
      </c>
      <c r="H804" t="s">
        <v>223</v>
      </c>
      <c r="I804" t="s">
        <v>224</v>
      </c>
      <c r="J804" t="s">
        <v>52</v>
      </c>
      <c r="K804" t="s">
        <v>72</v>
      </c>
      <c r="L804" t="s">
        <v>3703</v>
      </c>
      <c r="M804" t="s">
        <v>40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3704</v>
      </c>
      <c r="U804" t="s">
        <v>132</v>
      </c>
      <c r="V804">
        <f>O804*(1-P804)*N804</f>
        <v>8651.4600000000009</v>
      </c>
      <c r="W804">
        <f t="shared" si="36"/>
        <v>3396.8400000000011</v>
      </c>
      <c r="X804">
        <f t="shared" si="37"/>
        <v>0.39263199506210517</v>
      </c>
      <c r="Y804" t="s">
        <v>4120</v>
      </c>
      <c r="Z804" s="2">
        <f>IFERROR(
  IF(ISNUMBER(B804),B804,
    IF(ISNUMBER(SEARCH("-",B804)*1),
      IF(LEN(LEFT(B804,FIND("-",B804)-1))=4,
        DATE(VALUE(LEFT(B804,4)),VALUE(MID(B804,6,2)),VALUE(RIGHT(B804,2))),
        DATE(VALUE(RIGHT(B804,4)),VALUE(MID(B804,4,2)),VALUE(LEFT(B804,2)))
      ),
      IF(ISNUMBER(SEARCH("/",B804)*1),
        DATE(VALUE(RIGHT(B804,4)),VALUE(LEFT(B804,2)),VALUE(MID(B804,4,2))),
        DATEVALUE(B804)
      )
    )
  ),
"INVALID_DATE")</f>
        <v>45704</v>
      </c>
      <c r="AA804" s="2">
        <f>IFERROR(
  IF(ISNUMBER(C804),C804,
    IF(ISNUMBER(SEARCH("-",C804)*1),
      IF(LEN(LEFT(C804,FIND("-",C804)-1))=4,
        DATE(VALUE(LEFT(C804,4)),VALUE(MID(C804,6,2)),VALUE(RIGHT(C804,2))),
        DATE(VALUE(RIGHT(C804,4)),VALUE(MID(C804,4,2)),VALUE(LEFT(C804,2)))
      ),
      IF(ISNUMBER(SEARCH("/",C804)*1),
        DATE(VALUE(RIGHT(C804,4)),VALUE(LEFT(C804,2)),VALUE(MID(C804,4,2))),
        DATEVALUE(C804)
      )
    )
  ),
"INVALID_DATE")</f>
        <v>45704</v>
      </c>
      <c r="AB804">
        <f>AA804-Z804</f>
        <v>0</v>
      </c>
      <c r="AC804" t="str">
        <f>TEXT(Z804,"mmmm")</f>
        <v>February</v>
      </c>
      <c r="AD804">
        <f>YEAR(Z804)</f>
        <v>2025</v>
      </c>
      <c r="AE804" t="str">
        <f t="shared" si="38"/>
        <v>OK</v>
      </c>
    </row>
    <row r="805" spans="1:31">
      <c r="A805" t="s">
        <v>3705</v>
      </c>
      <c r="B805" t="s">
        <v>3706</v>
      </c>
      <c r="C805" t="s">
        <v>741</v>
      </c>
      <c r="D805" t="s">
        <v>3707</v>
      </c>
      <c r="E805" t="s">
        <v>187</v>
      </c>
      <c r="F805" t="s">
        <v>33</v>
      </c>
      <c r="G805" t="s">
        <v>279</v>
      </c>
      <c r="H805" t="s">
        <v>319</v>
      </c>
      <c r="I805" t="s">
        <v>320</v>
      </c>
      <c r="J805" t="s">
        <v>37</v>
      </c>
      <c r="K805" t="s">
        <v>116</v>
      </c>
      <c r="L805" t="s">
        <v>3708</v>
      </c>
      <c r="M805" t="s">
        <v>63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41</v>
      </c>
      <c r="U805" t="s">
        <v>42</v>
      </c>
      <c r="V805">
        <f>O805*(1-P805)*N805</f>
        <v>4306.6499999999996</v>
      </c>
      <c r="W805">
        <f t="shared" si="36"/>
        <v>1737.8299999999995</v>
      </c>
      <c r="X805">
        <f t="shared" si="37"/>
        <v>0.40352245945224247</v>
      </c>
      <c r="Y805" t="str">
        <f>_xlfn.TEXTJOIN(", ",TRUE,IF(G805="Unknown","Missing Region",""),IF(M805="Unknown","Missing Ship Mode",""),IF(P805&lt;0,"Negative Discount",""),IF(P805&gt;0.7,"High Discount",""),IF(C805&lt;B805,"Ship Before Order",""))</f>
        <v>Missing Region</v>
      </c>
      <c r="Z805" s="2">
        <f>IFERROR(
  IF(ISNUMBER(B805),B805,
    IF(ISNUMBER(SEARCH("-",B805)*1),
      IF(LEN(LEFT(B805,FIND("-",B805)-1))=4,
        DATE(VALUE(LEFT(B805,4)),VALUE(MID(B805,6,2)),VALUE(RIGHT(B805,2))),
        DATE(VALUE(RIGHT(B805,4)),VALUE(MID(B805,4,2)),VALUE(LEFT(B805,2)))
      ),
      IF(ISNUMBER(SEARCH("/",B805)*1),
        DATE(VALUE(RIGHT(B805,4)),VALUE(LEFT(B805,2)),VALUE(MID(B805,4,2))),
        DATEVALUE(B805)
      )
    )
  ),
"INVALID_DATE")</f>
        <v>45635</v>
      </c>
      <c r="AA805" s="2">
        <f>IFERROR(
  IF(ISNUMBER(C805),C805,
    IF(ISNUMBER(SEARCH("-",C805)*1),
      IF(LEN(LEFT(C805,FIND("-",C805)-1))=4,
        DATE(VALUE(LEFT(C805,4)),VALUE(MID(C805,6,2)),VALUE(RIGHT(C805,2))),
        DATE(VALUE(RIGHT(C805,4)),VALUE(MID(C805,4,2)),VALUE(LEFT(C805,2)))
      ),
      IF(ISNUMBER(SEARCH("/",C805)*1),
        DATE(VALUE(RIGHT(C805,4)),VALUE(LEFT(C805,2)),VALUE(MID(C805,4,2))),
        DATEVALUE(C805)
      )
    )
  ),
"INVALID_DATE")</f>
        <v>45639</v>
      </c>
      <c r="AB805">
        <f>AA805-Z805</f>
        <v>4</v>
      </c>
      <c r="AC805" t="str">
        <f>TEXT(Z805,"mmmm")</f>
        <v>December</v>
      </c>
      <c r="AD805">
        <f>YEAR(Z805)</f>
        <v>2024</v>
      </c>
      <c r="AE805" t="str">
        <f t="shared" si="38"/>
        <v>OK</v>
      </c>
    </row>
    <row r="806" spans="1:31">
      <c r="A806" t="s">
        <v>3709</v>
      </c>
      <c r="B806" t="s">
        <v>997</v>
      </c>
      <c r="C806" t="s">
        <v>2204</v>
      </c>
      <c r="D806" t="s">
        <v>3710</v>
      </c>
      <c r="E806" t="s">
        <v>155</v>
      </c>
      <c r="F806" t="s">
        <v>122</v>
      </c>
      <c r="G806" t="s">
        <v>69</v>
      </c>
      <c r="H806" t="s">
        <v>70</v>
      </c>
      <c r="I806" t="s">
        <v>71</v>
      </c>
      <c r="J806" t="s">
        <v>52</v>
      </c>
      <c r="K806" t="s">
        <v>72</v>
      </c>
      <c r="L806" t="s">
        <v>3711</v>
      </c>
      <c r="M806" t="s">
        <v>74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41</v>
      </c>
      <c r="U806" t="s">
        <v>42</v>
      </c>
      <c r="V806">
        <f>O806*(1-P806)*N806</f>
        <v>1948.0889999999997</v>
      </c>
      <c r="W806">
        <f t="shared" si="36"/>
        <v>441.00899999999979</v>
      </c>
      <c r="X806">
        <f t="shared" si="37"/>
        <v>0.22638071136343804</v>
      </c>
      <c r="Y806" t="s">
        <v>4120</v>
      </c>
      <c r="Z806" s="2">
        <f>IFERROR(
  IF(ISNUMBER(B806),B806,
    IF(ISNUMBER(SEARCH("-",B806)*1),
      IF(LEN(LEFT(B806,FIND("-",B806)-1))=4,
        DATE(VALUE(LEFT(B806,4)),VALUE(MID(B806,6,2)),VALUE(RIGHT(B806,2))),
        DATE(VALUE(RIGHT(B806,4)),VALUE(MID(B806,4,2)),VALUE(LEFT(B806,2)))
      ),
      IF(ISNUMBER(SEARCH("/",B806)*1),
        DATE(VALUE(RIGHT(B806,4)),VALUE(LEFT(B806,2)),VALUE(MID(B806,4,2))),
        DATEVALUE(B806)
      )
    )
  ),
"INVALID_DATE")</f>
        <v>45910</v>
      </c>
      <c r="AA806" s="2">
        <f>IFERROR(
  IF(ISNUMBER(C806),C806,
    IF(ISNUMBER(SEARCH("-",C806)*1),
      IF(LEN(LEFT(C806,FIND("-",C806)-1))=4,
        DATE(VALUE(LEFT(C806,4)),VALUE(MID(C806,6,2)),VALUE(RIGHT(C806,2))),
        DATE(VALUE(RIGHT(C806,4)),VALUE(MID(C806,4,2)),VALUE(LEFT(C806,2)))
      ),
      IF(ISNUMBER(SEARCH("/",C806)*1),
        DATE(VALUE(RIGHT(C806,4)),VALUE(LEFT(C806,2)),VALUE(MID(C806,4,2))),
        DATEVALUE(C806)
      )
    )
  ),
"INVALID_DATE")</f>
        <v>45918</v>
      </c>
      <c r="AB806">
        <f>AA806-Z806</f>
        <v>8</v>
      </c>
      <c r="AC806" t="str">
        <f>TEXT(Z806,"mmmm")</f>
        <v>September</v>
      </c>
      <c r="AD806">
        <f>YEAR(Z806)</f>
        <v>2025</v>
      </c>
      <c r="AE806" t="str">
        <f t="shared" si="38"/>
        <v>OK</v>
      </c>
    </row>
    <row r="807" spans="1:31">
      <c r="A807" t="s">
        <v>3712</v>
      </c>
      <c r="B807" t="s">
        <v>1324</v>
      </c>
      <c r="C807" t="s">
        <v>1071</v>
      </c>
      <c r="D807" t="s">
        <v>3528</v>
      </c>
      <c r="E807" t="s">
        <v>149</v>
      </c>
      <c r="F807" t="s">
        <v>122</v>
      </c>
      <c r="G807" t="s">
        <v>49</v>
      </c>
      <c r="H807" t="s">
        <v>223</v>
      </c>
      <c r="I807" t="s">
        <v>224</v>
      </c>
      <c r="J807" t="s">
        <v>37</v>
      </c>
      <c r="K807" t="s">
        <v>205</v>
      </c>
      <c r="L807" t="s">
        <v>3713</v>
      </c>
      <c r="M807" t="s">
        <v>40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41</v>
      </c>
      <c r="U807" t="s">
        <v>42</v>
      </c>
      <c r="V807">
        <f>O807*(1-P807)*N807</f>
        <v>3045.09</v>
      </c>
      <c r="W807">
        <f t="shared" si="36"/>
        <v>444</v>
      </c>
      <c r="X807">
        <f t="shared" si="37"/>
        <v>0.14580849827098705</v>
      </c>
      <c r="Y807" t="str">
        <f>_xlfn.TEXTJOIN(", ",TRUE,IF(G807="Unknown","Missing Region",""),IF(M807="Unknown","Missing Ship Mode",""),IF(P807&lt;0,"Negative Discount",""),IF(P807&gt;0.7,"High Discount",""),IF(C807&lt;B807,"Ship Before Order",""))</f>
        <v>Ship Before Order</v>
      </c>
      <c r="Z807" s="2">
        <f>IFERROR(
  IF(ISNUMBER(B807),B807,
    IF(ISNUMBER(SEARCH("-",B807)*1),
      IF(LEN(LEFT(B807,FIND("-",B807)-1))=4,
        DATE(VALUE(LEFT(B807,4)),VALUE(MID(B807,6,2)),VALUE(RIGHT(B807,2))),
        DATE(VALUE(RIGHT(B807,4)),VALUE(MID(B807,4,2)),VALUE(LEFT(B807,2)))
      ),
      IF(ISNUMBER(SEARCH("/",B807)*1),
        DATE(VALUE(RIGHT(B807,4)),VALUE(LEFT(B807,2)),VALUE(MID(B807,4,2))),
        DATEVALUE(B807)
      )
    )
  ),
"INVALID_DATE")</f>
        <v>45753</v>
      </c>
      <c r="AA807" s="2">
        <f>IFERROR(
  IF(ISNUMBER(C807),C807,
    IF(ISNUMBER(SEARCH("-",C807)*1),
      IF(LEN(LEFT(C807,FIND("-",C807)-1))=4,
        DATE(VALUE(LEFT(C807,4)),VALUE(MID(C807,6,2)),VALUE(RIGHT(C807,2))),
        DATE(VALUE(RIGHT(C807,4)),VALUE(MID(C807,4,2)),VALUE(LEFT(C807,2)))
      ),
      IF(ISNUMBER(SEARCH("/",C807)*1),
        DATE(VALUE(RIGHT(C807,4)),VALUE(LEFT(C807,2)),VALUE(MID(C807,4,2))),
        DATEVALUE(C807)
      )
    )
  ),
"INVALID_DATE")</f>
        <v>45754</v>
      </c>
      <c r="AB807">
        <f>AA807-Z807</f>
        <v>1</v>
      </c>
      <c r="AC807" t="str">
        <f>TEXT(Z807,"mmmm")</f>
        <v>April</v>
      </c>
      <c r="AD807">
        <f>YEAR(Z807)</f>
        <v>2025</v>
      </c>
      <c r="AE807" t="str">
        <f t="shared" si="38"/>
        <v>OK</v>
      </c>
    </row>
    <row r="808" spans="1:31">
      <c r="A808" t="s">
        <v>3714</v>
      </c>
      <c r="B808" t="s">
        <v>3715</v>
      </c>
      <c r="C808" t="s">
        <v>3716</v>
      </c>
      <c r="D808" t="s">
        <v>3717</v>
      </c>
      <c r="E808" t="s">
        <v>60</v>
      </c>
      <c r="F808" t="s">
        <v>122</v>
      </c>
      <c r="G808" t="s">
        <v>34</v>
      </c>
      <c r="H808" t="s">
        <v>35</v>
      </c>
      <c r="I808" t="s">
        <v>36</v>
      </c>
      <c r="J808" t="s">
        <v>93</v>
      </c>
      <c r="K808" t="s">
        <v>101</v>
      </c>
      <c r="L808" t="s">
        <v>3718</v>
      </c>
      <c r="M808" t="s">
        <v>74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207</v>
      </c>
      <c r="U808" t="s">
        <v>85</v>
      </c>
      <c r="V808">
        <f>O808*(1-P808)*N808</f>
        <v>2932.7759999999998</v>
      </c>
      <c r="W808">
        <f t="shared" si="36"/>
        <v>1032.4259999999999</v>
      </c>
      <c r="X808">
        <f t="shared" si="37"/>
        <v>0.3520311786086921</v>
      </c>
      <c r="Y808" t="s">
        <v>4120</v>
      </c>
      <c r="Z808" s="2">
        <f>IFERROR(
  IF(ISNUMBER(B808),B808,
    IF(ISNUMBER(SEARCH("-",B808)*1),
      IF(LEN(LEFT(B808,FIND("-",B808)-1))=4,
        DATE(VALUE(LEFT(B808,4)),VALUE(MID(B808,6,2)),VALUE(RIGHT(B808,2))),
        DATE(VALUE(RIGHT(B808,4)),VALUE(MID(B808,4,2)),VALUE(LEFT(B808,2)))
      ),
      IF(ISNUMBER(SEARCH("/",B808)*1),
        DATE(VALUE(RIGHT(B808,4)),VALUE(LEFT(B808,2)),VALUE(MID(B808,4,2))),
        DATEVALUE(B808)
      )
    )
  ),
"INVALID_DATE")</f>
        <v>45605</v>
      </c>
      <c r="AA808" s="2">
        <f>IFERROR(
  IF(ISNUMBER(C808),C808,
    IF(ISNUMBER(SEARCH("-",C808)*1),
      IF(LEN(LEFT(C808,FIND("-",C808)-1))=4,
        DATE(VALUE(LEFT(C808,4)),VALUE(MID(C808,6,2)),VALUE(RIGHT(C808,2))),
        DATE(VALUE(RIGHT(C808,4)),VALUE(MID(C808,4,2)),VALUE(LEFT(C808,2)))
      ),
      IF(ISNUMBER(SEARCH("/",C808)*1),
        DATE(VALUE(RIGHT(C808,4)),VALUE(LEFT(C808,2)),VALUE(MID(C808,4,2))),
        DATEVALUE(C808)
      )
    )
  ),
"INVALID_DATE")</f>
        <v>45611</v>
      </c>
      <c r="AB808">
        <f>AA808-Z808</f>
        <v>6</v>
      </c>
      <c r="AC808" t="str">
        <f>TEXT(Z808,"mmmm")</f>
        <v>November</v>
      </c>
      <c r="AD808">
        <f>YEAR(Z808)</f>
        <v>2024</v>
      </c>
      <c r="AE808" t="str">
        <f t="shared" si="38"/>
        <v>OK</v>
      </c>
    </row>
    <row r="809" spans="1:31">
      <c r="A809" t="s">
        <v>3719</v>
      </c>
      <c r="B809" t="s">
        <v>1284</v>
      </c>
      <c r="C809" t="s">
        <v>2278</v>
      </c>
      <c r="D809" t="s">
        <v>3720</v>
      </c>
      <c r="E809" t="s">
        <v>32</v>
      </c>
      <c r="F809" t="s">
        <v>48</v>
      </c>
      <c r="G809" t="s">
        <v>69</v>
      </c>
      <c r="H809" t="s">
        <v>70</v>
      </c>
      <c r="I809" t="s">
        <v>71</v>
      </c>
      <c r="J809" t="s">
        <v>37</v>
      </c>
      <c r="K809" t="s">
        <v>116</v>
      </c>
      <c r="L809" t="s">
        <v>3721</v>
      </c>
      <c r="M809" t="s">
        <v>3722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41</v>
      </c>
      <c r="U809" t="s">
        <v>42</v>
      </c>
      <c r="V809">
        <f>O809*(1-P809)*N809</f>
        <v>4379.3640000000005</v>
      </c>
      <c r="W809">
        <f t="shared" si="36"/>
        <v>655.43400000000065</v>
      </c>
      <c r="X809">
        <f t="shared" si="37"/>
        <v>0.1496634211391619</v>
      </c>
      <c r="Y809" t="s">
        <v>4120</v>
      </c>
      <c r="Z809" s="2">
        <f>IFERROR(
  IF(ISNUMBER(B809),B809,
    IF(ISNUMBER(SEARCH("-",B809)*1),
      IF(LEN(LEFT(B809,FIND("-",B809)-1))=4,
        DATE(VALUE(LEFT(B809,4)),VALUE(MID(B809,6,2)),VALUE(RIGHT(B809,2))),
        DATE(VALUE(RIGHT(B809,4)),VALUE(MID(B809,4,2)),VALUE(LEFT(B809,2)))
      ),
      IF(ISNUMBER(SEARCH("/",B809)*1),
        DATE(VALUE(RIGHT(B809,4)),VALUE(LEFT(B809,2)),VALUE(MID(B809,4,2))),
        DATEVALUE(B809)
      )
    )
  ),
"INVALID_DATE")</f>
        <v>45695</v>
      </c>
      <c r="AA809" s="2">
        <f>IFERROR(
  IF(ISNUMBER(C809),C809,
    IF(ISNUMBER(SEARCH("-",C809)*1),
      IF(LEN(LEFT(C809,FIND("-",C809)-1))=4,
        DATE(VALUE(LEFT(C809,4)),VALUE(MID(C809,6,2)),VALUE(RIGHT(C809,2))),
        DATE(VALUE(RIGHT(C809,4)),VALUE(MID(C809,4,2)),VALUE(LEFT(C809,2)))
      ),
      IF(ISNUMBER(SEARCH("/",C809)*1),
        DATE(VALUE(RIGHT(C809,4)),VALUE(LEFT(C809,2)),VALUE(MID(C809,4,2))),
        DATEVALUE(C809)
      )
    )
  ),
"INVALID_DATE")</f>
        <v>45696</v>
      </c>
      <c r="AB809">
        <f>AA809-Z809</f>
        <v>1</v>
      </c>
      <c r="AC809" t="str">
        <f>TEXT(Z809,"mmmm")</f>
        <v>February</v>
      </c>
      <c r="AD809">
        <f>YEAR(Z809)</f>
        <v>2025</v>
      </c>
      <c r="AE809" t="str">
        <f t="shared" si="38"/>
        <v>OK</v>
      </c>
    </row>
    <row r="810" spans="1:31">
      <c r="A810" t="s">
        <v>3723</v>
      </c>
      <c r="B810" t="s">
        <v>3724</v>
      </c>
      <c r="C810" t="s">
        <v>2042</v>
      </c>
      <c r="D810" t="s">
        <v>3725</v>
      </c>
      <c r="E810" t="s">
        <v>169</v>
      </c>
      <c r="F810" t="s">
        <v>48</v>
      </c>
      <c r="G810" t="s">
        <v>69</v>
      </c>
      <c r="H810" t="s">
        <v>347</v>
      </c>
      <c r="I810" t="s">
        <v>348</v>
      </c>
      <c r="J810" t="s">
        <v>52</v>
      </c>
      <c r="K810" t="s">
        <v>72</v>
      </c>
      <c r="L810" t="s">
        <v>3726</v>
      </c>
      <c r="M810" t="s">
        <v>63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41</v>
      </c>
      <c r="U810" t="s">
        <v>42</v>
      </c>
      <c r="V810">
        <f>O810*(1-P810)*N810</f>
        <v>5472.768</v>
      </c>
      <c r="W810">
        <f t="shared" si="36"/>
        <v>995.4380000000001</v>
      </c>
      <c r="X810">
        <f t="shared" si="37"/>
        <v>0.18188960983194982</v>
      </c>
      <c r="Y810" t="str">
        <f>_xlfn.TEXTJOIN(", ",TRUE,IF(G810="Unknown","Missing Region",""),IF(M810="Unknown","Missing Ship Mode",""),IF(P810&lt;0,"Negative Discount",""),IF(P810&gt;0.7,"High Discount",""),IF(C810&lt;B810,"Ship Before Order",""))</f>
        <v>Ship Before Order</v>
      </c>
      <c r="Z810" s="2">
        <f>IFERROR(
  IF(ISNUMBER(B810),B810,
    IF(ISNUMBER(SEARCH("-",B810)*1),
      IF(LEN(LEFT(B810,FIND("-",B810)-1))=4,
        DATE(VALUE(LEFT(B810,4)),VALUE(MID(B810,6,2)),VALUE(RIGHT(B810,2))),
        DATE(VALUE(RIGHT(B810,4)),VALUE(MID(B810,4,2)),VALUE(LEFT(B810,2)))
      ),
      IF(ISNUMBER(SEARCH("/",B810)*1),
        DATE(VALUE(RIGHT(B810,4)),VALUE(LEFT(B810,2)),VALUE(MID(B810,4,2))),
        DATEVALUE(B810)
      )
    )
  ),
"INVALID_DATE")</f>
        <v>45900</v>
      </c>
      <c r="AA810" s="2">
        <f>IFERROR(
  IF(ISNUMBER(C810),C810,
    IF(ISNUMBER(SEARCH("-",C810)*1),
      IF(LEN(LEFT(C810,FIND("-",C810)-1))=4,
        DATE(VALUE(LEFT(C810,4)),VALUE(MID(C810,6,2)),VALUE(RIGHT(C810,2))),
        DATE(VALUE(RIGHT(C810,4)),VALUE(MID(C810,4,2)),VALUE(LEFT(C810,2)))
      ),
      IF(ISNUMBER(SEARCH("/",C810)*1),
        DATE(VALUE(RIGHT(C810,4)),VALUE(LEFT(C810,2)),VALUE(MID(C810,4,2))),
        DATEVALUE(C810)
      )
    )
  ),
"INVALID_DATE")</f>
        <v>45897</v>
      </c>
      <c r="AB810">
        <f>AA810-Z810</f>
        <v>-3</v>
      </c>
      <c r="AC810" t="str">
        <f>TEXT(Z810,"mmmm")</f>
        <v>August</v>
      </c>
      <c r="AD810">
        <f>YEAR(Z810)</f>
        <v>2025</v>
      </c>
      <c r="AE810" t="str">
        <f t="shared" si="38"/>
        <v>Ship Before Order</v>
      </c>
    </row>
    <row r="811" spans="1:31">
      <c r="A811" t="s">
        <v>3727</v>
      </c>
      <c r="B811" t="s">
        <v>1524</v>
      </c>
      <c r="C811" t="s">
        <v>1524</v>
      </c>
      <c r="D811" t="s">
        <v>3728</v>
      </c>
      <c r="E811" t="s">
        <v>68</v>
      </c>
      <c r="F811" t="s">
        <v>48</v>
      </c>
      <c r="G811" t="s">
        <v>279</v>
      </c>
      <c r="H811" t="s">
        <v>161</v>
      </c>
      <c r="I811" t="s">
        <v>162</v>
      </c>
      <c r="J811" t="s">
        <v>37</v>
      </c>
      <c r="K811" t="s">
        <v>205</v>
      </c>
      <c r="L811" t="s">
        <v>3729</v>
      </c>
      <c r="M811" t="s">
        <v>40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41</v>
      </c>
      <c r="U811" t="s">
        <v>42</v>
      </c>
      <c r="V811">
        <f>O811*(1-P811)*N811</f>
        <v>7377.1020000000008</v>
      </c>
      <c r="W811">
        <f t="shared" si="36"/>
        <v>2291.8920000000007</v>
      </c>
      <c r="X811">
        <f t="shared" si="37"/>
        <v>0.31067628200783504</v>
      </c>
      <c r="Y811" t="str">
        <f>_xlfn.TEXTJOIN(", ",TRUE,IF(G811="Unknown","Missing Region",""),IF(M811="Unknown","Missing Ship Mode",""),IF(P811&lt;0,"Negative Discount",""),IF(P811&gt;0.7,"High Discount",""),IF(C811&lt;B811,"Ship Before Order",""))</f>
        <v>Missing Region</v>
      </c>
      <c r="Z811" s="2">
        <f>IFERROR(
  IF(ISNUMBER(B811),B811,
    IF(ISNUMBER(SEARCH("-",B811)*1),
      IF(LEN(LEFT(B811,FIND("-",B811)-1))=4,
        DATE(VALUE(LEFT(B811,4)),VALUE(MID(B811,6,2)),VALUE(RIGHT(B811,2))),
        DATE(VALUE(RIGHT(B811,4)),VALUE(MID(B811,4,2)),VALUE(LEFT(B811,2)))
      ),
      IF(ISNUMBER(SEARCH("/",B811)*1),
        DATE(VALUE(RIGHT(B811,4)),VALUE(LEFT(B811,2)),VALUE(MID(B811,4,2))),
        DATEVALUE(B811)
      )
    )
  ),
"INVALID_DATE")</f>
        <v>45833</v>
      </c>
      <c r="AA811" s="2">
        <f>IFERROR(
  IF(ISNUMBER(C811),C811,
    IF(ISNUMBER(SEARCH("-",C811)*1),
      IF(LEN(LEFT(C811,FIND("-",C811)-1))=4,
        DATE(VALUE(LEFT(C811,4)),VALUE(MID(C811,6,2)),VALUE(RIGHT(C811,2))),
        DATE(VALUE(RIGHT(C811,4)),VALUE(MID(C811,4,2)),VALUE(LEFT(C811,2)))
      ),
      IF(ISNUMBER(SEARCH("/",C811)*1),
        DATE(VALUE(RIGHT(C811,4)),VALUE(LEFT(C811,2)),VALUE(MID(C811,4,2))),
        DATEVALUE(C811)
      )
    )
  ),
"INVALID_DATE")</f>
        <v>45833</v>
      </c>
      <c r="AB811">
        <f>AA811-Z811</f>
        <v>0</v>
      </c>
      <c r="AC811" t="str">
        <f>TEXT(Z811,"mmmm")</f>
        <v>June</v>
      </c>
      <c r="AD811">
        <f>YEAR(Z811)</f>
        <v>2025</v>
      </c>
      <c r="AE811" t="str">
        <f t="shared" si="38"/>
        <v>OK</v>
      </c>
    </row>
    <row r="812" spans="1:31">
      <c r="A812" t="s">
        <v>3730</v>
      </c>
      <c r="B812" t="s">
        <v>3731</v>
      </c>
      <c r="C812" t="s">
        <v>3732</v>
      </c>
      <c r="D812" t="s">
        <v>2542</v>
      </c>
      <c r="E812" t="s">
        <v>374</v>
      </c>
      <c r="F812" t="s">
        <v>122</v>
      </c>
      <c r="G812" t="s">
        <v>80</v>
      </c>
      <c r="H812" t="s">
        <v>242</v>
      </c>
      <c r="I812" t="s">
        <v>243</v>
      </c>
      <c r="J812" t="s">
        <v>93</v>
      </c>
      <c r="K812" t="s">
        <v>101</v>
      </c>
      <c r="L812" t="s">
        <v>3733</v>
      </c>
      <c r="M812" t="s">
        <v>63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41</v>
      </c>
      <c r="U812" t="s">
        <v>42</v>
      </c>
      <c r="V812">
        <f>O812*(1-P812)*N812</f>
        <v>2363.8874999999998</v>
      </c>
      <c r="W812">
        <f t="shared" si="36"/>
        <v>892.37749999999983</v>
      </c>
      <c r="X812">
        <f t="shared" si="37"/>
        <v>0.37750487543836642</v>
      </c>
      <c r="Y812" t="s">
        <v>4120</v>
      </c>
      <c r="Z812" s="2">
        <f>IFERROR(
  IF(ISNUMBER(B812),B812,
    IF(ISNUMBER(SEARCH("-",B812)*1),
      IF(LEN(LEFT(B812,FIND("-",B812)-1))=4,
        DATE(VALUE(LEFT(B812,4)),VALUE(MID(B812,6,2)),VALUE(RIGHT(B812,2))),
        DATE(VALUE(RIGHT(B812,4)),VALUE(MID(B812,4,2)),VALUE(LEFT(B812,2)))
      ),
      IF(ISNUMBER(SEARCH("/",B812)*1),
        DATE(VALUE(RIGHT(B812,4)),VALUE(LEFT(B812,2)),VALUE(MID(B812,4,2))),
        DATEVALUE(B812)
      )
    )
  ),
"INVALID_DATE")</f>
        <v>45385</v>
      </c>
      <c r="AA812" s="2">
        <f>IFERROR(
  IF(ISNUMBER(C812),C812,
    IF(ISNUMBER(SEARCH("-",C812)*1),
      IF(LEN(LEFT(C812,FIND("-",C812)-1))=4,
        DATE(VALUE(LEFT(C812,4)),VALUE(MID(C812,6,2)),VALUE(RIGHT(C812,2))),
        DATE(VALUE(RIGHT(C812,4)),VALUE(MID(C812,4,2)),VALUE(LEFT(C812,2)))
      ),
      IF(ISNUMBER(SEARCH("/",C812)*1),
        DATE(VALUE(RIGHT(C812,4)),VALUE(LEFT(C812,2)),VALUE(MID(C812,4,2))),
        DATEVALUE(C812)
      )
    )
  ),
"INVALID_DATE")</f>
        <v>45390</v>
      </c>
      <c r="AB812">
        <f>AA812-Z812</f>
        <v>5</v>
      </c>
      <c r="AC812" t="str">
        <f>TEXT(Z812,"mmmm")</f>
        <v>April</v>
      </c>
      <c r="AD812">
        <f>YEAR(Z812)</f>
        <v>2024</v>
      </c>
      <c r="AE812" t="str">
        <f t="shared" si="38"/>
        <v>OK</v>
      </c>
    </row>
    <row r="813" spans="1:31">
      <c r="A813" t="s">
        <v>3734</v>
      </c>
      <c r="B813" t="s">
        <v>3735</v>
      </c>
      <c r="C813" t="s">
        <v>3736</v>
      </c>
      <c r="D813" t="s">
        <v>3737</v>
      </c>
      <c r="E813" t="s">
        <v>187</v>
      </c>
      <c r="F813" t="s">
        <v>122</v>
      </c>
      <c r="G813" t="s">
        <v>34</v>
      </c>
      <c r="H813" t="s">
        <v>331</v>
      </c>
      <c r="I813" t="s">
        <v>332</v>
      </c>
      <c r="J813" t="s">
        <v>93</v>
      </c>
      <c r="K813" t="s">
        <v>94</v>
      </c>
      <c r="L813" t="s">
        <v>3738</v>
      </c>
      <c r="M813" t="s">
        <v>63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41</v>
      </c>
      <c r="U813" t="s">
        <v>42</v>
      </c>
      <c r="V813">
        <f>O813*(1-P813)*N813</f>
        <v>2577.2000000000003</v>
      </c>
      <c r="W813">
        <f t="shared" si="36"/>
        <v>1101.3300000000004</v>
      </c>
      <c r="X813">
        <f t="shared" si="37"/>
        <v>0.42733586838429305</v>
      </c>
      <c r="Y813" t="s">
        <v>4120</v>
      </c>
      <c r="Z813" s="2">
        <f>IFERROR(
  IF(ISNUMBER(B813),B813,
    IF(ISNUMBER(SEARCH("-",B813)*1),
      IF(LEN(LEFT(B813,FIND("-",B813)-1))=4,
        DATE(VALUE(LEFT(B813,4)),VALUE(MID(B813,6,2)),VALUE(RIGHT(B813,2))),
        DATE(VALUE(RIGHT(B813,4)),VALUE(MID(B813,4,2)),VALUE(LEFT(B813,2)))
      ),
      IF(ISNUMBER(SEARCH("/",B813)*1),
        DATE(VALUE(RIGHT(B813,4)),VALUE(LEFT(B813,2)),VALUE(MID(B813,4,2))),
        DATEVALUE(B813)
      )
    )
  ),
"INVALID_DATE")</f>
        <v>45638</v>
      </c>
      <c r="AA813" s="2">
        <f>IFERROR(
  IF(ISNUMBER(C813),C813,
    IF(ISNUMBER(SEARCH("-",C813)*1),
      IF(LEN(LEFT(C813,FIND("-",C813)-1))=4,
        DATE(VALUE(LEFT(C813,4)),VALUE(MID(C813,6,2)),VALUE(RIGHT(C813,2))),
        DATE(VALUE(RIGHT(C813,4)),VALUE(MID(C813,4,2)),VALUE(LEFT(C813,2)))
      ),
      IF(ISNUMBER(SEARCH("/",C813)*1),
        DATE(VALUE(RIGHT(C813,4)),VALUE(LEFT(C813,2)),VALUE(MID(C813,4,2))),
        DATEVALUE(C813)
      )
    )
  ),
"INVALID_DATE")</f>
        <v>45645</v>
      </c>
      <c r="AB813">
        <f>AA813-Z813</f>
        <v>7</v>
      </c>
      <c r="AC813" t="str">
        <f>TEXT(Z813,"mmmm")</f>
        <v>December</v>
      </c>
      <c r="AD813">
        <f>YEAR(Z813)</f>
        <v>2024</v>
      </c>
      <c r="AE813" t="str">
        <f t="shared" si="38"/>
        <v>OK</v>
      </c>
    </row>
    <row r="814" spans="1:31">
      <c r="A814" t="s">
        <v>3739</v>
      </c>
      <c r="B814" t="s">
        <v>818</v>
      </c>
      <c r="C814" t="s">
        <v>3740</v>
      </c>
      <c r="D814" t="s">
        <v>3741</v>
      </c>
      <c r="E814" t="s">
        <v>175</v>
      </c>
      <c r="F814" t="s">
        <v>48</v>
      </c>
      <c r="G814" t="s">
        <v>49</v>
      </c>
      <c r="H814" t="s">
        <v>319</v>
      </c>
      <c r="I814" t="s">
        <v>320</v>
      </c>
      <c r="J814" t="s">
        <v>52</v>
      </c>
      <c r="K814" t="s">
        <v>53</v>
      </c>
      <c r="L814" t="s">
        <v>3742</v>
      </c>
      <c r="M814" t="s">
        <v>63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41</v>
      </c>
      <c r="U814" t="s">
        <v>42</v>
      </c>
      <c r="V814">
        <f>O814*(1-P814)*N814</f>
        <v>17827.759999999998</v>
      </c>
      <c r="W814">
        <f t="shared" si="36"/>
        <v>3705.6299999999992</v>
      </c>
      <c r="X814">
        <f t="shared" si="37"/>
        <v>0.20785729671029901</v>
      </c>
      <c r="Y814" t="str">
        <f>_xlfn.TEXTJOIN(", ",TRUE,IF(G814="Unknown","Missing Region",""),IF(M814="Unknown","Missing Ship Mode",""),IF(P814&lt;0,"Negative Discount",""),IF(P814&gt;0.7,"High Discount",""),IF(C814&lt;B814,"Ship Before Order",""))</f>
        <v>Ship Before Order</v>
      </c>
      <c r="Z814" s="2">
        <f>IFERROR(
  IF(ISNUMBER(B814),B814,
    IF(ISNUMBER(SEARCH("-",B814)*1),
      IF(LEN(LEFT(B814,FIND("-",B814)-1))=4,
        DATE(VALUE(LEFT(B814,4)),VALUE(MID(B814,6,2)),VALUE(RIGHT(B814,2))),
        DATE(VALUE(RIGHT(B814,4)),VALUE(MID(B814,4,2)),VALUE(LEFT(B814,2)))
      ),
      IF(ISNUMBER(SEARCH("/",B814)*1),
        DATE(VALUE(RIGHT(B814,4)),VALUE(LEFT(B814,2)),VALUE(MID(B814,4,2))),
        DATEVALUE(B814)
      )
    )
  ),
"INVALID_DATE")</f>
        <v>45458</v>
      </c>
      <c r="AA814" s="2">
        <f>IFERROR(
  IF(ISNUMBER(C814),C814,
    IF(ISNUMBER(SEARCH("-",C814)*1),
      IF(LEN(LEFT(C814,FIND("-",C814)-1))=4,
        DATE(VALUE(LEFT(C814,4)),VALUE(MID(C814,6,2)),VALUE(RIGHT(C814,2))),
        DATE(VALUE(RIGHT(C814,4)),VALUE(MID(C814,4,2)),VALUE(LEFT(C814,2)))
      ),
      IF(ISNUMBER(SEARCH("/",C814)*1),
        DATE(VALUE(RIGHT(C814,4)),VALUE(LEFT(C814,2)),VALUE(MID(C814,4,2))),
        DATEVALUE(C814)
      )
    )
  ),
"INVALID_DATE")</f>
        <v>45463</v>
      </c>
      <c r="AB814">
        <f>AA814-Z814</f>
        <v>5</v>
      </c>
      <c r="AC814" t="str">
        <f>TEXT(Z814,"mmmm")</f>
        <v>June</v>
      </c>
      <c r="AD814">
        <f>YEAR(Z814)</f>
        <v>2024</v>
      </c>
      <c r="AE814" t="str">
        <f t="shared" si="38"/>
        <v>OK</v>
      </c>
    </row>
    <row r="815" spans="1:31">
      <c r="A815" t="s">
        <v>3743</v>
      </c>
      <c r="B815" t="s">
        <v>3744</v>
      </c>
      <c r="C815" t="s">
        <v>3745</v>
      </c>
      <c r="D815" t="s">
        <v>3746</v>
      </c>
      <c r="E815" t="s">
        <v>187</v>
      </c>
      <c r="F815" t="s">
        <v>33</v>
      </c>
      <c r="G815" t="s">
        <v>49</v>
      </c>
      <c r="H815" t="s">
        <v>50</v>
      </c>
      <c r="I815" t="s">
        <v>51</v>
      </c>
      <c r="J815" t="s">
        <v>52</v>
      </c>
      <c r="K815" t="s">
        <v>211</v>
      </c>
      <c r="L815" t="s">
        <v>1725</v>
      </c>
      <c r="M815" t="s">
        <v>74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41</v>
      </c>
      <c r="U815" t="s">
        <v>42</v>
      </c>
      <c r="V815">
        <f>O815*(1-P815)*N815</f>
        <v>2675.34</v>
      </c>
      <c r="W815">
        <f t="shared" si="36"/>
        <v>1079.4700000000003</v>
      </c>
      <c r="X815">
        <f t="shared" si="37"/>
        <v>0.40348890234512247</v>
      </c>
      <c r="Y815" t="s">
        <v>4120</v>
      </c>
      <c r="Z815" s="2">
        <f>IFERROR(
  IF(ISNUMBER(B815),B815,
    IF(ISNUMBER(SEARCH("-",B815)*1),
      IF(LEN(LEFT(B815,FIND("-",B815)-1))=4,
        DATE(VALUE(LEFT(B815,4)),VALUE(MID(B815,6,2)),VALUE(RIGHT(B815,2))),
        DATE(VALUE(RIGHT(B815,4)),VALUE(MID(B815,4,2)),VALUE(LEFT(B815,2)))
      ),
      IF(ISNUMBER(SEARCH("/",B815)*1),
        DATE(VALUE(RIGHT(B815,4)),VALUE(LEFT(B815,2)),VALUE(MID(B815,4,2))),
        DATEVALUE(B815)
      )
    )
  ),
"INVALID_DATE")</f>
        <v>45753</v>
      </c>
      <c r="AA815" s="2">
        <f>IFERROR(
  IF(ISNUMBER(C815),C815,
    IF(ISNUMBER(SEARCH("-",C815)*1),
      IF(LEN(LEFT(C815,FIND("-",C815)-1))=4,
        DATE(VALUE(LEFT(C815,4)),VALUE(MID(C815,6,2)),VALUE(RIGHT(C815,2))),
        DATE(VALUE(RIGHT(C815,4)),VALUE(MID(C815,4,2)),VALUE(LEFT(C815,2)))
      ),
      IF(ISNUMBER(SEARCH("/",C815)*1),
        DATE(VALUE(RIGHT(C815,4)),VALUE(LEFT(C815,2)),VALUE(MID(C815,4,2))),
        DATEVALUE(C815)
      )
    )
  ),
"INVALID_DATE")</f>
        <v>45757</v>
      </c>
      <c r="AB815">
        <f>AA815-Z815</f>
        <v>4</v>
      </c>
      <c r="AC815" t="str">
        <f>TEXT(Z815,"mmmm")</f>
        <v>April</v>
      </c>
      <c r="AD815">
        <f>YEAR(Z815)</f>
        <v>2025</v>
      </c>
      <c r="AE815" t="str">
        <f t="shared" si="38"/>
        <v>OK</v>
      </c>
    </row>
    <row r="816" spans="1:31">
      <c r="A816" t="s">
        <v>3747</v>
      </c>
      <c r="B816" t="s">
        <v>1379</v>
      </c>
      <c r="C816" t="s">
        <v>591</v>
      </c>
      <c r="D816" t="s">
        <v>3748</v>
      </c>
      <c r="E816" t="s">
        <v>68</v>
      </c>
      <c r="F816" t="s">
        <v>33</v>
      </c>
      <c r="G816" t="s">
        <v>80</v>
      </c>
      <c r="H816" t="s">
        <v>91</v>
      </c>
      <c r="I816" t="s">
        <v>92</v>
      </c>
      <c r="J816" t="s">
        <v>37</v>
      </c>
      <c r="K816" t="s">
        <v>116</v>
      </c>
      <c r="L816" t="s">
        <v>3749</v>
      </c>
      <c r="M816" t="s">
        <v>63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41</v>
      </c>
      <c r="U816" t="s">
        <v>42</v>
      </c>
      <c r="V816">
        <f>O816*(1-P816)*N816</f>
        <v>3563.91</v>
      </c>
      <c r="W816">
        <f t="shared" si="36"/>
        <v>924.21</v>
      </c>
      <c r="X816">
        <f t="shared" si="37"/>
        <v>0.25932473042248544</v>
      </c>
      <c r="Y816" t="s">
        <v>4120</v>
      </c>
      <c r="Z816" s="2">
        <f>IFERROR(
  IF(ISNUMBER(B816),B816,
    IF(ISNUMBER(SEARCH("-",B816)*1),
      IF(LEN(LEFT(B816,FIND("-",B816)-1))=4,
        DATE(VALUE(LEFT(B816,4)),VALUE(MID(B816,6,2)),VALUE(RIGHT(B816,2))),
        DATE(VALUE(RIGHT(B816,4)),VALUE(MID(B816,4,2)),VALUE(LEFT(B816,2)))
      ),
      IF(ISNUMBER(SEARCH("/",B816)*1),
        DATE(VALUE(RIGHT(B816,4)),VALUE(LEFT(B816,2)),VALUE(MID(B816,4,2))),
        DATEVALUE(B816)
      )
    )
  ),
"INVALID_DATE")</f>
        <v>45875</v>
      </c>
      <c r="AA816" s="2">
        <f>IFERROR(
  IF(ISNUMBER(C816),C816,
    IF(ISNUMBER(SEARCH("-",C816)*1),
      IF(LEN(LEFT(C816,FIND("-",C816)-1))=4,
        DATE(VALUE(LEFT(C816,4)),VALUE(MID(C816,6,2)),VALUE(RIGHT(C816,2))),
        DATE(VALUE(RIGHT(C816,4)),VALUE(MID(C816,4,2)),VALUE(LEFT(C816,2)))
      ),
      IF(ISNUMBER(SEARCH("/",C816)*1),
        DATE(VALUE(RIGHT(C816,4)),VALUE(LEFT(C816,2)),VALUE(MID(C816,4,2))),
        DATEVALUE(C816)
      )
    )
  ),
"INVALID_DATE")</f>
        <v>45880</v>
      </c>
      <c r="AB816">
        <f>AA816-Z816</f>
        <v>5</v>
      </c>
      <c r="AC816" t="str">
        <f>TEXT(Z816,"mmmm")</f>
        <v>August</v>
      </c>
      <c r="AD816">
        <f>YEAR(Z816)</f>
        <v>2025</v>
      </c>
      <c r="AE816" t="str">
        <f t="shared" si="38"/>
        <v>OK</v>
      </c>
    </row>
    <row r="817" spans="1:31">
      <c r="A817" t="s">
        <v>3750</v>
      </c>
      <c r="B817" t="s">
        <v>2450</v>
      </c>
      <c r="C817" t="s">
        <v>3751</v>
      </c>
      <c r="D817" t="s">
        <v>3752</v>
      </c>
      <c r="E817" t="s">
        <v>217</v>
      </c>
      <c r="F817" t="s">
        <v>33</v>
      </c>
      <c r="G817" t="s">
        <v>49</v>
      </c>
      <c r="H817" t="s">
        <v>50</v>
      </c>
      <c r="I817" t="s">
        <v>51</v>
      </c>
      <c r="J817" t="s">
        <v>93</v>
      </c>
      <c r="K817" t="s">
        <v>390</v>
      </c>
      <c r="L817" t="s">
        <v>3753</v>
      </c>
      <c r="M817" t="s">
        <v>74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144</v>
      </c>
      <c r="U817" t="s">
        <v>85</v>
      </c>
      <c r="V817">
        <f>O817*(1-P817)*N817</f>
        <v>4259.0694999999996</v>
      </c>
      <c r="W817">
        <f t="shared" si="36"/>
        <v>1128.7494999999994</v>
      </c>
      <c r="X817">
        <f t="shared" si="37"/>
        <v>0.26502264578886942</v>
      </c>
      <c r="Y817" t="s">
        <v>4120</v>
      </c>
      <c r="Z817" s="2">
        <f>IFERROR(
  IF(ISNUMBER(B817),B817,
    IF(ISNUMBER(SEARCH("-",B817)*1),
      IF(LEN(LEFT(B817,FIND("-",B817)-1))=4,
        DATE(VALUE(LEFT(B817,4)),VALUE(MID(B817,6,2)),VALUE(RIGHT(B817,2))),
        DATE(VALUE(RIGHT(B817,4)),VALUE(MID(B817,4,2)),VALUE(LEFT(B817,2)))
      ),
      IF(ISNUMBER(SEARCH("/",B817)*1),
        DATE(VALUE(RIGHT(B817,4)),VALUE(LEFT(B817,2)),VALUE(MID(B817,4,2))),
        DATEVALUE(B817)
      )
    )
  ),
"INVALID_DATE")</f>
        <v>45383</v>
      </c>
      <c r="AA817" s="2">
        <f>IFERROR(
  IF(ISNUMBER(C817),C817,
    IF(ISNUMBER(SEARCH("-",C817)*1),
      IF(LEN(LEFT(C817,FIND("-",C817)-1))=4,
        DATE(VALUE(LEFT(C817,4)),VALUE(MID(C817,6,2)),VALUE(RIGHT(C817,2))),
        DATE(VALUE(RIGHT(C817,4)),VALUE(MID(C817,4,2)),VALUE(LEFT(C817,2)))
      ),
      IF(ISNUMBER(SEARCH("/",C817)*1),
        DATE(VALUE(RIGHT(C817,4)),VALUE(LEFT(C817,2)),VALUE(MID(C817,4,2))),
        DATEVALUE(C817)
      )
    )
  ),
"INVALID_DATE")</f>
        <v>45390</v>
      </c>
      <c r="AB817">
        <f>AA817-Z817</f>
        <v>7</v>
      </c>
      <c r="AC817" t="str">
        <f>TEXT(Z817,"mmmm")</f>
        <v>April</v>
      </c>
      <c r="AD817">
        <f>YEAR(Z817)</f>
        <v>2024</v>
      </c>
      <c r="AE817" t="str">
        <f t="shared" si="38"/>
        <v>OK</v>
      </c>
    </row>
    <row r="818" spans="1:31">
      <c r="A818" t="s">
        <v>3754</v>
      </c>
      <c r="B818" t="s">
        <v>3755</v>
      </c>
      <c r="C818" t="s">
        <v>3756</v>
      </c>
      <c r="D818" t="s">
        <v>3757</v>
      </c>
      <c r="E818" t="s">
        <v>155</v>
      </c>
      <c r="F818" t="s">
        <v>48</v>
      </c>
      <c r="G818" t="s">
        <v>49</v>
      </c>
      <c r="H818" t="s">
        <v>319</v>
      </c>
      <c r="I818" t="s">
        <v>320</v>
      </c>
      <c r="J818" t="s">
        <v>52</v>
      </c>
      <c r="K818" t="s">
        <v>72</v>
      </c>
      <c r="L818" t="s">
        <v>3758</v>
      </c>
      <c r="M818" t="s">
        <v>63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41</v>
      </c>
      <c r="U818" t="s">
        <v>42</v>
      </c>
      <c r="V818">
        <f>O818*(1-P818)*N818</f>
        <v>786.87</v>
      </c>
      <c r="W818">
        <f t="shared" si="36"/>
        <v>288.37</v>
      </c>
      <c r="X818">
        <f t="shared" si="37"/>
        <v>0.36647730883119195</v>
      </c>
      <c r="Y818" t="s">
        <v>4120</v>
      </c>
      <c r="Z818" s="2">
        <f>IFERROR(
  IF(ISNUMBER(B818),B818,
    IF(ISNUMBER(SEARCH("-",B818)*1),
      IF(LEN(LEFT(B818,FIND("-",B818)-1))=4,
        DATE(VALUE(LEFT(B818,4)),VALUE(MID(B818,6,2)),VALUE(RIGHT(B818,2))),
        DATE(VALUE(RIGHT(B818,4)),VALUE(MID(B818,4,2)),VALUE(LEFT(B818,2)))
      ),
      IF(ISNUMBER(SEARCH("/",B818)*1),
        DATE(VALUE(RIGHT(B818,4)),VALUE(LEFT(B818,2)),VALUE(MID(B818,4,2))),
        DATEVALUE(B818)
      )
    )
  ),
"INVALID_DATE")</f>
        <v>45623</v>
      </c>
      <c r="AA818" s="2">
        <f>IFERROR(
  IF(ISNUMBER(C818),C818,
    IF(ISNUMBER(SEARCH("-",C818)*1),
      IF(LEN(LEFT(C818,FIND("-",C818)-1))=4,
        DATE(VALUE(LEFT(C818,4)),VALUE(MID(C818,6,2)),VALUE(RIGHT(C818,2))),
        DATE(VALUE(RIGHT(C818,4)),VALUE(MID(C818,4,2)),VALUE(LEFT(C818,2)))
      ),
      IF(ISNUMBER(SEARCH("/",C818)*1),
        DATE(VALUE(RIGHT(C818,4)),VALUE(LEFT(C818,2)),VALUE(MID(C818,4,2))),
        DATEVALUE(C818)
      )
    )
  ),
"INVALID_DATE")</f>
        <v>45626</v>
      </c>
      <c r="AB818">
        <f>AA818-Z818</f>
        <v>3</v>
      </c>
      <c r="AC818" t="str">
        <f>TEXT(Z818,"mmmm")</f>
        <v>November</v>
      </c>
      <c r="AD818">
        <f>YEAR(Z818)</f>
        <v>2024</v>
      </c>
      <c r="AE818" t="str">
        <f t="shared" si="38"/>
        <v>OK</v>
      </c>
    </row>
    <row r="819" spans="1:31">
      <c r="A819" t="s">
        <v>3759</v>
      </c>
      <c r="B819" t="s">
        <v>3760</v>
      </c>
      <c r="C819" t="s">
        <v>3761</v>
      </c>
      <c r="D819" t="s">
        <v>3762</v>
      </c>
      <c r="E819" t="s">
        <v>175</v>
      </c>
      <c r="F819" t="s">
        <v>33</v>
      </c>
      <c r="G819" t="s">
        <v>49</v>
      </c>
      <c r="H819" t="s">
        <v>193</v>
      </c>
      <c r="I819" t="s">
        <v>194</v>
      </c>
      <c r="J819" t="s">
        <v>37</v>
      </c>
      <c r="K819" t="s">
        <v>205</v>
      </c>
      <c r="L819" t="s">
        <v>3763</v>
      </c>
      <c r="M819" t="s">
        <v>74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41</v>
      </c>
      <c r="U819" t="s">
        <v>42</v>
      </c>
      <c r="V819">
        <f>O819*(1-P819)*N819</f>
        <v>8233.6049999999996</v>
      </c>
      <c r="W819">
        <f t="shared" si="36"/>
        <v>3519.8149999999996</v>
      </c>
      <c r="X819">
        <f t="shared" si="37"/>
        <v>0.42749344150796731</v>
      </c>
      <c r="Y819" t="str">
        <f>_xlfn.TEXTJOIN(", ",TRUE,IF(G819="Unknown","Missing Region",""),IF(M819="Unknown","Missing Ship Mode",""),IF(P819&lt;0,"Negative Discount",""),IF(P819&gt;0.7,"High Discount",""),IF(C819&lt;B819,"Ship Before Order",""))</f>
        <v>Ship Before Order</v>
      </c>
      <c r="Z819" s="2">
        <f>IFERROR(
  IF(ISNUMBER(B819),B819,
    IF(ISNUMBER(SEARCH("-",B819)*1),
      IF(LEN(LEFT(B819,FIND("-",B819)-1))=4,
        DATE(VALUE(LEFT(B819,4)),VALUE(MID(B819,6,2)),VALUE(RIGHT(B819,2))),
        DATE(VALUE(RIGHT(B819,4)),VALUE(MID(B819,4,2)),VALUE(LEFT(B819,2)))
      ),
      IF(ISNUMBER(SEARCH("/",B819)*1),
        DATE(VALUE(RIGHT(B819,4)),VALUE(LEFT(B819,2)),VALUE(MID(B819,4,2))),
        DATEVALUE(B819)
      )
    )
  ),
"INVALID_DATE")</f>
        <v>45752</v>
      </c>
      <c r="AA819" s="2">
        <f>IFERROR(
  IF(ISNUMBER(C819),C819,
    IF(ISNUMBER(SEARCH("-",C819)*1),
      IF(LEN(LEFT(C819,FIND("-",C819)-1))=4,
        DATE(VALUE(LEFT(C819,4)),VALUE(MID(C819,6,2)),VALUE(RIGHT(C819,2))),
        DATE(VALUE(RIGHT(C819,4)),VALUE(MID(C819,4,2)),VALUE(LEFT(C819,2)))
      ),
      IF(ISNUMBER(SEARCH("/",C819)*1),
        DATE(VALUE(RIGHT(C819,4)),VALUE(LEFT(C819,2)),VALUE(MID(C819,4,2))),
        DATEVALUE(C819)
      )
    )
  ),
"INVALID_DATE")</f>
        <v>45752</v>
      </c>
      <c r="AB819">
        <f>AA819-Z819</f>
        <v>0</v>
      </c>
      <c r="AC819" t="str">
        <f>TEXT(Z819,"mmmm")</f>
        <v>April</v>
      </c>
      <c r="AD819">
        <f>YEAR(Z819)</f>
        <v>2025</v>
      </c>
      <c r="AE819" t="str">
        <f t="shared" si="38"/>
        <v>OK</v>
      </c>
    </row>
    <row r="820" spans="1:31">
      <c r="A820" t="s">
        <v>3764</v>
      </c>
      <c r="B820" t="s">
        <v>3765</v>
      </c>
      <c r="C820" t="s">
        <v>3246</v>
      </c>
      <c r="D820" t="s">
        <v>3766</v>
      </c>
      <c r="E820" t="s">
        <v>149</v>
      </c>
      <c r="F820" t="s">
        <v>48</v>
      </c>
      <c r="G820" t="s">
        <v>80</v>
      </c>
      <c r="H820" t="s">
        <v>81</v>
      </c>
      <c r="I820" t="s">
        <v>82</v>
      </c>
      <c r="J820" t="s">
        <v>37</v>
      </c>
      <c r="K820" t="s">
        <v>116</v>
      </c>
      <c r="L820" t="s">
        <v>3767</v>
      </c>
      <c r="M820" t="s">
        <v>63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41</v>
      </c>
      <c r="U820" t="s">
        <v>42</v>
      </c>
      <c r="V820">
        <f>O820*(1-P820)*N820</f>
        <v>18067.084800000001</v>
      </c>
      <c r="W820">
        <f t="shared" si="36"/>
        <v>7978.4348000000009</v>
      </c>
      <c r="X820">
        <f t="shared" si="37"/>
        <v>0.20428105178307487</v>
      </c>
      <c r="Y820" t="str">
        <f>_xlfn.TEXTJOIN(", ",TRUE,IF(G820="Unknown","Missing Region",""),IF(M820="Unknown","Missing Ship Mode",""),IF(P820&lt;0,"Negative Discount",""),IF(P820&gt;0.7,"High Discount",""),IF(C820&lt;B820,"Ship Before Order",""))</f>
        <v>Negative Discount, Ship Before Order</v>
      </c>
      <c r="Z820" s="2">
        <f>IFERROR(
  IF(ISNUMBER(B820),B820,
    IF(ISNUMBER(SEARCH("-",B820)*1),
      IF(LEN(LEFT(B820,FIND("-",B820)-1))=4,
        DATE(VALUE(LEFT(B820,4)),VALUE(MID(B820,6,2)),VALUE(RIGHT(B820,2))),
        DATE(VALUE(RIGHT(B820,4)),VALUE(MID(B820,4,2)),VALUE(LEFT(B820,2)))
      ),
      IF(ISNUMBER(SEARCH("/",B820)*1),
        DATE(VALUE(RIGHT(B820,4)),VALUE(LEFT(B820,2)),VALUE(MID(B820,4,2))),
        DATEVALUE(B820)
      )
    )
  ),
"INVALID_DATE")</f>
        <v>45564</v>
      </c>
      <c r="AA820" s="2">
        <f>IFERROR(
  IF(ISNUMBER(C820),C820,
    IF(ISNUMBER(SEARCH("-",C820)*1),
      IF(LEN(LEFT(C820,FIND("-",C820)-1))=4,
        DATE(VALUE(LEFT(C820,4)),VALUE(MID(C820,6,2)),VALUE(RIGHT(C820,2))),
        DATE(VALUE(RIGHT(C820,4)),VALUE(MID(C820,4,2)),VALUE(LEFT(C820,2)))
      ),
      IF(ISNUMBER(SEARCH("/",C820)*1),
        DATE(VALUE(RIGHT(C820,4)),VALUE(LEFT(C820,2)),VALUE(MID(C820,4,2))),
        DATEVALUE(C820)
      )
    )
  ),
"INVALID_DATE")</f>
        <v>45570</v>
      </c>
      <c r="AB820">
        <f>AA820-Z820</f>
        <v>6</v>
      </c>
      <c r="AC820" t="str">
        <f>TEXT(Z820,"mmmm")</f>
        <v>September</v>
      </c>
      <c r="AD820">
        <f>YEAR(Z820)</f>
        <v>2024</v>
      </c>
      <c r="AE820" t="str">
        <f t="shared" si="38"/>
        <v>OK</v>
      </c>
    </row>
    <row r="821" spans="1:31">
      <c r="A821" t="s">
        <v>3768</v>
      </c>
      <c r="B821" t="s">
        <v>1602</v>
      </c>
      <c r="C821" t="s">
        <v>3769</v>
      </c>
      <c r="D821" t="s">
        <v>3770</v>
      </c>
      <c r="E821" t="s">
        <v>32</v>
      </c>
      <c r="F821" t="s">
        <v>122</v>
      </c>
      <c r="G821" t="s">
        <v>69</v>
      </c>
      <c r="H821" t="s">
        <v>249</v>
      </c>
      <c r="I821" t="s">
        <v>250</v>
      </c>
      <c r="J821" t="s">
        <v>93</v>
      </c>
      <c r="K821" t="s">
        <v>3771</v>
      </c>
      <c r="L821" t="s">
        <v>3772</v>
      </c>
      <c r="M821" t="s">
        <v>74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207</v>
      </c>
      <c r="U821" t="s">
        <v>85</v>
      </c>
      <c r="V821">
        <f>O821*(1-P821)*N821</f>
        <v>33968.080000000002</v>
      </c>
      <c r="W821">
        <f t="shared" si="36"/>
        <v>7065.6400000000031</v>
      </c>
      <c r="X821">
        <f t="shared" si="37"/>
        <v>0.20800822419165288</v>
      </c>
      <c r="Y821" t="s">
        <v>4120</v>
      </c>
      <c r="Z821" s="2">
        <f>IFERROR(
  IF(ISNUMBER(B821),B821,
    IF(ISNUMBER(SEARCH("-",B821)*1),
      IF(LEN(LEFT(B821,FIND("-",B821)-1))=4,
        DATE(VALUE(LEFT(B821,4)),VALUE(MID(B821,6,2)),VALUE(RIGHT(B821,2))),
        DATE(VALUE(RIGHT(B821,4)),VALUE(MID(B821,4,2)),VALUE(LEFT(B821,2)))
      ),
      IF(ISNUMBER(SEARCH("/",B821)*1),
        DATE(VALUE(RIGHT(B821,4)),VALUE(LEFT(B821,2)),VALUE(MID(B821,4,2))),
        DATEVALUE(B821)
      )
    )
  ),
"INVALID_DATE")</f>
        <v>45504</v>
      </c>
      <c r="AA821" s="2">
        <f>IFERROR(
  IF(ISNUMBER(C821),C821,
    IF(ISNUMBER(SEARCH("-",C821)*1),
      IF(LEN(LEFT(C821,FIND("-",C821)-1))=4,
        DATE(VALUE(LEFT(C821,4)),VALUE(MID(C821,6,2)),VALUE(RIGHT(C821,2))),
        DATE(VALUE(RIGHT(C821,4)),VALUE(MID(C821,4,2)),VALUE(LEFT(C821,2)))
      ),
      IF(ISNUMBER(SEARCH("/",C821)*1),
        DATE(VALUE(RIGHT(C821,4)),VALUE(LEFT(C821,2)),VALUE(MID(C821,4,2))),
        DATEVALUE(C821)
      )
    )
  ),
"INVALID_DATE")</f>
        <v>45504</v>
      </c>
      <c r="AB821">
        <f>AA821-Z821</f>
        <v>0</v>
      </c>
      <c r="AC821" t="str">
        <f>TEXT(Z821,"mmmm")</f>
        <v>July</v>
      </c>
      <c r="AD821">
        <f>YEAR(Z821)</f>
        <v>2024</v>
      </c>
      <c r="AE821" t="str">
        <f t="shared" si="38"/>
        <v>OK</v>
      </c>
    </row>
    <row r="822" spans="1:31">
      <c r="A822" t="s">
        <v>3773</v>
      </c>
      <c r="B822" t="s">
        <v>3774</v>
      </c>
      <c r="C822" t="s">
        <v>3775</v>
      </c>
      <c r="D822" t="s">
        <v>3776</v>
      </c>
      <c r="E822" t="s">
        <v>79</v>
      </c>
      <c r="F822" t="s">
        <v>122</v>
      </c>
      <c r="G822" t="s">
        <v>34</v>
      </c>
      <c r="H822" t="s">
        <v>181</v>
      </c>
      <c r="I822" t="s">
        <v>182</v>
      </c>
      <c r="J822" t="s">
        <v>52</v>
      </c>
      <c r="K822" t="s">
        <v>211</v>
      </c>
      <c r="L822" t="s">
        <v>3777</v>
      </c>
      <c r="M822" t="s">
        <v>74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41</v>
      </c>
      <c r="U822" t="s">
        <v>42</v>
      </c>
      <c r="V822">
        <f>O822*(1-P822)*N822</f>
        <v>511.31200000000001</v>
      </c>
      <c r="W822">
        <f t="shared" si="36"/>
        <v>74.882000000000005</v>
      </c>
      <c r="X822">
        <f t="shared" si="37"/>
        <v>0.14644736070094463</v>
      </c>
      <c r="Y822" t="s">
        <v>4120</v>
      </c>
      <c r="Z822" s="2">
        <f>IFERROR(
  IF(ISNUMBER(B822),B822,
    IF(ISNUMBER(SEARCH("-",B822)*1),
      IF(LEN(LEFT(B822,FIND("-",B822)-1))=4,
        DATE(VALUE(LEFT(B822,4)),VALUE(MID(B822,6,2)),VALUE(RIGHT(B822,2))),
        DATE(VALUE(RIGHT(B822,4)),VALUE(MID(B822,4,2)),VALUE(LEFT(B822,2)))
      ),
      IF(ISNUMBER(SEARCH("/",B822)*1),
        DATE(VALUE(RIGHT(B822,4)),VALUE(LEFT(B822,2)),VALUE(MID(B822,4,2))),
        DATEVALUE(B822)
      )
    )
  ),
"INVALID_DATE")</f>
        <v>45694</v>
      </c>
      <c r="AA822" s="2">
        <f>IFERROR(
  IF(ISNUMBER(C822),C822,
    IF(ISNUMBER(SEARCH("-",C822)*1),
      IF(LEN(LEFT(C822,FIND("-",C822)-1))=4,
        DATE(VALUE(LEFT(C822,4)),VALUE(MID(C822,6,2)),VALUE(RIGHT(C822,2))),
        DATE(VALUE(RIGHT(C822,4)),VALUE(MID(C822,4,2)),VALUE(LEFT(C822,2)))
      ),
      IF(ISNUMBER(SEARCH("/",C822)*1),
        DATE(VALUE(RIGHT(C822,4)),VALUE(LEFT(C822,2)),VALUE(MID(C822,4,2))),
        DATEVALUE(C822)
      )
    )
  ),
"INVALID_DATE")</f>
        <v>45698</v>
      </c>
      <c r="AB822">
        <f>AA822-Z822</f>
        <v>4</v>
      </c>
      <c r="AC822" t="str">
        <f>TEXT(Z822,"mmmm")</f>
        <v>February</v>
      </c>
      <c r="AD822">
        <f>YEAR(Z822)</f>
        <v>2025</v>
      </c>
      <c r="AE822" t="str">
        <f t="shared" si="38"/>
        <v>OK</v>
      </c>
    </row>
    <row r="823" spans="1:31">
      <c r="A823" t="s">
        <v>3778</v>
      </c>
      <c r="B823" t="s">
        <v>3779</v>
      </c>
      <c r="C823" t="s">
        <v>3780</v>
      </c>
      <c r="D823" t="s">
        <v>3781</v>
      </c>
      <c r="E823" t="s">
        <v>169</v>
      </c>
      <c r="F823" t="s">
        <v>115</v>
      </c>
      <c r="G823" t="s">
        <v>69</v>
      </c>
      <c r="H823" t="s">
        <v>236</v>
      </c>
      <c r="I823" t="s">
        <v>237</v>
      </c>
      <c r="J823" t="s">
        <v>93</v>
      </c>
      <c r="K823" t="s">
        <v>94</v>
      </c>
      <c r="L823" t="s">
        <v>3782</v>
      </c>
      <c r="M823" t="s">
        <v>63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41</v>
      </c>
      <c r="U823" t="s">
        <v>42</v>
      </c>
      <c r="V823">
        <f>O823*(1-P823)*N823</f>
        <v>10877.944000000001</v>
      </c>
      <c r="W823">
        <f t="shared" si="36"/>
        <v>1767.8040000000019</v>
      </c>
      <c r="X823">
        <f t="shared" si="37"/>
        <v>0.16251238745571311</v>
      </c>
      <c r="Y823" t="str">
        <f>_xlfn.TEXTJOIN(", ",TRUE,IF(G823="Unknown","Missing Region",""),IF(M823="Unknown","Missing Ship Mode",""),IF(P823&lt;0,"Negative Discount",""),IF(P823&gt;0.7,"High Discount",""),IF(C823&lt;B823,"Ship Before Order",""))</f>
        <v>Ship Before Order</v>
      </c>
      <c r="Z823" s="2">
        <f>IFERROR(
  IF(ISNUMBER(B823),B823,
    IF(ISNUMBER(SEARCH("-",B823)*1),
      IF(LEN(LEFT(B823,FIND("-",B823)-1))=4,
        DATE(VALUE(LEFT(B823,4)),VALUE(MID(B823,6,2)),VALUE(RIGHT(B823,2))),
        DATE(VALUE(RIGHT(B823,4)),VALUE(MID(B823,4,2)),VALUE(LEFT(B823,2)))
      ),
      IF(ISNUMBER(SEARCH("/",B823)*1),
        DATE(VALUE(RIGHT(B823,4)),VALUE(LEFT(B823,2)),VALUE(MID(B823,4,2))),
        DATEVALUE(B823)
      )
    )
  ),
"INVALID_DATE")</f>
        <v>45476</v>
      </c>
      <c r="AA823" s="2">
        <f>IFERROR(
  IF(ISNUMBER(C823),C823,
    IF(ISNUMBER(SEARCH("-",C823)*1),
      IF(LEN(LEFT(C823,FIND("-",C823)-1))=4,
        DATE(VALUE(LEFT(C823,4)),VALUE(MID(C823,6,2)),VALUE(RIGHT(C823,2))),
        DATE(VALUE(RIGHT(C823,4)),VALUE(MID(C823,4,2)),VALUE(LEFT(C823,2)))
      ),
      IF(ISNUMBER(SEARCH("/",C823)*1),
        DATE(VALUE(RIGHT(C823,4)),VALUE(LEFT(C823,2)),VALUE(MID(C823,4,2))),
        DATEVALUE(C823)
      )
    )
  ),
"INVALID_DATE")</f>
        <v>45479</v>
      </c>
      <c r="AB823">
        <f>AA823-Z823</f>
        <v>3</v>
      </c>
      <c r="AC823" t="str">
        <f>TEXT(Z823,"mmmm")</f>
        <v>July</v>
      </c>
      <c r="AD823">
        <f>YEAR(Z823)</f>
        <v>2024</v>
      </c>
      <c r="AE823" t="str">
        <f t="shared" si="38"/>
        <v>OK</v>
      </c>
    </row>
    <row r="824" spans="1:31">
      <c r="A824" t="s">
        <v>3783</v>
      </c>
      <c r="B824" t="s">
        <v>3784</v>
      </c>
      <c r="C824" t="s">
        <v>3785</v>
      </c>
      <c r="D824" t="s">
        <v>3786</v>
      </c>
      <c r="E824" t="s">
        <v>47</v>
      </c>
      <c r="F824" t="s">
        <v>115</v>
      </c>
      <c r="G824" t="s">
        <v>49</v>
      </c>
      <c r="H824" t="s">
        <v>223</v>
      </c>
      <c r="I824" t="s">
        <v>224</v>
      </c>
      <c r="J824" t="s">
        <v>52</v>
      </c>
      <c r="K824" t="s">
        <v>72</v>
      </c>
      <c r="L824" t="s">
        <v>3787</v>
      </c>
      <c r="M824" t="s">
        <v>40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144</v>
      </c>
      <c r="U824" t="s">
        <v>132</v>
      </c>
      <c r="V824">
        <f>O824*(1-P824)*N824</f>
        <v>10246.528</v>
      </c>
      <c r="W824">
        <f t="shared" si="36"/>
        <v>1612.1080000000002</v>
      </c>
      <c r="X824">
        <f t="shared" si="37"/>
        <v>0.15733228712549516</v>
      </c>
      <c r="Y824" t="str">
        <f>_xlfn.TEXTJOIN(", ",TRUE,IF(G824="Unknown","Missing Region",""),IF(M824="Unknown","Missing Ship Mode",""),IF(P824&lt;0,"Negative Discount",""),IF(P824&gt;0.7,"High Discount",""),IF(C824&lt;B824,"Ship Before Order",""))</f>
        <v>Ship Before Order</v>
      </c>
      <c r="Z824" s="2">
        <f>IFERROR(
  IF(ISNUMBER(B824),B824,
    IF(ISNUMBER(SEARCH("-",B824)*1),
      IF(LEN(LEFT(B824,FIND("-",B824)-1))=4,
        DATE(VALUE(LEFT(B824,4)),VALUE(MID(B824,6,2)),VALUE(RIGHT(B824,2))),
        DATE(VALUE(RIGHT(B824,4)),VALUE(MID(B824,4,2)),VALUE(LEFT(B824,2)))
      ),
      IF(ISNUMBER(SEARCH("/",B824)*1),
        DATE(VALUE(RIGHT(B824,4)),VALUE(LEFT(B824,2)),VALUE(MID(B824,4,2))),
        DATEVALUE(B824)
      )
    )
  ),
"INVALID_DATE")</f>
        <v>45577</v>
      </c>
      <c r="AA824" s="2">
        <f>IFERROR(
  IF(ISNUMBER(C824),C824,
    IF(ISNUMBER(SEARCH("-",C824)*1),
      IF(LEN(LEFT(C824,FIND("-",C824)-1))=4,
        DATE(VALUE(LEFT(C824,4)),VALUE(MID(C824,6,2)),VALUE(RIGHT(C824,2))),
        DATE(VALUE(RIGHT(C824,4)),VALUE(MID(C824,4,2)),VALUE(LEFT(C824,2)))
      ),
      IF(ISNUMBER(SEARCH("/",C824)*1),
        DATE(VALUE(RIGHT(C824,4)),VALUE(LEFT(C824,2)),VALUE(MID(C824,4,2))),
        DATEVALUE(C824)
      )
    )
  ),
"INVALID_DATE")</f>
        <v>45573</v>
      </c>
      <c r="AB824">
        <f>AA824-Z824</f>
        <v>-4</v>
      </c>
      <c r="AC824" t="str">
        <f>TEXT(Z824,"mmmm")</f>
        <v>October</v>
      </c>
      <c r="AD824">
        <f>YEAR(Z824)</f>
        <v>2024</v>
      </c>
      <c r="AE824" t="str">
        <f t="shared" si="38"/>
        <v>Ship Before Order</v>
      </c>
    </row>
    <row r="825" spans="1:31">
      <c r="A825" t="s">
        <v>3788</v>
      </c>
      <c r="B825" t="s">
        <v>3789</v>
      </c>
      <c r="C825" t="s">
        <v>2186</v>
      </c>
      <c r="D825" t="s">
        <v>3790</v>
      </c>
      <c r="E825" t="s">
        <v>47</v>
      </c>
      <c r="F825" t="s">
        <v>122</v>
      </c>
      <c r="G825" t="s">
        <v>80</v>
      </c>
      <c r="H825" t="s">
        <v>256</v>
      </c>
      <c r="I825" t="s">
        <v>257</v>
      </c>
      <c r="J825" t="s">
        <v>37</v>
      </c>
      <c r="K825" t="s">
        <v>38</v>
      </c>
      <c r="L825" t="s">
        <v>3791</v>
      </c>
      <c r="M825" t="s">
        <v>55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41</v>
      </c>
      <c r="U825" t="s">
        <v>42</v>
      </c>
      <c r="V825">
        <f>O825*(1-P825)*N825</f>
        <v>1704.2415000000001</v>
      </c>
      <c r="W825">
        <f t="shared" si="36"/>
        <v>746.69150000000013</v>
      </c>
      <c r="X825">
        <f t="shared" si="37"/>
        <v>0.43813664742055114</v>
      </c>
      <c r="Y825" t="str">
        <f>_xlfn.TEXTJOIN(", ",TRUE,IF(G825="Unknown","Missing Region",""),IF(M825="Unknown","Missing Ship Mode",""),IF(P825&lt;0,"Negative Discount",""),IF(P825&gt;0.7,"High Discount",""),IF(C825&lt;B825,"Ship Before Order",""))</f>
        <v>Ship Before Order</v>
      </c>
      <c r="Z825" s="2">
        <f>IFERROR(
  IF(ISNUMBER(B825),B825,
    IF(ISNUMBER(SEARCH("-",B825)*1),
      IF(LEN(LEFT(B825,FIND("-",B825)-1))=4,
        DATE(VALUE(LEFT(B825,4)),VALUE(MID(B825,6,2)),VALUE(RIGHT(B825,2))),
        DATE(VALUE(RIGHT(B825,4)),VALUE(MID(B825,4,2)),VALUE(LEFT(B825,2)))
      ),
      IF(ISNUMBER(SEARCH("/",B825)*1),
        DATE(VALUE(RIGHT(B825,4)),VALUE(LEFT(B825,2)),VALUE(MID(B825,4,2))),
        DATEVALUE(B825)
      )
    )
  ),
"INVALID_DATE")</f>
        <v>45663</v>
      </c>
      <c r="AA825" s="2">
        <f>IFERROR(
  IF(ISNUMBER(C825),C825,
    IF(ISNUMBER(SEARCH("-",C825)*1),
      IF(LEN(LEFT(C825,FIND("-",C825)-1))=4,
        DATE(VALUE(LEFT(C825,4)),VALUE(MID(C825,6,2)),VALUE(RIGHT(C825,2))),
        DATE(VALUE(RIGHT(C825,4)),VALUE(MID(C825,4,2)),VALUE(LEFT(C825,2)))
      ),
      IF(ISNUMBER(SEARCH("/",C825)*1),
        DATE(VALUE(RIGHT(C825,4)),VALUE(LEFT(C825,2)),VALUE(MID(C825,4,2))),
        DATEVALUE(C825)
      )
    )
  ),
"INVALID_DATE")</f>
        <v>45669</v>
      </c>
      <c r="AB825">
        <f>AA825-Z825</f>
        <v>6</v>
      </c>
      <c r="AC825" t="str">
        <f>TEXT(Z825,"mmmm")</f>
        <v>January</v>
      </c>
      <c r="AD825">
        <f>YEAR(Z825)</f>
        <v>2025</v>
      </c>
      <c r="AE825" t="str">
        <f t="shared" si="38"/>
        <v>OK</v>
      </c>
    </row>
    <row r="826" spans="1:31">
      <c r="A826" t="s">
        <v>3792</v>
      </c>
      <c r="B826" t="s">
        <v>3793</v>
      </c>
      <c r="C826" t="s">
        <v>2123</v>
      </c>
      <c r="D826" t="s">
        <v>3794</v>
      </c>
      <c r="E826" t="s">
        <v>149</v>
      </c>
      <c r="F826" t="s">
        <v>33</v>
      </c>
      <c r="G826" t="s">
        <v>80</v>
      </c>
      <c r="H826" t="s">
        <v>256</v>
      </c>
      <c r="I826" t="s">
        <v>257</v>
      </c>
      <c r="J826" t="s">
        <v>37</v>
      </c>
      <c r="K826" t="s">
        <v>38</v>
      </c>
      <c r="L826" t="s">
        <v>3795</v>
      </c>
      <c r="M826" t="s">
        <v>63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41</v>
      </c>
      <c r="U826" t="s">
        <v>42</v>
      </c>
      <c r="V826">
        <f>O826*(1-P826)*N826</f>
        <v>33719.223999999995</v>
      </c>
      <c r="W826">
        <f t="shared" si="36"/>
        <v>4794.7939999999944</v>
      </c>
      <c r="X826">
        <f t="shared" si="37"/>
        <v>0.14219753600468812</v>
      </c>
      <c r="Y826" t="s">
        <v>4120</v>
      </c>
      <c r="Z826" s="2">
        <f>IFERROR(
  IF(ISNUMBER(B826),B826,
    IF(ISNUMBER(SEARCH("-",B826)*1),
      IF(LEN(LEFT(B826,FIND("-",B826)-1))=4,
        DATE(VALUE(LEFT(B826,4)),VALUE(MID(B826,6,2)),VALUE(RIGHT(B826,2))),
        DATE(VALUE(RIGHT(B826,4)),VALUE(MID(B826,4,2)),VALUE(LEFT(B826,2)))
      ),
      IF(ISNUMBER(SEARCH("/",B826)*1),
        DATE(VALUE(RIGHT(B826,4)),VALUE(LEFT(B826,2)),VALUE(MID(B826,4,2))),
        DATEVALUE(B826)
      )
    )
  ),
"INVALID_DATE")</f>
        <v>45737</v>
      </c>
      <c r="AA826" s="2">
        <f>IFERROR(
  IF(ISNUMBER(C826),C826,
    IF(ISNUMBER(SEARCH("-",C826)*1),
      IF(LEN(LEFT(C826,FIND("-",C826)-1))=4,
        DATE(VALUE(LEFT(C826,4)),VALUE(MID(C826,6,2)),VALUE(RIGHT(C826,2))),
        DATE(VALUE(RIGHT(C826,4)),VALUE(MID(C826,4,2)),VALUE(LEFT(C826,2)))
      ),
      IF(ISNUMBER(SEARCH("/",C826)*1),
        DATE(VALUE(RIGHT(C826,4)),VALUE(LEFT(C826,2)),VALUE(MID(C826,4,2))),
        DATEVALUE(C826)
      )
    )
  ),
"INVALID_DATE")</f>
        <v>45738</v>
      </c>
      <c r="AB826">
        <f>AA826-Z826</f>
        <v>1</v>
      </c>
      <c r="AC826" t="str">
        <f>TEXT(Z826,"mmmm")</f>
        <v>March</v>
      </c>
      <c r="AD826">
        <f>YEAR(Z826)</f>
        <v>2025</v>
      </c>
      <c r="AE826" t="str">
        <f t="shared" si="38"/>
        <v>OK</v>
      </c>
    </row>
    <row r="827" spans="1:31">
      <c r="A827" t="s">
        <v>3796</v>
      </c>
      <c r="B827" t="s">
        <v>3797</v>
      </c>
      <c r="C827" t="s">
        <v>3798</v>
      </c>
      <c r="D827" t="s">
        <v>3799</v>
      </c>
      <c r="E827" t="s">
        <v>90</v>
      </c>
      <c r="F827" t="s">
        <v>48</v>
      </c>
      <c r="G827" t="s">
        <v>34</v>
      </c>
      <c r="H827" t="s">
        <v>181</v>
      </c>
      <c r="I827" t="s">
        <v>182</v>
      </c>
      <c r="J827" t="s">
        <v>93</v>
      </c>
      <c r="K827" t="s">
        <v>390</v>
      </c>
      <c r="L827" t="s">
        <v>3800</v>
      </c>
      <c r="M827" t="s">
        <v>63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41</v>
      </c>
      <c r="U827" t="s">
        <v>42</v>
      </c>
      <c r="V827">
        <f>O827*(1-P827)*N827</f>
        <v>2720.17</v>
      </c>
      <c r="W827">
        <f t="shared" si="36"/>
        <v>885.94</v>
      </c>
      <c r="X827">
        <f t="shared" si="37"/>
        <v>0.3256928794891496</v>
      </c>
      <c r="Y827" t="s">
        <v>4120</v>
      </c>
      <c r="Z827" s="2">
        <f>IFERROR(
  IF(ISNUMBER(B827),B827,
    IF(ISNUMBER(SEARCH("-",B827)*1),
      IF(LEN(LEFT(B827,FIND("-",B827)-1))=4,
        DATE(VALUE(LEFT(B827,4)),VALUE(MID(B827,6,2)),VALUE(RIGHT(B827,2))),
        DATE(VALUE(RIGHT(B827,4)),VALUE(MID(B827,4,2)),VALUE(LEFT(B827,2)))
      ),
      IF(ISNUMBER(SEARCH("/",B827)*1),
        DATE(VALUE(RIGHT(B827,4)),VALUE(LEFT(B827,2)),VALUE(MID(B827,4,2))),
        DATEVALUE(B827)
      )
    )
  ),
"INVALID_DATE")</f>
        <v>45763</v>
      </c>
      <c r="AA827" s="2">
        <f>IFERROR(
  IF(ISNUMBER(C827),C827,
    IF(ISNUMBER(SEARCH("-",C827)*1),
      IF(LEN(LEFT(C827,FIND("-",C827)-1))=4,
        DATE(VALUE(LEFT(C827,4)),VALUE(MID(C827,6,2)),VALUE(RIGHT(C827,2))),
        DATE(VALUE(RIGHT(C827,4)),VALUE(MID(C827,4,2)),VALUE(LEFT(C827,2)))
      ),
      IF(ISNUMBER(SEARCH("/",C827)*1),
        DATE(VALUE(RIGHT(C827,4)),VALUE(LEFT(C827,2)),VALUE(MID(C827,4,2))),
        DATEVALUE(C827)
      )
    )
  ),
"INVALID_DATE")</f>
        <v>45764</v>
      </c>
      <c r="AB827">
        <f>AA827-Z827</f>
        <v>1</v>
      </c>
      <c r="AC827" t="str">
        <f>TEXT(Z827,"mmmm")</f>
        <v>April</v>
      </c>
      <c r="AD827">
        <f>YEAR(Z827)</f>
        <v>2025</v>
      </c>
      <c r="AE827" t="str">
        <f t="shared" si="38"/>
        <v>OK</v>
      </c>
    </row>
    <row r="828" spans="1:31">
      <c r="A828" t="s">
        <v>3801</v>
      </c>
      <c r="B828" t="s">
        <v>3111</v>
      </c>
      <c r="C828" t="s">
        <v>3802</v>
      </c>
      <c r="D828" t="s">
        <v>3803</v>
      </c>
      <c r="E828" t="s">
        <v>114</v>
      </c>
      <c r="F828" t="s">
        <v>33</v>
      </c>
      <c r="G828" t="s">
        <v>80</v>
      </c>
      <c r="H828" t="s">
        <v>35</v>
      </c>
      <c r="I828" t="s">
        <v>142</v>
      </c>
      <c r="J828" t="s">
        <v>93</v>
      </c>
      <c r="K828" t="s">
        <v>94</v>
      </c>
      <c r="L828" t="s">
        <v>3804</v>
      </c>
      <c r="M828" t="s">
        <v>74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41</v>
      </c>
      <c r="U828" t="s">
        <v>42</v>
      </c>
      <c r="V828">
        <f>O828*(1-P828)*N828</f>
        <v>8213.0249999999996</v>
      </c>
      <c r="W828">
        <f t="shared" si="36"/>
        <v>2643.7249999999995</v>
      </c>
      <c r="X828">
        <f t="shared" si="37"/>
        <v>0.32189377354493226</v>
      </c>
      <c r="Y828" t="str">
        <f>_xlfn.TEXTJOIN(", ",TRUE,IF(G828="Unknown","Missing Region",""),IF(M828="Unknown","Missing Ship Mode",""),IF(P828&lt;0,"Negative Discount",""),IF(P828&gt;0.7,"High Discount",""),IF(C828&lt;B828,"Ship Before Order",""))</f>
        <v>Ship Before Order</v>
      </c>
      <c r="Z828" s="2">
        <f>IFERROR(
  IF(ISNUMBER(B828),B828,
    IF(ISNUMBER(SEARCH("-",B828)*1),
      IF(LEN(LEFT(B828,FIND("-",B828)-1))=4,
        DATE(VALUE(LEFT(B828,4)),VALUE(MID(B828,6,2)),VALUE(RIGHT(B828,2))),
        DATE(VALUE(RIGHT(B828,4)),VALUE(MID(B828,4,2)),VALUE(LEFT(B828,2)))
      ),
      IF(ISNUMBER(SEARCH("/",B828)*1),
        DATE(VALUE(RIGHT(B828,4)),VALUE(LEFT(B828,2)),VALUE(MID(B828,4,2))),
        DATEVALUE(B828)
      )
    )
  ),
"INVALID_DATE")</f>
        <v>45879</v>
      </c>
      <c r="AA828" s="2">
        <f>IFERROR(
  IF(ISNUMBER(C828),C828,
    IF(ISNUMBER(SEARCH("-",C828)*1),
      IF(LEN(LEFT(C828,FIND("-",C828)-1))=4,
        DATE(VALUE(LEFT(C828,4)),VALUE(MID(C828,6,2)),VALUE(RIGHT(C828,2))),
        DATE(VALUE(RIGHT(C828,4)),VALUE(MID(C828,4,2)),VALUE(LEFT(C828,2)))
      ),
      IF(ISNUMBER(SEARCH("/",C828)*1),
        DATE(VALUE(RIGHT(C828,4)),VALUE(LEFT(C828,2)),VALUE(MID(C828,4,2))),
        DATEVALUE(C828)
      )
    )
  ),
"INVALID_DATE")</f>
        <v>45883</v>
      </c>
      <c r="AB828">
        <f>AA828-Z828</f>
        <v>4</v>
      </c>
      <c r="AC828" t="str">
        <f>TEXT(Z828,"mmmm")</f>
        <v>August</v>
      </c>
      <c r="AD828">
        <f>YEAR(Z828)</f>
        <v>2025</v>
      </c>
      <c r="AE828" t="str">
        <f t="shared" si="38"/>
        <v>OK</v>
      </c>
    </row>
    <row r="829" spans="1:31">
      <c r="A829" t="s">
        <v>3805</v>
      </c>
      <c r="B829" t="s">
        <v>3806</v>
      </c>
      <c r="C829" t="s">
        <v>1758</v>
      </c>
      <c r="D829" t="s">
        <v>3807</v>
      </c>
      <c r="E829" t="s">
        <v>149</v>
      </c>
      <c r="F829" t="s">
        <v>122</v>
      </c>
      <c r="G829" t="s">
        <v>69</v>
      </c>
      <c r="H829" t="s">
        <v>347</v>
      </c>
      <c r="I829" t="s">
        <v>348</v>
      </c>
      <c r="J829" t="s">
        <v>37</v>
      </c>
      <c r="K829" t="s">
        <v>38</v>
      </c>
      <c r="L829" t="s">
        <v>3808</v>
      </c>
      <c r="M829" t="s">
        <v>55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41</v>
      </c>
      <c r="U829" t="s">
        <v>85</v>
      </c>
      <c r="V829">
        <f>O829*(1-P829)*N829</f>
        <v>633.66750000000002</v>
      </c>
      <c r="W829">
        <f t="shared" si="36"/>
        <v>113.19749999999999</v>
      </c>
      <c r="X829">
        <f t="shared" si="37"/>
        <v>0.1786418798428204</v>
      </c>
      <c r="Y829" t="str">
        <f>_xlfn.TEXTJOIN(", ",TRUE,IF(G829="Unknown","Missing Region",""),IF(M829="Unknown","Missing Ship Mode",""),IF(P829&lt;0,"Negative Discount",""),IF(P829&gt;0.7,"High Discount",""),IF(C829&lt;B829,"Ship Before Order",""))</f>
        <v>Ship Before Order</v>
      </c>
      <c r="Z829" s="2">
        <f>IFERROR(
  IF(ISNUMBER(B829),B829,
    IF(ISNUMBER(SEARCH("-",B829)*1),
      IF(LEN(LEFT(B829,FIND("-",B829)-1))=4,
        DATE(VALUE(LEFT(B829,4)),VALUE(MID(B829,6,2)),VALUE(RIGHT(B829,2))),
        DATE(VALUE(RIGHT(B829,4)),VALUE(MID(B829,4,2)),VALUE(LEFT(B829,2)))
      ),
      IF(ISNUMBER(SEARCH("/",B829)*1),
        DATE(VALUE(RIGHT(B829,4)),VALUE(LEFT(B829,2)),VALUE(MID(B829,4,2))),
        DATEVALUE(B829)
      )
    )
  ),
"INVALID_DATE")</f>
        <v>45620</v>
      </c>
      <c r="AA829" s="2">
        <f>IFERROR(
  IF(ISNUMBER(C829),C829,
    IF(ISNUMBER(SEARCH("-",C829)*1),
      IF(LEN(LEFT(C829,FIND("-",C829)-1))=4,
        DATE(VALUE(LEFT(C829,4)),VALUE(MID(C829,6,2)),VALUE(RIGHT(C829,2))),
        DATE(VALUE(RIGHT(C829,4)),VALUE(MID(C829,4,2)),VALUE(LEFT(C829,2)))
      ),
      IF(ISNUMBER(SEARCH("/",C829)*1),
        DATE(VALUE(RIGHT(C829,4)),VALUE(LEFT(C829,2)),VALUE(MID(C829,4,2))),
        DATEVALUE(C829)
      )
    )
  ),
"INVALID_DATE")</f>
        <v>45627</v>
      </c>
      <c r="AB829">
        <f>AA829-Z829</f>
        <v>7</v>
      </c>
      <c r="AC829" t="str">
        <f>TEXT(Z829,"mmmm")</f>
        <v>November</v>
      </c>
      <c r="AD829">
        <f>YEAR(Z829)</f>
        <v>2024</v>
      </c>
      <c r="AE829" t="str">
        <f t="shared" si="38"/>
        <v>OK</v>
      </c>
    </row>
    <row r="830" spans="1:31">
      <c r="A830" t="s">
        <v>3809</v>
      </c>
      <c r="B830" t="s">
        <v>3810</v>
      </c>
      <c r="C830" t="s">
        <v>3811</v>
      </c>
      <c r="D830" t="s">
        <v>3812</v>
      </c>
      <c r="E830" t="s">
        <v>32</v>
      </c>
      <c r="F830" t="s">
        <v>115</v>
      </c>
      <c r="G830" t="s">
        <v>49</v>
      </c>
      <c r="H830" t="s">
        <v>50</v>
      </c>
      <c r="I830" t="s">
        <v>51</v>
      </c>
      <c r="J830" t="s">
        <v>52</v>
      </c>
      <c r="K830" t="s">
        <v>83</v>
      </c>
      <c r="L830" t="s">
        <v>3813</v>
      </c>
      <c r="M830" t="s">
        <v>40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207</v>
      </c>
      <c r="U830" t="s">
        <v>85</v>
      </c>
      <c r="V830">
        <f>O830*(1-P830)*N830</f>
        <v>25216.534</v>
      </c>
      <c r="W830">
        <f t="shared" si="36"/>
        <v>10999.593999999999</v>
      </c>
      <c r="X830">
        <f t="shared" si="37"/>
        <v>0.43620553660634515</v>
      </c>
      <c r="Y830" t="s">
        <v>4120</v>
      </c>
      <c r="Z830" s="2">
        <f>IFERROR(
  IF(ISNUMBER(B830),B830,
    IF(ISNUMBER(SEARCH("-",B830)*1),
      IF(LEN(LEFT(B830,FIND("-",B830)-1))=4,
        DATE(VALUE(LEFT(B830,4)),VALUE(MID(B830,6,2)),VALUE(RIGHT(B830,2))),
        DATE(VALUE(RIGHT(B830,4)),VALUE(MID(B830,4,2)),VALUE(LEFT(B830,2)))
      ),
      IF(ISNUMBER(SEARCH("/",B830)*1),
        DATE(VALUE(RIGHT(B830,4)),VALUE(LEFT(B830,2)),VALUE(MID(B830,4,2))),
        DATEVALUE(B830)
      )
    )
  ),
"INVALID_DATE")</f>
        <v>45940</v>
      </c>
      <c r="AA830" s="2">
        <f>IFERROR(
  IF(ISNUMBER(C830),C830,
    IF(ISNUMBER(SEARCH("-",C830)*1),
      IF(LEN(LEFT(C830,FIND("-",C830)-1))=4,
        DATE(VALUE(LEFT(C830,4)),VALUE(MID(C830,6,2)),VALUE(RIGHT(C830,2))),
        DATE(VALUE(RIGHT(C830,4)),VALUE(MID(C830,4,2)),VALUE(LEFT(C830,2)))
      ),
      IF(ISNUMBER(SEARCH("/",C830)*1),
        DATE(VALUE(RIGHT(C830,4)),VALUE(LEFT(C830,2)),VALUE(MID(C830,4,2))),
        DATEVALUE(C830)
      )
    )
  ),
"INVALID_DATE")</f>
        <v>45941</v>
      </c>
      <c r="AB830">
        <f>AA830-Z830</f>
        <v>1</v>
      </c>
      <c r="AC830" t="str">
        <f>TEXT(Z830,"mmmm")</f>
        <v>October</v>
      </c>
      <c r="AD830">
        <f>YEAR(Z830)</f>
        <v>2025</v>
      </c>
      <c r="AE830" t="str">
        <f t="shared" si="38"/>
        <v>OK</v>
      </c>
    </row>
    <row r="831" spans="1:31">
      <c r="A831" t="s">
        <v>3814</v>
      </c>
      <c r="B831" t="s">
        <v>3815</v>
      </c>
      <c r="C831" t="s">
        <v>1482</v>
      </c>
      <c r="D831" t="s">
        <v>3816</v>
      </c>
      <c r="E831" t="s">
        <v>114</v>
      </c>
      <c r="F831" t="s">
        <v>48</v>
      </c>
      <c r="G831" t="s">
        <v>80</v>
      </c>
      <c r="H831" t="s">
        <v>256</v>
      </c>
      <c r="I831" t="s">
        <v>257</v>
      </c>
      <c r="J831" t="s">
        <v>52</v>
      </c>
      <c r="K831" t="s">
        <v>72</v>
      </c>
      <c r="L831" t="s">
        <v>3817</v>
      </c>
      <c r="M831" t="s">
        <v>40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41</v>
      </c>
      <c r="U831" t="s">
        <v>42</v>
      </c>
      <c r="V831">
        <f>O831*(1-P831)*N831</f>
        <v>6521.3820000000005</v>
      </c>
      <c r="W831">
        <f t="shared" si="36"/>
        <v>2010.2820000000002</v>
      </c>
      <c r="X831">
        <f t="shared" si="37"/>
        <v>0.30825990817894372</v>
      </c>
      <c r="Y831" t="s">
        <v>4120</v>
      </c>
      <c r="Z831" s="2">
        <f>IFERROR(
  IF(ISNUMBER(B831),B831,
    IF(ISNUMBER(SEARCH("-",B831)*1),
      IF(LEN(LEFT(B831,FIND("-",B831)-1))=4,
        DATE(VALUE(LEFT(B831,4)),VALUE(MID(B831,6,2)),VALUE(RIGHT(B831,2))),
        DATE(VALUE(RIGHT(B831,4)),VALUE(MID(B831,4,2)),VALUE(LEFT(B831,2)))
      ),
      IF(ISNUMBER(SEARCH("/",B831)*1),
        DATE(VALUE(RIGHT(B831,4)),VALUE(LEFT(B831,2)),VALUE(MID(B831,4,2))),
        DATEVALUE(B831)
      )
    )
  ),
"INVALID_DATE")</f>
        <v>45348</v>
      </c>
      <c r="AA831" s="2">
        <f>IFERROR(
  IF(ISNUMBER(C831),C831,
    IF(ISNUMBER(SEARCH("-",C831)*1),
      IF(LEN(LEFT(C831,FIND("-",C831)-1))=4,
        DATE(VALUE(LEFT(C831,4)),VALUE(MID(C831,6,2)),VALUE(RIGHT(C831,2))),
        DATE(VALUE(RIGHT(C831,4)),VALUE(MID(C831,4,2)),VALUE(LEFT(C831,2)))
      ),
      IF(ISNUMBER(SEARCH("/",C831)*1),
        DATE(VALUE(RIGHT(C831,4)),VALUE(LEFT(C831,2)),VALUE(MID(C831,4,2))),
        DATEVALUE(C831)
      )
    )
  ),
"INVALID_DATE")</f>
        <v>45350</v>
      </c>
      <c r="AB831">
        <f>AA831-Z831</f>
        <v>2</v>
      </c>
      <c r="AC831" t="str">
        <f>TEXT(Z831,"mmmm")</f>
        <v>February</v>
      </c>
      <c r="AD831">
        <f>YEAR(Z831)</f>
        <v>2024</v>
      </c>
      <c r="AE831" t="str">
        <f t="shared" si="38"/>
        <v>OK</v>
      </c>
    </row>
    <row r="832" spans="1:31">
      <c r="A832" t="s">
        <v>3818</v>
      </c>
      <c r="B832" t="s">
        <v>2916</v>
      </c>
      <c r="C832" t="s">
        <v>728</v>
      </c>
      <c r="D832" t="s">
        <v>3819</v>
      </c>
      <c r="E832" t="s">
        <v>114</v>
      </c>
      <c r="F832" t="s">
        <v>48</v>
      </c>
      <c r="G832" t="s">
        <v>279</v>
      </c>
      <c r="H832" t="s">
        <v>347</v>
      </c>
      <c r="I832" t="s">
        <v>348</v>
      </c>
      <c r="J832" t="s">
        <v>93</v>
      </c>
      <c r="K832" t="s">
        <v>390</v>
      </c>
      <c r="L832" t="s">
        <v>3820</v>
      </c>
      <c r="M832" t="s">
        <v>63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41</v>
      </c>
      <c r="U832" t="s">
        <v>42</v>
      </c>
      <c r="V832">
        <f>O832*(1-P832)*N832</f>
        <v>12867.552</v>
      </c>
      <c r="W832">
        <f t="shared" si="36"/>
        <v>2798.6119999999992</v>
      </c>
      <c r="X832">
        <f t="shared" si="37"/>
        <v>0.2174936176661447</v>
      </c>
      <c r="Y832" t="str">
        <f>_xlfn.TEXTJOIN(", ",TRUE,IF(G832="Unknown","Missing Region",""),IF(M832="Unknown","Missing Ship Mode",""),IF(P832&lt;0,"Negative Discount",""),IF(P832&gt;0.7,"High Discount",""),IF(C832&lt;B832,"Ship Before Order",""))</f>
        <v>Missing Region</v>
      </c>
      <c r="Z832" s="2">
        <f>IFERROR(
  IF(ISNUMBER(B832),B832,
    IF(ISNUMBER(SEARCH("-",B832)*1),
      IF(LEN(LEFT(B832,FIND("-",B832)-1))=4,
        DATE(VALUE(LEFT(B832,4)),VALUE(MID(B832,6,2)),VALUE(RIGHT(B832,2))),
        DATE(VALUE(RIGHT(B832,4)),VALUE(MID(B832,4,2)),VALUE(LEFT(B832,2)))
      ),
      IF(ISNUMBER(SEARCH("/",B832)*1),
        DATE(VALUE(RIGHT(B832,4)),VALUE(LEFT(B832,2)),VALUE(MID(B832,4,2))),
        DATEVALUE(B832)
      )
    )
  ),
"INVALID_DATE")</f>
        <v>45853</v>
      </c>
      <c r="AA832" s="2">
        <f>IFERROR(
  IF(ISNUMBER(C832),C832,
    IF(ISNUMBER(SEARCH("-",C832)*1),
      IF(LEN(LEFT(C832,FIND("-",C832)-1))=4,
        DATE(VALUE(LEFT(C832,4)),VALUE(MID(C832,6,2)),VALUE(RIGHT(C832,2))),
        DATE(VALUE(RIGHT(C832,4)),VALUE(MID(C832,4,2)),VALUE(LEFT(C832,2)))
      ),
      IF(ISNUMBER(SEARCH("/",C832)*1),
        DATE(VALUE(RIGHT(C832,4)),VALUE(LEFT(C832,2)),VALUE(MID(C832,4,2))),
        DATEVALUE(C832)
      )
    )
  ),
"INVALID_DATE")</f>
        <v>45856</v>
      </c>
      <c r="AB832">
        <f>AA832-Z832</f>
        <v>3</v>
      </c>
      <c r="AC832" t="str">
        <f>TEXT(Z832,"mmmm")</f>
        <v>July</v>
      </c>
      <c r="AD832">
        <f>YEAR(Z832)</f>
        <v>2025</v>
      </c>
      <c r="AE832" t="str">
        <f t="shared" si="38"/>
        <v>OK</v>
      </c>
    </row>
    <row r="833" spans="1:31">
      <c r="A833" t="s">
        <v>3821</v>
      </c>
      <c r="B833" t="s">
        <v>477</v>
      </c>
      <c r="C833" t="s">
        <v>3263</v>
      </c>
      <c r="D833" t="s">
        <v>3822</v>
      </c>
      <c r="E833" t="s">
        <v>217</v>
      </c>
      <c r="F833" t="s">
        <v>122</v>
      </c>
      <c r="G833" t="s">
        <v>279</v>
      </c>
      <c r="H833" t="s">
        <v>331</v>
      </c>
      <c r="I833" t="s">
        <v>332</v>
      </c>
      <c r="J833" t="s">
        <v>52</v>
      </c>
      <c r="K833" t="s">
        <v>83</v>
      </c>
      <c r="L833" t="s">
        <v>3823</v>
      </c>
      <c r="M833" t="s">
        <v>63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207</v>
      </c>
      <c r="U833" t="s">
        <v>132</v>
      </c>
      <c r="V833">
        <f>O833*(1-P833)*N833</f>
        <v>26489.654999999995</v>
      </c>
      <c r="W833">
        <f t="shared" si="36"/>
        <v>10671.194999999996</v>
      </c>
      <c r="X833">
        <f t="shared" si="37"/>
        <v>0.40284375218245616</v>
      </c>
      <c r="Y833" t="str">
        <f>_xlfn.TEXTJOIN(", ",TRUE,IF(G833="Unknown","Missing Region",""),IF(M833="Unknown","Missing Ship Mode",""),IF(P833&lt;0,"Negative Discount",""),IF(P833&gt;0.7,"High Discount",""),IF(C833&lt;B833,"Ship Before Order",""))</f>
        <v>Missing Region, Ship Before Order</v>
      </c>
      <c r="Z833" s="2">
        <f>IFERROR(
  IF(ISNUMBER(B833),B833,
    IF(ISNUMBER(SEARCH("-",B833)*1),
      IF(LEN(LEFT(B833,FIND("-",B833)-1))=4,
        DATE(VALUE(LEFT(B833,4)),VALUE(MID(B833,6,2)),VALUE(RIGHT(B833,2))),
        DATE(VALUE(RIGHT(B833,4)),VALUE(MID(B833,4,2)),VALUE(LEFT(B833,2)))
      ),
      IF(ISNUMBER(SEARCH("/",B833)*1),
        DATE(VALUE(RIGHT(B833,4)),VALUE(LEFT(B833,2)),VALUE(MID(B833,4,2))),
        DATEVALUE(B833)
      )
    )
  ),
"INVALID_DATE")</f>
        <v>45750</v>
      </c>
      <c r="AA833" s="2">
        <f>IFERROR(
  IF(ISNUMBER(C833),C833,
    IF(ISNUMBER(SEARCH("-",C833)*1),
      IF(LEN(LEFT(C833,FIND("-",C833)-1))=4,
        DATE(VALUE(LEFT(C833,4)),VALUE(MID(C833,6,2)),VALUE(RIGHT(C833,2))),
        DATE(VALUE(RIGHT(C833,4)),VALUE(MID(C833,4,2)),VALUE(LEFT(C833,2)))
      ),
      IF(ISNUMBER(SEARCH("/",C833)*1),
        DATE(VALUE(RIGHT(C833,4)),VALUE(LEFT(C833,2)),VALUE(MID(C833,4,2))),
        DATEVALUE(C833)
      )
    )
  ),
"INVALID_DATE")</f>
        <v>45750</v>
      </c>
      <c r="AB833">
        <f>AA833-Z833</f>
        <v>0</v>
      </c>
      <c r="AC833" t="str">
        <f>TEXT(Z833,"mmmm")</f>
        <v>April</v>
      </c>
      <c r="AD833">
        <f>YEAR(Z833)</f>
        <v>2025</v>
      </c>
      <c r="AE833" t="str">
        <f t="shared" si="38"/>
        <v>OK</v>
      </c>
    </row>
    <row r="834" spans="1:31">
      <c r="A834" t="s">
        <v>3824</v>
      </c>
      <c r="B834" t="s">
        <v>3825</v>
      </c>
      <c r="C834" t="s">
        <v>3826</v>
      </c>
      <c r="D834" t="s">
        <v>3827</v>
      </c>
      <c r="E834" t="s">
        <v>374</v>
      </c>
      <c r="F834" t="s">
        <v>48</v>
      </c>
      <c r="G834" t="s">
        <v>69</v>
      </c>
      <c r="H834" t="s">
        <v>107</v>
      </c>
      <c r="I834" t="s">
        <v>108</v>
      </c>
      <c r="J834" t="s">
        <v>93</v>
      </c>
      <c r="K834" t="s">
        <v>230</v>
      </c>
      <c r="L834" t="s">
        <v>3828</v>
      </c>
      <c r="M834" t="s">
        <v>40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41</v>
      </c>
      <c r="U834" t="s">
        <v>42</v>
      </c>
      <c r="V834">
        <f>O834*(1-P834)*N834</f>
        <v>36782.271000000001</v>
      </c>
      <c r="W834">
        <f t="shared" si="36"/>
        <v>10879.460999999999</v>
      </c>
      <c r="X834">
        <f t="shared" si="37"/>
        <v>0.2957800048773499</v>
      </c>
      <c r="Y834" t="s">
        <v>4120</v>
      </c>
      <c r="Z834" s="2">
        <f>IFERROR(
  IF(ISNUMBER(B834),B834,
    IF(ISNUMBER(SEARCH("-",B834)*1),
      IF(LEN(LEFT(B834,FIND("-",B834)-1))=4,
        DATE(VALUE(LEFT(B834,4)),VALUE(MID(B834,6,2)),VALUE(RIGHT(B834,2))),
        DATE(VALUE(RIGHT(B834,4)),VALUE(MID(B834,4,2)),VALUE(LEFT(B834,2)))
      ),
      IF(ISNUMBER(SEARCH("/",B834)*1),
        DATE(VALUE(RIGHT(B834,4)),VALUE(LEFT(B834,2)),VALUE(MID(B834,4,2))),
        DATEVALUE(B834)
      )
    )
  ),
"INVALID_DATE")</f>
        <v>45803</v>
      </c>
      <c r="AA834" s="2">
        <f>IFERROR(
  IF(ISNUMBER(C834),C834,
    IF(ISNUMBER(SEARCH("-",C834)*1),
      IF(LEN(LEFT(C834,FIND("-",C834)-1))=4,
        DATE(VALUE(LEFT(C834,4)),VALUE(MID(C834,6,2)),VALUE(RIGHT(C834,2))),
        DATE(VALUE(RIGHT(C834,4)),VALUE(MID(C834,4,2)),VALUE(LEFT(C834,2)))
      ),
      IF(ISNUMBER(SEARCH("/",C834)*1),
        DATE(VALUE(RIGHT(C834,4)),VALUE(LEFT(C834,2)),VALUE(MID(C834,4,2))),
        DATEVALUE(C834)
      )
    )
  ),
"INVALID_DATE")</f>
        <v>45805</v>
      </c>
      <c r="AB834">
        <f>AA834-Z834</f>
        <v>2</v>
      </c>
      <c r="AC834" t="str">
        <f>TEXT(Z834,"mmmm")</f>
        <v>May</v>
      </c>
      <c r="AD834">
        <f>YEAR(Z834)</f>
        <v>2025</v>
      </c>
      <c r="AE834" t="str">
        <f t="shared" si="38"/>
        <v>OK</v>
      </c>
    </row>
    <row r="835" spans="1:31">
      <c r="A835" t="s">
        <v>3829</v>
      </c>
      <c r="B835" t="s">
        <v>3830</v>
      </c>
      <c r="C835" t="s">
        <v>3831</v>
      </c>
      <c r="D835" t="s">
        <v>3832</v>
      </c>
      <c r="E835" t="s">
        <v>155</v>
      </c>
      <c r="F835" t="s">
        <v>122</v>
      </c>
      <c r="G835" t="s">
        <v>49</v>
      </c>
      <c r="H835" t="s">
        <v>128</v>
      </c>
      <c r="I835" t="s">
        <v>129</v>
      </c>
      <c r="J835" t="s">
        <v>52</v>
      </c>
      <c r="K835" t="s">
        <v>211</v>
      </c>
      <c r="L835" t="s">
        <v>3833</v>
      </c>
      <c r="M835" t="s">
        <v>63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41</v>
      </c>
      <c r="U835" t="s">
        <v>42</v>
      </c>
      <c r="V835">
        <f>O835*(1-P835)*N835</f>
        <v>23696.400000000001</v>
      </c>
      <c r="W835">
        <f t="shared" ref="W835:W898" si="39">V835-R835</f>
        <v>5586.630000000001</v>
      </c>
      <c r="X835">
        <f t="shared" ref="X835:X898" si="40">S835/Q835</f>
        <v>0.2357585962424672</v>
      </c>
      <c r="Y835" t="str">
        <f>_xlfn.TEXTJOIN(", ",TRUE,IF(G835="Unknown","Missing Region",""),IF(M835="Unknown","Missing Ship Mode",""),IF(P835&lt;0,"Negative Discount",""),IF(P835&gt;0.7,"High Discount",""),IF(C835&lt;B835,"Ship Before Order",""))</f>
        <v>Ship Before Order</v>
      </c>
      <c r="Z835" s="2">
        <f>IFERROR(
  IF(ISNUMBER(B835),B835,
    IF(ISNUMBER(SEARCH("-",B835)*1),
      IF(LEN(LEFT(B835,FIND("-",B835)-1))=4,
        DATE(VALUE(LEFT(B835,4)),VALUE(MID(B835,6,2)),VALUE(RIGHT(B835,2))),
        DATE(VALUE(RIGHT(B835,4)),VALUE(MID(B835,4,2)),VALUE(LEFT(B835,2)))
      ),
      IF(ISNUMBER(SEARCH("/",B835)*1),
        DATE(VALUE(RIGHT(B835,4)),VALUE(LEFT(B835,2)),VALUE(MID(B835,4,2))),
        DATEVALUE(B835)
      )
    )
  ),
"INVALID_DATE")</f>
        <v>45447</v>
      </c>
      <c r="AA835" s="2">
        <f>IFERROR(
  IF(ISNUMBER(C835),C835,
    IF(ISNUMBER(SEARCH("-",C835)*1),
      IF(LEN(LEFT(C835,FIND("-",C835)-1))=4,
        DATE(VALUE(LEFT(C835,4)),VALUE(MID(C835,6,2)),VALUE(RIGHT(C835,2))),
        DATE(VALUE(RIGHT(C835,4)),VALUE(MID(C835,4,2)),VALUE(LEFT(C835,2)))
      ),
      IF(ISNUMBER(SEARCH("/",C835)*1),
        DATE(VALUE(RIGHT(C835,4)),VALUE(LEFT(C835,2)),VALUE(MID(C835,4,2))),
        DATEVALUE(C835)
      )
    )
  ),
"INVALID_DATE")</f>
        <v>45447</v>
      </c>
      <c r="AB835">
        <f>AA835-Z835</f>
        <v>0</v>
      </c>
      <c r="AC835" t="str">
        <f>TEXT(Z835,"mmmm")</f>
        <v>June</v>
      </c>
      <c r="AD835">
        <f>YEAR(Z835)</f>
        <v>2024</v>
      </c>
      <c r="AE835" t="str">
        <f t="shared" ref="AE835:AE898" si="41">IF(OR(Z835="INVALID_DATE",AA835="INVALID_DATE"),"Invalid Date",IF(AA835&lt;Z835,"Ship Before Order","OK"))</f>
        <v>OK</v>
      </c>
    </row>
    <row r="836" spans="1:31">
      <c r="A836" t="s">
        <v>3834</v>
      </c>
      <c r="B836" t="s">
        <v>240</v>
      </c>
      <c r="C836" t="s">
        <v>3835</v>
      </c>
      <c r="D836" t="s">
        <v>3836</v>
      </c>
      <c r="E836" t="s">
        <v>169</v>
      </c>
      <c r="F836" t="s">
        <v>122</v>
      </c>
      <c r="G836" t="s">
        <v>69</v>
      </c>
      <c r="H836" t="s">
        <v>70</v>
      </c>
      <c r="I836" t="s">
        <v>71</v>
      </c>
      <c r="J836" t="s">
        <v>37</v>
      </c>
      <c r="K836" t="s">
        <v>61</v>
      </c>
      <c r="L836" t="s">
        <v>3837</v>
      </c>
      <c r="M836" t="s">
        <v>63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41</v>
      </c>
      <c r="U836" t="s">
        <v>42</v>
      </c>
      <c r="V836">
        <f>O836*(1-P836)*N836</f>
        <v>4047.66</v>
      </c>
      <c r="W836">
        <f t="shared" si="39"/>
        <v>968.73</v>
      </c>
      <c r="X836">
        <f t="shared" si="40"/>
        <v>0.31618021276490615</v>
      </c>
      <c r="Y836" t="s">
        <v>4120</v>
      </c>
      <c r="Z836" s="2">
        <f>IFERROR(
  IF(ISNUMBER(B836),B836,
    IF(ISNUMBER(SEARCH("-",B836)*1),
      IF(LEN(LEFT(B836,FIND("-",B836)-1))=4,
        DATE(VALUE(LEFT(B836,4)),VALUE(MID(B836,6,2)),VALUE(RIGHT(B836,2))),
        DATE(VALUE(RIGHT(B836,4)),VALUE(MID(B836,4,2)),VALUE(LEFT(B836,2)))
      ),
      IF(ISNUMBER(SEARCH("/",B836)*1),
        DATE(VALUE(RIGHT(B836,4)),VALUE(LEFT(B836,2)),VALUE(MID(B836,4,2))),
        DATEVALUE(B836)
      )
    )
  ),
"INVALID_DATE")</f>
        <v>45583</v>
      </c>
      <c r="AA836" s="2">
        <f>IFERROR(
  IF(ISNUMBER(C836),C836,
    IF(ISNUMBER(SEARCH("-",C836)*1),
      IF(LEN(LEFT(C836,FIND("-",C836)-1))=4,
        DATE(VALUE(LEFT(C836,4)),VALUE(MID(C836,6,2)),VALUE(RIGHT(C836,2))),
        DATE(VALUE(RIGHT(C836,4)),VALUE(MID(C836,4,2)),VALUE(LEFT(C836,2)))
      ),
      IF(ISNUMBER(SEARCH("/",C836)*1),
        DATE(VALUE(RIGHT(C836,4)),VALUE(LEFT(C836,2)),VALUE(MID(C836,4,2))),
        DATEVALUE(C836)
      )
    )
  ),
"INVALID_DATE")</f>
        <v>45587</v>
      </c>
      <c r="AB836">
        <f>AA836-Z836</f>
        <v>4</v>
      </c>
      <c r="AC836" t="str">
        <f>TEXT(Z836,"mmmm")</f>
        <v>October</v>
      </c>
      <c r="AD836">
        <f>YEAR(Z836)</f>
        <v>2024</v>
      </c>
      <c r="AE836" t="str">
        <f t="shared" si="41"/>
        <v>OK</v>
      </c>
    </row>
    <row r="837" spans="1:31">
      <c r="A837" t="s">
        <v>3838</v>
      </c>
      <c r="B837" t="s">
        <v>2758</v>
      </c>
      <c r="C837" t="s">
        <v>963</v>
      </c>
      <c r="D837" t="s">
        <v>3839</v>
      </c>
      <c r="E837" t="s">
        <v>149</v>
      </c>
      <c r="F837" t="s">
        <v>48</v>
      </c>
      <c r="G837" t="s">
        <v>49</v>
      </c>
      <c r="H837" t="s">
        <v>223</v>
      </c>
      <c r="I837" t="s">
        <v>224</v>
      </c>
      <c r="J837" t="s">
        <v>93</v>
      </c>
      <c r="K837" t="s">
        <v>230</v>
      </c>
      <c r="L837" t="s">
        <v>3840</v>
      </c>
      <c r="M837" t="s">
        <v>40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41</v>
      </c>
      <c r="U837" t="s">
        <v>42</v>
      </c>
      <c r="V837">
        <f>O837*(1-P837)*N837</f>
        <v>10038.773499999999</v>
      </c>
      <c r="W837">
        <f t="shared" si="39"/>
        <v>4365.673499999999</v>
      </c>
      <c r="X837">
        <f t="shared" si="40"/>
        <v>0.43488096649290697</v>
      </c>
      <c r="Y837" t="str">
        <f>_xlfn.TEXTJOIN(", ",TRUE,IF(G837="Unknown","Missing Region",""),IF(M837="Unknown","Missing Ship Mode",""),IF(P837&lt;0,"Negative Discount",""),IF(P837&gt;0.7,"High Discount",""),IF(C837&lt;B837,"Ship Before Order",""))</f>
        <v>Ship Before Order</v>
      </c>
      <c r="Z837" s="2">
        <f>IFERROR(
  IF(ISNUMBER(B837),B837,
    IF(ISNUMBER(SEARCH("-",B837)*1),
      IF(LEN(LEFT(B837,FIND("-",B837)-1))=4,
        DATE(VALUE(LEFT(B837,4)),VALUE(MID(B837,6,2)),VALUE(RIGHT(B837,2))),
        DATE(VALUE(RIGHT(B837,4)),VALUE(MID(B837,4,2)),VALUE(LEFT(B837,2)))
      ),
      IF(ISNUMBER(SEARCH("/",B837)*1),
        DATE(VALUE(RIGHT(B837,4)),VALUE(LEFT(B837,2)),VALUE(MID(B837,4,2))),
        DATEVALUE(B837)
      )
    )
  ),
"INVALID_DATE")</f>
        <v>45926</v>
      </c>
      <c r="AA837" s="2">
        <f>IFERROR(
  IF(ISNUMBER(C837),C837,
    IF(ISNUMBER(SEARCH("-",C837)*1),
      IF(LEN(LEFT(C837,FIND("-",C837)-1))=4,
        DATE(VALUE(LEFT(C837,4)),VALUE(MID(C837,6,2)),VALUE(RIGHT(C837,2))),
        DATE(VALUE(RIGHT(C837,4)),VALUE(MID(C837,4,2)),VALUE(LEFT(C837,2)))
      ),
      IF(ISNUMBER(SEARCH("/",C837)*1),
        DATE(VALUE(RIGHT(C837,4)),VALUE(LEFT(C837,2)),VALUE(MID(C837,4,2))),
        DATEVALUE(C837)
      )
    )
  ),
"INVALID_DATE")</f>
        <v>45934</v>
      </c>
      <c r="AB837">
        <f>AA837-Z837</f>
        <v>8</v>
      </c>
      <c r="AC837" t="str">
        <f>TEXT(Z837,"mmmm")</f>
        <v>September</v>
      </c>
      <c r="AD837">
        <f>YEAR(Z837)</f>
        <v>2025</v>
      </c>
      <c r="AE837" t="str">
        <f t="shared" si="41"/>
        <v>OK</v>
      </c>
    </row>
    <row r="838" spans="1:31">
      <c r="A838" t="s">
        <v>3841</v>
      </c>
      <c r="B838" t="s">
        <v>2470</v>
      </c>
      <c r="C838" t="s">
        <v>3842</v>
      </c>
      <c r="D838" t="s">
        <v>3843</v>
      </c>
      <c r="E838" t="s">
        <v>60</v>
      </c>
      <c r="F838" t="s">
        <v>48</v>
      </c>
      <c r="G838" t="s">
        <v>34</v>
      </c>
      <c r="H838" t="s">
        <v>35</v>
      </c>
      <c r="I838" t="s">
        <v>36</v>
      </c>
      <c r="J838" t="s">
        <v>37</v>
      </c>
      <c r="K838" t="s">
        <v>116</v>
      </c>
      <c r="L838" t="s">
        <v>3844</v>
      </c>
      <c r="M838" t="s">
        <v>40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41</v>
      </c>
      <c r="U838" t="s">
        <v>42</v>
      </c>
      <c r="V838">
        <f>O838*(1-P838)*N838</f>
        <v>1074.22</v>
      </c>
      <c r="W838">
        <f t="shared" si="39"/>
        <v>223.36</v>
      </c>
      <c r="X838">
        <f t="shared" si="40"/>
        <v>0.20792761259332354</v>
      </c>
      <c r="Y838" t="s">
        <v>4120</v>
      </c>
      <c r="Z838" s="2">
        <f>IFERROR(
  IF(ISNUMBER(B838),B838,
    IF(ISNUMBER(SEARCH("-",B838)*1),
      IF(LEN(LEFT(B838,FIND("-",B838)-1))=4,
        DATE(VALUE(LEFT(B838,4)),VALUE(MID(B838,6,2)),VALUE(RIGHT(B838,2))),
        DATE(VALUE(RIGHT(B838,4)),VALUE(MID(B838,4,2)),VALUE(LEFT(B838,2)))
      ),
      IF(ISNUMBER(SEARCH("/",B838)*1),
        DATE(VALUE(RIGHT(B838,4)),VALUE(LEFT(B838,2)),VALUE(MID(B838,4,2))),
        DATEVALUE(B838)
      )
    )
  ),
"INVALID_DATE")</f>
        <v>45641</v>
      </c>
      <c r="AA838" s="2">
        <f>IFERROR(
  IF(ISNUMBER(C838),C838,
    IF(ISNUMBER(SEARCH("-",C838)*1),
      IF(LEN(LEFT(C838,FIND("-",C838)-1))=4,
        DATE(VALUE(LEFT(C838,4)),VALUE(MID(C838,6,2)),VALUE(RIGHT(C838,2))),
        DATE(VALUE(RIGHT(C838,4)),VALUE(MID(C838,4,2)),VALUE(LEFT(C838,2)))
      ),
      IF(ISNUMBER(SEARCH("/",C838)*1),
        DATE(VALUE(RIGHT(C838,4)),VALUE(LEFT(C838,2)),VALUE(MID(C838,4,2))),
        DATEVALUE(C838)
      )
    )
  ),
"INVALID_DATE")</f>
        <v>45644</v>
      </c>
      <c r="AB838">
        <f>AA838-Z838</f>
        <v>3</v>
      </c>
      <c r="AC838" t="str">
        <f>TEXT(Z838,"mmmm")</f>
        <v>December</v>
      </c>
      <c r="AD838">
        <f>YEAR(Z838)</f>
        <v>2024</v>
      </c>
      <c r="AE838" t="str">
        <f t="shared" si="41"/>
        <v>OK</v>
      </c>
    </row>
    <row r="839" spans="1:31">
      <c r="A839" t="s">
        <v>3845</v>
      </c>
      <c r="B839" t="s">
        <v>506</v>
      </c>
      <c r="C839" t="s">
        <v>3846</v>
      </c>
      <c r="D839" t="s">
        <v>3847</v>
      </c>
      <c r="E839" t="s">
        <v>32</v>
      </c>
      <c r="F839" t="s">
        <v>122</v>
      </c>
      <c r="G839" t="s">
        <v>80</v>
      </c>
      <c r="H839" t="s">
        <v>81</v>
      </c>
      <c r="I839" t="s">
        <v>82</v>
      </c>
      <c r="J839" t="s">
        <v>37</v>
      </c>
      <c r="K839" t="s">
        <v>38</v>
      </c>
      <c r="L839" t="s">
        <v>3848</v>
      </c>
      <c r="M839" t="s">
        <v>63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41</v>
      </c>
      <c r="U839" t="s">
        <v>42</v>
      </c>
      <c r="V839">
        <f>O839*(1-P839)*N839</f>
        <v>9399.6674999999996</v>
      </c>
      <c r="W839">
        <f t="shared" si="39"/>
        <v>2859.2974999999997</v>
      </c>
      <c r="X839">
        <f t="shared" si="40"/>
        <v>0.30419153012818539</v>
      </c>
      <c r="Y839" t="str">
        <f>_xlfn.TEXTJOIN(", ",TRUE,IF(G839="Unknown","Missing Region",""),IF(M839="Unknown","Missing Ship Mode",""),IF(P839&lt;0,"Negative Discount",""),IF(P839&gt;0.7,"High Discount",""),IF(C839&lt;B839,"Ship Before Order",""))</f>
        <v>Ship Before Order</v>
      </c>
      <c r="Z839" s="2">
        <f>IFERROR(
  IF(ISNUMBER(B839),B839,
    IF(ISNUMBER(SEARCH("-",B839)*1),
      IF(LEN(LEFT(B839,FIND("-",B839)-1))=4,
        DATE(VALUE(LEFT(B839,4)),VALUE(MID(B839,6,2)),VALUE(RIGHT(B839,2))),
        DATE(VALUE(RIGHT(B839,4)),VALUE(MID(B839,4,2)),VALUE(LEFT(B839,2)))
      ),
      IF(ISNUMBER(SEARCH("/",B839)*1),
        DATE(VALUE(RIGHT(B839,4)),VALUE(LEFT(B839,2)),VALUE(MID(B839,4,2))),
        DATEVALUE(B839)
      )
    )
  ),
"INVALID_DATE")</f>
        <v>45927</v>
      </c>
      <c r="AA839" s="2">
        <f>IFERROR(
  IF(ISNUMBER(C839),C839,
    IF(ISNUMBER(SEARCH("-",C839)*1),
      IF(LEN(LEFT(C839,FIND("-",C839)-1))=4,
        DATE(VALUE(LEFT(C839,4)),VALUE(MID(C839,6,2)),VALUE(RIGHT(C839,2))),
        DATE(VALUE(RIGHT(C839,4)),VALUE(MID(C839,4,2)),VALUE(LEFT(C839,2)))
      ),
      IF(ISNUMBER(SEARCH("/",C839)*1),
        DATE(VALUE(RIGHT(C839,4)),VALUE(LEFT(C839,2)),VALUE(MID(C839,4,2))),
        DATEVALUE(C839)
      )
    )
  ),
"INVALID_DATE")</f>
        <v>45928</v>
      </c>
      <c r="AB839">
        <f>AA839-Z839</f>
        <v>1</v>
      </c>
      <c r="AC839" t="str">
        <f>TEXT(Z839,"mmmm")</f>
        <v>September</v>
      </c>
      <c r="AD839">
        <f>YEAR(Z839)</f>
        <v>2025</v>
      </c>
      <c r="AE839" t="str">
        <f t="shared" si="41"/>
        <v>OK</v>
      </c>
    </row>
    <row r="840" spans="1:31">
      <c r="A840" t="s">
        <v>3849</v>
      </c>
      <c r="B840" t="s">
        <v>477</v>
      </c>
      <c r="C840" t="s">
        <v>3850</v>
      </c>
      <c r="D840" t="s">
        <v>3851</v>
      </c>
      <c r="E840" t="s">
        <v>79</v>
      </c>
      <c r="F840" t="s">
        <v>48</v>
      </c>
      <c r="G840" t="s">
        <v>80</v>
      </c>
      <c r="H840" t="s">
        <v>256</v>
      </c>
      <c r="I840" t="s">
        <v>257</v>
      </c>
      <c r="J840" t="s">
        <v>37</v>
      </c>
      <c r="K840" t="s">
        <v>38</v>
      </c>
      <c r="L840" t="s">
        <v>3852</v>
      </c>
      <c r="M840" t="s">
        <v>55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41</v>
      </c>
      <c r="U840" t="s">
        <v>132</v>
      </c>
      <c r="V840">
        <f>O840*(1-P840)*N840</f>
        <v>1470.57</v>
      </c>
      <c r="W840">
        <f t="shared" si="39"/>
        <v>636.54999999999995</v>
      </c>
      <c r="X840">
        <f t="shared" si="40"/>
        <v>0.43285936745615644</v>
      </c>
      <c r="Y840" t="s">
        <v>4120</v>
      </c>
      <c r="Z840" s="2">
        <f>IFERROR(
  IF(ISNUMBER(B840),B840,
    IF(ISNUMBER(SEARCH("-",B840)*1),
      IF(LEN(LEFT(B840,FIND("-",B840)-1))=4,
        DATE(VALUE(LEFT(B840,4)),VALUE(MID(B840,6,2)),VALUE(RIGHT(B840,2))),
        DATE(VALUE(RIGHT(B840,4)),VALUE(MID(B840,4,2)),VALUE(LEFT(B840,2)))
      ),
      IF(ISNUMBER(SEARCH("/",B840)*1),
        DATE(VALUE(RIGHT(B840,4)),VALUE(LEFT(B840,2)),VALUE(MID(B840,4,2))),
        DATEVALUE(B840)
      )
    )
  ),
"INVALID_DATE")</f>
        <v>45750</v>
      </c>
      <c r="AA840" s="2">
        <f>IFERROR(
  IF(ISNUMBER(C840),C840,
    IF(ISNUMBER(SEARCH("-",C840)*1),
      IF(LEN(LEFT(C840,FIND("-",C840)-1))=4,
        DATE(VALUE(LEFT(C840,4)),VALUE(MID(C840,6,2)),VALUE(RIGHT(C840,2))),
        DATE(VALUE(RIGHT(C840,4)),VALUE(MID(C840,4,2)),VALUE(LEFT(C840,2)))
      ),
      IF(ISNUMBER(SEARCH("/",C840)*1),
        DATE(VALUE(RIGHT(C840,4)),VALUE(LEFT(C840,2)),VALUE(MID(C840,4,2))),
        DATEVALUE(C840)
      )
    )
  ),
"INVALID_DATE")</f>
        <v>45754</v>
      </c>
      <c r="AB840">
        <f>AA840-Z840</f>
        <v>4</v>
      </c>
      <c r="AC840" t="str">
        <f>TEXT(Z840,"mmmm")</f>
        <v>April</v>
      </c>
      <c r="AD840">
        <f>YEAR(Z840)</f>
        <v>2025</v>
      </c>
      <c r="AE840" t="str">
        <f t="shared" si="41"/>
        <v>OK</v>
      </c>
    </row>
    <row r="841" spans="1:31">
      <c r="A841" t="s">
        <v>3853</v>
      </c>
      <c r="B841" t="s">
        <v>3854</v>
      </c>
      <c r="C841" t="s">
        <v>3855</v>
      </c>
      <c r="D841" t="s">
        <v>3856</v>
      </c>
      <c r="E841" t="s">
        <v>187</v>
      </c>
      <c r="F841" t="s">
        <v>122</v>
      </c>
      <c r="G841" t="s">
        <v>49</v>
      </c>
      <c r="H841" t="s">
        <v>50</v>
      </c>
      <c r="I841" t="s">
        <v>51</v>
      </c>
      <c r="J841" t="s">
        <v>93</v>
      </c>
      <c r="K841" t="s">
        <v>230</v>
      </c>
      <c r="L841" t="s">
        <v>3857</v>
      </c>
      <c r="M841" t="s">
        <v>74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41</v>
      </c>
      <c r="U841" t="s">
        <v>42</v>
      </c>
      <c r="V841">
        <f>O841*(1-P841)*N841</f>
        <v>3826.2959999999998</v>
      </c>
      <c r="W841">
        <f t="shared" si="39"/>
        <v>1632.1759999999999</v>
      </c>
      <c r="X841">
        <f t="shared" si="40"/>
        <v>0.4265687478765387</v>
      </c>
      <c r="Y841" t="s">
        <v>4120</v>
      </c>
      <c r="Z841" s="2">
        <f>IFERROR(
  IF(ISNUMBER(B841),B841,
    IF(ISNUMBER(SEARCH("-",B841)*1),
      IF(LEN(LEFT(B841,FIND("-",B841)-1))=4,
        DATE(VALUE(LEFT(B841,4)),VALUE(MID(B841,6,2)),VALUE(RIGHT(B841,2))),
        DATE(VALUE(RIGHT(B841,4)),VALUE(MID(B841,4,2)),VALUE(LEFT(B841,2)))
      ),
      IF(ISNUMBER(SEARCH("/",B841)*1),
        DATE(VALUE(RIGHT(B841,4)),VALUE(LEFT(B841,2)),VALUE(MID(B841,4,2))),
        DATEVALUE(B841)
      )
    )
  ),
"INVALID_DATE")</f>
        <v>45555</v>
      </c>
      <c r="AA841" s="2">
        <f>IFERROR(
  IF(ISNUMBER(C841),C841,
    IF(ISNUMBER(SEARCH("-",C841)*1),
      IF(LEN(LEFT(C841,FIND("-",C841)-1))=4,
        DATE(VALUE(LEFT(C841,4)),VALUE(MID(C841,6,2)),VALUE(RIGHT(C841,2))),
        DATE(VALUE(RIGHT(C841,4)),VALUE(MID(C841,4,2)),VALUE(LEFT(C841,2)))
      ),
      IF(ISNUMBER(SEARCH("/",C841)*1),
        DATE(VALUE(RIGHT(C841,4)),VALUE(LEFT(C841,2)),VALUE(MID(C841,4,2))),
        DATEVALUE(C841)
      )
    )
  ),
"INVALID_DATE")</f>
        <v>45557</v>
      </c>
      <c r="AB841">
        <f>AA841-Z841</f>
        <v>2</v>
      </c>
      <c r="AC841" t="str">
        <f>TEXT(Z841,"mmmm")</f>
        <v>September</v>
      </c>
      <c r="AD841">
        <f>YEAR(Z841)</f>
        <v>2024</v>
      </c>
      <c r="AE841" t="str">
        <f t="shared" si="41"/>
        <v>OK</v>
      </c>
    </row>
    <row r="842" spans="1:31">
      <c r="A842" t="s">
        <v>3858</v>
      </c>
      <c r="B842" t="s">
        <v>1906</v>
      </c>
      <c r="C842" t="s">
        <v>2205</v>
      </c>
      <c r="D842" t="s">
        <v>3859</v>
      </c>
      <c r="E842" t="s">
        <v>100</v>
      </c>
      <c r="F842" t="s">
        <v>122</v>
      </c>
      <c r="G842" t="s">
        <v>34</v>
      </c>
      <c r="H842" t="s">
        <v>514</v>
      </c>
      <c r="I842" t="s">
        <v>515</v>
      </c>
      <c r="J842" t="s">
        <v>52</v>
      </c>
      <c r="K842" t="s">
        <v>83</v>
      </c>
      <c r="L842" t="s">
        <v>3860</v>
      </c>
      <c r="M842" t="s">
        <v>55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41</v>
      </c>
      <c r="U842" t="s">
        <v>42</v>
      </c>
      <c r="V842">
        <f>O842*(1-P842)*N842</f>
        <v>6336.44</v>
      </c>
      <c r="W842">
        <f t="shared" si="39"/>
        <v>1655.7599999999993</v>
      </c>
      <c r="X842">
        <f t="shared" si="40"/>
        <v>0.26130761121386775</v>
      </c>
      <c r="Y842" t="str">
        <f>_xlfn.TEXTJOIN(", ",TRUE,IF(G842="Unknown","Missing Region",""),IF(M842="Unknown","Missing Ship Mode",""),IF(P842&lt;0,"Negative Discount",""),IF(P842&gt;0.7,"High Discount",""),IF(C842&lt;B842,"Ship Before Order",""))</f>
        <v>Ship Before Order</v>
      </c>
      <c r="Z842" s="2">
        <f>IFERROR(
  IF(ISNUMBER(B842),B842,
    IF(ISNUMBER(SEARCH("-",B842)*1),
      IF(LEN(LEFT(B842,FIND("-",B842)-1))=4,
        DATE(VALUE(LEFT(B842,4)),VALUE(MID(B842,6,2)),VALUE(RIGHT(B842,2))),
        DATE(VALUE(RIGHT(B842,4)),VALUE(MID(B842,4,2)),VALUE(LEFT(B842,2)))
      ),
      IF(ISNUMBER(SEARCH("/",B842)*1),
        DATE(VALUE(RIGHT(B842,4)),VALUE(LEFT(B842,2)),VALUE(MID(B842,4,2))),
        DATEVALUE(B842)
      )
    )
  ),
"INVALID_DATE")</f>
        <v>45919</v>
      </c>
      <c r="AA842" s="2">
        <f>IFERROR(
  IF(ISNUMBER(C842),C842,
    IF(ISNUMBER(SEARCH("-",C842)*1),
      IF(LEN(LEFT(C842,FIND("-",C842)-1))=4,
        DATE(VALUE(LEFT(C842,4)),VALUE(MID(C842,6,2)),VALUE(RIGHT(C842,2))),
        DATE(VALUE(RIGHT(C842,4)),VALUE(MID(C842,4,2)),VALUE(LEFT(C842,2)))
      ),
      IF(ISNUMBER(SEARCH("/",C842)*1),
        DATE(VALUE(RIGHT(C842,4)),VALUE(LEFT(C842,2)),VALUE(MID(C842,4,2))),
        DATEVALUE(C842)
      )
    )
  ),
"INVALID_DATE")</f>
        <v>45919</v>
      </c>
      <c r="AB842">
        <f>AA842-Z842</f>
        <v>0</v>
      </c>
      <c r="AC842" t="str">
        <f>TEXT(Z842,"mmmm")</f>
        <v>September</v>
      </c>
      <c r="AD842">
        <f>YEAR(Z842)</f>
        <v>2025</v>
      </c>
      <c r="AE842" t="str">
        <f t="shared" si="41"/>
        <v>OK</v>
      </c>
    </row>
    <row r="843" spans="1:31">
      <c r="A843" t="s">
        <v>3861</v>
      </c>
      <c r="B843" t="s">
        <v>3862</v>
      </c>
      <c r="C843" t="s">
        <v>3863</v>
      </c>
      <c r="D843" t="s">
        <v>3864</v>
      </c>
      <c r="E843" t="s">
        <v>79</v>
      </c>
      <c r="F843" t="s">
        <v>48</v>
      </c>
      <c r="G843" t="s">
        <v>49</v>
      </c>
      <c r="H843" t="s">
        <v>193</v>
      </c>
      <c r="I843" t="s">
        <v>194</v>
      </c>
      <c r="J843" t="s">
        <v>37</v>
      </c>
      <c r="K843" t="s">
        <v>61</v>
      </c>
      <c r="L843" t="s">
        <v>3865</v>
      </c>
      <c r="M843" t="s">
        <v>74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41</v>
      </c>
      <c r="U843" t="s">
        <v>42</v>
      </c>
      <c r="V843">
        <f>O843*(1-P843)*N843</f>
        <v>21850.829999999998</v>
      </c>
      <c r="W843">
        <f t="shared" si="39"/>
        <v>5250.6999999999971</v>
      </c>
      <c r="X843">
        <f t="shared" si="40"/>
        <v>0.24029750814957598</v>
      </c>
      <c r="Y843" t="str">
        <f>_xlfn.TEXTJOIN(", ",TRUE,IF(G843="Unknown","Missing Region",""),IF(M843="Unknown","Missing Ship Mode",""),IF(P843&lt;0,"Negative Discount",""),IF(P843&gt;0.7,"High Discount",""),IF(C843&lt;B843,"Ship Before Order",""))</f>
        <v>Ship Before Order</v>
      </c>
      <c r="Z843" s="2">
        <f>IFERROR(
  IF(ISNUMBER(B843),B843,
    IF(ISNUMBER(SEARCH("-",B843)*1),
      IF(LEN(LEFT(B843,FIND("-",B843)-1))=4,
        DATE(VALUE(LEFT(B843,4)),VALUE(MID(B843,6,2)),VALUE(RIGHT(B843,2))),
        DATE(VALUE(RIGHT(B843,4)),VALUE(MID(B843,4,2)),VALUE(LEFT(B843,2)))
      ),
      IF(ISNUMBER(SEARCH("/",B843)*1),
        DATE(VALUE(RIGHT(B843,4)),VALUE(LEFT(B843,2)),VALUE(MID(B843,4,2))),
        DATEVALUE(B843)
      )
    )
  ),
"INVALID_DATE")</f>
        <v>45694</v>
      </c>
      <c r="AA843" s="2">
        <f>IFERROR(
  IF(ISNUMBER(C843),C843,
    IF(ISNUMBER(SEARCH("-",C843)*1),
      IF(LEN(LEFT(C843,FIND("-",C843)-1))=4,
        DATE(VALUE(LEFT(C843,4)),VALUE(MID(C843,6,2)),VALUE(RIGHT(C843,2))),
        DATE(VALUE(RIGHT(C843,4)),VALUE(MID(C843,4,2)),VALUE(LEFT(C843,2)))
      ),
      IF(ISNUMBER(SEARCH("/",C843)*1),
        DATE(VALUE(RIGHT(C843,4)),VALUE(LEFT(C843,2)),VALUE(MID(C843,4,2))),
        DATEVALUE(C843)
      )
    )
  ),
"INVALID_DATE")</f>
        <v>45700</v>
      </c>
      <c r="AB843">
        <f>AA843-Z843</f>
        <v>6</v>
      </c>
      <c r="AC843" t="str">
        <f>TEXT(Z843,"mmmm")</f>
        <v>February</v>
      </c>
      <c r="AD843">
        <f>YEAR(Z843)</f>
        <v>2025</v>
      </c>
      <c r="AE843" t="str">
        <f t="shared" si="41"/>
        <v>OK</v>
      </c>
    </row>
    <row r="844" spans="1:31">
      <c r="A844" t="s">
        <v>3866</v>
      </c>
      <c r="B844" t="s">
        <v>3867</v>
      </c>
      <c r="C844" t="s">
        <v>3868</v>
      </c>
      <c r="D844" t="s">
        <v>3869</v>
      </c>
      <c r="E844" t="s">
        <v>3870</v>
      </c>
      <c r="F844" t="s">
        <v>33</v>
      </c>
      <c r="G844" t="s">
        <v>34</v>
      </c>
      <c r="H844" t="s">
        <v>331</v>
      </c>
      <c r="I844" t="s">
        <v>332</v>
      </c>
      <c r="J844" t="s">
        <v>93</v>
      </c>
      <c r="K844" t="s">
        <v>390</v>
      </c>
      <c r="L844" t="s">
        <v>3871</v>
      </c>
      <c r="M844" t="s">
        <v>63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41</v>
      </c>
      <c r="U844" t="s">
        <v>132</v>
      </c>
      <c r="V844">
        <f>O844*(1-P844)*N844</f>
        <v>7453.0719999999992</v>
      </c>
      <c r="W844">
        <f t="shared" si="39"/>
        <v>2319.2919999999995</v>
      </c>
      <c r="X844">
        <f t="shared" si="40"/>
        <v>0.31118586032332984</v>
      </c>
      <c r="Y844" t="str">
        <f>_xlfn.TEXTJOIN(", ",TRUE,IF(G844="Unknown","Missing Region",""),IF(M844="Unknown","Missing Ship Mode",""),IF(P844&lt;0,"Negative Discount",""),IF(P844&gt;0.7,"High Discount",""),IF(C844&lt;B844,"Ship Before Order",""))</f>
        <v>Ship Before Order</v>
      </c>
      <c r="Z844" s="2">
        <f>IFERROR(
  IF(ISNUMBER(B844),B844,
    IF(ISNUMBER(SEARCH("-",B844)*1),
      IF(LEN(LEFT(B844,FIND("-",B844)-1))=4,
        DATE(VALUE(LEFT(B844,4)),VALUE(MID(B844,6,2)),VALUE(RIGHT(B844,2))),
        DATE(VALUE(RIGHT(B844,4)),VALUE(MID(B844,4,2)),VALUE(LEFT(B844,2)))
      ),
      IF(ISNUMBER(SEARCH("/",B844)*1),
        DATE(VALUE(RIGHT(B844,4)),VALUE(LEFT(B844,2)),VALUE(MID(B844,4,2))),
        DATEVALUE(B844)
      )
    )
  ),
"INVALID_DATE")</f>
        <v>45382</v>
      </c>
      <c r="AA844" s="2">
        <f>IFERROR(
  IF(ISNUMBER(C844),C844,
    IF(ISNUMBER(SEARCH("-",C844)*1),
      IF(LEN(LEFT(C844,FIND("-",C844)-1))=4,
        DATE(VALUE(LEFT(C844,4)),VALUE(MID(C844,6,2)),VALUE(RIGHT(C844,2))),
        DATE(VALUE(RIGHT(C844,4)),VALUE(MID(C844,4,2)),VALUE(LEFT(C844,2)))
      ),
      IF(ISNUMBER(SEARCH("/",C844)*1),
        DATE(VALUE(RIGHT(C844,4)),VALUE(LEFT(C844,2)),VALUE(MID(C844,4,2))),
        DATEVALUE(C844)
      )
    )
  ),
"INVALID_DATE")</f>
        <v>45381</v>
      </c>
      <c r="AB844">
        <f>AA844-Z844</f>
        <v>-1</v>
      </c>
      <c r="AC844" t="str">
        <f>TEXT(Z844,"mmmm")</f>
        <v>March</v>
      </c>
      <c r="AD844">
        <f>YEAR(Z844)</f>
        <v>2024</v>
      </c>
      <c r="AE844" t="str">
        <f t="shared" si="41"/>
        <v>Ship Before Order</v>
      </c>
    </row>
    <row r="845" spans="1:31">
      <c r="A845" t="s">
        <v>3872</v>
      </c>
      <c r="B845" t="s">
        <v>2708</v>
      </c>
      <c r="C845" t="s">
        <v>3873</v>
      </c>
      <c r="D845" t="s">
        <v>3874</v>
      </c>
      <c r="E845" t="s">
        <v>149</v>
      </c>
      <c r="F845" t="s">
        <v>48</v>
      </c>
      <c r="G845" t="s">
        <v>34</v>
      </c>
      <c r="H845" t="s">
        <v>181</v>
      </c>
      <c r="I845" t="s">
        <v>182</v>
      </c>
      <c r="J845" t="s">
        <v>93</v>
      </c>
      <c r="K845" t="s">
        <v>230</v>
      </c>
      <c r="L845" t="s">
        <v>3875</v>
      </c>
      <c r="M845" t="s">
        <v>63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41</v>
      </c>
      <c r="U845" t="s">
        <v>42</v>
      </c>
      <c r="V845">
        <f>O845*(1-P845)*N845</f>
        <v>36623.793599999997</v>
      </c>
      <c r="W845">
        <f t="shared" si="39"/>
        <v>12707.693599999999</v>
      </c>
      <c r="X845">
        <f t="shared" si="40"/>
        <v>0.33391875602968668</v>
      </c>
      <c r="Y845" t="str">
        <f>_xlfn.TEXTJOIN(", ",TRUE,IF(G845="Unknown","Missing Region",""),IF(M845="Unknown","Missing Ship Mode",""),IF(P845&lt;0,"Negative Discount",""),IF(P845&gt;0.7,"High Discount",""),IF(C845&lt;B845,"Ship Before Order",""))</f>
        <v>Negative Discount</v>
      </c>
      <c r="Z845" s="2">
        <f>IFERROR(
  IF(ISNUMBER(B845),B845,
    IF(ISNUMBER(SEARCH("-",B845)*1),
      IF(LEN(LEFT(B845,FIND("-",B845)-1))=4,
        DATE(VALUE(LEFT(B845,4)),VALUE(MID(B845,6,2)),VALUE(RIGHT(B845,2))),
        DATE(VALUE(RIGHT(B845,4)),VALUE(MID(B845,4,2)),VALUE(LEFT(B845,2)))
      ),
      IF(ISNUMBER(SEARCH("/",B845)*1),
        DATE(VALUE(RIGHT(B845,4)),VALUE(LEFT(B845,2)),VALUE(MID(B845,4,2))),
        DATEVALUE(B845)
      )
    )
  ),
"INVALID_DATE")</f>
        <v>45856</v>
      </c>
      <c r="AA845" s="2">
        <f>IFERROR(
  IF(ISNUMBER(C845),C845,
    IF(ISNUMBER(SEARCH("-",C845)*1),
      IF(LEN(LEFT(C845,FIND("-",C845)-1))=4,
        DATE(VALUE(LEFT(C845,4)),VALUE(MID(C845,6,2)),VALUE(RIGHT(C845,2))),
        DATE(VALUE(RIGHT(C845,4)),VALUE(MID(C845,4,2)),VALUE(LEFT(C845,2)))
      ),
      IF(ISNUMBER(SEARCH("/",C845)*1),
        DATE(VALUE(RIGHT(C845,4)),VALUE(LEFT(C845,2)),VALUE(MID(C845,4,2))),
        DATEVALUE(C845)
      )
    )
  ),
"INVALID_DATE")</f>
        <v>45863</v>
      </c>
      <c r="AB845">
        <f>AA845-Z845</f>
        <v>7</v>
      </c>
      <c r="AC845" t="str">
        <f>TEXT(Z845,"mmmm")</f>
        <v>July</v>
      </c>
      <c r="AD845">
        <f>YEAR(Z845)</f>
        <v>2025</v>
      </c>
      <c r="AE845" t="str">
        <f t="shared" si="41"/>
        <v>OK</v>
      </c>
    </row>
    <row r="846" spans="1:31">
      <c r="A846" t="s">
        <v>3876</v>
      </c>
      <c r="B846" t="s">
        <v>3877</v>
      </c>
      <c r="C846" t="s">
        <v>3878</v>
      </c>
      <c r="D846" t="s">
        <v>3879</v>
      </c>
      <c r="E846" t="s">
        <v>114</v>
      </c>
      <c r="F846" t="s">
        <v>122</v>
      </c>
      <c r="G846" t="s">
        <v>80</v>
      </c>
      <c r="H846" t="s">
        <v>256</v>
      </c>
      <c r="I846" t="s">
        <v>257</v>
      </c>
      <c r="J846" t="s">
        <v>37</v>
      </c>
      <c r="K846" t="s">
        <v>61</v>
      </c>
      <c r="L846" t="s">
        <v>3880</v>
      </c>
      <c r="M846" t="s">
        <v>63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41</v>
      </c>
      <c r="U846" t="s">
        <v>42</v>
      </c>
      <c r="V846">
        <f>O846*(1-P846)*N846</f>
        <v>3515.15</v>
      </c>
      <c r="W846">
        <f t="shared" si="39"/>
        <v>1298.81</v>
      </c>
      <c r="X846">
        <f t="shared" si="40"/>
        <v>0.36948921098672882</v>
      </c>
      <c r="Y846" t="s">
        <v>4120</v>
      </c>
      <c r="Z846" s="2">
        <f>IFERROR(
  IF(ISNUMBER(B846),B846,
    IF(ISNUMBER(SEARCH("-",B846)*1),
      IF(LEN(LEFT(B846,FIND("-",B846)-1))=4,
        DATE(VALUE(LEFT(B846,4)),VALUE(MID(B846,6,2)),VALUE(RIGHT(B846,2))),
        DATE(VALUE(RIGHT(B846,4)),VALUE(MID(B846,4,2)),VALUE(LEFT(B846,2)))
      ),
      IF(ISNUMBER(SEARCH("/",B846)*1),
        DATE(VALUE(RIGHT(B846,4)),VALUE(LEFT(B846,2)),VALUE(MID(B846,4,2))),
        DATEVALUE(B846)
      )
    )
  ),
"INVALID_DATE")</f>
        <v>45677</v>
      </c>
      <c r="AA846" s="2">
        <f>IFERROR(
  IF(ISNUMBER(C846),C846,
    IF(ISNUMBER(SEARCH("-",C846)*1),
      IF(LEN(LEFT(C846,FIND("-",C846)-1))=4,
        DATE(VALUE(LEFT(C846,4)),VALUE(MID(C846,6,2)),VALUE(RIGHT(C846,2))),
        DATE(VALUE(RIGHT(C846,4)),VALUE(MID(C846,4,2)),VALUE(LEFT(C846,2)))
      ),
      IF(ISNUMBER(SEARCH("/",C846)*1),
        DATE(VALUE(RIGHT(C846,4)),VALUE(LEFT(C846,2)),VALUE(MID(C846,4,2))),
        DATEVALUE(C846)
      )
    )
  ),
"INVALID_DATE")</f>
        <v>45682</v>
      </c>
      <c r="AB846">
        <f>AA846-Z846</f>
        <v>5</v>
      </c>
      <c r="AC846" t="str">
        <f>TEXT(Z846,"mmmm")</f>
        <v>January</v>
      </c>
      <c r="AD846">
        <f>YEAR(Z846)</f>
        <v>2025</v>
      </c>
      <c r="AE846" t="str">
        <f t="shared" si="41"/>
        <v>OK</v>
      </c>
    </row>
    <row r="847" spans="1:31">
      <c r="A847" t="s">
        <v>3881</v>
      </c>
      <c r="B847" t="s">
        <v>2780</v>
      </c>
      <c r="C847" t="s">
        <v>3882</v>
      </c>
      <c r="D847" t="s">
        <v>901</v>
      </c>
      <c r="E847" t="s">
        <v>32</v>
      </c>
      <c r="F847" t="s">
        <v>33</v>
      </c>
      <c r="G847" t="s">
        <v>49</v>
      </c>
      <c r="H847" t="s">
        <v>50</v>
      </c>
      <c r="I847" t="s">
        <v>51</v>
      </c>
      <c r="J847" t="s">
        <v>52</v>
      </c>
      <c r="K847" t="s">
        <v>53</v>
      </c>
      <c r="L847" t="s">
        <v>3883</v>
      </c>
      <c r="M847" t="s">
        <v>63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144</v>
      </c>
      <c r="U847" t="s">
        <v>132</v>
      </c>
      <c r="V847">
        <f>O847*(1-P847)*N847</f>
        <v>24409.552500000002</v>
      </c>
      <c r="W847">
        <f t="shared" si="39"/>
        <v>7251.9724999999999</v>
      </c>
      <c r="X847">
        <f t="shared" si="40"/>
        <v>0.29709560397467388</v>
      </c>
      <c r="Y847" t="s">
        <v>4120</v>
      </c>
      <c r="Z847" s="2">
        <f>IFERROR(
  IF(ISNUMBER(B847),B847,
    IF(ISNUMBER(SEARCH("-",B847)*1),
      IF(LEN(LEFT(B847,FIND("-",B847)-1))=4,
        DATE(VALUE(LEFT(B847,4)),VALUE(MID(B847,6,2)),VALUE(RIGHT(B847,2))),
        DATE(VALUE(RIGHT(B847,4)),VALUE(MID(B847,4,2)),VALUE(LEFT(B847,2)))
      ),
      IF(ISNUMBER(SEARCH("/",B847)*1),
        DATE(VALUE(RIGHT(B847,4)),VALUE(LEFT(B847,2)),VALUE(MID(B847,4,2))),
        DATEVALUE(B847)
      )
    )
  ),
"INVALID_DATE")</f>
        <v>45345</v>
      </c>
      <c r="AA847" s="2">
        <f>IFERROR(
  IF(ISNUMBER(C847),C847,
    IF(ISNUMBER(SEARCH("-",C847)*1),
      IF(LEN(LEFT(C847,FIND("-",C847)-1))=4,
        DATE(VALUE(LEFT(C847,4)),VALUE(MID(C847,6,2)),VALUE(RIGHT(C847,2))),
        DATE(VALUE(RIGHT(C847,4)),VALUE(MID(C847,4,2)),VALUE(LEFT(C847,2)))
      ),
      IF(ISNUMBER(SEARCH("/",C847)*1),
        DATE(VALUE(RIGHT(C847,4)),VALUE(LEFT(C847,2)),VALUE(MID(C847,4,2))),
        DATEVALUE(C847)
      )
    )
  ),
"INVALID_DATE")</f>
        <v>45349</v>
      </c>
      <c r="AB847">
        <f>AA847-Z847</f>
        <v>4</v>
      </c>
      <c r="AC847" t="str">
        <f>TEXT(Z847,"mmmm")</f>
        <v>February</v>
      </c>
      <c r="AD847">
        <f>YEAR(Z847)</f>
        <v>2024</v>
      </c>
      <c r="AE847" t="str">
        <f t="shared" si="41"/>
        <v>OK</v>
      </c>
    </row>
    <row r="848" spans="1:31">
      <c r="A848" t="s">
        <v>3884</v>
      </c>
      <c r="B848" t="s">
        <v>3885</v>
      </c>
      <c r="C848" t="s">
        <v>3886</v>
      </c>
      <c r="D848" t="s">
        <v>3887</v>
      </c>
      <c r="E848" t="s">
        <v>149</v>
      </c>
      <c r="F848" t="s">
        <v>48</v>
      </c>
      <c r="G848" t="s">
        <v>80</v>
      </c>
      <c r="H848" t="s">
        <v>242</v>
      </c>
      <c r="I848" t="s">
        <v>243</v>
      </c>
      <c r="J848" t="s">
        <v>52</v>
      </c>
      <c r="K848" t="s">
        <v>211</v>
      </c>
      <c r="L848" t="s">
        <v>3888</v>
      </c>
      <c r="M848" t="s">
        <v>74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144</v>
      </c>
      <c r="U848" t="s">
        <v>132</v>
      </c>
      <c r="V848">
        <f>O848*(1-P848)*N848</f>
        <v>7955.04</v>
      </c>
      <c r="W848">
        <f t="shared" si="39"/>
        <v>2374.3599999999997</v>
      </c>
      <c r="X848">
        <f t="shared" si="40"/>
        <v>0.29847241497214344</v>
      </c>
      <c r="Y848" t="s">
        <v>4120</v>
      </c>
      <c r="Z848" s="2">
        <f>IFERROR(
  IF(ISNUMBER(B848),B848,
    IF(ISNUMBER(SEARCH("-",B848)*1),
      IF(LEN(LEFT(B848,FIND("-",B848)-1))=4,
        DATE(VALUE(LEFT(B848,4)),VALUE(MID(B848,6,2)),VALUE(RIGHT(B848,2))),
        DATE(VALUE(RIGHT(B848,4)),VALUE(MID(B848,4,2)),VALUE(LEFT(B848,2)))
      ),
      IF(ISNUMBER(SEARCH("/",B848)*1),
        DATE(VALUE(RIGHT(B848,4)),VALUE(LEFT(B848,2)),VALUE(MID(B848,4,2))),
        DATEVALUE(B848)
      )
    )
  ),
"INVALID_DATE")</f>
        <v>45396</v>
      </c>
      <c r="AA848" s="2">
        <f>IFERROR(
  IF(ISNUMBER(C848),C848,
    IF(ISNUMBER(SEARCH("-",C848)*1),
      IF(LEN(LEFT(C848,FIND("-",C848)-1))=4,
        DATE(VALUE(LEFT(C848,4)),VALUE(MID(C848,6,2)),VALUE(RIGHT(C848,2))),
        DATE(VALUE(RIGHT(C848,4)),VALUE(MID(C848,4,2)),VALUE(LEFT(C848,2)))
      ),
      IF(ISNUMBER(SEARCH("/",C848)*1),
        DATE(VALUE(RIGHT(C848,4)),VALUE(LEFT(C848,2)),VALUE(MID(C848,4,2))),
        DATEVALUE(C848)
      )
    )
  ),
"INVALID_DATE")</f>
        <v>45404</v>
      </c>
      <c r="AB848">
        <f>AA848-Z848</f>
        <v>8</v>
      </c>
      <c r="AC848" t="str">
        <f>TEXT(Z848,"mmmm")</f>
        <v>April</v>
      </c>
      <c r="AD848">
        <f>YEAR(Z848)</f>
        <v>2024</v>
      </c>
      <c r="AE848" t="str">
        <f t="shared" si="41"/>
        <v>OK</v>
      </c>
    </row>
    <row r="849" spans="1:31">
      <c r="A849" t="s">
        <v>3889</v>
      </c>
      <c r="B849" t="s">
        <v>3890</v>
      </c>
      <c r="C849" t="s">
        <v>3891</v>
      </c>
      <c r="D849" t="s">
        <v>3892</v>
      </c>
      <c r="E849" t="s">
        <v>217</v>
      </c>
      <c r="F849" t="s">
        <v>122</v>
      </c>
      <c r="G849" t="s">
        <v>49</v>
      </c>
      <c r="H849" t="s">
        <v>50</v>
      </c>
      <c r="I849" t="s">
        <v>51</v>
      </c>
      <c r="J849" t="s">
        <v>52</v>
      </c>
      <c r="K849" t="s">
        <v>53</v>
      </c>
      <c r="L849" t="s">
        <v>3893</v>
      </c>
      <c r="M849" t="s">
        <v>40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41</v>
      </c>
      <c r="U849" t="s">
        <v>42</v>
      </c>
      <c r="V849">
        <f>O849*(1-P849)*N849</f>
        <v>336.12800000000004</v>
      </c>
      <c r="W849">
        <f t="shared" si="39"/>
        <v>93.938000000000045</v>
      </c>
      <c r="X849">
        <f t="shared" si="40"/>
        <v>0.27947520304644036</v>
      </c>
      <c r="Y849" t="str">
        <f>_xlfn.TEXTJOIN(", ",TRUE,IF(G849="Unknown","Missing Region",""),IF(M849="Unknown","Missing Ship Mode",""),IF(P849&lt;0,"Negative Discount",""),IF(P849&gt;0.7,"High Discount",""),IF(C849&lt;B849,"Ship Before Order",""))</f>
        <v>Ship Before Order</v>
      </c>
      <c r="Z849" s="2">
        <f>IFERROR(
  IF(ISNUMBER(B849),B849,
    IF(ISNUMBER(SEARCH("-",B849)*1),
      IF(LEN(LEFT(B849,FIND("-",B849)-1))=4,
        DATE(VALUE(LEFT(B849,4)),VALUE(MID(B849,6,2)),VALUE(RIGHT(B849,2))),
        DATE(VALUE(RIGHT(B849,4)),VALUE(MID(B849,4,2)),VALUE(LEFT(B849,2)))
      ),
      IF(ISNUMBER(SEARCH("/",B849)*1),
        DATE(VALUE(RIGHT(B849,4)),VALUE(LEFT(B849,2)),VALUE(MID(B849,4,2))),
        DATEVALUE(B849)
      )
    )
  ),
"INVALID_DATE")</f>
        <v>45797</v>
      </c>
      <c r="AA849" s="2">
        <f>IFERROR(
  IF(ISNUMBER(C849),C849,
    IF(ISNUMBER(SEARCH("-",C849)*1),
      IF(LEN(LEFT(C849,FIND("-",C849)-1))=4,
        DATE(VALUE(LEFT(C849,4)),VALUE(MID(C849,6,2)),VALUE(RIGHT(C849,2))),
        DATE(VALUE(RIGHT(C849,4)),VALUE(MID(C849,4,2)),VALUE(LEFT(C849,2)))
      ),
      IF(ISNUMBER(SEARCH("/",C849)*1),
        DATE(VALUE(RIGHT(C849,4)),VALUE(LEFT(C849,2)),VALUE(MID(C849,4,2))),
        DATEVALUE(C849)
      )
    )
  ),
"INVALID_DATE")</f>
        <v>45799</v>
      </c>
      <c r="AB849">
        <f>AA849-Z849</f>
        <v>2</v>
      </c>
      <c r="AC849" t="str">
        <f>TEXT(Z849,"mmmm")</f>
        <v>May</v>
      </c>
      <c r="AD849">
        <f>YEAR(Z849)</f>
        <v>2025</v>
      </c>
      <c r="AE849" t="str">
        <f t="shared" si="41"/>
        <v>OK</v>
      </c>
    </row>
    <row r="850" spans="1:31">
      <c r="A850" t="s">
        <v>3894</v>
      </c>
      <c r="B850" t="s">
        <v>3153</v>
      </c>
      <c r="C850" t="s">
        <v>3895</v>
      </c>
      <c r="D850" t="s">
        <v>3896</v>
      </c>
      <c r="E850" t="s">
        <v>155</v>
      </c>
      <c r="F850" t="s">
        <v>122</v>
      </c>
      <c r="G850" t="s">
        <v>69</v>
      </c>
      <c r="H850" t="s">
        <v>347</v>
      </c>
      <c r="I850" t="s">
        <v>348</v>
      </c>
      <c r="J850" t="s">
        <v>52</v>
      </c>
      <c r="K850" t="s">
        <v>72</v>
      </c>
      <c r="L850" t="s">
        <v>3897</v>
      </c>
      <c r="M850" t="s">
        <v>40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41</v>
      </c>
      <c r="U850" t="s">
        <v>42</v>
      </c>
      <c r="V850">
        <f>O850*(1-P850)*N850</f>
        <v>1308.2624999999998</v>
      </c>
      <c r="W850">
        <f t="shared" si="39"/>
        <v>224.70249999999987</v>
      </c>
      <c r="X850">
        <f t="shared" si="40"/>
        <v>0.17175484995337317</v>
      </c>
      <c r="Y850" t="s">
        <v>4120</v>
      </c>
      <c r="Z850" s="2">
        <f>IFERROR(
  IF(ISNUMBER(B850),B850,
    IF(ISNUMBER(SEARCH("-",B850)*1),
      IF(LEN(LEFT(B850,FIND("-",B850)-1))=4,
        DATE(VALUE(LEFT(B850,4)),VALUE(MID(B850,6,2)),VALUE(RIGHT(B850,2))),
        DATE(VALUE(RIGHT(B850,4)),VALUE(MID(B850,4,2)),VALUE(LEFT(B850,2)))
      ),
      IF(ISNUMBER(SEARCH("/",B850)*1),
        DATE(VALUE(RIGHT(B850,4)),VALUE(LEFT(B850,2)),VALUE(MID(B850,4,2))),
        DATEVALUE(B850)
      )
    )
  ),
"INVALID_DATE")</f>
        <v>45804</v>
      </c>
      <c r="AA850" s="2">
        <f>IFERROR(
  IF(ISNUMBER(C850),C850,
    IF(ISNUMBER(SEARCH("-",C850)*1),
      IF(LEN(LEFT(C850,FIND("-",C850)-1))=4,
        DATE(VALUE(LEFT(C850,4)),VALUE(MID(C850,6,2)),VALUE(RIGHT(C850,2))),
        DATE(VALUE(RIGHT(C850,4)),VALUE(MID(C850,4,2)),VALUE(LEFT(C850,2)))
      ),
      IF(ISNUMBER(SEARCH("/",C850)*1),
        DATE(VALUE(RIGHT(C850,4)),VALUE(LEFT(C850,2)),VALUE(MID(C850,4,2))),
        DATEVALUE(C850)
      )
    )
  ),
"INVALID_DATE")</f>
        <v>45806</v>
      </c>
      <c r="AB850">
        <f>AA850-Z850</f>
        <v>2</v>
      </c>
      <c r="AC850" t="str">
        <f>TEXT(Z850,"mmmm")</f>
        <v>May</v>
      </c>
      <c r="AD850">
        <f>YEAR(Z850)</f>
        <v>2025</v>
      </c>
      <c r="AE850" t="str">
        <f t="shared" si="41"/>
        <v>OK</v>
      </c>
    </row>
    <row r="851" spans="1:31">
      <c r="A851" t="s">
        <v>3898</v>
      </c>
      <c r="B851" t="s">
        <v>3899</v>
      </c>
      <c r="C851" t="s">
        <v>1079</v>
      </c>
      <c r="D851" t="s">
        <v>3900</v>
      </c>
      <c r="E851" t="s">
        <v>60</v>
      </c>
      <c r="F851" t="s">
        <v>122</v>
      </c>
      <c r="G851" t="s">
        <v>80</v>
      </c>
      <c r="H851" t="s">
        <v>242</v>
      </c>
      <c r="I851" t="s">
        <v>243</v>
      </c>
      <c r="J851" t="s">
        <v>52</v>
      </c>
      <c r="K851" t="s">
        <v>211</v>
      </c>
      <c r="L851" t="s">
        <v>3901</v>
      </c>
      <c r="M851" t="s">
        <v>74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41</v>
      </c>
      <c r="U851" t="s">
        <v>42</v>
      </c>
      <c r="V851">
        <f>O851*(1-P851)*N851</f>
        <v>1631.1120000000001</v>
      </c>
      <c r="W851">
        <f t="shared" si="39"/>
        <v>732.38200000000006</v>
      </c>
      <c r="X851">
        <f t="shared" si="40"/>
        <v>0.24313504300752248</v>
      </c>
      <c r="Y851" t="str">
        <f>_xlfn.TEXTJOIN(", ",TRUE,IF(G851="Unknown","Missing Region",""),IF(M851="Unknown","Missing Ship Mode",""),IF(P851&lt;0,"Negative Discount",""),IF(P851&gt;0.7,"High Discount",""),IF(C851&lt;B851,"Ship Before Order",""))</f>
        <v>Ship Before Order</v>
      </c>
      <c r="Z851" s="2">
        <f>IFERROR(
  IF(ISNUMBER(B851),B851,
    IF(ISNUMBER(SEARCH("-",B851)*1),
      IF(LEN(LEFT(B851,FIND("-",B851)-1))=4,
        DATE(VALUE(LEFT(B851,4)),VALUE(MID(B851,6,2)),VALUE(RIGHT(B851,2))),
        DATE(VALUE(RIGHT(B851,4)),VALUE(MID(B851,4,2)),VALUE(LEFT(B851,2)))
      ),
      IF(ISNUMBER(SEARCH("/",B851)*1),
        DATE(VALUE(RIGHT(B851,4)),VALUE(LEFT(B851,2)),VALUE(MID(B851,4,2))),
        DATEVALUE(B851)
      )
    )
  ),
"INVALID_DATE")</f>
        <v>45357</v>
      </c>
      <c r="AA851" s="2">
        <f>IFERROR(
  IF(ISNUMBER(C851),C851,
    IF(ISNUMBER(SEARCH("-",C851)*1),
      IF(LEN(LEFT(C851,FIND("-",C851)-1))=4,
        DATE(VALUE(LEFT(C851,4)),VALUE(MID(C851,6,2)),VALUE(RIGHT(C851,2))),
        DATE(VALUE(RIGHT(C851,4)),VALUE(MID(C851,4,2)),VALUE(LEFT(C851,2)))
      ),
      IF(ISNUMBER(SEARCH("/",C851)*1),
        DATE(VALUE(RIGHT(C851,4)),VALUE(LEFT(C851,2)),VALUE(MID(C851,4,2))),
        DATEVALUE(C851)
      )
    )
  ),
"INVALID_DATE")</f>
        <v>45363</v>
      </c>
      <c r="AB851">
        <f>AA851-Z851</f>
        <v>6</v>
      </c>
      <c r="AC851" t="str">
        <f>TEXT(Z851,"mmmm")</f>
        <v>March</v>
      </c>
      <c r="AD851">
        <f>YEAR(Z851)</f>
        <v>2024</v>
      </c>
      <c r="AE851" t="str">
        <f t="shared" si="41"/>
        <v>OK</v>
      </c>
    </row>
    <row r="852" spans="1:31">
      <c r="A852" t="s">
        <v>3902</v>
      </c>
      <c r="B852" t="s">
        <v>2112</v>
      </c>
      <c r="C852" t="s">
        <v>3779</v>
      </c>
      <c r="D852" t="s">
        <v>3903</v>
      </c>
      <c r="E852" t="s">
        <v>149</v>
      </c>
      <c r="F852" t="s">
        <v>122</v>
      </c>
      <c r="G852" t="s">
        <v>49</v>
      </c>
      <c r="H852" t="s">
        <v>128</v>
      </c>
      <c r="I852" t="s">
        <v>129</v>
      </c>
      <c r="J852" t="s">
        <v>37</v>
      </c>
      <c r="K852" t="s">
        <v>38</v>
      </c>
      <c r="L852" t="s">
        <v>3904</v>
      </c>
      <c r="M852" t="s">
        <v>63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41</v>
      </c>
      <c r="U852" t="s">
        <v>42</v>
      </c>
      <c r="V852">
        <f>O852*(1-P852)*N852</f>
        <v>7266.0599999999995</v>
      </c>
      <c r="W852">
        <f t="shared" si="39"/>
        <v>1049.1699999999992</v>
      </c>
      <c r="X852">
        <f t="shared" si="40"/>
        <v>0.14439324750965449</v>
      </c>
      <c r="Y852" t="str">
        <f>_xlfn.TEXTJOIN(", ",TRUE,IF(G852="Unknown","Missing Region",""),IF(M852="Unknown","Missing Ship Mode",""),IF(P852&lt;0,"Negative Discount",""),IF(P852&gt;0.7,"High Discount",""),IF(C852&lt;B852,"Ship Before Order",""))</f>
        <v>Ship Before Order</v>
      </c>
      <c r="Z852" s="2">
        <f>IFERROR(
  IF(ISNUMBER(B852),B852,
    IF(ISNUMBER(SEARCH("-",B852)*1),
      IF(LEN(LEFT(B852,FIND("-",B852)-1))=4,
        DATE(VALUE(LEFT(B852,4)),VALUE(MID(B852,6,2)),VALUE(RIGHT(B852,2))),
        DATE(VALUE(RIGHT(B852,4)),VALUE(MID(B852,4,2)),VALUE(LEFT(B852,2)))
      ),
      IF(ISNUMBER(SEARCH("/",B852)*1),
        DATE(VALUE(RIGHT(B852,4)),VALUE(LEFT(B852,2)),VALUE(MID(B852,4,2))),
        DATEVALUE(B852)
      )
    )
  ),
"INVALID_DATE")</f>
        <v>45473</v>
      </c>
      <c r="AA852" s="2">
        <f>IFERROR(
  IF(ISNUMBER(C852),C852,
    IF(ISNUMBER(SEARCH("-",C852)*1),
      IF(LEN(LEFT(C852,FIND("-",C852)-1))=4,
        DATE(VALUE(LEFT(C852,4)),VALUE(MID(C852,6,2)),VALUE(RIGHT(C852,2))),
        DATE(VALUE(RIGHT(C852,4)),VALUE(MID(C852,4,2)),VALUE(LEFT(C852,2)))
      ),
      IF(ISNUMBER(SEARCH("/",C852)*1),
        DATE(VALUE(RIGHT(C852,4)),VALUE(LEFT(C852,2)),VALUE(MID(C852,4,2))),
        DATEVALUE(C852)
      )
    )
  ),
"INVALID_DATE")</f>
        <v>45476</v>
      </c>
      <c r="AB852">
        <f>AA852-Z852</f>
        <v>3</v>
      </c>
      <c r="AC852" t="str">
        <f>TEXT(Z852,"mmmm")</f>
        <v>June</v>
      </c>
      <c r="AD852">
        <f>YEAR(Z852)</f>
        <v>2024</v>
      </c>
      <c r="AE852" t="str">
        <f t="shared" si="41"/>
        <v>OK</v>
      </c>
    </row>
    <row r="853" spans="1:31">
      <c r="A853" t="s">
        <v>3905</v>
      </c>
      <c r="B853" t="s">
        <v>814</v>
      </c>
      <c r="C853" t="s">
        <v>3162</v>
      </c>
      <c r="D853" t="s">
        <v>3906</v>
      </c>
      <c r="E853" t="s">
        <v>32</v>
      </c>
      <c r="F853" t="s">
        <v>48</v>
      </c>
      <c r="G853" t="s">
        <v>80</v>
      </c>
      <c r="H853" t="s">
        <v>242</v>
      </c>
      <c r="I853" t="s">
        <v>243</v>
      </c>
      <c r="J853" t="s">
        <v>93</v>
      </c>
      <c r="K853" t="s">
        <v>94</v>
      </c>
      <c r="L853" t="s">
        <v>3907</v>
      </c>
      <c r="M853" t="s">
        <v>63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41</v>
      </c>
      <c r="U853" t="s">
        <v>42</v>
      </c>
      <c r="V853">
        <f>O853*(1-P853)*N853</f>
        <v>1858.08</v>
      </c>
      <c r="W853">
        <f t="shared" si="39"/>
        <v>267.32999999999993</v>
      </c>
      <c r="X853">
        <f t="shared" si="40"/>
        <v>0.143874321880651</v>
      </c>
      <c r="Y853" t="str">
        <f>_xlfn.TEXTJOIN(", ",TRUE,IF(G853="Unknown","Missing Region",""),IF(M853="Unknown","Missing Ship Mode",""),IF(P853&lt;0,"Negative Discount",""),IF(P853&gt;0.7,"High Discount",""),IF(C853&lt;B853,"Ship Before Order",""))</f>
        <v>Ship Before Order</v>
      </c>
      <c r="Z853" s="2">
        <f>IFERROR(
  IF(ISNUMBER(B853),B853,
    IF(ISNUMBER(SEARCH("-",B853)*1),
      IF(LEN(LEFT(B853,FIND("-",B853)-1))=4,
        DATE(VALUE(LEFT(B853,4)),VALUE(MID(B853,6,2)),VALUE(RIGHT(B853,2))),
        DATE(VALUE(RIGHT(B853,4)),VALUE(MID(B853,4,2)),VALUE(LEFT(B853,2)))
      ),
      IF(ISNUMBER(SEARCH("/",B853)*1),
        DATE(VALUE(RIGHT(B853,4)),VALUE(LEFT(B853,2)),VALUE(MID(B853,4,2))),
        DATEVALUE(B853)
      )
    )
  ),
"INVALID_DATE")</f>
        <v>45377</v>
      </c>
      <c r="AA853" s="2">
        <f>IFERROR(
  IF(ISNUMBER(C853),C853,
    IF(ISNUMBER(SEARCH("-",C853)*1),
      IF(LEN(LEFT(C853,FIND("-",C853)-1))=4,
        DATE(VALUE(LEFT(C853,4)),VALUE(MID(C853,6,2)),VALUE(RIGHT(C853,2))),
        DATE(VALUE(RIGHT(C853,4)),VALUE(MID(C853,4,2)),VALUE(LEFT(C853,2)))
      ),
      IF(ISNUMBER(SEARCH("/",C853)*1),
        DATE(VALUE(RIGHT(C853,4)),VALUE(LEFT(C853,2)),VALUE(MID(C853,4,2))),
        DATEVALUE(C853)
      )
    )
  ),
"INVALID_DATE")</f>
        <v>45383</v>
      </c>
      <c r="AB853">
        <f>AA853-Z853</f>
        <v>6</v>
      </c>
      <c r="AC853" t="str">
        <f>TEXT(Z853,"mmmm")</f>
        <v>March</v>
      </c>
      <c r="AD853">
        <f>YEAR(Z853)</f>
        <v>2024</v>
      </c>
      <c r="AE853" t="str">
        <f t="shared" si="41"/>
        <v>OK</v>
      </c>
    </row>
    <row r="854" spans="1:31">
      <c r="A854" t="s">
        <v>3908</v>
      </c>
      <c r="B854" t="s">
        <v>3909</v>
      </c>
      <c r="C854" t="s">
        <v>3732</v>
      </c>
      <c r="D854" t="s">
        <v>3910</v>
      </c>
      <c r="E854" t="s">
        <v>79</v>
      </c>
      <c r="F854" t="s">
        <v>33</v>
      </c>
      <c r="G854" t="s">
        <v>49</v>
      </c>
      <c r="H854" t="s">
        <v>223</v>
      </c>
      <c r="I854" t="s">
        <v>224</v>
      </c>
      <c r="J854" t="s">
        <v>52</v>
      </c>
      <c r="K854" t="s">
        <v>53</v>
      </c>
      <c r="L854" t="s">
        <v>3911</v>
      </c>
      <c r="M854" t="s">
        <v>40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144</v>
      </c>
      <c r="U854" t="s">
        <v>85</v>
      </c>
      <c r="V854">
        <f>O854*(1-P854)*N854</f>
        <v>25021.8325</v>
      </c>
      <c r="W854">
        <f t="shared" si="39"/>
        <v>9477.3924999999999</v>
      </c>
      <c r="X854">
        <f t="shared" si="40"/>
        <v>0.37876486252204572</v>
      </c>
      <c r="Y854" t="s">
        <v>4120</v>
      </c>
      <c r="Z854" s="2">
        <f>IFERROR(
  IF(ISNUMBER(B854),B854,
    IF(ISNUMBER(SEARCH("-",B854)*1),
      IF(LEN(LEFT(B854,FIND("-",B854)-1))=4,
        DATE(VALUE(LEFT(B854,4)),VALUE(MID(B854,6,2)),VALUE(RIGHT(B854,2))),
        DATE(VALUE(RIGHT(B854,4)),VALUE(MID(B854,4,2)),VALUE(LEFT(B854,2)))
      ),
      IF(ISNUMBER(SEARCH("/",B854)*1),
        DATE(VALUE(RIGHT(B854,4)),VALUE(LEFT(B854,2)),VALUE(MID(B854,4,2))),
        DATEVALUE(B854)
      )
    )
  ),
"INVALID_DATE")</f>
        <v>45383</v>
      </c>
      <c r="AA854" s="2">
        <f>IFERROR(
  IF(ISNUMBER(C854),C854,
    IF(ISNUMBER(SEARCH("-",C854)*1),
      IF(LEN(LEFT(C854,FIND("-",C854)-1))=4,
        DATE(VALUE(LEFT(C854,4)),VALUE(MID(C854,6,2)),VALUE(RIGHT(C854,2))),
        DATE(VALUE(RIGHT(C854,4)),VALUE(MID(C854,4,2)),VALUE(LEFT(C854,2)))
      ),
      IF(ISNUMBER(SEARCH("/",C854)*1),
        DATE(VALUE(RIGHT(C854,4)),VALUE(LEFT(C854,2)),VALUE(MID(C854,4,2))),
        DATEVALUE(C854)
      )
    )
  ),
"INVALID_DATE")</f>
        <v>45390</v>
      </c>
      <c r="AB854">
        <f>AA854-Z854</f>
        <v>7</v>
      </c>
      <c r="AC854" t="str">
        <f>TEXT(Z854,"mmmm")</f>
        <v>April</v>
      </c>
      <c r="AD854">
        <f>YEAR(Z854)</f>
        <v>2024</v>
      </c>
      <c r="AE854" t="str">
        <f t="shared" si="41"/>
        <v>OK</v>
      </c>
    </row>
    <row r="855" spans="1:31">
      <c r="A855" t="s">
        <v>3912</v>
      </c>
      <c r="B855" t="s">
        <v>3913</v>
      </c>
      <c r="C855" t="s">
        <v>3891</v>
      </c>
      <c r="D855" t="s">
        <v>3914</v>
      </c>
      <c r="E855" t="s">
        <v>68</v>
      </c>
      <c r="F855" t="s">
        <v>115</v>
      </c>
      <c r="G855" t="s">
        <v>69</v>
      </c>
      <c r="H855" t="s">
        <v>347</v>
      </c>
      <c r="I855" t="s">
        <v>348</v>
      </c>
      <c r="J855" t="s">
        <v>93</v>
      </c>
      <c r="K855" t="s">
        <v>94</v>
      </c>
      <c r="L855" t="s">
        <v>3915</v>
      </c>
      <c r="M855" t="s">
        <v>55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41</v>
      </c>
      <c r="U855" t="s">
        <v>42</v>
      </c>
      <c r="V855">
        <f>O855*(1-P855)*N855</f>
        <v>3710.72</v>
      </c>
      <c r="W855">
        <f t="shared" si="39"/>
        <v>595.42999999999984</v>
      </c>
      <c r="X855">
        <f t="shared" si="40"/>
        <v>0.16046212055881337</v>
      </c>
      <c r="Y855" t="str">
        <f>_xlfn.TEXTJOIN(", ",TRUE,IF(G855="Unknown","Missing Region",""),IF(M855="Unknown","Missing Ship Mode",""),IF(P855&lt;0,"Negative Discount",""),IF(P855&gt;0.7,"High Discount",""),IF(C855&lt;B855,"Ship Before Order",""))</f>
        <v>Ship Before Order</v>
      </c>
      <c r="Z855" s="2">
        <f>IFERROR(
  IF(ISNUMBER(B855),B855,
    IF(ISNUMBER(SEARCH("-",B855)*1),
      IF(LEN(LEFT(B855,FIND("-",B855)-1))=4,
        DATE(VALUE(LEFT(B855,4)),VALUE(MID(B855,6,2)),VALUE(RIGHT(B855,2))),
        DATE(VALUE(RIGHT(B855,4)),VALUE(MID(B855,4,2)),VALUE(LEFT(B855,2)))
      ),
      IF(ISNUMBER(SEARCH("/",B855)*1),
        DATE(VALUE(RIGHT(B855,4)),VALUE(LEFT(B855,2)),VALUE(MID(B855,4,2))),
        DATEVALUE(B855)
      )
    )
  ),
"INVALID_DATE")</f>
        <v>45793</v>
      </c>
      <c r="AA855" s="2">
        <f>IFERROR(
  IF(ISNUMBER(C855),C855,
    IF(ISNUMBER(SEARCH("-",C855)*1),
      IF(LEN(LEFT(C855,FIND("-",C855)-1))=4,
        DATE(VALUE(LEFT(C855,4)),VALUE(MID(C855,6,2)),VALUE(RIGHT(C855,2))),
        DATE(VALUE(RIGHT(C855,4)),VALUE(MID(C855,4,2)),VALUE(LEFT(C855,2)))
      ),
      IF(ISNUMBER(SEARCH("/",C855)*1),
        DATE(VALUE(RIGHT(C855,4)),VALUE(LEFT(C855,2)),VALUE(MID(C855,4,2))),
        DATEVALUE(C855)
      )
    )
  ),
"INVALID_DATE")</f>
        <v>45799</v>
      </c>
      <c r="AB855">
        <f>AA855-Z855</f>
        <v>6</v>
      </c>
      <c r="AC855" t="str">
        <f>TEXT(Z855,"mmmm")</f>
        <v>May</v>
      </c>
      <c r="AD855">
        <f>YEAR(Z855)</f>
        <v>2025</v>
      </c>
      <c r="AE855" t="str">
        <f t="shared" si="41"/>
        <v>OK</v>
      </c>
    </row>
    <row r="856" spans="1:31">
      <c r="A856" t="s">
        <v>3916</v>
      </c>
      <c r="B856" t="s">
        <v>3917</v>
      </c>
      <c r="C856" t="s">
        <v>3918</v>
      </c>
      <c r="D856" t="s">
        <v>3919</v>
      </c>
      <c r="E856" t="s">
        <v>149</v>
      </c>
      <c r="F856" t="s">
        <v>33</v>
      </c>
      <c r="G856" t="s">
        <v>69</v>
      </c>
      <c r="H856" t="s">
        <v>236</v>
      </c>
      <c r="I856" t="s">
        <v>237</v>
      </c>
      <c r="J856" t="s">
        <v>52</v>
      </c>
      <c r="K856" t="s">
        <v>211</v>
      </c>
      <c r="L856" t="s">
        <v>3920</v>
      </c>
      <c r="M856" t="s">
        <v>40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41</v>
      </c>
      <c r="U856" t="s">
        <v>42</v>
      </c>
      <c r="V856">
        <f>O856*(1-P856)*N856</f>
        <v>8487.8319999999985</v>
      </c>
      <c r="W856">
        <f t="shared" si="39"/>
        <v>3242.1119999999983</v>
      </c>
      <c r="X856">
        <f t="shared" si="40"/>
        <v>0.38197159933693303</v>
      </c>
      <c r="Y856" t="s">
        <v>4120</v>
      </c>
      <c r="Z856" s="2">
        <f>IFERROR(
  IF(ISNUMBER(B856),B856,
    IF(ISNUMBER(SEARCH("-",B856)*1),
      IF(LEN(LEFT(B856,FIND("-",B856)-1))=4,
        DATE(VALUE(LEFT(B856,4)),VALUE(MID(B856,6,2)),VALUE(RIGHT(B856,2))),
        DATE(VALUE(RIGHT(B856,4)),VALUE(MID(B856,4,2)),VALUE(LEFT(B856,2)))
      ),
      IF(ISNUMBER(SEARCH("/",B856)*1),
        DATE(VALUE(RIGHT(B856,4)),VALUE(LEFT(B856,2)),VALUE(MID(B856,4,2))),
        DATEVALUE(B856)
      )
    )
  ),
"INVALID_DATE")</f>
        <v>45741</v>
      </c>
      <c r="AA856" s="2">
        <f>IFERROR(
  IF(ISNUMBER(C856),C856,
    IF(ISNUMBER(SEARCH("-",C856)*1),
      IF(LEN(LEFT(C856,FIND("-",C856)-1))=4,
        DATE(VALUE(LEFT(C856,4)),VALUE(MID(C856,6,2)),VALUE(RIGHT(C856,2))),
        DATE(VALUE(RIGHT(C856,4)),VALUE(MID(C856,4,2)),VALUE(LEFT(C856,2)))
      ),
      IF(ISNUMBER(SEARCH("/",C856)*1),
        DATE(VALUE(RIGHT(C856,4)),VALUE(LEFT(C856,2)),VALUE(MID(C856,4,2))),
        DATEVALUE(C856)
      )
    )
  ),
"INVALID_DATE")</f>
        <v>45749</v>
      </c>
      <c r="AB856">
        <f>AA856-Z856</f>
        <v>8</v>
      </c>
      <c r="AC856" t="str">
        <f>TEXT(Z856,"mmmm")</f>
        <v>March</v>
      </c>
      <c r="AD856">
        <f>YEAR(Z856)</f>
        <v>2025</v>
      </c>
      <c r="AE856" t="str">
        <f t="shared" si="41"/>
        <v>OK</v>
      </c>
    </row>
    <row r="857" spans="1:31">
      <c r="A857" t="s">
        <v>3921</v>
      </c>
      <c r="B857" t="s">
        <v>746</v>
      </c>
      <c r="C857" t="s">
        <v>3922</v>
      </c>
      <c r="D857" t="s">
        <v>1724</v>
      </c>
      <c r="E857" t="s">
        <v>155</v>
      </c>
      <c r="F857" t="s">
        <v>33</v>
      </c>
      <c r="G857" t="s">
        <v>34</v>
      </c>
      <c r="H857" t="s">
        <v>35</v>
      </c>
      <c r="I857" t="s">
        <v>36</v>
      </c>
      <c r="J857" t="s">
        <v>37</v>
      </c>
      <c r="K857" t="s">
        <v>3923</v>
      </c>
      <c r="L857" t="s">
        <v>3924</v>
      </c>
      <c r="M857" t="s">
        <v>40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41</v>
      </c>
      <c r="U857" t="s">
        <v>42</v>
      </c>
      <c r="V857">
        <f>O857*(1-P857)*N857</f>
        <v>3110.2950000000001</v>
      </c>
      <c r="W857">
        <f t="shared" si="39"/>
        <v>1009.2649999999999</v>
      </c>
      <c r="X857">
        <f t="shared" si="40"/>
        <v>0.32449281419798731</v>
      </c>
      <c r="Y857" t="str">
        <f>_xlfn.TEXTJOIN(", ",TRUE,IF(G857="Unknown","Missing Region",""),IF(M857="Unknown","Missing Ship Mode",""),IF(P857&lt;0,"Negative Discount",""),IF(P857&gt;0.7,"High Discount",""),IF(C857&lt;B857,"Ship Before Order",""))</f>
        <v>Ship Before Order</v>
      </c>
      <c r="Z857" s="2">
        <f>IFERROR(
  IF(ISNUMBER(B857),B857,
    IF(ISNUMBER(SEARCH("-",B857)*1),
      IF(LEN(LEFT(B857,FIND("-",B857)-1))=4,
        DATE(VALUE(LEFT(B857,4)),VALUE(MID(B857,6,2)),VALUE(RIGHT(B857,2))),
        DATE(VALUE(RIGHT(B857,4)),VALUE(MID(B857,4,2)),VALUE(LEFT(B857,2)))
      ),
      IF(ISNUMBER(SEARCH("/",B857)*1),
        DATE(VALUE(RIGHT(B857,4)),VALUE(LEFT(B857,2)),VALUE(MID(B857,4,2))),
        DATEVALUE(B857)
      )
    )
  ),
"INVALID_DATE")</f>
        <v>45498</v>
      </c>
      <c r="AA857" s="2">
        <f>IFERROR(
  IF(ISNUMBER(C857),C857,
    IF(ISNUMBER(SEARCH("-",C857)*1),
      IF(LEN(LEFT(C857,FIND("-",C857)-1))=4,
        DATE(VALUE(LEFT(C857,4)),VALUE(MID(C857,6,2)),VALUE(RIGHT(C857,2))),
        DATE(VALUE(RIGHT(C857,4)),VALUE(MID(C857,4,2)),VALUE(LEFT(C857,2)))
      ),
      IF(ISNUMBER(SEARCH("/",C857)*1),
        DATE(VALUE(RIGHT(C857,4)),VALUE(LEFT(C857,2)),VALUE(MID(C857,4,2))),
        DATEVALUE(C857)
      )
    )
  ),
"INVALID_DATE")</f>
        <v>45506</v>
      </c>
      <c r="AB857">
        <f>AA857-Z857</f>
        <v>8</v>
      </c>
      <c r="AC857" t="str">
        <f>TEXT(Z857,"mmmm")</f>
        <v>July</v>
      </c>
      <c r="AD857">
        <f>YEAR(Z857)</f>
        <v>2024</v>
      </c>
      <c r="AE857" t="str">
        <f t="shared" si="41"/>
        <v>OK</v>
      </c>
    </row>
    <row r="858" spans="1:31">
      <c r="A858" t="s">
        <v>3925</v>
      </c>
      <c r="B858" t="s">
        <v>3926</v>
      </c>
      <c r="C858" t="s">
        <v>698</v>
      </c>
      <c r="D858" t="s">
        <v>1987</v>
      </c>
      <c r="E858" t="s">
        <v>187</v>
      </c>
      <c r="F858" t="s">
        <v>122</v>
      </c>
      <c r="G858" t="s">
        <v>69</v>
      </c>
      <c r="H858" t="s">
        <v>347</v>
      </c>
      <c r="I858" t="s">
        <v>348</v>
      </c>
      <c r="J858" t="s">
        <v>37</v>
      </c>
      <c r="K858" t="s">
        <v>163</v>
      </c>
      <c r="L858" t="s">
        <v>3927</v>
      </c>
      <c r="M858" t="s">
        <v>74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207</v>
      </c>
      <c r="U858" t="s">
        <v>85</v>
      </c>
      <c r="V858">
        <f>O858*(1-P858)*N858</f>
        <v>1833.2639999999999</v>
      </c>
      <c r="W858">
        <f t="shared" si="39"/>
        <v>866.71399999999994</v>
      </c>
      <c r="X858">
        <f t="shared" si="40"/>
        <v>0.1845524339829579</v>
      </c>
      <c r="Y858" t="str">
        <f>_xlfn.TEXTJOIN(", ",TRUE,IF(G858="Unknown","Missing Region",""),IF(M858="Unknown","Missing Ship Mode",""),IF(P858&lt;0,"Negative Discount",""),IF(P858&gt;0.7,"High Discount",""),IF(C858&lt;B858,"Ship Before Order",""))</f>
        <v>Negative Discount, Ship Before Order</v>
      </c>
      <c r="Z858" s="2">
        <f>IFERROR(
  IF(ISNUMBER(B858),B858,
    IF(ISNUMBER(SEARCH("-",B858)*1),
      IF(LEN(LEFT(B858,FIND("-",B858)-1))=4,
        DATE(VALUE(LEFT(B858,4)),VALUE(MID(B858,6,2)),VALUE(RIGHT(B858,2))),
        DATE(VALUE(RIGHT(B858,4)),VALUE(MID(B858,4,2)),VALUE(LEFT(B858,2)))
      ),
      IF(ISNUMBER(SEARCH("/",B858)*1),
        DATE(VALUE(RIGHT(B858,4)),VALUE(LEFT(B858,2)),VALUE(MID(B858,4,2))),
        DATEVALUE(B858)
      )
    )
  ),
"INVALID_DATE")</f>
        <v>45455</v>
      </c>
      <c r="AA858" s="2">
        <f>IFERROR(
  IF(ISNUMBER(C858),C858,
    IF(ISNUMBER(SEARCH("-",C858)*1),
      IF(LEN(LEFT(C858,FIND("-",C858)-1))=4,
        DATE(VALUE(LEFT(C858,4)),VALUE(MID(C858,6,2)),VALUE(RIGHT(C858,2))),
        DATE(VALUE(RIGHT(C858,4)),VALUE(MID(C858,4,2)),VALUE(LEFT(C858,2)))
      ),
      IF(ISNUMBER(SEARCH("/",C858)*1),
        DATE(VALUE(RIGHT(C858,4)),VALUE(LEFT(C858,2)),VALUE(MID(C858,4,2))),
        DATEVALUE(C858)
      )
    )
  ),
"INVALID_DATE")</f>
        <v>45462</v>
      </c>
      <c r="AB858">
        <f>AA858-Z858</f>
        <v>7</v>
      </c>
      <c r="AC858" t="str">
        <f>TEXT(Z858,"mmmm")</f>
        <v>June</v>
      </c>
      <c r="AD858">
        <f>YEAR(Z858)</f>
        <v>2024</v>
      </c>
      <c r="AE858" t="str">
        <f t="shared" si="41"/>
        <v>OK</v>
      </c>
    </row>
    <row r="859" spans="1:31">
      <c r="A859" t="s">
        <v>3928</v>
      </c>
      <c r="B859" t="s">
        <v>3929</v>
      </c>
      <c r="C859" t="s">
        <v>3930</v>
      </c>
      <c r="D859" t="s">
        <v>3243</v>
      </c>
      <c r="E859" t="s">
        <v>175</v>
      </c>
      <c r="F859" t="s">
        <v>122</v>
      </c>
      <c r="G859" t="s">
        <v>69</v>
      </c>
      <c r="H859" t="s">
        <v>249</v>
      </c>
      <c r="I859" t="s">
        <v>250</v>
      </c>
      <c r="J859" t="s">
        <v>37</v>
      </c>
      <c r="K859" t="s">
        <v>163</v>
      </c>
      <c r="L859" t="s">
        <v>3931</v>
      </c>
      <c r="M859" t="s">
        <v>63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41</v>
      </c>
      <c r="U859" t="s">
        <v>42</v>
      </c>
      <c r="V859">
        <f>O859*(1-P859)*N859</f>
        <v>12190.365</v>
      </c>
      <c r="W859">
        <f t="shared" si="39"/>
        <v>2013.375</v>
      </c>
      <c r="X859">
        <f t="shared" si="40"/>
        <v>0.16516083200168</v>
      </c>
      <c r="Y859" t="s">
        <v>4120</v>
      </c>
      <c r="Z859" s="2">
        <f>IFERROR(
  IF(ISNUMBER(B859),B859,
    IF(ISNUMBER(SEARCH("-",B859)*1),
      IF(LEN(LEFT(B859,FIND("-",B859)-1))=4,
        DATE(VALUE(LEFT(B859,4)),VALUE(MID(B859,6,2)),VALUE(RIGHT(B859,2))),
        DATE(VALUE(RIGHT(B859,4)),VALUE(MID(B859,4,2)),VALUE(LEFT(B859,2)))
      ),
      IF(ISNUMBER(SEARCH("/",B859)*1),
        DATE(VALUE(RIGHT(B859,4)),VALUE(LEFT(B859,2)),VALUE(MID(B859,4,2))),
        DATEVALUE(B859)
      )
    )
  ),
"INVALID_DATE")</f>
        <v>45447</v>
      </c>
      <c r="AA859" s="2">
        <f>IFERROR(
  IF(ISNUMBER(C859),C859,
    IF(ISNUMBER(SEARCH("-",C859)*1),
      IF(LEN(LEFT(C859,FIND("-",C859)-1))=4,
        DATE(VALUE(LEFT(C859,4)),VALUE(MID(C859,6,2)),VALUE(RIGHT(C859,2))),
        DATE(VALUE(RIGHT(C859,4)),VALUE(MID(C859,4,2)),VALUE(LEFT(C859,2)))
      ),
      IF(ISNUMBER(SEARCH("/",C859)*1),
        DATE(VALUE(RIGHT(C859,4)),VALUE(LEFT(C859,2)),VALUE(MID(C859,4,2))),
        DATEVALUE(C859)
      )
    )
  ),
"INVALID_DATE")</f>
        <v>45447</v>
      </c>
      <c r="AB859">
        <f>AA859-Z859</f>
        <v>0</v>
      </c>
      <c r="AC859" t="str">
        <f>TEXT(Z859,"mmmm")</f>
        <v>June</v>
      </c>
      <c r="AD859">
        <f>YEAR(Z859)</f>
        <v>2024</v>
      </c>
      <c r="AE859" t="str">
        <f t="shared" si="41"/>
        <v>OK</v>
      </c>
    </row>
    <row r="860" spans="1:31">
      <c r="A860" t="s">
        <v>3932</v>
      </c>
      <c r="B860" t="s">
        <v>1233</v>
      </c>
      <c r="C860" t="s">
        <v>1302</v>
      </c>
      <c r="D860" t="s">
        <v>3933</v>
      </c>
      <c r="E860" t="s">
        <v>68</v>
      </c>
      <c r="F860" t="s">
        <v>33</v>
      </c>
      <c r="G860" t="s">
        <v>49</v>
      </c>
      <c r="H860" t="s">
        <v>50</v>
      </c>
      <c r="I860" t="s">
        <v>51</v>
      </c>
      <c r="J860" t="s">
        <v>93</v>
      </c>
      <c r="K860" t="s">
        <v>94</v>
      </c>
      <c r="L860" t="s">
        <v>3934</v>
      </c>
      <c r="M860" t="s">
        <v>40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41</v>
      </c>
      <c r="U860" t="s">
        <v>42</v>
      </c>
      <c r="V860">
        <f>O860*(1-P860)*N860</f>
        <v>11619.44</v>
      </c>
      <c r="W860">
        <f t="shared" si="39"/>
        <v>4435.1200000000008</v>
      </c>
      <c r="X860">
        <f t="shared" si="40"/>
        <v>0.38682070736627583</v>
      </c>
      <c r="Y860" t="s">
        <v>4120</v>
      </c>
      <c r="Z860" s="2">
        <f>IFERROR(
  IF(ISNUMBER(B860),B860,
    IF(ISNUMBER(SEARCH("-",B860)*1),
      IF(LEN(LEFT(B860,FIND("-",B860)-1))=4,
        DATE(VALUE(LEFT(B860,4)),VALUE(MID(B860,6,2)),VALUE(RIGHT(B860,2))),
        DATE(VALUE(RIGHT(B860,4)),VALUE(MID(B860,4,2)),VALUE(LEFT(B860,2)))
      ),
      IF(ISNUMBER(SEARCH("/",B860)*1),
        DATE(VALUE(RIGHT(B860,4)),VALUE(LEFT(B860,2)),VALUE(MID(B860,4,2))),
        DATEVALUE(B860)
      )
    )
  ),
"INVALID_DATE")</f>
        <v>45414</v>
      </c>
      <c r="AA860" s="2">
        <f>IFERROR(
  IF(ISNUMBER(C860),C860,
    IF(ISNUMBER(SEARCH("-",C860)*1),
      IF(LEN(LEFT(C860,FIND("-",C860)-1))=4,
        DATE(VALUE(LEFT(C860,4)),VALUE(MID(C860,6,2)),VALUE(RIGHT(C860,2))),
        DATE(VALUE(RIGHT(C860,4)),VALUE(MID(C860,4,2)),VALUE(LEFT(C860,2)))
      ),
      IF(ISNUMBER(SEARCH("/",C860)*1),
        DATE(VALUE(RIGHT(C860,4)),VALUE(LEFT(C860,2)),VALUE(MID(C860,4,2))),
        DATEVALUE(C860)
      )
    )
  ),
"INVALID_DATE")</f>
        <v>45421</v>
      </c>
      <c r="AB860">
        <f>AA860-Z860</f>
        <v>7</v>
      </c>
      <c r="AC860" t="str">
        <f>TEXT(Z860,"mmmm")</f>
        <v>May</v>
      </c>
      <c r="AD860">
        <f>YEAR(Z860)</f>
        <v>2024</v>
      </c>
      <c r="AE860" t="str">
        <f t="shared" si="41"/>
        <v>OK</v>
      </c>
    </row>
    <row r="861" spans="1:31">
      <c r="A861" t="s">
        <v>3935</v>
      </c>
      <c r="B861" t="s">
        <v>3513</v>
      </c>
      <c r="C861" t="s">
        <v>3936</v>
      </c>
      <c r="D861" t="s">
        <v>3937</v>
      </c>
      <c r="E861" t="s">
        <v>114</v>
      </c>
      <c r="F861" t="s">
        <v>115</v>
      </c>
      <c r="G861" t="s">
        <v>69</v>
      </c>
      <c r="H861" t="s">
        <v>347</v>
      </c>
      <c r="I861" t="s">
        <v>348</v>
      </c>
      <c r="J861" t="s">
        <v>93</v>
      </c>
      <c r="K861" t="s">
        <v>230</v>
      </c>
      <c r="L861" t="s">
        <v>3938</v>
      </c>
      <c r="M861" t="s">
        <v>74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41</v>
      </c>
      <c r="U861" t="s">
        <v>42</v>
      </c>
      <c r="V861">
        <f>O861*(1-P861)*N861</f>
        <v>25075.439999999999</v>
      </c>
      <c r="W861">
        <f t="shared" si="39"/>
        <v>8792.6999999999989</v>
      </c>
      <c r="X861">
        <f t="shared" si="40"/>
        <v>0.35064987892535487</v>
      </c>
      <c r="Y861" t="s">
        <v>4120</v>
      </c>
      <c r="Z861" s="2">
        <f>IFERROR(
  IF(ISNUMBER(B861),B861,
    IF(ISNUMBER(SEARCH("-",B861)*1),
      IF(LEN(LEFT(B861,FIND("-",B861)-1))=4,
        DATE(VALUE(LEFT(B861,4)),VALUE(MID(B861,6,2)),VALUE(RIGHT(B861,2))),
        DATE(VALUE(RIGHT(B861,4)),VALUE(MID(B861,4,2)),VALUE(LEFT(B861,2)))
      ),
      IF(ISNUMBER(SEARCH("/",B861)*1),
        DATE(VALUE(RIGHT(B861,4)),VALUE(LEFT(B861,2)),VALUE(MID(B861,4,2))),
        DATEVALUE(B861)
      )
    )
  ),
"INVALID_DATE")</f>
        <v>45592</v>
      </c>
      <c r="AA861" s="2">
        <f>IFERROR(
  IF(ISNUMBER(C861),C861,
    IF(ISNUMBER(SEARCH("-",C861)*1),
      IF(LEN(LEFT(C861,FIND("-",C861)-1))=4,
        DATE(VALUE(LEFT(C861,4)),VALUE(MID(C861,6,2)),VALUE(RIGHT(C861,2))),
        DATE(VALUE(RIGHT(C861,4)),VALUE(MID(C861,4,2)),VALUE(LEFT(C861,2)))
      ),
      IF(ISNUMBER(SEARCH("/",C861)*1),
        DATE(VALUE(RIGHT(C861,4)),VALUE(LEFT(C861,2)),VALUE(MID(C861,4,2))),
        DATEVALUE(C861)
      )
    )
  ),
"INVALID_DATE")</f>
        <v>45597</v>
      </c>
      <c r="AB861">
        <f>AA861-Z861</f>
        <v>5</v>
      </c>
      <c r="AC861" t="str">
        <f>TEXT(Z861,"mmmm")</f>
        <v>October</v>
      </c>
      <c r="AD861">
        <f>YEAR(Z861)</f>
        <v>2024</v>
      </c>
      <c r="AE861" t="str">
        <f t="shared" si="41"/>
        <v>OK</v>
      </c>
    </row>
    <row r="862" spans="1:31">
      <c r="A862" t="s">
        <v>3939</v>
      </c>
      <c r="B862" t="s">
        <v>751</v>
      </c>
      <c r="C862" t="s">
        <v>3940</v>
      </c>
      <c r="D862" t="s">
        <v>3941</v>
      </c>
      <c r="E862" t="s">
        <v>90</v>
      </c>
      <c r="F862" t="s">
        <v>122</v>
      </c>
      <c r="G862" t="s">
        <v>34</v>
      </c>
      <c r="H862" t="s">
        <v>181</v>
      </c>
      <c r="I862" t="s">
        <v>182</v>
      </c>
      <c r="J862" t="s">
        <v>37</v>
      </c>
      <c r="K862" t="s">
        <v>163</v>
      </c>
      <c r="L862" t="s">
        <v>3942</v>
      </c>
      <c r="M862" t="s">
        <v>40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41</v>
      </c>
      <c r="U862" t="s">
        <v>42</v>
      </c>
      <c r="V862">
        <f>O862*(1-P862)*N862</f>
        <v>4177.4539999999997</v>
      </c>
      <c r="W862">
        <f t="shared" si="39"/>
        <v>1877.9539999999997</v>
      </c>
      <c r="X862">
        <f t="shared" si="40"/>
        <v>0.44954457863050429</v>
      </c>
      <c r="Y862" t="s">
        <v>4120</v>
      </c>
      <c r="Z862" s="2">
        <f>IFERROR(
  IF(ISNUMBER(B862),B862,
    IF(ISNUMBER(SEARCH("-",B862)*1),
      IF(LEN(LEFT(B862,FIND("-",B862)-1))=4,
        DATE(VALUE(LEFT(B862,4)),VALUE(MID(B862,6,2)),VALUE(RIGHT(B862,2))),
        DATE(VALUE(RIGHT(B862,4)),VALUE(MID(B862,4,2)),VALUE(LEFT(B862,2)))
      ),
      IF(ISNUMBER(SEARCH("/",B862)*1),
        DATE(VALUE(RIGHT(B862,4)),VALUE(LEFT(B862,2)),VALUE(MID(B862,4,2))),
        DATEVALUE(B862)
      )
    )
  ),
"INVALID_DATE")</f>
        <v>45324</v>
      </c>
      <c r="AA862" s="2">
        <f>IFERROR(
  IF(ISNUMBER(C862),C862,
    IF(ISNUMBER(SEARCH("-",C862)*1),
      IF(LEN(LEFT(C862,FIND("-",C862)-1))=4,
        DATE(VALUE(LEFT(C862,4)),VALUE(MID(C862,6,2)),VALUE(RIGHT(C862,2))),
        DATE(VALUE(RIGHT(C862,4)),VALUE(MID(C862,4,2)),VALUE(LEFT(C862,2)))
      ),
      IF(ISNUMBER(SEARCH("/",C862)*1),
        DATE(VALUE(RIGHT(C862,4)),VALUE(LEFT(C862,2)),VALUE(MID(C862,4,2))),
        DATEVALUE(C862)
      )
    )
  ),
"INVALID_DATE")</f>
        <v>45326</v>
      </c>
      <c r="AB862">
        <f>AA862-Z862</f>
        <v>2</v>
      </c>
      <c r="AC862" t="str">
        <f>TEXT(Z862,"mmmm")</f>
        <v>February</v>
      </c>
      <c r="AD862">
        <f>YEAR(Z862)</f>
        <v>2024</v>
      </c>
      <c r="AE862" t="str">
        <f t="shared" si="41"/>
        <v>OK</v>
      </c>
    </row>
    <row r="863" spans="1:31">
      <c r="A863" t="s">
        <v>3943</v>
      </c>
      <c r="B863" t="s">
        <v>3944</v>
      </c>
      <c r="C863" t="s">
        <v>3945</v>
      </c>
      <c r="D863" t="s">
        <v>3946</v>
      </c>
      <c r="E863" t="s">
        <v>149</v>
      </c>
      <c r="F863" t="s">
        <v>122</v>
      </c>
      <c r="G863" t="s">
        <v>34</v>
      </c>
      <c r="H863" t="s">
        <v>514</v>
      </c>
      <c r="I863" t="s">
        <v>515</v>
      </c>
      <c r="J863" t="s">
        <v>52</v>
      </c>
      <c r="K863" t="s">
        <v>72</v>
      </c>
      <c r="L863" t="s">
        <v>3947</v>
      </c>
      <c r="M863" t="s">
        <v>55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41</v>
      </c>
      <c r="U863" t="s">
        <v>42</v>
      </c>
      <c r="V863">
        <f>O863*(1-P863)*N863</f>
        <v>10898.175999999999</v>
      </c>
      <c r="W863">
        <f t="shared" si="39"/>
        <v>4666.7659999999996</v>
      </c>
      <c r="X863">
        <f t="shared" si="40"/>
        <v>0.42821553690616232</v>
      </c>
      <c r="Y863" t="s">
        <v>4120</v>
      </c>
      <c r="Z863" s="2">
        <f>IFERROR(
  IF(ISNUMBER(B863),B863,
    IF(ISNUMBER(SEARCH("-",B863)*1),
      IF(LEN(LEFT(B863,FIND("-",B863)-1))=4,
        DATE(VALUE(LEFT(B863,4)),VALUE(MID(B863,6,2)),VALUE(RIGHT(B863,2))),
        DATE(VALUE(RIGHT(B863,4)),VALUE(MID(B863,4,2)),VALUE(LEFT(B863,2)))
      ),
      IF(ISNUMBER(SEARCH("/",B863)*1),
        DATE(VALUE(RIGHT(B863,4)),VALUE(LEFT(B863,2)),VALUE(MID(B863,4,2))),
        DATEVALUE(B863)
      )
    )
  ),
"INVALID_DATE")</f>
        <v>45724</v>
      </c>
      <c r="AA863" s="2">
        <f>IFERROR(
  IF(ISNUMBER(C863),C863,
    IF(ISNUMBER(SEARCH("-",C863)*1),
      IF(LEN(LEFT(C863,FIND("-",C863)-1))=4,
        DATE(VALUE(LEFT(C863,4)),VALUE(MID(C863,6,2)),VALUE(RIGHT(C863,2))),
        DATE(VALUE(RIGHT(C863,4)),VALUE(MID(C863,4,2)),VALUE(LEFT(C863,2)))
      ),
      IF(ISNUMBER(SEARCH("/",C863)*1),
        DATE(VALUE(RIGHT(C863,4)),VALUE(LEFT(C863,2)),VALUE(MID(C863,4,2))),
        DATEVALUE(C863)
      )
    )
  ),
"INVALID_DATE")</f>
        <v>45725</v>
      </c>
      <c r="AB863">
        <f>AA863-Z863</f>
        <v>1</v>
      </c>
      <c r="AC863" t="str">
        <f>TEXT(Z863,"mmmm")</f>
        <v>March</v>
      </c>
      <c r="AD863">
        <f>YEAR(Z863)</f>
        <v>2025</v>
      </c>
      <c r="AE863" t="str">
        <f t="shared" si="41"/>
        <v>OK</v>
      </c>
    </row>
    <row r="864" spans="1:31">
      <c r="A864" t="s">
        <v>3948</v>
      </c>
      <c r="B864" t="s">
        <v>3323</v>
      </c>
      <c r="C864" t="s">
        <v>3949</v>
      </c>
      <c r="D864" t="s">
        <v>3950</v>
      </c>
      <c r="E864" t="s">
        <v>149</v>
      </c>
      <c r="F864" t="s">
        <v>48</v>
      </c>
      <c r="G864" t="s">
        <v>49</v>
      </c>
      <c r="H864" t="s">
        <v>319</v>
      </c>
      <c r="I864" t="s">
        <v>320</v>
      </c>
      <c r="J864" t="s">
        <v>37</v>
      </c>
      <c r="K864" t="s">
        <v>205</v>
      </c>
      <c r="L864" t="s">
        <v>3951</v>
      </c>
      <c r="M864" t="s">
        <v>63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41</v>
      </c>
      <c r="U864" t="s">
        <v>85</v>
      </c>
      <c r="V864">
        <f>O864*(1-P864)*N864</f>
        <v>6975.7000000000007</v>
      </c>
      <c r="W864">
        <f t="shared" si="39"/>
        <v>2177.8200000000006</v>
      </c>
      <c r="X864">
        <f t="shared" si="40"/>
        <v>0.31220092607193545</v>
      </c>
      <c r="Y864" t="s">
        <v>4120</v>
      </c>
      <c r="Z864" s="2">
        <f>IFERROR(
  IF(ISNUMBER(B864),B864,
    IF(ISNUMBER(SEARCH("-",B864)*1),
      IF(LEN(LEFT(B864,FIND("-",B864)-1))=4,
        DATE(VALUE(LEFT(B864,4)),VALUE(MID(B864,6,2)),VALUE(RIGHT(B864,2))),
        DATE(VALUE(RIGHT(B864,4)),VALUE(MID(B864,4,2)),VALUE(LEFT(B864,2)))
      ),
      IF(ISNUMBER(SEARCH("/",B864)*1),
        DATE(VALUE(RIGHT(B864,4)),VALUE(LEFT(B864,2)),VALUE(MID(B864,4,2))),
        DATEVALUE(B864)
      )
    )
  ),
"INVALID_DATE")</f>
        <v>45742</v>
      </c>
      <c r="AA864" s="2">
        <f>IFERROR(
  IF(ISNUMBER(C864),C864,
    IF(ISNUMBER(SEARCH("-",C864)*1),
      IF(LEN(LEFT(C864,FIND("-",C864)-1))=4,
        DATE(VALUE(LEFT(C864,4)),VALUE(MID(C864,6,2)),VALUE(RIGHT(C864,2))),
        DATE(VALUE(RIGHT(C864,4)),VALUE(MID(C864,4,2)),VALUE(LEFT(C864,2)))
      ),
      IF(ISNUMBER(SEARCH("/",C864)*1),
        DATE(VALUE(RIGHT(C864,4)),VALUE(LEFT(C864,2)),VALUE(MID(C864,4,2))),
        DATEVALUE(C864)
      )
    )
  ),
"INVALID_DATE")</f>
        <v>45747</v>
      </c>
      <c r="AB864">
        <f>AA864-Z864</f>
        <v>5</v>
      </c>
      <c r="AC864" t="str">
        <f>TEXT(Z864,"mmmm")</f>
        <v>March</v>
      </c>
      <c r="AD864">
        <f>YEAR(Z864)</f>
        <v>2025</v>
      </c>
      <c r="AE864" t="str">
        <f t="shared" si="41"/>
        <v>OK</v>
      </c>
    </row>
    <row r="865" spans="1:31">
      <c r="A865" t="s">
        <v>3952</v>
      </c>
      <c r="B865" t="s">
        <v>3953</v>
      </c>
      <c r="C865" t="s">
        <v>2740</v>
      </c>
      <c r="D865" t="s">
        <v>3954</v>
      </c>
      <c r="E865" t="s">
        <v>169</v>
      </c>
      <c r="F865" t="s">
        <v>122</v>
      </c>
      <c r="G865" t="s">
        <v>80</v>
      </c>
      <c r="H865" t="s">
        <v>91</v>
      </c>
      <c r="I865" t="s">
        <v>92</v>
      </c>
      <c r="J865" t="s">
        <v>52</v>
      </c>
      <c r="K865" t="s">
        <v>72</v>
      </c>
      <c r="L865" t="s">
        <v>3955</v>
      </c>
      <c r="M865" t="s">
        <v>55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41</v>
      </c>
      <c r="U865" t="s">
        <v>42</v>
      </c>
      <c r="V865">
        <f>O865*(1-P865)*N865</f>
        <v>8811.69</v>
      </c>
      <c r="W865">
        <f t="shared" si="39"/>
        <v>2045.7800000000007</v>
      </c>
      <c r="X865">
        <f t="shared" si="40"/>
        <v>0.23216658779416888</v>
      </c>
      <c r="Y865" t="s">
        <v>4120</v>
      </c>
      <c r="Z865" s="2">
        <f>IFERROR(
  IF(ISNUMBER(B865),B865,
    IF(ISNUMBER(SEARCH("-",B865)*1),
      IF(LEN(LEFT(B865,FIND("-",B865)-1))=4,
        DATE(VALUE(LEFT(B865,4)),VALUE(MID(B865,6,2)),VALUE(RIGHT(B865,2))),
        DATE(VALUE(RIGHT(B865,4)),VALUE(MID(B865,4,2)),VALUE(LEFT(B865,2)))
      ),
      IF(ISNUMBER(SEARCH("/",B865)*1),
        DATE(VALUE(RIGHT(B865,4)),VALUE(LEFT(B865,2)),VALUE(MID(B865,4,2))),
        DATEVALUE(B865)
      )
    )
  ),
"INVALID_DATE")</f>
        <v>45906</v>
      </c>
      <c r="AA865" s="2">
        <f>IFERROR(
  IF(ISNUMBER(C865),C865,
    IF(ISNUMBER(SEARCH("-",C865)*1),
      IF(LEN(LEFT(C865,FIND("-",C865)-1))=4,
        DATE(VALUE(LEFT(C865,4)),VALUE(MID(C865,6,2)),VALUE(RIGHT(C865,2))),
        DATE(VALUE(RIGHT(C865,4)),VALUE(MID(C865,4,2)),VALUE(LEFT(C865,2)))
      ),
      IF(ISNUMBER(SEARCH("/",C865)*1),
        DATE(VALUE(RIGHT(C865,4)),VALUE(LEFT(C865,2)),VALUE(MID(C865,4,2))),
        DATEVALUE(C865)
      )
    )
  ),
"INVALID_DATE")</f>
        <v>45908</v>
      </c>
      <c r="AB865">
        <f>AA865-Z865</f>
        <v>2</v>
      </c>
      <c r="AC865" t="str">
        <f>TEXT(Z865,"mmmm")</f>
        <v>September</v>
      </c>
      <c r="AD865">
        <f>YEAR(Z865)</f>
        <v>2025</v>
      </c>
      <c r="AE865" t="str">
        <f t="shared" si="41"/>
        <v>OK</v>
      </c>
    </row>
    <row r="866" spans="1:31">
      <c r="A866" t="s">
        <v>3956</v>
      </c>
      <c r="B866" t="s">
        <v>3957</v>
      </c>
      <c r="C866" t="s">
        <v>580</v>
      </c>
      <c r="D866" t="s">
        <v>3958</v>
      </c>
      <c r="E866" t="s">
        <v>90</v>
      </c>
      <c r="F866" t="s">
        <v>33</v>
      </c>
      <c r="G866" t="s">
        <v>69</v>
      </c>
      <c r="H866" t="s">
        <v>347</v>
      </c>
      <c r="I866" t="s">
        <v>348</v>
      </c>
      <c r="J866" t="s">
        <v>93</v>
      </c>
      <c r="K866" t="s">
        <v>230</v>
      </c>
      <c r="L866" t="s">
        <v>3959</v>
      </c>
      <c r="M866" t="s">
        <v>63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41</v>
      </c>
      <c r="U866" t="s">
        <v>42</v>
      </c>
      <c r="V866">
        <f>O866*(1-P866)*N866</f>
        <v>17034.349999999999</v>
      </c>
      <c r="W866">
        <f t="shared" si="39"/>
        <v>2402.989999999998</v>
      </c>
      <c r="X866">
        <f t="shared" si="40"/>
        <v>0.14106731398615152</v>
      </c>
      <c r="Y866" t="s">
        <v>4120</v>
      </c>
      <c r="Z866" s="2">
        <f>IFERROR(
  IF(ISNUMBER(B866),B866,
    IF(ISNUMBER(SEARCH("-",B866)*1),
      IF(LEN(LEFT(B866,FIND("-",B866)-1))=4,
        DATE(VALUE(LEFT(B866,4)),VALUE(MID(B866,6,2)),VALUE(RIGHT(B866,2))),
        DATE(VALUE(RIGHT(B866,4)),VALUE(MID(B866,4,2)),VALUE(LEFT(B866,2)))
      ),
      IF(ISNUMBER(SEARCH("/",B866)*1),
        DATE(VALUE(RIGHT(B866,4)),VALUE(LEFT(B866,2)),VALUE(MID(B866,4,2))),
        DATEVALUE(B866)
      )
    )
  ),
"INVALID_DATE")</f>
        <v>45902</v>
      </c>
      <c r="AA866" s="2">
        <f>IFERROR(
  IF(ISNUMBER(C866),C866,
    IF(ISNUMBER(SEARCH("-",C866)*1),
      IF(LEN(LEFT(C866,FIND("-",C866)-1))=4,
        DATE(VALUE(LEFT(C866,4)),VALUE(MID(C866,6,2)),VALUE(RIGHT(C866,2))),
        DATE(VALUE(RIGHT(C866,4)),VALUE(MID(C866,4,2)),VALUE(LEFT(C866,2)))
      ),
      IF(ISNUMBER(SEARCH("/",C866)*1),
        DATE(VALUE(RIGHT(C866,4)),VALUE(LEFT(C866,2)),VALUE(MID(C866,4,2))),
        DATEVALUE(C866)
      )
    )
  ),
"INVALID_DATE")</f>
        <v>45905</v>
      </c>
      <c r="AB866">
        <f>AA866-Z866</f>
        <v>3</v>
      </c>
      <c r="AC866" t="str">
        <f>TEXT(Z866,"mmmm")</f>
        <v>September</v>
      </c>
      <c r="AD866">
        <f>YEAR(Z866)</f>
        <v>2025</v>
      </c>
      <c r="AE866" t="str">
        <f t="shared" si="41"/>
        <v>OK</v>
      </c>
    </row>
    <row r="867" spans="1:31">
      <c r="A867" t="s">
        <v>3960</v>
      </c>
      <c r="B867" t="s">
        <v>3774</v>
      </c>
      <c r="C867" t="s">
        <v>1928</v>
      </c>
      <c r="D867" t="s">
        <v>3961</v>
      </c>
      <c r="E867" t="s">
        <v>374</v>
      </c>
      <c r="F867" t="s">
        <v>33</v>
      </c>
      <c r="G867" t="s">
        <v>80</v>
      </c>
      <c r="H867" t="s">
        <v>81</v>
      </c>
      <c r="I867" t="s">
        <v>82</v>
      </c>
      <c r="J867" t="s">
        <v>37</v>
      </c>
      <c r="K867" t="s">
        <v>116</v>
      </c>
      <c r="L867" t="s">
        <v>3962</v>
      </c>
      <c r="M867" t="s">
        <v>40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41</v>
      </c>
      <c r="U867" t="s">
        <v>42</v>
      </c>
      <c r="V867">
        <f>O867*(1-P867)*N867</f>
        <v>7984.08</v>
      </c>
      <c r="W867">
        <f t="shared" si="39"/>
        <v>2326.0299999999997</v>
      </c>
      <c r="X867">
        <f t="shared" si="40"/>
        <v>0.29133350367230793</v>
      </c>
      <c r="Y867" t="s">
        <v>4120</v>
      </c>
      <c r="Z867" s="2">
        <f>IFERROR(
  IF(ISNUMBER(B867),B867,
    IF(ISNUMBER(SEARCH("-",B867)*1),
      IF(LEN(LEFT(B867,FIND("-",B867)-1))=4,
        DATE(VALUE(LEFT(B867,4)),VALUE(MID(B867,6,2)),VALUE(RIGHT(B867,2))),
        DATE(VALUE(RIGHT(B867,4)),VALUE(MID(B867,4,2)),VALUE(LEFT(B867,2)))
      ),
      IF(ISNUMBER(SEARCH("/",B867)*1),
        DATE(VALUE(RIGHT(B867,4)),VALUE(LEFT(B867,2)),VALUE(MID(B867,4,2))),
        DATEVALUE(B867)
      )
    )
  ),
"INVALID_DATE")</f>
        <v>45694</v>
      </c>
      <c r="AA867" s="2">
        <f>IFERROR(
  IF(ISNUMBER(C867),C867,
    IF(ISNUMBER(SEARCH("-",C867)*1),
      IF(LEN(LEFT(C867,FIND("-",C867)-1))=4,
        DATE(VALUE(LEFT(C867,4)),VALUE(MID(C867,6,2)),VALUE(RIGHT(C867,2))),
        DATE(VALUE(RIGHT(C867,4)),VALUE(MID(C867,4,2)),VALUE(LEFT(C867,2)))
      ),
      IF(ISNUMBER(SEARCH("/",C867)*1),
        DATE(VALUE(RIGHT(C867,4)),VALUE(LEFT(C867,2)),VALUE(MID(C867,4,2))),
        DATEVALUE(C867)
      )
    )
  ),
"INVALID_DATE")</f>
        <v>45702</v>
      </c>
      <c r="AB867">
        <f>AA867-Z867</f>
        <v>8</v>
      </c>
      <c r="AC867" t="str">
        <f>TEXT(Z867,"mmmm")</f>
        <v>February</v>
      </c>
      <c r="AD867">
        <f>YEAR(Z867)</f>
        <v>2025</v>
      </c>
      <c r="AE867" t="str">
        <f t="shared" si="41"/>
        <v>OK</v>
      </c>
    </row>
    <row r="868" spans="1:31">
      <c r="A868" t="s">
        <v>3963</v>
      </c>
      <c r="B868" t="s">
        <v>1194</v>
      </c>
      <c r="C868" t="s">
        <v>3964</v>
      </c>
      <c r="D868" t="s">
        <v>3965</v>
      </c>
      <c r="E868" t="s">
        <v>149</v>
      </c>
      <c r="F868" t="s">
        <v>33</v>
      </c>
      <c r="G868" t="s">
        <v>49</v>
      </c>
      <c r="H868" t="s">
        <v>193</v>
      </c>
      <c r="I868" t="s">
        <v>194</v>
      </c>
      <c r="J868" t="s">
        <v>52</v>
      </c>
      <c r="K868" t="s">
        <v>211</v>
      </c>
      <c r="L868" t="s">
        <v>3966</v>
      </c>
      <c r="M868" t="s">
        <v>63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144</v>
      </c>
      <c r="U868" t="s">
        <v>85</v>
      </c>
      <c r="V868">
        <f>O868*(1-P868)*N868</f>
        <v>21912.263999999999</v>
      </c>
      <c r="W868">
        <f t="shared" si="39"/>
        <v>5544.4839999999986</v>
      </c>
      <c r="X868">
        <f t="shared" si="40"/>
        <v>0.25303095162251632</v>
      </c>
      <c r="Y868" t="s">
        <v>4120</v>
      </c>
      <c r="Z868" s="2">
        <f>IFERROR(
  IF(ISNUMBER(B868),B868,
    IF(ISNUMBER(SEARCH("-",B868)*1),
      IF(LEN(LEFT(B868,FIND("-",B868)-1))=4,
        DATE(VALUE(LEFT(B868,4)),VALUE(MID(B868,6,2)),VALUE(RIGHT(B868,2))),
        DATE(VALUE(RIGHT(B868,4)),VALUE(MID(B868,4,2)),VALUE(LEFT(B868,2)))
      ),
      IF(ISNUMBER(SEARCH("/",B868)*1),
        DATE(VALUE(RIGHT(B868,4)),VALUE(LEFT(B868,2)),VALUE(MID(B868,4,2))),
        DATEVALUE(B868)
      )
    )
  ),
"INVALID_DATE")</f>
        <v>45714</v>
      </c>
      <c r="AA868" s="2">
        <f>IFERROR(
  IF(ISNUMBER(C868),C868,
    IF(ISNUMBER(SEARCH("-",C868)*1),
      IF(LEN(LEFT(C868,FIND("-",C868)-1))=4,
        DATE(VALUE(LEFT(C868,4)),VALUE(MID(C868,6,2)),VALUE(RIGHT(C868,2))),
        DATE(VALUE(RIGHT(C868,4)),VALUE(MID(C868,4,2)),VALUE(LEFT(C868,2)))
      ),
      IF(ISNUMBER(SEARCH("/",C868)*1),
        DATE(VALUE(RIGHT(C868,4)),VALUE(LEFT(C868,2)),VALUE(MID(C868,4,2))),
        DATEVALUE(C868)
      )
    )
  ),
"INVALID_DATE")</f>
        <v>45722</v>
      </c>
      <c r="AB868">
        <f>AA868-Z868</f>
        <v>8</v>
      </c>
      <c r="AC868" t="str">
        <f>TEXT(Z868,"mmmm")</f>
        <v>February</v>
      </c>
      <c r="AD868">
        <f>YEAR(Z868)</f>
        <v>2025</v>
      </c>
      <c r="AE868" t="str">
        <f t="shared" si="41"/>
        <v>OK</v>
      </c>
    </row>
    <row r="869" spans="1:31">
      <c r="A869" t="s">
        <v>3967</v>
      </c>
      <c r="B869" t="s">
        <v>3968</v>
      </c>
      <c r="C869" t="s">
        <v>3969</v>
      </c>
      <c r="D869" t="s">
        <v>3970</v>
      </c>
      <c r="E869" t="s">
        <v>155</v>
      </c>
      <c r="F869" t="s">
        <v>122</v>
      </c>
      <c r="G869" t="s">
        <v>69</v>
      </c>
      <c r="H869" t="s">
        <v>107</v>
      </c>
      <c r="I869" t="s">
        <v>108</v>
      </c>
      <c r="J869" t="s">
        <v>93</v>
      </c>
      <c r="K869" t="s">
        <v>94</v>
      </c>
      <c r="L869" t="s">
        <v>3971</v>
      </c>
      <c r="M869" t="s">
        <v>55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207</v>
      </c>
      <c r="U869" t="s">
        <v>85</v>
      </c>
      <c r="V869">
        <f>O869*(1-P869)*N869</f>
        <v>4695.7049999999999</v>
      </c>
      <c r="W869">
        <f t="shared" si="39"/>
        <v>824.01499999999987</v>
      </c>
      <c r="X869">
        <f t="shared" si="40"/>
        <v>0.17548182379623911</v>
      </c>
      <c r="Y869" t="s">
        <v>4120</v>
      </c>
      <c r="Z869" s="2">
        <f>IFERROR(
  IF(ISNUMBER(B869),B869,
    IF(ISNUMBER(SEARCH("-",B869)*1),
      IF(LEN(LEFT(B869,FIND("-",B869)-1))=4,
        DATE(VALUE(LEFT(B869,4)),VALUE(MID(B869,6,2)),VALUE(RIGHT(B869,2))),
        DATE(VALUE(RIGHT(B869,4)),VALUE(MID(B869,4,2)),VALUE(LEFT(B869,2)))
      ),
      IF(ISNUMBER(SEARCH("/",B869)*1),
        DATE(VALUE(RIGHT(B869,4)),VALUE(LEFT(B869,2)),VALUE(MID(B869,4,2))),
        DATEVALUE(B869)
      )
    )
  ),
"INVALID_DATE")</f>
        <v>45617</v>
      </c>
      <c r="AA869" s="2">
        <f>IFERROR(
  IF(ISNUMBER(C869),C869,
    IF(ISNUMBER(SEARCH("-",C869)*1),
      IF(LEN(LEFT(C869,FIND("-",C869)-1))=4,
        DATE(VALUE(LEFT(C869,4)),VALUE(MID(C869,6,2)),VALUE(RIGHT(C869,2))),
        DATE(VALUE(RIGHT(C869,4)),VALUE(MID(C869,4,2)),VALUE(LEFT(C869,2)))
      ),
      IF(ISNUMBER(SEARCH("/",C869)*1),
        DATE(VALUE(RIGHT(C869,4)),VALUE(LEFT(C869,2)),VALUE(MID(C869,4,2))),
        DATEVALUE(C869)
      )
    )
  ),
"INVALID_DATE")</f>
        <v>45618</v>
      </c>
      <c r="AB869">
        <f>AA869-Z869</f>
        <v>1</v>
      </c>
      <c r="AC869" t="str">
        <f>TEXT(Z869,"mmmm")</f>
        <v>November</v>
      </c>
      <c r="AD869">
        <f>YEAR(Z869)</f>
        <v>2024</v>
      </c>
      <c r="AE869" t="str">
        <f t="shared" si="41"/>
        <v>OK</v>
      </c>
    </row>
    <row r="870" spans="1:31">
      <c r="A870" t="s">
        <v>3972</v>
      </c>
      <c r="B870" t="s">
        <v>822</v>
      </c>
      <c r="C870" t="s">
        <v>2151</v>
      </c>
      <c r="D870" t="s">
        <v>3973</v>
      </c>
      <c r="E870" t="s">
        <v>90</v>
      </c>
      <c r="F870" t="s">
        <v>122</v>
      </c>
      <c r="G870" t="s">
        <v>69</v>
      </c>
      <c r="H870" t="s">
        <v>236</v>
      </c>
      <c r="I870" t="s">
        <v>237</v>
      </c>
      <c r="J870" t="s">
        <v>37</v>
      </c>
      <c r="K870" t="s">
        <v>163</v>
      </c>
      <c r="L870" t="s">
        <v>3974</v>
      </c>
      <c r="M870" t="s">
        <v>55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41</v>
      </c>
      <c r="U870" t="s">
        <v>42</v>
      </c>
      <c r="V870">
        <f>O870*(1-P870)*N870</f>
        <v>1923.2369999999999</v>
      </c>
      <c r="W870">
        <f t="shared" si="39"/>
        <v>829.57699999999977</v>
      </c>
      <c r="X870">
        <f t="shared" si="40"/>
        <v>0.43134502194213931</v>
      </c>
      <c r="Y870" t="s">
        <v>4120</v>
      </c>
      <c r="Z870" s="2">
        <f>IFERROR(
  IF(ISNUMBER(B870),B870,
    IF(ISNUMBER(SEARCH("-",B870)*1),
      IF(LEN(LEFT(B870,FIND("-",B870)-1))=4,
        DATE(VALUE(LEFT(B870,4)),VALUE(MID(B870,6,2)),VALUE(RIGHT(B870,2))),
        DATE(VALUE(RIGHT(B870,4)),VALUE(MID(B870,4,2)),VALUE(LEFT(B870,2)))
      ),
      IF(ISNUMBER(SEARCH("/",B870)*1),
        DATE(VALUE(RIGHT(B870,4)),VALUE(LEFT(B870,2)),VALUE(MID(B870,4,2))),
        DATEVALUE(B870)
      )
    )
  ),
"INVALID_DATE")</f>
        <v>45758</v>
      </c>
      <c r="AA870" s="2">
        <f>IFERROR(
  IF(ISNUMBER(C870),C870,
    IF(ISNUMBER(SEARCH("-",C870)*1),
      IF(LEN(LEFT(C870,FIND("-",C870)-1))=4,
        DATE(VALUE(LEFT(C870,4)),VALUE(MID(C870,6,2)),VALUE(RIGHT(C870,2))),
        DATE(VALUE(RIGHT(C870,4)),VALUE(MID(C870,4,2)),VALUE(LEFT(C870,2)))
      ),
      IF(ISNUMBER(SEARCH("/",C870)*1),
        DATE(VALUE(RIGHT(C870,4)),VALUE(LEFT(C870,2)),VALUE(MID(C870,4,2))),
        DATEVALUE(C870)
      )
    )
  ),
"INVALID_DATE")</f>
        <v>45762</v>
      </c>
      <c r="AB870">
        <f>AA870-Z870</f>
        <v>4</v>
      </c>
      <c r="AC870" t="str">
        <f>TEXT(Z870,"mmmm")</f>
        <v>April</v>
      </c>
      <c r="AD870">
        <f>YEAR(Z870)</f>
        <v>2025</v>
      </c>
      <c r="AE870" t="str">
        <f t="shared" si="41"/>
        <v>OK</v>
      </c>
    </row>
    <row r="871" spans="1:31">
      <c r="A871" t="s">
        <v>3975</v>
      </c>
      <c r="B871" t="s">
        <v>3976</v>
      </c>
      <c r="C871" t="s">
        <v>795</v>
      </c>
      <c r="D871" t="s">
        <v>3977</v>
      </c>
      <c r="E871" t="s">
        <v>187</v>
      </c>
      <c r="F871" t="s">
        <v>122</v>
      </c>
      <c r="G871" t="s">
        <v>279</v>
      </c>
      <c r="H871" t="s">
        <v>514</v>
      </c>
      <c r="I871" t="s">
        <v>515</v>
      </c>
      <c r="J871" t="s">
        <v>52</v>
      </c>
      <c r="K871" t="s">
        <v>83</v>
      </c>
      <c r="L871" t="s">
        <v>1760</v>
      </c>
      <c r="M871" t="s">
        <v>55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41</v>
      </c>
      <c r="U871" t="s">
        <v>42</v>
      </c>
      <c r="V871">
        <f>O871*(1-P871)*N871</f>
        <v>4301.91</v>
      </c>
      <c r="W871">
        <f t="shared" si="39"/>
        <v>1927.5099999999998</v>
      </c>
      <c r="X871">
        <f t="shared" si="40"/>
        <v>0.4480591179266884</v>
      </c>
      <c r="Y871" t="str">
        <f>_xlfn.TEXTJOIN(", ",TRUE,IF(G871="Unknown","Missing Region",""),IF(M871="Unknown","Missing Ship Mode",""),IF(P871&lt;0,"Negative Discount",""),IF(P871&gt;0.7,"High Discount",""),IF(C871&lt;B871,"Ship Before Order",""))</f>
        <v>Missing Region</v>
      </c>
      <c r="Z871" s="2">
        <f>IFERROR(
  IF(ISNUMBER(B871),B871,
    IF(ISNUMBER(SEARCH("-",B871)*1),
      IF(LEN(LEFT(B871,FIND("-",B871)-1))=4,
        DATE(VALUE(LEFT(B871,4)),VALUE(MID(B871,6,2)),VALUE(RIGHT(B871,2))),
        DATE(VALUE(RIGHT(B871,4)),VALUE(MID(B871,4,2)),VALUE(LEFT(B871,2)))
      ),
      IF(ISNUMBER(SEARCH("/",B871)*1),
        DATE(VALUE(RIGHT(B871,4)),VALUE(LEFT(B871,2)),VALUE(MID(B871,4,2))),
        DATEVALUE(B871)
      )
    )
  ),
"INVALID_DATE")</f>
        <v>45722</v>
      </c>
      <c r="AA871" s="2">
        <f>IFERROR(
  IF(ISNUMBER(C871),C871,
    IF(ISNUMBER(SEARCH("-",C871)*1),
      IF(LEN(LEFT(C871,FIND("-",C871)-1))=4,
        DATE(VALUE(LEFT(C871,4)),VALUE(MID(C871,6,2)),VALUE(RIGHT(C871,2))),
        DATE(VALUE(RIGHT(C871,4)),VALUE(MID(C871,4,2)),VALUE(LEFT(C871,2)))
      ),
      IF(ISNUMBER(SEARCH("/",C871)*1),
        DATE(VALUE(RIGHT(C871,4)),VALUE(LEFT(C871,2)),VALUE(MID(C871,4,2))),
        DATEVALUE(C871)
      )
    )
  ),
"INVALID_DATE")</f>
        <v>45723</v>
      </c>
      <c r="AB871">
        <f>AA871-Z871</f>
        <v>1</v>
      </c>
      <c r="AC871" t="str">
        <f>TEXT(Z871,"mmmm")</f>
        <v>March</v>
      </c>
      <c r="AD871">
        <f>YEAR(Z871)</f>
        <v>2025</v>
      </c>
      <c r="AE871" t="str">
        <f t="shared" si="41"/>
        <v>OK</v>
      </c>
    </row>
    <row r="872" spans="1:31">
      <c r="A872" t="s">
        <v>3978</v>
      </c>
      <c r="B872" t="s">
        <v>3979</v>
      </c>
      <c r="C872" t="s">
        <v>3980</v>
      </c>
      <c r="D872" t="s">
        <v>3981</v>
      </c>
      <c r="E872" t="s">
        <v>90</v>
      </c>
      <c r="F872" t="s">
        <v>115</v>
      </c>
      <c r="G872" t="s">
        <v>80</v>
      </c>
      <c r="H872" t="s">
        <v>256</v>
      </c>
      <c r="I872" t="s">
        <v>257</v>
      </c>
      <c r="J872" t="s">
        <v>52</v>
      </c>
      <c r="K872" t="s">
        <v>53</v>
      </c>
      <c r="L872" t="s">
        <v>3982</v>
      </c>
      <c r="M872" t="s">
        <v>74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41</v>
      </c>
      <c r="U872" t="s">
        <v>85</v>
      </c>
      <c r="V872">
        <f>O872*(1-P872)*N872</f>
        <v>22436.838</v>
      </c>
      <c r="W872">
        <f t="shared" si="39"/>
        <v>4982.1680000000015</v>
      </c>
      <c r="X872">
        <f t="shared" si="40"/>
        <v>0.22205310551753277</v>
      </c>
      <c r="Y872" t="s">
        <v>4120</v>
      </c>
      <c r="Z872" s="2">
        <f>IFERROR(
  IF(ISNUMBER(B872),B872,
    IF(ISNUMBER(SEARCH("-",B872)*1),
      IF(LEN(LEFT(B872,FIND("-",B872)-1))=4,
        DATE(VALUE(LEFT(B872,4)),VALUE(MID(B872,6,2)),VALUE(RIGHT(B872,2))),
        DATE(VALUE(RIGHT(B872,4)),VALUE(MID(B872,4,2)),VALUE(LEFT(B872,2)))
      ),
      IF(ISNUMBER(SEARCH("/",B872)*1),
        DATE(VALUE(RIGHT(B872,4)),VALUE(LEFT(B872,2)),VALUE(MID(B872,4,2))),
        DATEVALUE(B872)
      )
    )
  ),
"INVALID_DATE")</f>
        <v>45814</v>
      </c>
      <c r="AA872" s="2">
        <f>IFERROR(
  IF(ISNUMBER(C872),C872,
    IF(ISNUMBER(SEARCH("-",C872)*1),
      IF(LEN(LEFT(C872,FIND("-",C872)-1))=4,
        DATE(VALUE(LEFT(C872,4)),VALUE(MID(C872,6,2)),VALUE(RIGHT(C872,2))),
        DATE(VALUE(RIGHT(C872,4)),VALUE(MID(C872,4,2)),VALUE(LEFT(C872,2)))
      ),
      IF(ISNUMBER(SEARCH("/",C872)*1),
        DATE(VALUE(RIGHT(C872,4)),VALUE(LEFT(C872,2)),VALUE(MID(C872,4,2))),
        DATEVALUE(C872)
      )
    )
  ),
"INVALID_DATE")</f>
        <v>45815</v>
      </c>
      <c r="AB872">
        <f>AA872-Z872</f>
        <v>1</v>
      </c>
      <c r="AC872" t="str">
        <f>TEXT(Z872,"mmmm")</f>
        <v>June</v>
      </c>
      <c r="AD872">
        <f>YEAR(Z872)</f>
        <v>2025</v>
      </c>
      <c r="AE872" t="str">
        <f t="shared" si="41"/>
        <v>OK</v>
      </c>
    </row>
    <row r="873" spans="1:31">
      <c r="A873" t="s">
        <v>3983</v>
      </c>
      <c r="B873" t="s">
        <v>3984</v>
      </c>
      <c r="C873" t="s">
        <v>2838</v>
      </c>
      <c r="D873" t="s">
        <v>3803</v>
      </c>
      <c r="E873" t="s">
        <v>100</v>
      </c>
      <c r="F873" t="s">
        <v>48</v>
      </c>
      <c r="G873" t="s">
        <v>69</v>
      </c>
      <c r="H873" t="s">
        <v>70</v>
      </c>
      <c r="I873" t="s">
        <v>71</v>
      </c>
      <c r="J873" t="s">
        <v>93</v>
      </c>
      <c r="K873" t="s">
        <v>94</v>
      </c>
      <c r="L873" t="s">
        <v>3985</v>
      </c>
      <c r="M873" t="s">
        <v>63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131</v>
      </c>
      <c r="U873" t="s">
        <v>85</v>
      </c>
      <c r="V873">
        <f>O873*(1-P873)*N873</f>
        <v>19676.07</v>
      </c>
      <c r="W873">
        <f t="shared" si="39"/>
        <v>7217.4499999999989</v>
      </c>
      <c r="X873">
        <f t="shared" si="40"/>
        <v>0.36681359641432459</v>
      </c>
      <c r="Y873" t="s">
        <v>4120</v>
      </c>
      <c r="Z873" s="2">
        <f>IFERROR(
  IF(ISNUMBER(B873),B873,
    IF(ISNUMBER(SEARCH("-",B873)*1),
      IF(LEN(LEFT(B873,FIND("-",B873)-1))=4,
        DATE(VALUE(LEFT(B873,4)),VALUE(MID(B873,6,2)),VALUE(RIGHT(B873,2))),
        DATE(VALUE(RIGHT(B873,4)),VALUE(MID(B873,4,2)),VALUE(LEFT(B873,2)))
      ),
      IF(ISNUMBER(SEARCH("/",B873)*1),
        DATE(VALUE(RIGHT(B873,4)),VALUE(LEFT(B873,2)),VALUE(MID(B873,4,2))),
        DATEVALUE(B873)
      )
    )
  ),
"INVALID_DATE")</f>
        <v>45342</v>
      </c>
      <c r="AA873" s="2">
        <f>IFERROR(
  IF(ISNUMBER(C873),C873,
    IF(ISNUMBER(SEARCH("-",C873)*1),
      IF(LEN(LEFT(C873,FIND("-",C873)-1))=4,
        DATE(VALUE(LEFT(C873,4)),VALUE(MID(C873,6,2)),VALUE(RIGHT(C873,2))),
        DATE(VALUE(RIGHT(C873,4)),VALUE(MID(C873,4,2)),VALUE(LEFT(C873,2)))
      ),
      IF(ISNUMBER(SEARCH("/",C873)*1),
        DATE(VALUE(RIGHT(C873,4)),VALUE(LEFT(C873,2)),VALUE(MID(C873,4,2))),
        DATEVALUE(C873)
      )
    )
  ),
"INVALID_DATE")</f>
        <v>45344</v>
      </c>
      <c r="AB873">
        <f>AA873-Z873</f>
        <v>2</v>
      </c>
      <c r="AC873" t="str">
        <f>TEXT(Z873,"mmmm")</f>
        <v>February</v>
      </c>
      <c r="AD873">
        <f>YEAR(Z873)</f>
        <v>2024</v>
      </c>
      <c r="AE873" t="str">
        <f t="shared" si="41"/>
        <v>OK</v>
      </c>
    </row>
    <row r="874" spans="1:31">
      <c r="A874" t="s">
        <v>3986</v>
      </c>
      <c r="B874" t="s">
        <v>3514</v>
      </c>
      <c r="C874" t="s">
        <v>3987</v>
      </c>
      <c r="D874" t="s">
        <v>2970</v>
      </c>
      <c r="E874" t="s">
        <v>32</v>
      </c>
      <c r="F874" t="s">
        <v>115</v>
      </c>
      <c r="G874" t="s">
        <v>49</v>
      </c>
      <c r="H874" t="s">
        <v>128</v>
      </c>
      <c r="I874" t="s">
        <v>129</v>
      </c>
      <c r="J874" t="s">
        <v>52</v>
      </c>
      <c r="K874" t="s">
        <v>72</v>
      </c>
      <c r="L874" t="s">
        <v>3988</v>
      </c>
      <c r="M874" t="s">
        <v>74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41</v>
      </c>
      <c r="U874" t="s">
        <v>42</v>
      </c>
      <c r="V874">
        <f>O874*(1-P874)*N874</f>
        <v>8848.08</v>
      </c>
      <c r="W874">
        <f t="shared" si="39"/>
        <v>3156.5199999999995</v>
      </c>
      <c r="X874">
        <f t="shared" si="40"/>
        <v>0.35674632236598225</v>
      </c>
      <c r="Y874" t="str">
        <f>_xlfn.TEXTJOIN(", ",TRUE,IF(G874="Unknown","Missing Region",""),IF(M874="Unknown","Missing Ship Mode",""),IF(P874&lt;0,"Negative Discount",""),IF(P874&gt;0.7,"High Discount",""),IF(C874&lt;B874,"Ship Before Order",""))</f>
        <v>Ship Before Order</v>
      </c>
      <c r="Z874" s="2">
        <f>IFERROR(
  IF(ISNUMBER(B874),B874,
    IF(ISNUMBER(SEARCH("-",B874)*1),
      IF(LEN(LEFT(B874,FIND("-",B874)-1))=4,
        DATE(VALUE(LEFT(B874,4)),VALUE(MID(B874,6,2)),VALUE(RIGHT(B874,2))),
        DATE(VALUE(RIGHT(B874,4)),VALUE(MID(B874,4,2)),VALUE(LEFT(B874,2)))
      ),
      IF(ISNUMBER(SEARCH("/",B874)*1),
        DATE(VALUE(RIGHT(B874,4)),VALUE(LEFT(B874,2)),VALUE(MID(B874,4,2))),
        DATEVALUE(B874)
      )
    )
  ),
"INVALID_DATE")</f>
        <v>45597</v>
      </c>
      <c r="AA874" s="2">
        <f>IFERROR(
  IF(ISNUMBER(C874),C874,
    IF(ISNUMBER(SEARCH("-",C874)*1),
      IF(LEN(LEFT(C874,FIND("-",C874)-1))=4,
        DATE(VALUE(LEFT(C874,4)),VALUE(MID(C874,6,2)),VALUE(RIGHT(C874,2))),
        DATE(VALUE(RIGHT(C874,4)),VALUE(MID(C874,4,2)),VALUE(LEFT(C874,2)))
      ),
      IF(ISNUMBER(SEARCH("/",C874)*1),
        DATE(VALUE(RIGHT(C874,4)),VALUE(LEFT(C874,2)),VALUE(MID(C874,4,2))),
        DATEVALUE(C874)
      )
    )
  ),
"INVALID_DATE")</f>
        <v>45598</v>
      </c>
      <c r="AB874">
        <f>AA874-Z874</f>
        <v>1</v>
      </c>
      <c r="AC874" t="str">
        <f>TEXT(Z874,"mmmm")</f>
        <v>November</v>
      </c>
      <c r="AD874">
        <f>YEAR(Z874)</f>
        <v>2024</v>
      </c>
      <c r="AE874" t="str">
        <f t="shared" si="41"/>
        <v>OK</v>
      </c>
    </row>
    <row r="875" spans="1:31">
      <c r="A875" t="s">
        <v>3989</v>
      </c>
      <c r="B875" t="s">
        <v>3990</v>
      </c>
      <c r="C875" t="s">
        <v>3991</v>
      </c>
      <c r="D875" t="s">
        <v>3992</v>
      </c>
      <c r="E875" t="s">
        <v>114</v>
      </c>
      <c r="F875" t="s">
        <v>122</v>
      </c>
      <c r="G875" t="s">
        <v>80</v>
      </c>
      <c r="H875" t="s">
        <v>242</v>
      </c>
      <c r="I875" t="s">
        <v>243</v>
      </c>
      <c r="J875" t="s">
        <v>37</v>
      </c>
      <c r="K875" t="s">
        <v>163</v>
      </c>
      <c r="L875" t="s">
        <v>3993</v>
      </c>
      <c r="M875" t="s">
        <v>40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41</v>
      </c>
      <c r="U875" t="s">
        <v>42</v>
      </c>
      <c r="V875">
        <f>O875*(1-P875)*N875</f>
        <v>4487.8319999999994</v>
      </c>
      <c r="W875">
        <f t="shared" si="39"/>
        <v>1854.0519999999992</v>
      </c>
      <c r="X875">
        <f t="shared" si="40"/>
        <v>0.4131283939008385</v>
      </c>
      <c r="Y875" t="s">
        <v>4120</v>
      </c>
      <c r="Z875" s="2">
        <f>IFERROR(
  IF(ISNUMBER(B875),B875,
    IF(ISNUMBER(SEARCH("-",B875)*1),
      IF(LEN(LEFT(B875,FIND("-",B875)-1))=4,
        DATE(VALUE(LEFT(B875,4)),VALUE(MID(B875,6,2)),VALUE(RIGHT(B875,2))),
        DATE(VALUE(RIGHT(B875,4)),VALUE(MID(B875,4,2)),VALUE(LEFT(B875,2)))
      ),
      IF(ISNUMBER(SEARCH("/",B875)*1),
        DATE(VALUE(RIGHT(B875,4)),VALUE(LEFT(B875,2)),VALUE(MID(B875,4,2))),
        DATEVALUE(B875)
      )
    )
  ),
"INVALID_DATE")</f>
        <v>45689</v>
      </c>
      <c r="AA875" s="2">
        <f>IFERROR(
  IF(ISNUMBER(C875),C875,
    IF(ISNUMBER(SEARCH("-",C875)*1),
      IF(LEN(LEFT(C875,FIND("-",C875)-1))=4,
        DATE(VALUE(LEFT(C875,4)),VALUE(MID(C875,6,2)),VALUE(RIGHT(C875,2))),
        DATE(VALUE(RIGHT(C875,4)),VALUE(MID(C875,4,2)),VALUE(LEFT(C875,2)))
      ),
      IF(ISNUMBER(SEARCH("/",C875)*1),
        DATE(VALUE(RIGHT(C875,4)),VALUE(LEFT(C875,2)),VALUE(MID(C875,4,2))),
        DATEVALUE(C875)
      )
    )
  ),
"INVALID_DATE")</f>
        <v>45696</v>
      </c>
      <c r="AB875">
        <f>AA875-Z875</f>
        <v>7</v>
      </c>
      <c r="AC875" t="str">
        <f>TEXT(Z875,"mmmm")</f>
        <v>February</v>
      </c>
      <c r="AD875">
        <f>YEAR(Z875)</f>
        <v>2025</v>
      </c>
      <c r="AE875" t="str">
        <f t="shared" si="41"/>
        <v>OK</v>
      </c>
    </row>
    <row r="876" spans="1:31">
      <c r="A876" t="s">
        <v>3994</v>
      </c>
      <c r="B876" t="s">
        <v>2916</v>
      </c>
      <c r="C876" t="s">
        <v>1519</v>
      </c>
      <c r="D876" t="s">
        <v>3995</v>
      </c>
      <c r="E876" t="s">
        <v>90</v>
      </c>
      <c r="F876" t="s">
        <v>48</v>
      </c>
      <c r="G876" t="s">
        <v>80</v>
      </c>
      <c r="H876" t="s">
        <v>81</v>
      </c>
      <c r="I876" t="s">
        <v>82</v>
      </c>
      <c r="J876" t="s">
        <v>37</v>
      </c>
      <c r="K876" t="s">
        <v>38</v>
      </c>
      <c r="L876" t="s">
        <v>3996</v>
      </c>
      <c r="M876" t="s">
        <v>74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41</v>
      </c>
      <c r="U876" t="s">
        <v>42</v>
      </c>
      <c r="V876">
        <f>O876*(1-P876)*N876</f>
        <v>29829.088</v>
      </c>
      <c r="W876">
        <f t="shared" si="39"/>
        <v>9118.9079999999994</v>
      </c>
      <c r="X876">
        <f t="shared" si="40"/>
        <v>0.30570526958750671</v>
      </c>
      <c r="Y876" t="s">
        <v>4120</v>
      </c>
      <c r="Z876" s="2">
        <f>IFERROR(
  IF(ISNUMBER(B876),B876,
    IF(ISNUMBER(SEARCH("-",B876)*1),
      IF(LEN(LEFT(B876,FIND("-",B876)-1))=4,
        DATE(VALUE(LEFT(B876,4)),VALUE(MID(B876,6,2)),VALUE(RIGHT(B876,2))),
        DATE(VALUE(RIGHT(B876,4)),VALUE(MID(B876,4,2)),VALUE(LEFT(B876,2)))
      ),
      IF(ISNUMBER(SEARCH("/",B876)*1),
        DATE(VALUE(RIGHT(B876,4)),VALUE(LEFT(B876,2)),VALUE(MID(B876,4,2))),
        DATEVALUE(B876)
      )
    )
  ),
"INVALID_DATE")</f>
        <v>45853</v>
      </c>
      <c r="AA876" s="2">
        <f>IFERROR(
  IF(ISNUMBER(C876),C876,
    IF(ISNUMBER(SEARCH("-",C876)*1),
      IF(LEN(LEFT(C876,FIND("-",C876)-1))=4,
        DATE(VALUE(LEFT(C876,4)),VALUE(MID(C876,6,2)),VALUE(RIGHT(C876,2))),
        DATE(VALUE(RIGHT(C876,4)),VALUE(MID(C876,4,2)),VALUE(LEFT(C876,2)))
      ),
      IF(ISNUMBER(SEARCH("/",C876)*1),
        DATE(VALUE(RIGHT(C876,4)),VALUE(LEFT(C876,2)),VALUE(MID(C876,4,2))),
        DATEVALUE(C876)
      )
    )
  ),
"INVALID_DATE")</f>
        <v>45854</v>
      </c>
      <c r="AB876">
        <f>AA876-Z876</f>
        <v>1</v>
      </c>
      <c r="AC876" t="str">
        <f>TEXT(Z876,"mmmm")</f>
        <v>July</v>
      </c>
      <c r="AD876">
        <f>YEAR(Z876)</f>
        <v>2025</v>
      </c>
      <c r="AE876" t="str">
        <f t="shared" si="41"/>
        <v>OK</v>
      </c>
    </row>
    <row r="877" spans="1:31">
      <c r="A877" t="s">
        <v>3997</v>
      </c>
      <c r="B877" t="s">
        <v>3998</v>
      </c>
      <c r="C877" t="s">
        <v>3999</v>
      </c>
      <c r="D877" t="s">
        <v>4000</v>
      </c>
      <c r="E877" t="s">
        <v>47</v>
      </c>
      <c r="F877" t="s">
        <v>115</v>
      </c>
      <c r="G877" t="s">
        <v>80</v>
      </c>
      <c r="H877" t="s">
        <v>81</v>
      </c>
      <c r="I877" t="s">
        <v>82</v>
      </c>
      <c r="J877" t="s">
        <v>93</v>
      </c>
      <c r="K877" t="s">
        <v>101</v>
      </c>
      <c r="L877" t="s">
        <v>4001</v>
      </c>
      <c r="M877" t="s">
        <v>63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41</v>
      </c>
      <c r="U877" t="s">
        <v>42</v>
      </c>
      <c r="V877">
        <f>O877*(1-P877)*N877</f>
        <v>21574.671999999999</v>
      </c>
      <c r="W877">
        <f t="shared" si="39"/>
        <v>6901.8419999999987</v>
      </c>
      <c r="X877">
        <f t="shared" si="40"/>
        <v>0.31990477722254851</v>
      </c>
      <c r="Y877" t="str">
        <f>_xlfn.TEXTJOIN(", ",TRUE,IF(G877="Unknown","Missing Region",""),IF(M877="Unknown","Missing Ship Mode",""),IF(P877&lt;0,"Negative Discount",""),IF(P877&gt;0.7,"High Discount",""),IF(C877&lt;B877,"Ship Before Order",""))</f>
        <v>Ship Before Order</v>
      </c>
      <c r="Z877" s="2">
        <f>IFERROR(
  IF(ISNUMBER(B877),B877,
    IF(ISNUMBER(SEARCH("-",B877)*1),
      IF(LEN(LEFT(B877,FIND("-",B877)-1))=4,
        DATE(VALUE(LEFT(B877,4)),VALUE(MID(B877,6,2)),VALUE(RIGHT(B877,2))),
        DATE(VALUE(RIGHT(B877,4)),VALUE(MID(B877,4,2)),VALUE(LEFT(B877,2)))
      ),
      IF(ISNUMBER(SEARCH("/",B877)*1),
        DATE(VALUE(RIGHT(B877,4)),VALUE(LEFT(B877,2)),VALUE(MID(B877,4,2))),
        DATEVALUE(B877)
      )
    )
  ),
"INVALID_DATE")</f>
        <v>45514</v>
      </c>
      <c r="AA877" s="2">
        <f>IFERROR(
  IF(ISNUMBER(C877),C877,
    IF(ISNUMBER(SEARCH("-",C877)*1),
      IF(LEN(LEFT(C877,FIND("-",C877)-1))=4,
        DATE(VALUE(LEFT(C877,4)),VALUE(MID(C877,6,2)),VALUE(RIGHT(C877,2))),
        DATE(VALUE(RIGHT(C877,4)),VALUE(MID(C877,4,2)),VALUE(LEFT(C877,2)))
      ),
      IF(ISNUMBER(SEARCH("/",C877)*1),
        DATE(VALUE(RIGHT(C877,4)),VALUE(LEFT(C877,2)),VALUE(MID(C877,4,2))),
        DATEVALUE(C877)
      )
    )
  ),
"INVALID_DATE")</f>
        <v>45515</v>
      </c>
      <c r="AB877">
        <f>AA877-Z877</f>
        <v>1</v>
      </c>
      <c r="AC877" t="str">
        <f>TEXT(Z877,"mmmm")</f>
        <v>August</v>
      </c>
      <c r="AD877">
        <f>YEAR(Z877)</f>
        <v>2024</v>
      </c>
      <c r="AE877" t="str">
        <f t="shared" si="41"/>
        <v>OK</v>
      </c>
    </row>
    <row r="878" spans="1:31">
      <c r="A878" t="s">
        <v>4002</v>
      </c>
      <c r="B878" t="s">
        <v>4003</v>
      </c>
      <c r="C878" t="s">
        <v>4004</v>
      </c>
      <c r="D878" t="s">
        <v>4005</v>
      </c>
      <c r="E878" t="s">
        <v>149</v>
      </c>
      <c r="F878" t="s">
        <v>33</v>
      </c>
      <c r="G878" t="s">
        <v>80</v>
      </c>
      <c r="H878" t="s">
        <v>35</v>
      </c>
      <c r="I878" t="s">
        <v>142</v>
      </c>
      <c r="J878" t="s">
        <v>52</v>
      </c>
      <c r="K878" t="s">
        <v>83</v>
      </c>
      <c r="L878" t="s">
        <v>1299</v>
      </c>
      <c r="M878" t="s">
        <v>63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41</v>
      </c>
      <c r="U878" t="s">
        <v>42</v>
      </c>
      <c r="V878">
        <f>O878*(1-P878)*N878</f>
        <v>22741.32</v>
      </c>
      <c r="W878">
        <f t="shared" si="39"/>
        <v>6352.75</v>
      </c>
      <c r="X878">
        <f t="shared" si="40"/>
        <v>0.27934834037777928</v>
      </c>
      <c r="Y878" t="s">
        <v>4120</v>
      </c>
      <c r="Z878" s="2">
        <f>IFERROR(
  IF(ISNUMBER(B878),B878,
    IF(ISNUMBER(SEARCH("-",B878)*1),
      IF(LEN(LEFT(B878,FIND("-",B878)-1))=4,
        DATE(VALUE(LEFT(B878,4)),VALUE(MID(B878,6,2)),VALUE(RIGHT(B878,2))),
        DATE(VALUE(RIGHT(B878,4)),VALUE(MID(B878,4,2)),VALUE(LEFT(B878,2)))
      ),
      IF(ISNUMBER(SEARCH("/",B878)*1),
        DATE(VALUE(RIGHT(B878,4)),VALUE(LEFT(B878,2)),VALUE(MID(B878,4,2))),
        DATEVALUE(B878)
      )
    )
  ),
"INVALID_DATE")</f>
        <v>45614</v>
      </c>
      <c r="AA878" s="2">
        <f>IFERROR(
  IF(ISNUMBER(C878),C878,
    IF(ISNUMBER(SEARCH("-",C878)*1),
      IF(LEN(LEFT(C878,FIND("-",C878)-1))=4,
        DATE(VALUE(LEFT(C878,4)),VALUE(MID(C878,6,2)),VALUE(RIGHT(C878,2))),
        DATE(VALUE(RIGHT(C878,4)),VALUE(MID(C878,4,2)),VALUE(LEFT(C878,2)))
      ),
      IF(ISNUMBER(SEARCH("/",C878)*1),
        DATE(VALUE(RIGHT(C878,4)),VALUE(LEFT(C878,2)),VALUE(MID(C878,4,2))),
        DATEVALUE(C878)
      )
    )
  ),
"INVALID_DATE")</f>
        <v>45616</v>
      </c>
      <c r="AB878">
        <f>AA878-Z878</f>
        <v>2</v>
      </c>
      <c r="AC878" t="str">
        <f>TEXT(Z878,"mmmm")</f>
        <v>November</v>
      </c>
      <c r="AD878">
        <f>YEAR(Z878)</f>
        <v>2024</v>
      </c>
      <c r="AE878" t="str">
        <f t="shared" si="41"/>
        <v>OK</v>
      </c>
    </row>
    <row r="879" spans="1:31">
      <c r="A879" t="s">
        <v>4006</v>
      </c>
      <c r="B879" t="s">
        <v>4007</v>
      </c>
      <c r="C879" t="s">
        <v>2775</v>
      </c>
      <c r="D879" t="s">
        <v>4008</v>
      </c>
      <c r="E879" t="s">
        <v>169</v>
      </c>
      <c r="F879" t="s">
        <v>33</v>
      </c>
      <c r="G879" t="s">
        <v>80</v>
      </c>
      <c r="H879" t="s">
        <v>35</v>
      </c>
      <c r="I879" t="s">
        <v>142</v>
      </c>
      <c r="J879" t="s">
        <v>37</v>
      </c>
      <c r="K879" t="s">
        <v>163</v>
      </c>
      <c r="L879" t="s">
        <v>4009</v>
      </c>
      <c r="M879" t="s">
        <v>40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41</v>
      </c>
      <c r="U879" t="s">
        <v>42</v>
      </c>
      <c r="V879">
        <f>O879*(1-P879)*N879</f>
        <v>3641.5439999999999</v>
      </c>
      <c r="W879">
        <f t="shared" si="39"/>
        <v>951.17399999999998</v>
      </c>
      <c r="X879">
        <f t="shared" si="40"/>
        <v>0.26119993189694468</v>
      </c>
      <c r="Y879" t="str">
        <f>_xlfn.TEXTJOIN(", ",TRUE,IF(G879="Unknown","Missing Region",""),IF(M879="Unknown","Missing Ship Mode",""),IF(P879&lt;0,"Negative Discount",""),IF(P879&gt;0.7,"High Discount",""),IF(C879&lt;B879,"Ship Before Order",""))</f>
        <v>Ship Before Order</v>
      </c>
      <c r="Z879" s="2">
        <f>IFERROR(
  IF(ISNUMBER(B879),B879,
    IF(ISNUMBER(SEARCH("-",B879)*1),
      IF(LEN(LEFT(B879,FIND("-",B879)-1))=4,
        DATE(VALUE(LEFT(B879,4)),VALUE(MID(B879,6,2)),VALUE(RIGHT(B879,2))),
        DATE(VALUE(RIGHT(B879,4)),VALUE(MID(B879,4,2)),VALUE(LEFT(B879,2)))
      ),
      IF(ISNUMBER(SEARCH("/",B879)*1),
        DATE(VALUE(RIGHT(B879,4)),VALUE(LEFT(B879,2)),VALUE(MID(B879,4,2))),
        DATEVALUE(B879)
      )
    )
  ),
"INVALID_DATE")</f>
        <v>45895</v>
      </c>
      <c r="AA879" s="2">
        <f>IFERROR(
  IF(ISNUMBER(C879),C879,
    IF(ISNUMBER(SEARCH("-",C879)*1),
      IF(LEN(LEFT(C879,FIND("-",C879)-1))=4,
        DATE(VALUE(LEFT(C879,4)),VALUE(MID(C879,6,2)),VALUE(RIGHT(C879,2))),
        DATE(VALUE(RIGHT(C879,4)),VALUE(MID(C879,4,2)),VALUE(LEFT(C879,2)))
      ),
      IF(ISNUMBER(SEARCH("/",C879)*1),
        DATE(VALUE(RIGHT(C879,4)),VALUE(LEFT(C879,2)),VALUE(MID(C879,4,2))),
        DATEVALUE(C879)
      )
    )
  ),
"INVALID_DATE")</f>
        <v>45903</v>
      </c>
      <c r="AB879">
        <f>AA879-Z879</f>
        <v>8</v>
      </c>
      <c r="AC879" t="str">
        <f>TEXT(Z879,"mmmm")</f>
        <v>August</v>
      </c>
      <c r="AD879">
        <f>YEAR(Z879)</f>
        <v>2025</v>
      </c>
      <c r="AE879" t="str">
        <f t="shared" si="41"/>
        <v>OK</v>
      </c>
    </row>
    <row r="880" spans="1:31">
      <c r="A880" t="s">
        <v>4010</v>
      </c>
      <c r="B880" t="s">
        <v>2046</v>
      </c>
      <c r="C880" t="s">
        <v>2046</v>
      </c>
      <c r="D880" t="s">
        <v>4011</v>
      </c>
      <c r="E880" t="s">
        <v>32</v>
      </c>
      <c r="F880" t="s">
        <v>115</v>
      </c>
      <c r="G880" t="s">
        <v>49</v>
      </c>
      <c r="H880" t="s">
        <v>128</v>
      </c>
      <c r="I880" t="s">
        <v>129</v>
      </c>
      <c r="J880" t="s">
        <v>37</v>
      </c>
      <c r="K880" t="s">
        <v>38</v>
      </c>
      <c r="L880" t="s">
        <v>4012</v>
      </c>
      <c r="M880" t="s">
        <v>63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41</v>
      </c>
      <c r="U880" t="s">
        <v>42</v>
      </c>
      <c r="V880">
        <f>O880*(1-P880)*N880</f>
        <v>11834.796</v>
      </c>
      <c r="W880">
        <f t="shared" si="39"/>
        <v>2512.4359999999997</v>
      </c>
      <c r="X880">
        <f t="shared" si="40"/>
        <v>0.21229256092202659</v>
      </c>
      <c r="Y880" t="s">
        <v>4120</v>
      </c>
      <c r="Z880" s="2">
        <f>IFERROR(
  IF(ISNUMBER(B880),B880,
    IF(ISNUMBER(SEARCH("-",B880)*1),
      IF(LEN(LEFT(B880,FIND("-",B880)-1))=4,
        DATE(VALUE(LEFT(B880,4)),VALUE(MID(B880,6,2)),VALUE(RIGHT(B880,2))),
        DATE(VALUE(RIGHT(B880,4)),VALUE(MID(B880,4,2)),VALUE(LEFT(B880,2)))
      ),
      IF(ISNUMBER(SEARCH("/",B880)*1),
        DATE(VALUE(RIGHT(B880,4)),VALUE(LEFT(B880,2)),VALUE(MID(B880,4,2))),
        DATEVALUE(B880)
      )
    )
  ),
"INVALID_DATE")</f>
        <v>45313</v>
      </c>
      <c r="AA880" s="2">
        <f>IFERROR(
  IF(ISNUMBER(C880),C880,
    IF(ISNUMBER(SEARCH("-",C880)*1),
      IF(LEN(LEFT(C880,FIND("-",C880)-1))=4,
        DATE(VALUE(LEFT(C880,4)),VALUE(MID(C880,6,2)),VALUE(RIGHT(C880,2))),
        DATE(VALUE(RIGHT(C880,4)),VALUE(MID(C880,4,2)),VALUE(LEFT(C880,2)))
      ),
      IF(ISNUMBER(SEARCH("/",C880)*1),
        DATE(VALUE(RIGHT(C880,4)),VALUE(LEFT(C880,2)),VALUE(MID(C880,4,2))),
        DATEVALUE(C880)
      )
    )
  ),
"INVALID_DATE")</f>
        <v>45313</v>
      </c>
      <c r="AB880">
        <f>AA880-Z880</f>
        <v>0</v>
      </c>
      <c r="AC880" t="str">
        <f>TEXT(Z880,"mmmm")</f>
        <v>January</v>
      </c>
      <c r="AD880">
        <f>YEAR(Z880)</f>
        <v>2024</v>
      </c>
      <c r="AE880" t="str">
        <f t="shared" si="41"/>
        <v>OK</v>
      </c>
    </row>
    <row r="881" spans="1:31">
      <c r="A881" t="s">
        <v>4013</v>
      </c>
      <c r="B881" t="s">
        <v>4014</v>
      </c>
      <c r="C881" t="s">
        <v>443</v>
      </c>
      <c r="D881" t="s">
        <v>4015</v>
      </c>
      <c r="E881" t="s">
        <v>79</v>
      </c>
      <c r="F881" t="s">
        <v>122</v>
      </c>
      <c r="G881" t="s">
        <v>34</v>
      </c>
      <c r="H881" t="s">
        <v>181</v>
      </c>
      <c r="I881" t="s">
        <v>182</v>
      </c>
      <c r="J881" t="s">
        <v>37</v>
      </c>
      <c r="K881" t="s">
        <v>61</v>
      </c>
      <c r="L881" t="s">
        <v>4016</v>
      </c>
      <c r="M881" t="s">
        <v>74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41</v>
      </c>
      <c r="U881" t="s">
        <v>42</v>
      </c>
      <c r="V881">
        <f>O881*(1-P881)*N881</f>
        <v>6028.3529999999992</v>
      </c>
      <c r="W881">
        <f t="shared" si="39"/>
        <v>1594.722999999999</v>
      </c>
      <c r="X881">
        <f t="shared" si="40"/>
        <v>0.2645367306145131</v>
      </c>
      <c r="Y881" t="str">
        <f>_xlfn.TEXTJOIN(", ",TRUE,IF(G881="Unknown","Missing Region",""),IF(M881="Unknown","Missing Ship Mode",""),IF(P881&lt;0,"Negative Discount",""),IF(P881&gt;0.7,"High Discount",""),IF(C881&lt;B881,"Ship Before Order",""))</f>
        <v>Ship Before Order</v>
      </c>
      <c r="Z881" s="2">
        <f>IFERROR(
  IF(ISNUMBER(B881),B881,
    IF(ISNUMBER(SEARCH("-",B881)*1),
      IF(LEN(LEFT(B881,FIND("-",B881)-1))=4,
        DATE(VALUE(LEFT(B881,4)),VALUE(MID(B881,6,2)),VALUE(RIGHT(B881,2))),
        DATE(VALUE(RIGHT(B881,4)),VALUE(MID(B881,4,2)),VALUE(LEFT(B881,2)))
      ),
      IF(ISNUMBER(SEARCH("/",B881)*1),
        DATE(VALUE(RIGHT(B881,4)),VALUE(LEFT(B881,2)),VALUE(MID(B881,4,2))),
        DATEVALUE(B881)
      )
    )
  ),
"INVALID_DATE")</f>
        <v>45896</v>
      </c>
      <c r="AA881" s="2">
        <f>IFERROR(
  IF(ISNUMBER(C881),C881,
    IF(ISNUMBER(SEARCH("-",C881)*1),
      IF(LEN(LEFT(C881,FIND("-",C881)-1))=4,
        DATE(VALUE(LEFT(C881,4)),VALUE(MID(C881,6,2)),VALUE(RIGHT(C881,2))),
        DATE(VALUE(RIGHT(C881,4)),VALUE(MID(C881,4,2)),VALUE(LEFT(C881,2)))
      ),
      IF(ISNUMBER(SEARCH("/",C881)*1),
        DATE(VALUE(RIGHT(C881,4)),VALUE(LEFT(C881,2)),VALUE(MID(C881,4,2))),
        DATEVALUE(C881)
      )
    )
  ),
"INVALID_DATE")</f>
        <v>45897</v>
      </c>
      <c r="AB881">
        <f>AA881-Z881</f>
        <v>1</v>
      </c>
      <c r="AC881" t="str">
        <f>TEXT(Z881,"mmmm")</f>
        <v>August</v>
      </c>
      <c r="AD881">
        <f>YEAR(Z881)</f>
        <v>2025</v>
      </c>
      <c r="AE881" t="str">
        <f t="shared" si="41"/>
        <v>OK</v>
      </c>
    </row>
    <row r="882" spans="1:31">
      <c r="A882" t="s">
        <v>4017</v>
      </c>
      <c r="B882" t="s">
        <v>4018</v>
      </c>
      <c r="C882" t="s">
        <v>1131</v>
      </c>
      <c r="D882" t="s">
        <v>4019</v>
      </c>
      <c r="E882" t="s">
        <v>169</v>
      </c>
      <c r="F882" t="s">
        <v>48</v>
      </c>
      <c r="G882" t="s">
        <v>279</v>
      </c>
      <c r="H882" t="s">
        <v>161</v>
      </c>
      <c r="I882" t="s">
        <v>162</v>
      </c>
      <c r="J882" t="s">
        <v>52</v>
      </c>
      <c r="K882" t="s">
        <v>83</v>
      </c>
      <c r="L882" t="s">
        <v>4020</v>
      </c>
      <c r="M882" t="s">
        <v>63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41</v>
      </c>
      <c r="U882" t="s">
        <v>42</v>
      </c>
      <c r="V882">
        <f>O882*(1-P882)*N882</f>
        <v>16173.85</v>
      </c>
      <c r="W882">
        <f t="shared" si="39"/>
        <v>2537.5100000000002</v>
      </c>
      <c r="X882">
        <f t="shared" si="40"/>
        <v>0.15688967067210344</v>
      </c>
      <c r="Y882" t="str">
        <f>_xlfn.TEXTJOIN(", ",TRUE,IF(G882="Unknown","Missing Region",""),IF(M882="Unknown","Missing Ship Mode",""),IF(P882&lt;0,"Negative Discount",""),IF(P882&gt;0.7,"High Discount",""),IF(C882&lt;B882,"Ship Before Order",""))</f>
        <v>Missing Region, Ship Before Order</v>
      </c>
      <c r="Z882" s="2">
        <f>IFERROR(
  IF(ISNUMBER(B882),B882,
    IF(ISNUMBER(SEARCH("-",B882)*1),
      IF(LEN(LEFT(B882,FIND("-",B882)-1))=4,
        DATE(VALUE(LEFT(B882,4)),VALUE(MID(B882,6,2)),VALUE(RIGHT(B882,2))),
        DATE(VALUE(RIGHT(B882,4)),VALUE(MID(B882,4,2)),VALUE(LEFT(B882,2)))
      ),
      IF(ISNUMBER(SEARCH("/",B882)*1),
        DATE(VALUE(RIGHT(B882,4)),VALUE(LEFT(B882,2)),VALUE(MID(B882,4,2))),
        DATEVALUE(B882)
      )
    )
  ),
"INVALID_DATE")</f>
        <v>45359</v>
      </c>
      <c r="AA882" s="2">
        <f>IFERROR(
  IF(ISNUMBER(C882),C882,
    IF(ISNUMBER(SEARCH("-",C882)*1),
      IF(LEN(LEFT(C882,FIND("-",C882)-1))=4,
        DATE(VALUE(LEFT(C882,4)),VALUE(MID(C882,6,2)),VALUE(RIGHT(C882,2))),
        DATE(VALUE(RIGHT(C882,4)),VALUE(MID(C882,4,2)),VALUE(LEFT(C882,2)))
      ),
      IF(ISNUMBER(SEARCH("/",C882)*1),
        DATE(VALUE(RIGHT(C882,4)),VALUE(LEFT(C882,2)),VALUE(MID(C882,4,2))),
        DATEVALUE(C882)
      )
    )
  ),
"INVALID_DATE")</f>
        <v>45366</v>
      </c>
      <c r="AB882">
        <f>AA882-Z882</f>
        <v>7</v>
      </c>
      <c r="AC882" t="str">
        <f>TEXT(Z882,"mmmm")</f>
        <v>March</v>
      </c>
      <c r="AD882">
        <f>YEAR(Z882)</f>
        <v>2024</v>
      </c>
      <c r="AE882" t="str">
        <f t="shared" si="41"/>
        <v>OK</v>
      </c>
    </row>
    <row r="883" spans="1:31">
      <c r="A883" t="s">
        <v>4021</v>
      </c>
      <c r="B883" t="s">
        <v>2546</v>
      </c>
      <c r="C883" t="s">
        <v>4022</v>
      </c>
      <c r="D883" t="s">
        <v>4023</v>
      </c>
      <c r="E883" t="s">
        <v>79</v>
      </c>
      <c r="F883" t="s">
        <v>48</v>
      </c>
      <c r="G883" t="s">
        <v>69</v>
      </c>
      <c r="H883" t="s">
        <v>107</v>
      </c>
      <c r="I883" t="s">
        <v>108</v>
      </c>
      <c r="J883" t="s">
        <v>93</v>
      </c>
      <c r="K883" t="s">
        <v>101</v>
      </c>
      <c r="L883" t="s">
        <v>4024</v>
      </c>
      <c r="M883" t="s">
        <v>40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41</v>
      </c>
      <c r="U883" t="s">
        <v>42</v>
      </c>
      <c r="V883">
        <f>O883*(1-P883)*N883</f>
        <v>25155.5625</v>
      </c>
      <c r="W883">
        <f t="shared" si="39"/>
        <v>7562.8725000000013</v>
      </c>
      <c r="X883">
        <f t="shared" si="40"/>
        <v>0.30064407232436885</v>
      </c>
      <c r="Y883" t="s">
        <v>4120</v>
      </c>
      <c r="Z883" s="2">
        <f>IFERROR(
  IF(ISNUMBER(B883),B883,
    IF(ISNUMBER(SEARCH("-",B883)*1),
      IF(LEN(LEFT(B883,FIND("-",B883)-1))=4,
        DATE(VALUE(LEFT(B883,4)),VALUE(MID(B883,6,2)),VALUE(RIGHT(B883,2))),
        DATE(VALUE(RIGHT(B883,4)),VALUE(MID(B883,4,2)),VALUE(LEFT(B883,2)))
      ),
      IF(ISNUMBER(SEARCH("/",B883)*1),
        DATE(VALUE(RIGHT(B883,4)),VALUE(LEFT(B883,2)),VALUE(MID(B883,4,2))),
        DATEVALUE(B883)
      )
    )
  ),
"INVALID_DATE")</f>
        <v>45627</v>
      </c>
      <c r="AA883" s="2">
        <f>IFERROR(
  IF(ISNUMBER(C883),C883,
    IF(ISNUMBER(SEARCH("-",C883)*1),
      IF(LEN(LEFT(C883,FIND("-",C883)-1))=4,
        DATE(VALUE(LEFT(C883,4)),VALUE(MID(C883,6,2)),VALUE(RIGHT(C883,2))),
        DATE(VALUE(RIGHT(C883,4)),VALUE(MID(C883,4,2)),VALUE(LEFT(C883,2)))
      ),
      IF(ISNUMBER(SEARCH("/",C883)*1),
        DATE(VALUE(RIGHT(C883,4)),VALUE(LEFT(C883,2)),VALUE(MID(C883,4,2))),
        DATEVALUE(C883)
      )
    )
  ),
"INVALID_DATE")</f>
        <v>45631</v>
      </c>
      <c r="AB883">
        <f>AA883-Z883</f>
        <v>4</v>
      </c>
      <c r="AC883" t="str">
        <f>TEXT(Z883,"mmmm")</f>
        <v>December</v>
      </c>
      <c r="AD883">
        <f>YEAR(Z883)</f>
        <v>2024</v>
      </c>
      <c r="AE883" t="str">
        <f t="shared" si="41"/>
        <v>OK</v>
      </c>
    </row>
    <row r="884" spans="1:31">
      <c r="A884" t="s">
        <v>4025</v>
      </c>
      <c r="B884" t="s">
        <v>4026</v>
      </c>
      <c r="C884" t="s">
        <v>1343</v>
      </c>
      <c r="D884" t="s">
        <v>4027</v>
      </c>
      <c r="E884" t="s">
        <v>175</v>
      </c>
      <c r="F884" t="s">
        <v>115</v>
      </c>
      <c r="G884" t="s">
        <v>49</v>
      </c>
      <c r="H884" t="s">
        <v>193</v>
      </c>
      <c r="I884" t="s">
        <v>194</v>
      </c>
      <c r="J884" t="s">
        <v>93</v>
      </c>
      <c r="K884" t="s">
        <v>94</v>
      </c>
      <c r="L884" t="s">
        <v>4028</v>
      </c>
      <c r="M884" t="s">
        <v>74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144</v>
      </c>
      <c r="U884" t="s">
        <v>132</v>
      </c>
      <c r="V884">
        <f>O884*(1-P884)*N884</f>
        <v>7649.8</v>
      </c>
      <c r="W884">
        <f t="shared" si="39"/>
        <v>2755.2700000000004</v>
      </c>
      <c r="X884">
        <f t="shared" si="40"/>
        <v>0.36017542942299147</v>
      </c>
      <c r="Y884" t="s">
        <v>4120</v>
      </c>
      <c r="Z884" s="2">
        <f>IFERROR(
  IF(ISNUMBER(B884),B884,
    IF(ISNUMBER(SEARCH("-",B884)*1),
      IF(LEN(LEFT(B884,FIND("-",B884)-1))=4,
        DATE(VALUE(LEFT(B884,4)),VALUE(MID(B884,6,2)),VALUE(RIGHT(B884,2))),
        DATE(VALUE(RIGHT(B884,4)),VALUE(MID(B884,4,2)),VALUE(LEFT(B884,2)))
      ),
      IF(ISNUMBER(SEARCH("/",B884)*1),
        DATE(VALUE(RIGHT(B884,4)),VALUE(LEFT(B884,2)),VALUE(MID(B884,4,2))),
        DATEVALUE(B884)
      )
    )
  ),
"INVALID_DATE")</f>
        <v>45690</v>
      </c>
      <c r="AA884" s="2">
        <f>IFERROR(
  IF(ISNUMBER(C884),C884,
    IF(ISNUMBER(SEARCH("-",C884)*1),
      IF(LEN(LEFT(C884,FIND("-",C884)-1))=4,
        DATE(VALUE(LEFT(C884,4)),VALUE(MID(C884,6,2)),VALUE(RIGHT(C884,2))),
        DATE(VALUE(RIGHT(C884,4)),VALUE(MID(C884,4,2)),VALUE(LEFT(C884,2)))
      ),
      IF(ISNUMBER(SEARCH("/",C884)*1),
        DATE(VALUE(RIGHT(C884,4)),VALUE(LEFT(C884,2)),VALUE(MID(C884,4,2))),
        DATEVALUE(C884)
      )
    )
  ),
"INVALID_DATE")</f>
        <v>45698</v>
      </c>
      <c r="AB884">
        <f>AA884-Z884</f>
        <v>8</v>
      </c>
      <c r="AC884" t="str">
        <f>TEXT(Z884,"mmmm")</f>
        <v>February</v>
      </c>
      <c r="AD884">
        <f>YEAR(Z884)</f>
        <v>2025</v>
      </c>
      <c r="AE884" t="str">
        <f t="shared" si="41"/>
        <v>OK</v>
      </c>
    </row>
    <row r="885" spans="1:31">
      <c r="A885" t="s">
        <v>4029</v>
      </c>
      <c r="B885" t="s">
        <v>4030</v>
      </c>
      <c r="C885" t="s">
        <v>4031</v>
      </c>
      <c r="D885" t="s">
        <v>4032</v>
      </c>
      <c r="E885" t="s">
        <v>169</v>
      </c>
      <c r="F885" t="s">
        <v>48</v>
      </c>
      <c r="G885" t="s">
        <v>80</v>
      </c>
      <c r="H885" t="s">
        <v>256</v>
      </c>
      <c r="I885" t="s">
        <v>257</v>
      </c>
      <c r="J885" t="s">
        <v>37</v>
      </c>
      <c r="K885" t="s">
        <v>163</v>
      </c>
      <c r="L885" t="s">
        <v>4033</v>
      </c>
      <c r="M885" t="s">
        <v>55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41</v>
      </c>
      <c r="U885" t="s">
        <v>42</v>
      </c>
      <c r="V885">
        <f>O885*(1-P885)*N885</f>
        <v>1620.87</v>
      </c>
      <c r="W885">
        <f t="shared" si="39"/>
        <v>517.26</v>
      </c>
      <c r="X885">
        <f t="shared" si="40"/>
        <v>0.31912491439782342</v>
      </c>
      <c r="Y885" t="str">
        <f>_xlfn.TEXTJOIN(", ",TRUE,IF(G885="Unknown","Missing Region",""),IF(M885="Unknown","Missing Ship Mode",""),IF(P885&lt;0,"Negative Discount",""),IF(P885&gt;0.7,"High Discount",""),IF(C885&lt;B885,"Ship Before Order",""))</f>
        <v>Ship Before Order</v>
      </c>
      <c r="Z885" s="2">
        <f>IFERROR(
  IF(ISNUMBER(B885),B885,
    IF(ISNUMBER(SEARCH("-",B885)*1),
      IF(LEN(LEFT(B885,FIND("-",B885)-1))=4,
        DATE(VALUE(LEFT(B885,4)),VALUE(MID(B885,6,2)),VALUE(RIGHT(B885,2))),
        DATE(VALUE(RIGHT(B885,4)),VALUE(MID(B885,4,2)),VALUE(LEFT(B885,2)))
      ),
      IF(ISNUMBER(SEARCH("/",B885)*1),
        DATE(VALUE(RIGHT(B885,4)),VALUE(LEFT(B885,2)),VALUE(MID(B885,4,2))),
        DATEVALUE(B885)
      )
    )
  ),
"INVALID_DATE")</f>
        <v>45775</v>
      </c>
      <c r="AA885" s="2">
        <f>IFERROR(
  IF(ISNUMBER(C885),C885,
    IF(ISNUMBER(SEARCH("-",C885)*1),
      IF(LEN(LEFT(C885,FIND("-",C885)-1))=4,
        DATE(VALUE(LEFT(C885,4)),VALUE(MID(C885,6,2)),VALUE(RIGHT(C885,2))),
        DATE(VALUE(RIGHT(C885,4)),VALUE(MID(C885,4,2)),VALUE(LEFT(C885,2)))
      ),
      IF(ISNUMBER(SEARCH("/",C885)*1),
        DATE(VALUE(RIGHT(C885,4)),VALUE(LEFT(C885,2)),VALUE(MID(C885,4,2))),
        DATEVALUE(C885)
      )
    )
  ),
"INVALID_DATE")</f>
        <v>45778</v>
      </c>
      <c r="AB885">
        <f>AA885-Z885</f>
        <v>3</v>
      </c>
      <c r="AC885" t="str">
        <f>TEXT(Z885,"mmmm")</f>
        <v>April</v>
      </c>
      <c r="AD885">
        <f>YEAR(Z885)</f>
        <v>2025</v>
      </c>
      <c r="AE885" t="str">
        <f t="shared" si="41"/>
        <v>OK</v>
      </c>
    </row>
    <row r="886" spans="1:31">
      <c r="A886" t="s">
        <v>4034</v>
      </c>
      <c r="B886" t="s">
        <v>4035</v>
      </c>
      <c r="C886" t="s">
        <v>4036</v>
      </c>
      <c r="D886" t="s">
        <v>4037</v>
      </c>
      <c r="E886" t="s">
        <v>100</v>
      </c>
      <c r="F886" t="s">
        <v>122</v>
      </c>
      <c r="G886" t="s">
        <v>69</v>
      </c>
      <c r="H886" t="s">
        <v>236</v>
      </c>
      <c r="I886" t="s">
        <v>237</v>
      </c>
      <c r="J886" t="s">
        <v>37</v>
      </c>
      <c r="K886" t="s">
        <v>163</v>
      </c>
      <c r="L886" t="s">
        <v>4038</v>
      </c>
      <c r="M886" t="s">
        <v>55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41</v>
      </c>
      <c r="U886" t="s">
        <v>42</v>
      </c>
      <c r="V886">
        <f>O886*(1-P886)*N886</f>
        <v>3567.518</v>
      </c>
      <c r="W886">
        <f t="shared" si="39"/>
        <v>1155.7179999999998</v>
      </c>
      <c r="X886">
        <f t="shared" si="40"/>
        <v>0.32395613759698616</v>
      </c>
      <c r="Y886" t="s">
        <v>4120</v>
      </c>
      <c r="Z886" s="2">
        <f>IFERROR(
  IF(ISNUMBER(B886),B886,
    IF(ISNUMBER(SEARCH("-",B886)*1),
      IF(LEN(LEFT(B886,FIND("-",B886)-1))=4,
        DATE(VALUE(LEFT(B886,4)),VALUE(MID(B886,6,2)),VALUE(RIGHT(B886,2))),
        DATE(VALUE(RIGHT(B886,4)),VALUE(MID(B886,4,2)),VALUE(LEFT(B886,2)))
      ),
      IF(ISNUMBER(SEARCH("/",B886)*1),
        DATE(VALUE(RIGHT(B886,4)),VALUE(LEFT(B886,2)),VALUE(MID(B886,4,2))),
        DATEVALUE(B886)
      )
    )
  ),
"INVALID_DATE")</f>
        <v>45675</v>
      </c>
      <c r="AA886" s="2">
        <f>IFERROR(
  IF(ISNUMBER(C886),C886,
    IF(ISNUMBER(SEARCH("-",C886)*1),
      IF(LEN(LEFT(C886,FIND("-",C886)-1))=4,
        DATE(VALUE(LEFT(C886,4)),VALUE(MID(C886,6,2)),VALUE(RIGHT(C886,2))),
        DATE(VALUE(RIGHT(C886,4)),VALUE(MID(C886,4,2)),VALUE(LEFT(C886,2)))
      ),
      IF(ISNUMBER(SEARCH("/",C886)*1),
        DATE(VALUE(RIGHT(C886,4)),VALUE(LEFT(C886,2)),VALUE(MID(C886,4,2))),
        DATEVALUE(C886)
      )
    )
  ),
"INVALID_DATE")</f>
        <v>45682</v>
      </c>
      <c r="AB886">
        <f>AA886-Z886</f>
        <v>7</v>
      </c>
      <c r="AC886" t="str">
        <f>TEXT(Z886,"mmmm")</f>
        <v>January</v>
      </c>
      <c r="AD886">
        <f>YEAR(Z886)</f>
        <v>2025</v>
      </c>
      <c r="AE886" t="str">
        <f t="shared" si="41"/>
        <v>OK</v>
      </c>
    </row>
    <row r="887" spans="1:31">
      <c r="A887" t="s">
        <v>4039</v>
      </c>
      <c r="B887" t="s">
        <v>4040</v>
      </c>
      <c r="C887" t="s">
        <v>4040</v>
      </c>
      <c r="D887" t="s">
        <v>4041</v>
      </c>
      <c r="E887" t="s">
        <v>217</v>
      </c>
      <c r="F887" t="s">
        <v>33</v>
      </c>
      <c r="G887" t="s">
        <v>34</v>
      </c>
      <c r="H887" t="s">
        <v>35</v>
      </c>
      <c r="I887" t="s">
        <v>36</v>
      </c>
      <c r="J887" t="s">
        <v>52</v>
      </c>
      <c r="K887" t="s">
        <v>53</v>
      </c>
      <c r="L887" t="s">
        <v>4042</v>
      </c>
      <c r="M887" t="s">
        <v>74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41</v>
      </c>
      <c r="U887" t="s">
        <v>42</v>
      </c>
      <c r="V887">
        <f>O887*(1-P887)*N887</f>
        <v>1625.31</v>
      </c>
      <c r="W887">
        <f t="shared" si="39"/>
        <v>467.41999999999985</v>
      </c>
      <c r="X887">
        <f t="shared" si="40"/>
        <v>0.28758821394072515</v>
      </c>
      <c r="Y887" t="s">
        <v>4120</v>
      </c>
      <c r="Z887" s="2">
        <f>IFERROR(
  IF(ISNUMBER(B887),B887,
    IF(ISNUMBER(SEARCH("-",B887)*1),
      IF(LEN(LEFT(B887,FIND("-",B887)-1))=4,
        DATE(VALUE(LEFT(B887,4)),VALUE(MID(B887,6,2)),VALUE(RIGHT(B887,2))),
        DATE(VALUE(RIGHT(B887,4)),VALUE(MID(B887,4,2)),VALUE(LEFT(B887,2)))
      ),
      IF(ISNUMBER(SEARCH("/",B887)*1),
        DATE(VALUE(RIGHT(B887,4)),VALUE(LEFT(B887,2)),VALUE(MID(B887,4,2))),
        DATEVALUE(B887)
      )
    )
  ),
"INVALID_DATE")</f>
        <v>45296</v>
      </c>
      <c r="AA887" s="2">
        <f>IFERROR(
  IF(ISNUMBER(C887),C887,
    IF(ISNUMBER(SEARCH("-",C887)*1),
      IF(LEN(LEFT(C887,FIND("-",C887)-1))=4,
        DATE(VALUE(LEFT(C887,4)),VALUE(MID(C887,6,2)),VALUE(RIGHT(C887,2))),
        DATE(VALUE(RIGHT(C887,4)),VALUE(MID(C887,4,2)),VALUE(LEFT(C887,2)))
      ),
      IF(ISNUMBER(SEARCH("/",C887)*1),
        DATE(VALUE(RIGHT(C887,4)),VALUE(LEFT(C887,2)),VALUE(MID(C887,4,2))),
        DATEVALUE(C887)
      )
    )
  ),
"INVALID_DATE")</f>
        <v>45296</v>
      </c>
      <c r="AB887">
        <f>AA887-Z887</f>
        <v>0</v>
      </c>
      <c r="AC887" t="str">
        <f>TEXT(Z887,"mmmm")</f>
        <v>January</v>
      </c>
      <c r="AD887">
        <f>YEAR(Z887)</f>
        <v>2024</v>
      </c>
      <c r="AE887" t="str">
        <f t="shared" si="41"/>
        <v>OK</v>
      </c>
    </row>
    <row r="888" spans="1:31">
      <c r="A888" t="s">
        <v>4043</v>
      </c>
      <c r="B888" t="s">
        <v>4044</v>
      </c>
      <c r="C888" t="s">
        <v>4045</v>
      </c>
      <c r="D888" t="s">
        <v>4046</v>
      </c>
      <c r="E888" t="s">
        <v>68</v>
      </c>
      <c r="F888" t="s">
        <v>122</v>
      </c>
      <c r="G888" t="s">
        <v>69</v>
      </c>
      <c r="H888" t="s">
        <v>347</v>
      </c>
      <c r="I888" t="s">
        <v>348</v>
      </c>
      <c r="J888" t="s">
        <v>93</v>
      </c>
      <c r="K888" t="s">
        <v>94</v>
      </c>
      <c r="L888" t="s">
        <v>4047</v>
      </c>
      <c r="M888" t="s">
        <v>63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41</v>
      </c>
      <c r="U888" t="s">
        <v>85</v>
      </c>
      <c r="V888">
        <f>O888*(1-P888)*N888</f>
        <v>23739.904999999999</v>
      </c>
      <c r="W888">
        <f t="shared" si="39"/>
        <v>6023.3849999999984</v>
      </c>
      <c r="X888">
        <f t="shared" si="40"/>
        <v>0.25372389942670354</v>
      </c>
      <c r="Y888" t="str">
        <f>_xlfn.TEXTJOIN(", ",TRUE,IF(G888="Unknown","Missing Region",""),IF(M888="Unknown","Missing Ship Mode",""),IF(P888&lt;0,"Negative Discount",""),IF(P888&gt;0.7,"High Discount",""),IF(C888&lt;B888,"Ship Before Order",""))</f>
        <v>Ship Before Order</v>
      </c>
      <c r="Z888" s="2">
        <f>IFERROR(
  IF(ISNUMBER(B888),B888,
    IF(ISNUMBER(SEARCH("-",B888)*1),
      IF(LEN(LEFT(B888,FIND("-",B888)-1))=4,
        DATE(VALUE(LEFT(B888,4)),VALUE(MID(B888,6,2)),VALUE(RIGHT(B888,2))),
        DATE(VALUE(RIGHT(B888,4)),VALUE(MID(B888,4,2)),VALUE(LEFT(B888,2)))
      ),
      IF(ISNUMBER(SEARCH("/",B888)*1),
        DATE(VALUE(RIGHT(B888,4)),VALUE(LEFT(B888,2)),VALUE(MID(B888,4,2))),
        DATEVALUE(B888)
      )
    )
  ),
"INVALID_DATE")</f>
        <v>45773</v>
      </c>
      <c r="AA888" s="2">
        <f>IFERROR(
  IF(ISNUMBER(C888),C888,
    IF(ISNUMBER(SEARCH("-",C888)*1),
      IF(LEN(LEFT(C888,FIND("-",C888)-1))=4,
        DATE(VALUE(LEFT(C888,4)),VALUE(MID(C888,6,2)),VALUE(RIGHT(C888,2))),
        DATE(VALUE(RIGHT(C888,4)),VALUE(MID(C888,4,2)),VALUE(LEFT(C888,2)))
      ),
      IF(ISNUMBER(SEARCH("/",C888)*1),
        DATE(VALUE(RIGHT(C888,4)),VALUE(LEFT(C888,2)),VALUE(MID(C888,4,2))),
        DATEVALUE(C888)
      )
    )
  ),
"INVALID_DATE")</f>
        <v>45780</v>
      </c>
      <c r="AB888">
        <f>AA888-Z888</f>
        <v>7</v>
      </c>
      <c r="AC888" t="str">
        <f>TEXT(Z888,"mmmm")</f>
        <v>April</v>
      </c>
      <c r="AD888">
        <f>YEAR(Z888)</f>
        <v>2025</v>
      </c>
      <c r="AE888" t="str">
        <f t="shared" si="41"/>
        <v>OK</v>
      </c>
    </row>
    <row r="889" spans="1:31">
      <c r="A889" t="s">
        <v>4048</v>
      </c>
      <c r="B889" t="s">
        <v>3926</v>
      </c>
      <c r="C889" t="s">
        <v>692</v>
      </c>
      <c r="D889" t="s">
        <v>4049</v>
      </c>
      <c r="E889" t="s">
        <v>169</v>
      </c>
      <c r="F889" t="s">
        <v>48</v>
      </c>
      <c r="G889" t="s">
        <v>69</v>
      </c>
      <c r="H889" t="s">
        <v>107</v>
      </c>
      <c r="I889" t="s">
        <v>108</v>
      </c>
      <c r="J889" t="s">
        <v>37</v>
      </c>
      <c r="K889" t="s">
        <v>61</v>
      </c>
      <c r="L889" t="s">
        <v>4050</v>
      </c>
      <c r="M889" t="s">
        <v>74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41</v>
      </c>
      <c r="U889" t="s">
        <v>42</v>
      </c>
      <c r="V889">
        <f>O889*(1-P889)*N889</f>
        <v>16704.52</v>
      </c>
      <c r="W889">
        <f t="shared" si="39"/>
        <v>6546.24</v>
      </c>
      <c r="X889">
        <f t="shared" si="40"/>
        <v>0.39188435225914897</v>
      </c>
      <c r="Y889" t="s">
        <v>4120</v>
      </c>
      <c r="Z889" s="2">
        <f>IFERROR(
  IF(ISNUMBER(B889),B889,
    IF(ISNUMBER(SEARCH("-",B889)*1),
      IF(LEN(LEFT(B889,FIND("-",B889)-1))=4,
        DATE(VALUE(LEFT(B889,4)),VALUE(MID(B889,6,2)),VALUE(RIGHT(B889,2))),
        DATE(VALUE(RIGHT(B889,4)),VALUE(MID(B889,4,2)),VALUE(LEFT(B889,2)))
      ),
      IF(ISNUMBER(SEARCH("/",B889)*1),
        DATE(VALUE(RIGHT(B889,4)),VALUE(LEFT(B889,2)),VALUE(MID(B889,4,2))),
        DATEVALUE(B889)
      )
    )
  ),
"INVALID_DATE")</f>
        <v>45455</v>
      </c>
      <c r="AA889" s="2">
        <f>IFERROR(
  IF(ISNUMBER(C889),C889,
    IF(ISNUMBER(SEARCH("-",C889)*1),
      IF(LEN(LEFT(C889,FIND("-",C889)-1))=4,
        DATE(VALUE(LEFT(C889,4)),VALUE(MID(C889,6,2)),VALUE(RIGHT(C889,2))),
        DATE(VALUE(RIGHT(C889,4)),VALUE(MID(C889,4,2)),VALUE(LEFT(C889,2)))
      ),
      IF(ISNUMBER(SEARCH("/",C889)*1),
        DATE(VALUE(RIGHT(C889,4)),VALUE(LEFT(C889,2)),VALUE(MID(C889,4,2))),
        DATEVALUE(C889)
      )
    )
  ),
"INVALID_DATE")</f>
        <v>45461</v>
      </c>
      <c r="AB889">
        <f>AA889-Z889</f>
        <v>6</v>
      </c>
      <c r="AC889" t="str">
        <f>TEXT(Z889,"mmmm")</f>
        <v>June</v>
      </c>
      <c r="AD889">
        <f>YEAR(Z889)</f>
        <v>2024</v>
      </c>
      <c r="AE889" t="str">
        <f t="shared" si="41"/>
        <v>OK</v>
      </c>
    </row>
    <row r="890" spans="1:31">
      <c r="A890" t="s">
        <v>4051</v>
      </c>
      <c r="B890" t="s">
        <v>4052</v>
      </c>
      <c r="C890" t="s">
        <v>3586</v>
      </c>
      <c r="D890" t="s">
        <v>4053</v>
      </c>
      <c r="E890" t="s">
        <v>155</v>
      </c>
      <c r="F890" t="s">
        <v>48</v>
      </c>
      <c r="G890" t="s">
        <v>80</v>
      </c>
      <c r="H890" t="s">
        <v>81</v>
      </c>
      <c r="I890" t="s">
        <v>82</v>
      </c>
      <c r="J890" t="s">
        <v>37</v>
      </c>
      <c r="K890" t="s">
        <v>61</v>
      </c>
      <c r="L890" t="s">
        <v>4054</v>
      </c>
      <c r="M890" t="s">
        <v>74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131</v>
      </c>
      <c r="U890" t="s">
        <v>85</v>
      </c>
      <c r="V890">
        <f>O890*(1-P890)*N890</f>
        <v>12685.103999999999</v>
      </c>
      <c r="W890">
        <f t="shared" si="39"/>
        <v>1905.5439999999999</v>
      </c>
      <c r="X890">
        <f t="shared" si="40"/>
        <v>0.15021876059313682</v>
      </c>
      <c r="Y890" t="s">
        <v>4120</v>
      </c>
      <c r="Z890" s="2">
        <f>IFERROR(
  IF(ISNUMBER(B890),B890,
    IF(ISNUMBER(SEARCH("-",B890)*1),
      IF(LEN(LEFT(B890,FIND("-",B890)-1))=4,
        DATE(VALUE(LEFT(B890,4)),VALUE(MID(B890,6,2)),VALUE(RIGHT(B890,2))),
        DATE(VALUE(RIGHT(B890,4)),VALUE(MID(B890,4,2)),VALUE(LEFT(B890,2)))
      ),
      IF(ISNUMBER(SEARCH("/",B890)*1),
        DATE(VALUE(RIGHT(B890,4)),VALUE(LEFT(B890,2)),VALUE(MID(B890,4,2))),
        DATEVALUE(B890)
      )
    )
  ),
"INVALID_DATE")</f>
        <v>45875</v>
      </c>
      <c r="AA890" s="2">
        <f>IFERROR(
  IF(ISNUMBER(C890),C890,
    IF(ISNUMBER(SEARCH("-",C890)*1),
      IF(LEN(LEFT(C890,FIND("-",C890)-1))=4,
        DATE(VALUE(LEFT(C890,4)),VALUE(MID(C890,6,2)),VALUE(RIGHT(C890,2))),
        DATE(VALUE(RIGHT(C890,4)),VALUE(MID(C890,4,2)),VALUE(LEFT(C890,2)))
      ),
      IF(ISNUMBER(SEARCH("/",C890)*1),
        DATE(VALUE(RIGHT(C890,4)),VALUE(LEFT(C890,2)),VALUE(MID(C890,4,2))),
        DATEVALUE(C890)
      )
    )
  ),
"INVALID_DATE")</f>
        <v>45876</v>
      </c>
      <c r="AB890">
        <f>AA890-Z890</f>
        <v>1</v>
      </c>
      <c r="AC890" t="str">
        <f>TEXT(Z890,"mmmm")</f>
        <v>August</v>
      </c>
      <c r="AD890">
        <f>YEAR(Z890)</f>
        <v>2025</v>
      </c>
      <c r="AE890" t="str">
        <f t="shared" si="41"/>
        <v>OK</v>
      </c>
    </row>
    <row r="891" spans="1:31">
      <c r="A891" t="s">
        <v>4055</v>
      </c>
      <c r="B891" t="s">
        <v>4056</v>
      </c>
      <c r="C891" t="s">
        <v>4057</v>
      </c>
      <c r="D891" t="s">
        <v>1357</v>
      </c>
      <c r="E891" t="s">
        <v>114</v>
      </c>
      <c r="F891" t="s">
        <v>122</v>
      </c>
      <c r="G891" t="s">
        <v>80</v>
      </c>
      <c r="H891" t="s">
        <v>91</v>
      </c>
      <c r="I891" t="s">
        <v>92</v>
      </c>
      <c r="J891" t="s">
        <v>37</v>
      </c>
      <c r="K891" t="s">
        <v>163</v>
      </c>
      <c r="L891" t="s">
        <v>4058</v>
      </c>
      <c r="M891" t="s">
        <v>63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41</v>
      </c>
      <c r="U891" t="s">
        <v>132</v>
      </c>
      <c r="V891">
        <f>O891*(1-P891)*N891</f>
        <v>5883.12</v>
      </c>
      <c r="W891">
        <f t="shared" si="39"/>
        <v>1235.21</v>
      </c>
      <c r="X891">
        <f t="shared" si="40"/>
        <v>0.20995832143488491</v>
      </c>
      <c r="Y891" t="str">
        <f>_xlfn.TEXTJOIN(", ",TRUE,IF(G891="Unknown","Missing Region",""),IF(M891="Unknown","Missing Ship Mode",""),IF(P891&lt;0,"Negative Discount",""),IF(P891&gt;0.7,"High Discount",""),IF(C891&lt;B891,"Ship Before Order",""))</f>
        <v>Ship Before Order</v>
      </c>
      <c r="Z891" s="2">
        <f>IFERROR(
  IF(ISNUMBER(B891),B891,
    IF(ISNUMBER(SEARCH("-",B891)*1),
      IF(LEN(LEFT(B891,FIND("-",B891)-1))=4,
        DATE(VALUE(LEFT(B891,4)),VALUE(MID(B891,6,2)),VALUE(RIGHT(B891,2))),
        DATE(VALUE(RIGHT(B891,4)),VALUE(MID(B891,4,2)),VALUE(LEFT(B891,2)))
      ),
      IF(ISNUMBER(SEARCH("/",B891)*1),
        DATE(VALUE(RIGHT(B891,4)),VALUE(LEFT(B891,2)),VALUE(MID(B891,4,2))),
        DATEVALUE(B891)
      )
    )
  ),
"INVALID_DATE")</f>
        <v>45726</v>
      </c>
      <c r="AA891" s="2">
        <f>IFERROR(
  IF(ISNUMBER(C891),C891,
    IF(ISNUMBER(SEARCH("-",C891)*1),
      IF(LEN(LEFT(C891,FIND("-",C891)-1))=4,
        DATE(VALUE(LEFT(C891,4)),VALUE(MID(C891,6,2)),VALUE(RIGHT(C891,2))),
        DATE(VALUE(RIGHT(C891,4)),VALUE(MID(C891,4,2)),VALUE(LEFT(C891,2)))
      ),
      IF(ISNUMBER(SEARCH("/",C891)*1),
        DATE(VALUE(RIGHT(C891,4)),VALUE(LEFT(C891,2)),VALUE(MID(C891,4,2))),
        DATEVALUE(C891)
      )
    )
  ),
"INVALID_DATE")</f>
        <v>45727</v>
      </c>
      <c r="AB891">
        <f>AA891-Z891</f>
        <v>1</v>
      </c>
      <c r="AC891" t="str">
        <f>TEXT(Z891,"mmmm")</f>
        <v>March</v>
      </c>
      <c r="AD891">
        <f>YEAR(Z891)</f>
        <v>2025</v>
      </c>
      <c r="AE891" t="str">
        <f t="shared" si="41"/>
        <v>OK</v>
      </c>
    </row>
    <row r="892" spans="1:31">
      <c r="A892" t="s">
        <v>4059</v>
      </c>
      <c r="B892" t="s">
        <v>167</v>
      </c>
      <c r="C892" t="s">
        <v>1148</v>
      </c>
      <c r="D892" t="s">
        <v>4060</v>
      </c>
      <c r="E892" t="s">
        <v>32</v>
      </c>
      <c r="F892" t="s">
        <v>33</v>
      </c>
      <c r="G892" t="s">
        <v>80</v>
      </c>
      <c r="H892" t="s">
        <v>256</v>
      </c>
      <c r="I892" t="s">
        <v>257</v>
      </c>
      <c r="J892" t="s">
        <v>37</v>
      </c>
      <c r="K892" t="s">
        <v>163</v>
      </c>
      <c r="L892" t="s">
        <v>4061</v>
      </c>
      <c r="M892" t="s">
        <v>74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41</v>
      </c>
      <c r="U892" t="s">
        <v>42</v>
      </c>
      <c r="V892">
        <f>O892*(1-P892)*N892</f>
        <v>13965.888000000001</v>
      </c>
      <c r="W892">
        <f t="shared" si="39"/>
        <v>2319.768</v>
      </c>
      <c r="X892">
        <f t="shared" si="40"/>
        <v>0.16610255415157932</v>
      </c>
      <c r="Y892" t="s">
        <v>4120</v>
      </c>
      <c r="Z892" s="2">
        <f>IFERROR(
  IF(ISNUMBER(B892),B892,
    IF(ISNUMBER(SEARCH("-",B892)*1),
      IF(LEN(LEFT(B892,FIND("-",B892)-1))=4,
        DATE(VALUE(LEFT(B892,4)),VALUE(MID(B892,6,2)),VALUE(RIGHT(B892,2))),
        DATE(VALUE(RIGHT(B892,4)),VALUE(MID(B892,4,2)),VALUE(LEFT(B892,2)))
      ),
      IF(ISNUMBER(SEARCH("/",B892)*1),
        DATE(VALUE(RIGHT(B892,4)),VALUE(LEFT(B892,2)),VALUE(MID(B892,4,2))),
        DATEVALUE(B892)
      )
    )
  ),
"INVALID_DATE")</f>
        <v>45427</v>
      </c>
      <c r="AA892" s="2">
        <f>IFERROR(
  IF(ISNUMBER(C892),C892,
    IF(ISNUMBER(SEARCH("-",C892)*1),
      IF(LEN(LEFT(C892,FIND("-",C892)-1))=4,
        DATE(VALUE(LEFT(C892,4)),VALUE(MID(C892,6,2)),VALUE(RIGHT(C892,2))),
        DATE(VALUE(RIGHT(C892,4)),VALUE(MID(C892,4,2)),VALUE(LEFT(C892,2)))
      ),
      IF(ISNUMBER(SEARCH("/",C892)*1),
        DATE(VALUE(RIGHT(C892,4)),VALUE(LEFT(C892,2)),VALUE(MID(C892,4,2))),
        DATEVALUE(C892)
      )
    )
  ),
"INVALID_DATE")</f>
        <v>45433</v>
      </c>
      <c r="AB892">
        <f>AA892-Z892</f>
        <v>6</v>
      </c>
      <c r="AC892" t="str">
        <f>TEXT(Z892,"mmmm")</f>
        <v>May</v>
      </c>
      <c r="AD892">
        <f>YEAR(Z892)</f>
        <v>2024</v>
      </c>
      <c r="AE892" t="str">
        <f t="shared" si="41"/>
        <v>OK</v>
      </c>
    </row>
    <row r="893" spans="1:31">
      <c r="A893" t="s">
        <v>4062</v>
      </c>
      <c r="B893" t="s">
        <v>3785</v>
      </c>
      <c r="C893" t="s">
        <v>2566</v>
      </c>
      <c r="D893" t="s">
        <v>4063</v>
      </c>
      <c r="E893" t="s">
        <v>374</v>
      </c>
      <c r="F893" t="s">
        <v>115</v>
      </c>
      <c r="G893" t="s">
        <v>69</v>
      </c>
      <c r="H893" t="s">
        <v>347</v>
      </c>
      <c r="I893" t="s">
        <v>348</v>
      </c>
      <c r="J893" t="s">
        <v>93</v>
      </c>
      <c r="K893" t="s">
        <v>390</v>
      </c>
      <c r="L893" t="s">
        <v>4064</v>
      </c>
      <c r="M893" t="s">
        <v>55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207</v>
      </c>
      <c r="U893" t="s">
        <v>85</v>
      </c>
      <c r="V893">
        <f>O893*(1-P893)*N893</f>
        <v>10835.864999999998</v>
      </c>
      <c r="W893">
        <f t="shared" si="39"/>
        <v>4415.9449999999979</v>
      </c>
      <c r="X893">
        <f t="shared" si="40"/>
        <v>0.40753018219135345</v>
      </c>
      <c r="Y893" t="s">
        <v>4120</v>
      </c>
      <c r="Z893" s="2">
        <f>IFERROR(
  IF(ISNUMBER(B893),B893,
    IF(ISNUMBER(SEARCH("-",B893)*1),
      IF(LEN(LEFT(B893,FIND("-",B893)-1))=4,
        DATE(VALUE(LEFT(B893,4)),VALUE(MID(B893,6,2)),VALUE(RIGHT(B893,2))),
        DATE(VALUE(RIGHT(B893,4)),VALUE(MID(B893,4,2)),VALUE(LEFT(B893,2)))
      ),
      IF(ISNUMBER(SEARCH("/",B893)*1),
        DATE(VALUE(RIGHT(B893,4)),VALUE(LEFT(B893,2)),VALUE(MID(B893,4,2))),
        DATEVALUE(B893)
      )
    )
  ),
"INVALID_DATE")</f>
        <v>45573</v>
      </c>
      <c r="AA893" s="2">
        <f>IFERROR(
  IF(ISNUMBER(C893),C893,
    IF(ISNUMBER(SEARCH("-",C893)*1),
      IF(LEN(LEFT(C893,FIND("-",C893)-1))=4,
        DATE(VALUE(LEFT(C893,4)),VALUE(MID(C893,6,2)),VALUE(RIGHT(C893,2))),
        DATE(VALUE(RIGHT(C893,4)),VALUE(MID(C893,4,2)),VALUE(LEFT(C893,2)))
      ),
      IF(ISNUMBER(SEARCH("/",C893)*1),
        DATE(VALUE(RIGHT(C893,4)),VALUE(LEFT(C893,2)),VALUE(MID(C893,4,2))),
        DATEVALUE(C893)
      )
    )
  ),
"INVALID_DATE")</f>
        <v>45574</v>
      </c>
      <c r="AB893">
        <f>AA893-Z893</f>
        <v>1</v>
      </c>
      <c r="AC893" t="str">
        <f>TEXT(Z893,"mmmm")</f>
        <v>October</v>
      </c>
      <c r="AD893">
        <f>YEAR(Z893)</f>
        <v>2024</v>
      </c>
      <c r="AE893" t="str">
        <f t="shared" si="41"/>
        <v>OK</v>
      </c>
    </row>
    <row r="894" spans="1:31">
      <c r="A894" t="s">
        <v>4065</v>
      </c>
      <c r="B894" t="s">
        <v>4066</v>
      </c>
      <c r="C894" t="s">
        <v>3008</v>
      </c>
      <c r="D894" t="s">
        <v>4067</v>
      </c>
      <c r="E894" t="s">
        <v>60</v>
      </c>
      <c r="F894" t="s">
        <v>48</v>
      </c>
      <c r="G894" t="s">
        <v>49</v>
      </c>
      <c r="H894" t="s">
        <v>319</v>
      </c>
      <c r="I894" t="s">
        <v>320</v>
      </c>
      <c r="J894" t="s">
        <v>93</v>
      </c>
      <c r="K894" t="s">
        <v>101</v>
      </c>
      <c r="L894" t="s">
        <v>4068</v>
      </c>
      <c r="M894" t="s">
        <v>55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41</v>
      </c>
      <c r="U894" t="s">
        <v>42</v>
      </c>
      <c r="V894">
        <f>O894*(1-P894)*N894</f>
        <v>581.51200000000006</v>
      </c>
      <c r="W894">
        <f t="shared" si="39"/>
        <v>157.65200000000004</v>
      </c>
      <c r="X894">
        <f t="shared" si="40"/>
        <v>0.27110453818506991</v>
      </c>
      <c r="Y894" t="s">
        <v>4120</v>
      </c>
      <c r="Z894" s="2">
        <f>IFERROR(
  IF(ISNUMBER(B894),B894,
    IF(ISNUMBER(SEARCH("-",B894)*1),
      IF(LEN(LEFT(B894,FIND("-",B894)-1))=4,
        DATE(VALUE(LEFT(B894,4)),VALUE(MID(B894,6,2)),VALUE(RIGHT(B894,2))),
        DATE(VALUE(RIGHT(B894,4)),VALUE(MID(B894,4,2)),VALUE(LEFT(B894,2)))
      ),
      IF(ISNUMBER(SEARCH("/",B894)*1),
        DATE(VALUE(RIGHT(B894,4)),VALUE(LEFT(B894,2)),VALUE(MID(B894,4,2))),
        DATEVALUE(B894)
      )
    )
  ),
"INVALID_DATE")</f>
        <v>45759</v>
      </c>
      <c r="AA894" s="2">
        <f>IFERROR(
  IF(ISNUMBER(C894),C894,
    IF(ISNUMBER(SEARCH("-",C894)*1),
      IF(LEN(LEFT(C894,FIND("-",C894)-1))=4,
        DATE(VALUE(LEFT(C894,4)),VALUE(MID(C894,6,2)),VALUE(RIGHT(C894,2))),
        DATE(VALUE(RIGHT(C894,4)),VALUE(MID(C894,4,2)),VALUE(LEFT(C894,2)))
      ),
      IF(ISNUMBER(SEARCH("/",C894)*1),
        DATE(VALUE(RIGHT(C894,4)),VALUE(LEFT(C894,2)),VALUE(MID(C894,4,2))),
        DATEVALUE(C894)
      )
    )
  ),
"INVALID_DATE")</f>
        <v>45765</v>
      </c>
      <c r="AB894">
        <f>AA894-Z894</f>
        <v>6</v>
      </c>
      <c r="AC894" t="str">
        <f>TEXT(Z894,"mmmm")</f>
        <v>April</v>
      </c>
      <c r="AD894">
        <f>YEAR(Z894)</f>
        <v>2025</v>
      </c>
      <c r="AE894" t="str">
        <f t="shared" si="41"/>
        <v>OK</v>
      </c>
    </row>
    <row r="895" spans="1:31">
      <c r="A895" t="s">
        <v>4069</v>
      </c>
      <c r="B895" t="s">
        <v>4070</v>
      </c>
      <c r="C895" t="s">
        <v>4071</v>
      </c>
      <c r="D895" t="s">
        <v>4072</v>
      </c>
      <c r="E895" t="s">
        <v>169</v>
      </c>
      <c r="F895" t="s">
        <v>115</v>
      </c>
      <c r="G895" t="s">
        <v>69</v>
      </c>
      <c r="H895" t="s">
        <v>236</v>
      </c>
      <c r="I895" t="s">
        <v>237</v>
      </c>
      <c r="J895" t="s">
        <v>52</v>
      </c>
      <c r="K895" t="s">
        <v>53</v>
      </c>
      <c r="L895" t="s">
        <v>4073</v>
      </c>
      <c r="M895" t="s">
        <v>40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41</v>
      </c>
      <c r="U895" t="s">
        <v>132</v>
      </c>
      <c r="V895">
        <f>O895*(1-P895)*N895</f>
        <v>1127.1464999999998</v>
      </c>
      <c r="W895">
        <f t="shared" si="39"/>
        <v>281.52649999999983</v>
      </c>
      <c r="X895">
        <f t="shared" si="40"/>
        <v>0.24977154770882309</v>
      </c>
      <c r="Y895" t="s">
        <v>4120</v>
      </c>
      <c r="Z895" s="2">
        <f>IFERROR(
  IF(ISNUMBER(B895),B895,
    IF(ISNUMBER(SEARCH("-",B895)*1),
      IF(LEN(LEFT(B895,FIND("-",B895)-1))=4,
        DATE(VALUE(LEFT(B895,4)),VALUE(MID(B895,6,2)),VALUE(RIGHT(B895,2))),
        DATE(VALUE(RIGHT(B895,4)),VALUE(MID(B895,4,2)),VALUE(LEFT(B895,2)))
      ),
      IF(ISNUMBER(SEARCH("/",B895)*1),
        DATE(VALUE(RIGHT(B895,4)),VALUE(LEFT(B895,2)),VALUE(MID(B895,4,2))),
        DATEVALUE(B895)
      )
    )
  ),
"INVALID_DATE")</f>
        <v>45449</v>
      </c>
      <c r="AA895" s="2">
        <f>IFERROR(
  IF(ISNUMBER(C895),C895,
    IF(ISNUMBER(SEARCH("-",C895)*1),
      IF(LEN(LEFT(C895,FIND("-",C895)-1))=4,
        DATE(VALUE(LEFT(C895,4)),VALUE(MID(C895,6,2)),VALUE(RIGHT(C895,2))),
        DATE(VALUE(RIGHT(C895,4)),VALUE(MID(C895,4,2)),VALUE(LEFT(C895,2)))
      ),
      IF(ISNUMBER(SEARCH("/",C895)*1),
        DATE(VALUE(RIGHT(C895,4)),VALUE(LEFT(C895,2)),VALUE(MID(C895,4,2))),
        DATEVALUE(C895)
      )
    )
  ),
"INVALID_DATE")</f>
        <v>45451</v>
      </c>
      <c r="AB895">
        <f>AA895-Z895</f>
        <v>2</v>
      </c>
      <c r="AC895" t="str">
        <f>TEXT(Z895,"mmmm")</f>
        <v>June</v>
      </c>
      <c r="AD895">
        <f>YEAR(Z895)</f>
        <v>2024</v>
      </c>
      <c r="AE895" t="str">
        <f t="shared" si="41"/>
        <v>OK</v>
      </c>
    </row>
    <row r="896" spans="1:31">
      <c r="A896" t="s">
        <v>4074</v>
      </c>
      <c r="B896" t="s">
        <v>1953</v>
      </c>
      <c r="C896" t="s">
        <v>4075</v>
      </c>
      <c r="D896" t="s">
        <v>4076</v>
      </c>
      <c r="E896" t="s">
        <v>60</v>
      </c>
      <c r="F896" t="s">
        <v>122</v>
      </c>
      <c r="G896" t="s">
        <v>69</v>
      </c>
      <c r="H896" t="s">
        <v>70</v>
      </c>
      <c r="I896" t="s">
        <v>71</v>
      </c>
      <c r="J896" t="s">
        <v>52</v>
      </c>
      <c r="K896" t="s">
        <v>53</v>
      </c>
      <c r="L896" t="s">
        <v>4077</v>
      </c>
      <c r="M896" t="s">
        <v>63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41</v>
      </c>
      <c r="U896" t="s">
        <v>42</v>
      </c>
      <c r="V896">
        <f>O896*(1-P896)*N896</f>
        <v>25524.300000000003</v>
      </c>
      <c r="W896">
        <f t="shared" si="39"/>
        <v>8812.3700000000026</v>
      </c>
      <c r="X896">
        <f t="shared" si="40"/>
        <v>0.34525413037771852</v>
      </c>
      <c r="Y896" t="str">
        <f>_xlfn.TEXTJOIN(", ",TRUE,IF(G896="Unknown","Missing Region",""),IF(M896="Unknown","Missing Ship Mode",""),IF(P896&lt;0,"Negative Discount",""),IF(P896&gt;0.7,"High Discount",""),IF(C896&lt;B896,"Ship Before Order",""))</f>
        <v>Ship Before Order</v>
      </c>
      <c r="Z896" s="2">
        <f>IFERROR(
  IF(ISNUMBER(B896),B896,
    IF(ISNUMBER(SEARCH("-",B896)*1),
      IF(LEN(LEFT(B896,FIND("-",B896)-1))=4,
        DATE(VALUE(LEFT(B896,4)),VALUE(MID(B896,6,2)),VALUE(RIGHT(B896,2))),
        DATE(VALUE(RIGHT(B896,4)),VALUE(MID(B896,4,2)),VALUE(LEFT(B896,2)))
      ),
      IF(ISNUMBER(SEARCH("/",B896)*1),
        DATE(VALUE(RIGHT(B896,4)),VALUE(LEFT(B896,2)),VALUE(MID(B896,4,2))),
        DATEVALUE(B896)
      )
    )
  ),
"INVALID_DATE")</f>
        <v>45344</v>
      </c>
      <c r="AA896" s="2">
        <f>IFERROR(
  IF(ISNUMBER(C896),C896,
    IF(ISNUMBER(SEARCH("-",C896)*1),
      IF(LEN(LEFT(C896,FIND("-",C896)-1))=4,
        DATE(VALUE(LEFT(C896,4)),VALUE(MID(C896,6,2)),VALUE(RIGHT(C896,2))),
        DATE(VALUE(RIGHT(C896,4)),VALUE(MID(C896,4,2)),VALUE(LEFT(C896,2)))
      ),
      IF(ISNUMBER(SEARCH("/",C896)*1),
        DATE(VALUE(RIGHT(C896,4)),VALUE(LEFT(C896,2)),VALUE(MID(C896,4,2))),
        DATEVALUE(C896)
      )
    )
  ),
"INVALID_DATE")</f>
        <v>45351</v>
      </c>
      <c r="AB896">
        <f>AA896-Z896</f>
        <v>7</v>
      </c>
      <c r="AC896" t="str">
        <f>TEXT(Z896,"mmmm")</f>
        <v>February</v>
      </c>
      <c r="AD896">
        <f>YEAR(Z896)</f>
        <v>2024</v>
      </c>
      <c r="AE896" t="str">
        <f t="shared" si="41"/>
        <v>OK</v>
      </c>
    </row>
    <row r="897" spans="1:31">
      <c r="A897" t="s">
        <v>4078</v>
      </c>
      <c r="B897" t="s">
        <v>4079</v>
      </c>
      <c r="C897" t="s">
        <v>112</v>
      </c>
      <c r="D897" t="s">
        <v>4080</v>
      </c>
      <c r="E897" t="s">
        <v>68</v>
      </c>
      <c r="F897" t="s">
        <v>33</v>
      </c>
      <c r="G897" t="s">
        <v>69</v>
      </c>
      <c r="H897" t="s">
        <v>249</v>
      </c>
      <c r="I897" t="s">
        <v>250</v>
      </c>
      <c r="J897" t="s">
        <v>52</v>
      </c>
      <c r="K897" t="s">
        <v>83</v>
      </c>
      <c r="L897" t="s">
        <v>4081</v>
      </c>
      <c r="M897" t="s">
        <v>55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144</v>
      </c>
      <c r="U897" t="s">
        <v>132</v>
      </c>
      <c r="V897">
        <f>O897*(1-P897)*N897</f>
        <v>2418.0119999999997</v>
      </c>
      <c r="W897">
        <f t="shared" si="39"/>
        <v>976.12199999999962</v>
      </c>
      <c r="X897">
        <f t="shared" si="40"/>
        <v>0.40368732966364901</v>
      </c>
      <c r="Y897" t="s">
        <v>4120</v>
      </c>
      <c r="Z897" s="2">
        <f>IFERROR(
  IF(ISNUMBER(B897),B897,
    IF(ISNUMBER(SEARCH("-",B897)*1),
      IF(LEN(LEFT(B897,FIND("-",B897)-1))=4,
        DATE(VALUE(LEFT(B897,4)),VALUE(MID(B897,6,2)),VALUE(RIGHT(B897,2))),
        DATE(VALUE(RIGHT(B897,4)),VALUE(MID(B897,4,2)),VALUE(LEFT(B897,2)))
      ),
      IF(ISNUMBER(SEARCH("/",B897)*1),
        DATE(VALUE(RIGHT(B897,4)),VALUE(LEFT(B897,2)),VALUE(MID(B897,4,2))),
        DATEVALUE(B897)
      )
    )
  ),
"INVALID_DATE")</f>
        <v>45601</v>
      </c>
      <c r="AA897" s="2">
        <f>IFERROR(
  IF(ISNUMBER(C897),C897,
    IF(ISNUMBER(SEARCH("-",C897)*1),
      IF(LEN(LEFT(C897,FIND("-",C897)-1))=4,
        DATE(VALUE(LEFT(C897,4)),VALUE(MID(C897,6,2)),VALUE(RIGHT(C897,2))),
        DATE(VALUE(RIGHT(C897,4)),VALUE(MID(C897,4,2)),VALUE(LEFT(C897,2)))
      ),
      IF(ISNUMBER(SEARCH("/",C897)*1),
        DATE(VALUE(RIGHT(C897,4)),VALUE(LEFT(C897,2)),VALUE(MID(C897,4,2))),
        DATEVALUE(C897)
      )
    )
  ),
"INVALID_DATE")</f>
        <v>45606</v>
      </c>
      <c r="AB897">
        <f>AA897-Z897</f>
        <v>5</v>
      </c>
      <c r="AC897" t="str">
        <f>TEXT(Z897,"mmmm")</f>
        <v>November</v>
      </c>
      <c r="AD897">
        <f>YEAR(Z897)</f>
        <v>2024</v>
      </c>
      <c r="AE897" t="str">
        <f t="shared" si="41"/>
        <v>OK</v>
      </c>
    </row>
    <row r="898" spans="1:31">
      <c r="A898" t="s">
        <v>4082</v>
      </c>
      <c r="B898" t="s">
        <v>4083</v>
      </c>
      <c r="C898" t="s">
        <v>2366</v>
      </c>
      <c r="D898" t="s">
        <v>4084</v>
      </c>
      <c r="E898" t="s">
        <v>79</v>
      </c>
      <c r="F898" t="s">
        <v>48</v>
      </c>
      <c r="G898" t="s">
        <v>69</v>
      </c>
      <c r="H898" t="s">
        <v>347</v>
      </c>
      <c r="I898" t="s">
        <v>348</v>
      </c>
      <c r="J898" t="s">
        <v>93</v>
      </c>
      <c r="K898" t="s">
        <v>101</v>
      </c>
      <c r="L898" t="s">
        <v>4085</v>
      </c>
      <c r="M898" t="s">
        <v>40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207</v>
      </c>
      <c r="U898" t="s">
        <v>132</v>
      </c>
      <c r="V898">
        <f>O898*(1-P898)*N898</f>
        <v>3508.3784999999998</v>
      </c>
      <c r="W898">
        <f t="shared" si="39"/>
        <v>680.31849999999986</v>
      </c>
      <c r="X898">
        <f t="shared" si="40"/>
        <v>0.19391286006646943</v>
      </c>
      <c r="Y898" t="s">
        <v>4120</v>
      </c>
      <c r="Z898" s="2">
        <f>IFERROR(
  IF(ISNUMBER(B898),B898,
    IF(ISNUMBER(SEARCH("-",B898)*1),
      IF(LEN(LEFT(B898,FIND("-",B898)-1))=4,
        DATE(VALUE(LEFT(B898,4)),VALUE(MID(B898,6,2)),VALUE(RIGHT(B898,2))),
        DATE(VALUE(RIGHT(B898,4)),VALUE(MID(B898,4,2)),VALUE(LEFT(B898,2)))
      ),
      IF(ISNUMBER(SEARCH("/",B898)*1),
        DATE(VALUE(RIGHT(B898,4)),VALUE(LEFT(B898,2)),VALUE(MID(B898,4,2))),
        DATEVALUE(B898)
      )
    )
  ),
"INVALID_DATE")</f>
        <v>45650</v>
      </c>
      <c r="AA898" s="2">
        <f>IFERROR(
  IF(ISNUMBER(C898),C898,
    IF(ISNUMBER(SEARCH("-",C898)*1),
      IF(LEN(LEFT(C898,FIND("-",C898)-1))=4,
        DATE(VALUE(LEFT(C898,4)),VALUE(MID(C898,6,2)),VALUE(RIGHT(C898,2))),
        DATE(VALUE(RIGHT(C898,4)),VALUE(MID(C898,4,2)),VALUE(LEFT(C898,2)))
      ),
      IF(ISNUMBER(SEARCH("/",C898)*1),
        DATE(VALUE(RIGHT(C898,4)),VALUE(LEFT(C898,2)),VALUE(MID(C898,4,2))),
        DATEVALUE(C898)
      )
    )
  ),
"INVALID_DATE")</f>
        <v>45651</v>
      </c>
      <c r="AB898">
        <f>AA898-Z898</f>
        <v>1</v>
      </c>
      <c r="AC898" t="str">
        <f>TEXT(Z898,"mmmm")</f>
        <v>December</v>
      </c>
      <c r="AD898">
        <f>YEAR(Z898)</f>
        <v>2024</v>
      </c>
      <c r="AE898" t="str">
        <f t="shared" si="41"/>
        <v>OK</v>
      </c>
    </row>
    <row r="899" spans="1:31">
      <c r="A899" t="s">
        <v>4086</v>
      </c>
      <c r="B899" t="s">
        <v>1189</v>
      </c>
      <c r="C899" t="s">
        <v>4087</v>
      </c>
      <c r="D899" t="s">
        <v>3208</v>
      </c>
      <c r="E899" t="s">
        <v>187</v>
      </c>
      <c r="F899" t="s">
        <v>115</v>
      </c>
      <c r="G899" t="s">
        <v>34</v>
      </c>
      <c r="H899" t="s">
        <v>331</v>
      </c>
      <c r="I899" t="s">
        <v>332</v>
      </c>
      <c r="J899" t="s">
        <v>37</v>
      </c>
      <c r="K899" t="s">
        <v>38</v>
      </c>
      <c r="L899" t="s">
        <v>4088</v>
      </c>
      <c r="M899" t="s">
        <v>63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41</v>
      </c>
      <c r="U899" t="s">
        <v>42</v>
      </c>
      <c r="V899">
        <f>O899*(1-P899)*N899</f>
        <v>6789.27</v>
      </c>
      <c r="W899">
        <f t="shared" ref="W899:W913" si="42">V899-R899</f>
        <v>1162.8400000000001</v>
      </c>
      <c r="X899">
        <f t="shared" ref="X899:X913" si="43">S899/Q899</f>
        <v>0.17127614603631905</v>
      </c>
      <c r="Y899" t="str">
        <f>_xlfn.TEXTJOIN(", ",TRUE,IF(G899="Unknown","Missing Region",""),IF(M899="Unknown","Missing Ship Mode",""),IF(P899&lt;0,"Negative Discount",""),IF(P899&gt;0.7,"High Discount",""),IF(C899&lt;B899,"Ship Before Order",""))</f>
        <v>Ship Before Order</v>
      </c>
      <c r="Z899" s="2">
        <f>IFERROR(
  IF(ISNUMBER(B899),B899,
    IF(ISNUMBER(SEARCH("-",B899)*1),
      IF(LEN(LEFT(B899,FIND("-",B899)-1))=4,
        DATE(VALUE(LEFT(B899,4)),VALUE(MID(B899,6,2)),VALUE(RIGHT(B899,2))),
        DATE(VALUE(RIGHT(B899,4)),VALUE(MID(B899,4,2)),VALUE(LEFT(B899,2)))
      ),
      IF(ISNUMBER(SEARCH("/",B899)*1),
        DATE(VALUE(RIGHT(B899,4)),VALUE(LEFT(B899,2)),VALUE(MID(B899,4,2))),
        DATEVALUE(B899)
      )
    )
  ),
"INVALID_DATE")</f>
        <v>45776</v>
      </c>
      <c r="AA899" s="2">
        <f>IFERROR(
  IF(ISNUMBER(C899),C899,
    IF(ISNUMBER(SEARCH("-",C899)*1),
      IF(LEN(LEFT(C899,FIND("-",C899)-1))=4,
        DATE(VALUE(LEFT(C899,4)),VALUE(MID(C899,6,2)),VALUE(RIGHT(C899,2))),
        DATE(VALUE(RIGHT(C899,4)),VALUE(MID(C899,4,2)),VALUE(LEFT(C899,2)))
      ),
      IF(ISNUMBER(SEARCH("/",C899)*1),
        DATE(VALUE(RIGHT(C899,4)),VALUE(LEFT(C899,2)),VALUE(MID(C899,4,2))),
        DATEVALUE(C899)
      )
    )
  ),
"INVALID_DATE")</f>
        <v>45780</v>
      </c>
      <c r="AB899">
        <f>AA899-Z899</f>
        <v>4</v>
      </c>
      <c r="AC899" t="str">
        <f>TEXT(Z899,"mmmm")</f>
        <v>April</v>
      </c>
      <c r="AD899">
        <f>YEAR(Z899)</f>
        <v>2025</v>
      </c>
      <c r="AE899" t="str">
        <f t="shared" ref="AE899:AE913" si="44">IF(OR(Z899="INVALID_DATE",AA899="INVALID_DATE"),"Invalid Date",IF(AA899&lt;Z899,"Ship Before Order","OK"))</f>
        <v>OK</v>
      </c>
    </row>
    <row r="900" spans="1:31">
      <c r="A900" t="s">
        <v>4089</v>
      </c>
      <c r="B900" t="s">
        <v>3652</v>
      </c>
      <c r="C900" t="s">
        <v>57</v>
      </c>
      <c r="D900" t="s">
        <v>4090</v>
      </c>
      <c r="E900" t="s">
        <v>90</v>
      </c>
      <c r="F900" t="s">
        <v>33</v>
      </c>
      <c r="G900" t="s">
        <v>34</v>
      </c>
      <c r="H900" t="s">
        <v>514</v>
      </c>
      <c r="I900" t="s">
        <v>515</v>
      </c>
      <c r="J900" t="s">
        <v>52</v>
      </c>
      <c r="K900" t="s">
        <v>53</v>
      </c>
      <c r="L900" t="s">
        <v>4091</v>
      </c>
      <c r="M900" t="s">
        <v>63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41</v>
      </c>
      <c r="U900" t="s">
        <v>42</v>
      </c>
      <c r="V900">
        <f>O900*(1-P900)*N900</f>
        <v>4917.4400000000005</v>
      </c>
      <c r="W900">
        <f t="shared" si="42"/>
        <v>1070.6700000000005</v>
      </c>
      <c r="X900">
        <f t="shared" si="43"/>
        <v>0.21772914361944429</v>
      </c>
      <c r="Y900" t="str">
        <f>_xlfn.TEXTJOIN(", ",TRUE,IF(G900="Unknown","Missing Region",""),IF(M900="Unknown","Missing Ship Mode",""),IF(P900&lt;0,"Negative Discount",""),IF(P900&gt;0.7,"High Discount",""),IF(C900&lt;B900,"Ship Before Order",""))</f>
        <v>Ship Before Order</v>
      </c>
      <c r="Z900" s="2">
        <f>IFERROR(
  IF(ISNUMBER(B900),B900,
    IF(ISNUMBER(SEARCH("-",B900)*1),
      IF(LEN(LEFT(B900,FIND("-",B900)-1))=4,
        DATE(VALUE(LEFT(B900,4)),VALUE(MID(B900,6,2)),VALUE(RIGHT(B900,2))),
        DATE(VALUE(RIGHT(B900,4)),VALUE(MID(B900,4,2)),VALUE(LEFT(B900,2)))
      ),
      IF(ISNUMBER(SEARCH("/",B900)*1),
        DATE(VALUE(RIGHT(B900,4)),VALUE(LEFT(B900,2)),VALUE(MID(B900,4,2))),
        DATEVALUE(B900)
      )
    )
  ),
"INVALID_DATE")</f>
        <v>45445</v>
      </c>
      <c r="AA900" s="2">
        <f>IFERROR(
  IF(ISNUMBER(C900),C900,
    IF(ISNUMBER(SEARCH("-",C900)*1),
      IF(LEN(LEFT(C900,FIND("-",C900)-1))=4,
        DATE(VALUE(LEFT(C900,4)),VALUE(MID(C900,6,2)),VALUE(RIGHT(C900,2))),
        DATE(VALUE(RIGHT(C900,4)),VALUE(MID(C900,4,2)),VALUE(LEFT(C900,2)))
      ),
      IF(ISNUMBER(SEARCH("/",C900)*1),
        DATE(VALUE(RIGHT(C900,4)),VALUE(LEFT(C900,2)),VALUE(MID(C900,4,2))),
        DATEVALUE(C900)
      )
    )
  ),
"INVALID_DATE")</f>
        <v>45451</v>
      </c>
      <c r="AB900">
        <f>AA900-Z900</f>
        <v>6</v>
      </c>
      <c r="AC900" t="str">
        <f>TEXT(Z900,"mmmm")</f>
        <v>June</v>
      </c>
      <c r="AD900">
        <f>YEAR(Z900)</f>
        <v>2024</v>
      </c>
      <c r="AE900" t="str">
        <f t="shared" si="44"/>
        <v>OK</v>
      </c>
    </row>
    <row r="901" spans="1:31">
      <c r="A901" t="s">
        <v>4092</v>
      </c>
      <c r="B901" t="s">
        <v>1690</v>
      </c>
      <c r="C901" t="s">
        <v>4093</v>
      </c>
      <c r="D901" t="s">
        <v>4094</v>
      </c>
      <c r="E901" t="s">
        <v>32</v>
      </c>
      <c r="F901" t="s">
        <v>33</v>
      </c>
      <c r="G901" t="s">
        <v>34</v>
      </c>
      <c r="H901" t="s">
        <v>161</v>
      </c>
      <c r="I901" t="s">
        <v>162</v>
      </c>
      <c r="J901" t="s">
        <v>52</v>
      </c>
      <c r="K901" t="s">
        <v>83</v>
      </c>
      <c r="L901" t="s">
        <v>4095</v>
      </c>
      <c r="M901" t="s">
        <v>63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207</v>
      </c>
      <c r="U901" t="s">
        <v>85</v>
      </c>
      <c r="V901">
        <f>O901*(1-P901)*N901</f>
        <v>3304.05</v>
      </c>
      <c r="W901">
        <f t="shared" si="42"/>
        <v>1024.6400000000003</v>
      </c>
      <c r="X901">
        <f t="shared" si="43"/>
        <v>0.3101163723309272</v>
      </c>
      <c r="Y901" t="str">
        <f>_xlfn.TEXTJOIN(", ",TRUE,IF(G901="Unknown","Missing Region",""),IF(M901="Unknown","Missing Ship Mode",""),IF(P901&lt;0,"Negative Discount",""),IF(P901&gt;0.7,"High Discount",""),IF(C901&lt;B901,"Ship Before Order",""))</f>
        <v>Ship Before Order</v>
      </c>
      <c r="Z901" s="2">
        <f>IFERROR(
  IF(ISNUMBER(B901),B901,
    IF(ISNUMBER(SEARCH("-",B901)*1),
      IF(LEN(LEFT(B901,FIND("-",B901)-1))=4,
        DATE(VALUE(LEFT(B901,4)),VALUE(MID(B901,6,2)),VALUE(RIGHT(B901,2))),
        DATE(VALUE(RIGHT(B901,4)),VALUE(MID(B901,4,2)),VALUE(LEFT(B901,2)))
      ),
      IF(ISNUMBER(SEARCH("/",B901)*1),
        DATE(VALUE(RIGHT(B901,4)),VALUE(LEFT(B901,2)),VALUE(MID(B901,4,2))),
        DATEVALUE(B901)
      )
    )
  ),
"INVALID_DATE")</f>
        <v>45804</v>
      </c>
      <c r="AA901" s="2">
        <f>IFERROR(
  IF(ISNUMBER(C901),C901,
    IF(ISNUMBER(SEARCH("-",C901)*1),
      IF(LEN(LEFT(C901,FIND("-",C901)-1))=4,
        DATE(VALUE(LEFT(C901,4)),VALUE(MID(C901,6,2)),VALUE(RIGHT(C901,2))),
        DATE(VALUE(RIGHT(C901,4)),VALUE(MID(C901,4,2)),VALUE(LEFT(C901,2)))
      ),
      IF(ISNUMBER(SEARCH("/",C901)*1),
        DATE(VALUE(RIGHT(C901,4)),VALUE(LEFT(C901,2)),VALUE(MID(C901,4,2))),
        DATEVALUE(C901)
      )
    )
  ),
"INVALID_DATE")</f>
        <v>45811</v>
      </c>
      <c r="AB901">
        <f>AA901-Z901</f>
        <v>7</v>
      </c>
      <c r="AC901" t="str">
        <f>TEXT(Z901,"mmmm")</f>
        <v>May</v>
      </c>
      <c r="AD901">
        <f>YEAR(Z901)</f>
        <v>2025</v>
      </c>
      <c r="AE901" t="str">
        <f t="shared" si="44"/>
        <v>OK</v>
      </c>
    </row>
    <row r="902" spans="1:31">
      <c r="A902" t="s">
        <v>1685</v>
      </c>
      <c r="B902" t="s">
        <v>713</v>
      </c>
      <c r="C902" t="s">
        <v>1686</v>
      </c>
      <c r="D902" t="s">
        <v>1687</v>
      </c>
      <c r="E902" t="s">
        <v>175</v>
      </c>
      <c r="F902" t="s">
        <v>122</v>
      </c>
      <c r="G902" t="s">
        <v>49</v>
      </c>
      <c r="H902" t="s">
        <v>50</v>
      </c>
      <c r="I902" t="s">
        <v>51</v>
      </c>
      <c r="J902" t="s">
        <v>37</v>
      </c>
      <c r="K902" t="s">
        <v>205</v>
      </c>
      <c r="L902" t="s">
        <v>1688</v>
      </c>
      <c r="M902" t="s">
        <v>40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41</v>
      </c>
      <c r="U902" t="s">
        <v>42</v>
      </c>
      <c r="V902">
        <f>O902*(1-P902)*N902</f>
        <v>10742.64</v>
      </c>
      <c r="W902">
        <f t="shared" si="42"/>
        <v>4265.2699999999995</v>
      </c>
      <c r="X902">
        <f t="shared" si="43"/>
        <v>0.38810852519906941</v>
      </c>
      <c r="Y902" t="s">
        <v>4120</v>
      </c>
      <c r="Z902" s="2">
        <f>IFERROR(
  IF(ISNUMBER(B902),B902,
    IF(ISNUMBER(SEARCH("-",B902)*1),
      IF(LEN(LEFT(B902,FIND("-",B902)-1))=4,
        DATE(VALUE(LEFT(B902,4)),VALUE(MID(B902,6,2)),VALUE(RIGHT(B902,2))),
        DATE(VALUE(RIGHT(B902,4)),VALUE(MID(B902,4,2)),VALUE(LEFT(B902,2)))
      ),
      IF(ISNUMBER(SEARCH("/",B902)*1),
        DATE(VALUE(RIGHT(B902,4)),VALUE(LEFT(B902,2)),VALUE(MID(B902,4,2))),
        DATEVALUE(B902)
      )
    )
  ),
"INVALID_DATE")</f>
        <v>45630</v>
      </c>
      <c r="AA902" s="2">
        <f>IFERROR(
  IF(ISNUMBER(C902),C902,
    IF(ISNUMBER(SEARCH("-",C902)*1),
      IF(LEN(LEFT(C902,FIND("-",C902)-1))=4,
        DATE(VALUE(LEFT(C902,4)),VALUE(MID(C902,6,2)),VALUE(RIGHT(C902,2))),
        DATE(VALUE(RIGHT(C902,4)),VALUE(MID(C902,4,2)),VALUE(LEFT(C902,2)))
      ),
      IF(ISNUMBER(SEARCH("/",C902)*1),
        DATE(VALUE(RIGHT(C902,4)),VALUE(LEFT(C902,2)),VALUE(MID(C902,4,2))),
        DATEVALUE(C902)
      )
    )
  ),
"INVALID_DATE")</f>
        <v>45632</v>
      </c>
      <c r="AB902">
        <f>AA902-Z902</f>
        <v>2</v>
      </c>
      <c r="AC902" t="str">
        <f>TEXT(Z902,"mmmm")</f>
        <v>December</v>
      </c>
      <c r="AD902">
        <f>YEAR(Z902)</f>
        <v>2024</v>
      </c>
      <c r="AE902" t="str">
        <f t="shared" si="44"/>
        <v>OK</v>
      </c>
    </row>
    <row r="903" spans="1:31">
      <c r="A903" t="s">
        <v>557</v>
      </c>
      <c r="B903" t="s">
        <v>558</v>
      </c>
      <c r="C903" t="s">
        <v>76</v>
      </c>
      <c r="D903" t="s">
        <v>559</v>
      </c>
      <c r="E903" t="s">
        <v>169</v>
      </c>
      <c r="F903" t="s">
        <v>48</v>
      </c>
      <c r="G903" t="s">
        <v>49</v>
      </c>
      <c r="H903" t="s">
        <v>193</v>
      </c>
      <c r="I903" t="s">
        <v>194</v>
      </c>
      <c r="J903" t="s">
        <v>93</v>
      </c>
      <c r="K903" t="s">
        <v>101</v>
      </c>
      <c r="L903" t="s">
        <v>560</v>
      </c>
      <c r="M903" t="s">
        <v>63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41</v>
      </c>
      <c r="U903" t="s">
        <v>132</v>
      </c>
      <c r="V903">
        <f>O903*(1-P903)*N903</f>
        <v>9445.098</v>
      </c>
      <c r="W903">
        <f t="shared" si="42"/>
        <v>3858.8180000000002</v>
      </c>
      <c r="X903">
        <f t="shared" si="43"/>
        <v>0.40408861671469742</v>
      </c>
      <c r="Y903" t="s">
        <v>4120</v>
      </c>
      <c r="Z903" s="2">
        <f>IFERROR(
  IF(ISNUMBER(B903),B903,
    IF(ISNUMBER(SEARCH("-",B903)*1),
      IF(LEN(LEFT(B903,FIND("-",B903)-1))=4,
        DATE(VALUE(LEFT(B903,4)),VALUE(MID(B903,6,2)),VALUE(RIGHT(B903,2))),
        DATE(VALUE(RIGHT(B903,4)),VALUE(MID(B903,4,2)),VALUE(LEFT(B903,2)))
      ),
      IF(ISNUMBER(SEARCH("/",B903)*1),
        DATE(VALUE(RIGHT(B903,4)),VALUE(LEFT(B903,2)),VALUE(MID(B903,4,2))),
        DATEVALUE(B903)
      )
    )
  ),
"INVALID_DATE")</f>
        <v>45893</v>
      </c>
      <c r="AA903" s="2">
        <f>IFERROR(
  IF(ISNUMBER(C903),C903,
    IF(ISNUMBER(SEARCH("-",C903)*1),
      IF(LEN(LEFT(C903,FIND("-",C903)-1))=4,
        DATE(VALUE(LEFT(C903,4)),VALUE(MID(C903,6,2)),VALUE(RIGHT(C903,2))),
        DATE(VALUE(RIGHT(C903,4)),VALUE(MID(C903,4,2)),VALUE(LEFT(C903,2)))
      ),
      IF(ISNUMBER(SEARCH("/",C903)*1),
        DATE(VALUE(RIGHT(C903,4)),VALUE(LEFT(C903,2)),VALUE(MID(C903,4,2))),
        DATEVALUE(C903)
      )
    )
  ),
"INVALID_DATE")</f>
        <v>45898</v>
      </c>
      <c r="AB903">
        <f>AA903-Z903</f>
        <v>5</v>
      </c>
      <c r="AC903" t="str">
        <f>TEXT(Z903,"mmmm")</f>
        <v>August</v>
      </c>
      <c r="AD903">
        <f>YEAR(Z903)</f>
        <v>2025</v>
      </c>
      <c r="AE903" t="str">
        <f t="shared" si="44"/>
        <v>OK</v>
      </c>
    </row>
    <row r="904" spans="1:31">
      <c r="A904" t="s">
        <v>1869</v>
      </c>
      <c r="B904" t="s">
        <v>1870</v>
      </c>
      <c r="C904" t="s">
        <v>1870</v>
      </c>
      <c r="D904" t="s">
        <v>1871</v>
      </c>
      <c r="E904" t="s">
        <v>175</v>
      </c>
      <c r="F904" t="s">
        <v>48</v>
      </c>
      <c r="G904" t="s">
        <v>34</v>
      </c>
      <c r="H904" t="s">
        <v>181</v>
      </c>
      <c r="I904" t="s">
        <v>182</v>
      </c>
      <c r="J904" t="s">
        <v>37</v>
      </c>
      <c r="K904" t="s">
        <v>163</v>
      </c>
      <c r="L904" t="s">
        <v>1872</v>
      </c>
      <c r="M904" t="s">
        <v>40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41</v>
      </c>
      <c r="U904" t="s">
        <v>132</v>
      </c>
      <c r="V904">
        <f>O904*(1-P904)*N904</f>
        <v>10068.120000000001</v>
      </c>
      <c r="W904">
        <f t="shared" si="42"/>
        <v>1472.75</v>
      </c>
      <c r="X904">
        <f t="shared" si="43"/>
        <v>0.14231627406282885</v>
      </c>
      <c r="Y904" t="s">
        <v>4120</v>
      </c>
      <c r="Z904" s="2">
        <f>IFERROR(
  IF(ISNUMBER(B904),B904,
    IF(ISNUMBER(SEARCH("-",B904)*1),
      IF(LEN(LEFT(B904,FIND("-",B904)-1))=4,
        DATE(VALUE(LEFT(B904,4)),VALUE(MID(B904,6,2)),VALUE(RIGHT(B904,2))),
        DATE(VALUE(RIGHT(B904,4)),VALUE(MID(B904,4,2)),VALUE(LEFT(B904,2)))
      ),
      IF(ISNUMBER(SEARCH("/",B904)*1),
        DATE(VALUE(RIGHT(B904,4)),VALUE(LEFT(B904,2)),VALUE(MID(B904,4,2))),
        DATEVALUE(B904)
      )
    )
  ),
"INVALID_DATE")</f>
        <v>45760</v>
      </c>
      <c r="AA904" s="2">
        <f>IFERROR(
  IF(ISNUMBER(C904),C904,
    IF(ISNUMBER(SEARCH("-",C904)*1),
      IF(LEN(LEFT(C904,FIND("-",C904)-1))=4,
        DATE(VALUE(LEFT(C904,4)),VALUE(MID(C904,6,2)),VALUE(RIGHT(C904,2))),
        DATE(VALUE(RIGHT(C904,4)),VALUE(MID(C904,4,2)),VALUE(LEFT(C904,2)))
      ),
      IF(ISNUMBER(SEARCH("/",C904)*1),
        DATE(VALUE(RIGHT(C904,4)),VALUE(LEFT(C904,2)),VALUE(MID(C904,4,2))),
        DATEVALUE(C904)
      )
    )
  ),
"INVALID_DATE")</f>
        <v>45760</v>
      </c>
      <c r="AB904">
        <f>AA904-Z904</f>
        <v>0</v>
      </c>
      <c r="AC904" t="str">
        <f>TEXT(Z904,"mmmm")</f>
        <v>April</v>
      </c>
      <c r="AD904">
        <f>YEAR(Z904)</f>
        <v>2025</v>
      </c>
      <c r="AE904" t="str">
        <f t="shared" si="44"/>
        <v>OK</v>
      </c>
    </row>
    <row r="905" spans="1:31">
      <c r="A905" t="s">
        <v>1197</v>
      </c>
      <c r="B905" t="s">
        <v>1198</v>
      </c>
      <c r="C905" t="s">
        <v>1199</v>
      </c>
      <c r="D905" t="s">
        <v>1200</v>
      </c>
      <c r="E905" t="s">
        <v>60</v>
      </c>
      <c r="F905" t="s">
        <v>48</v>
      </c>
      <c r="G905" t="s">
        <v>34</v>
      </c>
      <c r="H905" t="s">
        <v>161</v>
      </c>
      <c r="I905" t="s">
        <v>162</v>
      </c>
      <c r="J905" t="s">
        <v>52</v>
      </c>
      <c r="K905" t="s">
        <v>72</v>
      </c>
      <c r="L905" t="s">
        <v>1201</v>
      </c>
      <c r="M905" t="s">
        <v>74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41</v>
      </c>
      <c r="U905" t="s">
        <v>132</v>
      </c>
      <c r="V905">
        <f>O905*(1-P905)*N905</f>
        <v>11833.92</v>
      </c>
      <c r="W905">
        <f t="shared" si="42"/>
        <v>5151</v>
      </c>
      <c r="X905">
        <f t="shared" si="43"/>
        <v>0.42510908327136748</v>
      </c>
      <c r="Y905" t="str">
        <f>_xlfn.TEXTJOIN(", ",TRUE,IF(G905="Unknown","Missing Region",""),IF(M905="Unknown","Missing Ship Mode",""),IF(P905&lt;0,"Negative Discount",""),IF(P905&gt;0.7,"High Discount",""),IF(C905&lt;B905,"Ship Before Order",""))</f>
        <v>Ship Before Order</v>
      </c>
      <c r="Z905" s="2">
        <f>IFERROR(
  IF(ISNUMBER(B905),B905,
    IF(ISNUMBER(SEARCH("-",B905)*1),
      IF(LEN(LEFT(B905,FIND("-",B905)-1))=4,
        DATE(VALUE(LEFT(B905,4)),VALUE(MID(B905,6,2)),VALUE(RIGHT(B905,2))),
        DATE(VALUE(RIGHT(B905,4)),VALUE(MID(B905,4,2)),VALUE(LEFT(B905,2)))
      ),
      IF(ISNUMBER(SEARCH("/",B905)*1),
        DATE(VALUE(RIGHT(B905,4)),VALUE(LEFT(B905,2)),VALUE(MID(B905,4,2))),
        DATEVALUE(B905)
      )
    )
  ),
"INVALID_DATE")</f>
        <v>45932</v>
      </c>
      <c r="AA905" s="2">
        <f>IFERROR(
  IF(ISNUMBER(C905),C905,
    IF(ISNUMBER(SEARCH("-",C905)*1),
      IF(LEN(LEFT(C905,FIND("-",C905)-1))=4,
        DATE(VALUE(LEFT(C905,4)),VALUE(MID(C905,6,2)),VALUE(RIGHT(C905,2))),
        DATE(VALUE(RIGHT(C905,4)),VALUE(MID(C905,4,2)),VALUE(LEFT(C905,2)))
      ),
      IF(ISNUMBER(SEARCH("/",C905)*1),
        DATE(VALUE(RIGHT(C905,4)),VALUE(LEFT(C905,2)),VALUE(MID(C905,4,2))),
        DATEVALUE(C905)
      )
    )
  ),
"INVALID_DATE")</f>
        <v>45938</v>
      </c>
      <c r="AB905">
        <f>AA905-Z905</f>
        <v>6</v>
      </c>
      <c r="AC905" t="str">
        <f>TEXT(Z905,"mmmm")</f>
        <v>October</v>
      </c>
      <c r="AD905">
        <f>YEAR(Z905)</f>
        <v>2025</v>
      </c>
      <c r="AE905" t="str">
        <f t="shared" si="44"/>
        <v>OK</v>
      </c>
    </row>
    <row r="906" spans="1:31">
      <c r="A906" t="s">
        <v>1610</v>
      </c>
      <c r="B906" t="s">
        <v>1112</v>
      </c>
      <c r="C906" t="s">
        <v>125</v>
      </c>
      <c r="D906" t="s">
        <v>1611</v>
      </c>
      <c r="E906" t="s">
        <v>60</v>
      </c>
      <c r="F906" t="s">
        <v>115</v>
      </c>
      <c r="G906" t="s">
        <v>80</v>
      </c>
      <c r="H906" t="s">
        <v>91</v>
      </c>
      <c r="I906" t="s">
        <v>92</v>
      </c>
      <c r="J906" t="s">
        <v>37</v>
      </c>
      <c r="K906" t="s">
        <v>116</v>
      </c>
      <c r="L906" t="s">
        <v>1612</v>
      </c>
      <c r="M906" t="s">
        <v>74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207</v>
      </c>
      <c r="U906" t="s">
        <v>42</v>
      </c>
      <c r="V906">
        <f>O906*(1-P906)*N906</f>
        <v>6485.3639999999996</v>
      </c>
      <c r="W906">
        <f t="shared" si="42"/>
        <v>1109.1939999999995</v>
      </c>
      <c r="X906">
        <f t="shared" si="43"/>
        <v>0.16833020455673306</v>
      </c>
      <c r="Y906" t="s">
        <v>4120</v>
      </c>
      <c r="Z906" s="2">
        <f>IFERROR(
  IF(ISNUMBER(B906),B906,
    IF(ISNUMBER(SEARCH("-",B906)*1),
      IF(LEN(LEFT(B906,FIND("-",B906)-1))=4,
        DATE(VALUE(LEFT(B906,4)),VALUE(MID(B906,6,2)),VALUE(RIGHT(B906,2))),
        DATE(VALUE(RIGHT(B906,4)),VALUE(MID(B906,4,2)),VALUE(LEFT(B906,2)))
      ),
      IF(ISNUMBER(SEARCH("/",B906)*1),
        DATE(VALUE(RIGHT(B906,4)),VALUE(LEFT(B906,2)),VALUE(MID(B906,4,2))),
        DATEVALUE(B906)
      )
    )
  ),
"INVALID_DATE")</f>
        <v>45795</v>
      </c>
      <c r="AA906" s="2">
        <f>IFERROR(
  IF(ISNUMBER(C906),C906,
    IF(ISNUMBER(SEARCH("-",C906)*1),
      IF(LEN(LEFT(C906,FIND("-",C906)-1))=4,
        DATE(VALUE(LEFT(C906,4)),VALUE(MID(C906,6,2)),VALUE(RIGHT(C906,2))),
        DATE(VALUE(RIGHT(C906,4)),VALUE(MID(C906,4,2)),VALUE(LEFT(C906,2)))
      ),
      IF(ISNUMBER(SEARCH("/",C906)*1),
        DATE(VALUE(RIGHT(C906,4)),VALUE(LEFT(C906,2)),VALUE(MID(C906,4,2))),
        DATEVALUE(C906)
      )
    )
  ),
"INVALID_DATE")</f>
        <v>45797</v>
      </c>
      <c r="AB906">
        <f>AA906-Z906</f>
        <v>2</v>
      </c>
      <c r="AC906" t="str">
        <f>TEXT(Z906,"mmmm")</f>
        <v>May</v>
      </c>
      <c r="AD906">
        <f>YEAR(Z906)</f>
        <v>2025</v>
      </c>
      <c r="AE906" t="str">
        <f t="shared" si="44"/>
        <v>OK</v>
      </c>
    </row>
    <row r="907" spans="1:31">
      <c r="A907" t="s">
        <v>942</v>
      </c>
      <c r="B907" t="s">
        <v>119</v>
      </c>
      <c r="C907" t="s">
        <v>943</v>
      </c>
      <c r="D907" t="s">
        <v>944</v>
      </c>
      <c r="E907" t="s">
        <v>187</v>
      </c>
      <c r="F907" t="s">
        <v>115</v>
      </c>
      <c r="G907" t="s">
        <v>49</v>
      </c>
      <c r="H907" t="s">
        <v>193</v>
      </c>
      <c r="I907" t="s">
        <v>194</v>
      </c>
      <c r="J907" t="s">
        <v>93</v>
      </c>
      <c r="K907" t="s">
        <v>101</v>
      </c>
      <c r="L907" t="s">
        <v>945</v>
      </c>
      <c r="M907" t="s">
        <v>74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41</v>
      </c>
      <c r="U907" t="s">
        <v>132</v>
      </c>
      <c r="V907">
        <f>O907*(1-P907)*N907</f>
        <v>5133.96</v>
      </c>
      <c r="W907">
        <f t="shared" si="42"/>
        <v>1203.96</v>
      </c>
      <c r="X907">
        <f t="shared" si="43"/>
        <v>0.23124038467078845</v>
      </c>
      <c r="Y907" t="s">
        <v>4120</v>
      </c>
      <c r="Z907" s="2">
        <f>IFERROR(
  IF(ISNUMBER(B907),B907,
    IF(ISNUMBER(SEARCH("-",B907)*1),
      IF(LEN(LEFT(B907,FIND("-",B907)-1))=4,
        DATE(VALUE(LEFT(B907,4)),VALUE(MID(B907,6,2)),VALUE(RIGHT(B907,2))),
        DATE(VALUE(RIGHT(B907,4)),VALUE(MID(B907,4,2)),VALUE(LEFT(B907,2)))
      ),
      IF(ISNUMBER(SEARCH("/",B907)*1),
        DATE(VALUE(RIGHT(B907,4)),VALUE(LEFT(B907,2)),VALUE(MID(B907,4,2))),
        DATEVALUE(B907)
      )
    )
  ),
"INVALID_DATE")</f>
        <v>45907</v>
      </c>
      <c r="AA907" s="2">
        <f>IFERROR(
  IF(ISNUMBER(C907),C907,
    IF(ISNUMBER(SEARCH("-",C907)*1),
      IF(LEN(LEFT(C907,FIND("-",C907)-1))=4,
        DATE(VALUE(LEFT(C907,4)),VALUE(MID(C907,6,2)),VALUE(RIGHT(C907,2))),
        DATE(VALUE(RIGHT(C907,4)),VALUE(MID(C907,4,2)),VALUE(LEFT(C907,2)))
      ),
      IF(ISNUMBER(SEARCH("/",C907)*1),
        DATE(VALUE(RIGHT(C907,4)),VALUE(LEFT(C907,2)),VALUE(MID(C907,4,2))),
        DATEVALUE(C907)
      )
    )
  ),
"INVALID_DATE")</f>
        <v>45915</v>
      </c>
      <c r="AB907">
        <f>AA907-Z907</f>
        <v>8</v>
      </c>
      <c r="AC907" t="str">
        <f>TEXT(Z907,"mmmm")</f>
        <v>September</v>
      </c>
      <c r="AD907">
        <f>YEAR(Z907)</f>
        <v>2025</v>
      </c>
      <c r="AE907" t="str">
        <f t="shared" si="44"/>
        <v>OK</v>
      </c>
    </row>
    <row r="908" spans="1:31">
      <c r="A908" t="s">
        <v>2095</v>
      </c>
      <c r="B908" t="s">
        <v>2096</v>
      </c>
      <c r="C908" t="s">
        <v>2097</v>
      </c>
      <c r="D908" t="s">
        <v>2098</v>
      </c>
      <c r="E908" t="s">
        <v>217</v>
      </c>
      <c r="F908" t="s">
        <v>33</v>
      </c>
      <c r="G908" t="s">
        <v>69</v>
      </c>
      <c r="H908" t="s">
        <v>249</v>
      </c>
      <c r="I908" t="s">
        <v>250</v>
      </c>
      <c r="J908" t="s">
        <v>93</v>
      </c>
      <c r="K908" t="s">
        <v>94</v>
      </c>
      <c r="L908" t="s">
        <v>2099</v>
      </c>
      <c r="M908" t="s">
        <v>2100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41</v>
      </c>
      <c r="U908" t="s">
        <v>132</v>
      </c>
      <c r="V908">
        <f>O908*(1-P908)*N908</f>
        <v>27211.032000000003</v>
      </c>
      <c r="W908">
        <f t="shared" si="42"/>
        <v>9270.6020000000026</v>
      </c>
      <c r="X908">
        <f t="shared" si="43"/>
        <v>0.33929780513781482</v>
      </c>
      <c r="Y908" t="s">
        <v>4120</v>
      </c>
      <c r="Z908" s="2">
        <f>IFERROR(
  IF(ISNUMBER(B908),B908,
    IF(ISNUMBER(SEARCH("-",B908)*1),
      IF(LEN(LEFT(B908,FIND("-",B908)-1))=4,
        DATE(VALUE(LEFT(B908,4)),VALUE(MID(B908,6,2)),VALUE(RIGHT(B908,2))),
        DATE(VALUE(RIGHT(B908,4)),VALUE(MID(B908,4,2)),VALUE(LEFT(B908,2)))
      ),
      IF(ISNUMBER(SEARCH("/",B908)*1),
        DATE(VALUE(RIGHT(B908,4)),VALUE(LEFT(B908,2)),VALUE(MID(B908,4,2))),
        DATEVALUE(B908)
      )
    )
  ),
"INVALID_DATE")</f>
        <v>45342</v>
      </c>
      <c r="AA908" s="2">
        <f>IFERROR(
  IF(ISNUMBER(C908),C908,
    IF(ISNUMBER(SEARCH("-",C908)*1),
      IF(LEN(LEFT(C908,FIND("-",C908)-1))=4,
        DATE(VALUE(LEFT(C908,4)),VALUE(MID(C908,6,2)),VALUE(RIGHT(C908,2))),
        DATE(VALUE(RIGHT(C908,4)),VALUE(MID(C908,4,2)),VALUE(LEFT(C908,2)))
      ),
      IF(ISNUMBER(SEARCH("/",C908)*1),
        DATE(VALUE(RIGHT(C908,4)),VALUE(LEFT(C908,2)),VALUE(MID(C908,4,2))),
        DATEVALUE(C908)
      )
    )
  ),
"INVALID_DATE")</f>
        <v>45349</v>
      </c>
      <c r="AB908">
        <f>AA908-Z908</f>
        <v>7</v>
      </c>
      <c r="AC908" t="str">
        <f>TEXT(Z908,"mmmm")</f>
        <v>February</v>
      </c>
      <c r="AD908">
        <f>YEAR(Z908)</f>
        <v>2024</v>
      </c>
      <c r="AE908" t="str">
        <f t="shared" si="44"/>
        <v>OK</v>
      </c>
    </row>
    <row r="909" spans="1:31">
      <c r="A909" t="s">
        <v>2747</v>
      </c>
      <c r="B909" t="s">
        <v>2683</v>
      </c>
      <c r="C909" t="s">
        <v>2748</v>
      </c>
      <c r="D909" t="s">
        <v>2749</v>
      </c>
      <c r="E909" t="s">
        <v>149</v>
      </c>
      <c r="F909" t="s">
        <v>48</v>
      </c>
      <c r="G909" t="s">
        <v>34</v>
      </c>
      <c r="H909" t="s">
        <v>181</v>
      </c>
      <c r="I909" t="s">
        <v>182</v>
      </c>
      <c r="J909" t="s">
        <v>93</v>
      </c>
      <c r="K909" t="s">
        <v>230</v>
      </c>
      <c r="L909" t="s">
        <v>2750</v>
      </c>
      <c r="M909" t="s">
        <v>279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207</v>
      </c>
      <c r="U909" t="s">
        <v>42</v>
      </c>
      <c r="V909">
        <f>O909*(1-P909)*N909</f>
        <v>21381.45</v>
      </c>
      <c r="W909">
        <f t="shared" si="42"/>
        <v>8141.2400000000016</v>
      </c>
      <c r="X909">
        <f t="shared" si="43"/>
        <v>0.37965773518755919</v>
      </c>
      <c r="Y909" t="str">
        <f>_xlfn.TEXTJOIN(", ",TRUE,IF(G909="Unknown","Missing Region",""),IF(M909="Unknown","Missing Ship Mode",""),IF(P909&lt;0,"Negative Discount",""),IF(P909&gt;0.7,"High Discount",""),IF(C909&lt;B909,"Ship Before Order",""))</f>
        <v>Missing Ship Mode</v>
      </c>
      <c r="Z909" s="2">
        <f>IFERROR(
  IF(ISNUMBER(B909),B909,
    IF(ISNUMBER(SEARCH("-",B909)*1),
      IF(LEN(LEFT(B909,FIND("-",B909)-1))=4,
        DATE(VALUE(LEFT(B909,4)),VALUE(MID(B909,6,2)),VALUE(RIGHT(B909,2))),
        DATE(VALUE(RIGHT(B909,4)),VALUE(MID(B909,4,2)),VALUE(LEFT(B909,2)))
      ),
      IF(ISNUMBER(SEARCH("/",B909)*1),
        DATE(VALUE(RIGHT(B909,4)),VALUE(LEFT(B909,2)),VALUE(MID(B909,4,2))),
        DATEVALUE(B909)
      )
    )
  ),
"INVALID_DATE")</f>
        <v>45698</v>
      </c>
      <c r="AA909" s="2">
        <f>IFERROR(
  IF(ISNUMBER(C909),C909,
    IF(ISNUMBER(SEARCH("-",C909)*1),
      IF(LEN(LEFT(C909,FIND("-",C909)-1))=4,
        DATE(VALUE(LEFT(C909,4)),VALUE(MID(C909,6,2)),VALUE(RIGHT(C909,2))),
        DATE(VALUE(RIGHT(C909,4)),VALUE(MID(C909,4,2)),VALUE(LEFT(C909,2)))
      ),
      IF(ISNUMBER(SEARCH("/",C909)*1),
        DATE(VALUE(RIGHT(C909,4)),VALUE(LEFT(C909,2)),VALUE(MID(C909,4,2))),
        DATEVALUE(C909)
      )
    )
  ),
"INVALID_DATE")</f>
        <v>45702</v>
      </c>
      <c r="AB909">
        <f>AA909-Z909</f>
        <v>4</v>
      </c>
      <c r="AC909" t="str">
        <f>TEXT(Z909,"mmmm")</f>
        <v>February</v>
      </c>
      <c r="AD909">
        <f>YEAR(Z909)</f>
        <v>2025</v>
      </c>
      <c r="AE909" t="str">
        <f t="shared" si="44"/>
        <v>OK</v>
      </c>
    </row>
    <row r="910" spans="1:31">
      <c r="A910" t="s">
        <v>808</v>
      </c>
      <c r="B910" t="s">
        <v>809</v>
      </c>
      <c r="C910" t="s">
        <v>810</v>
      </c>
      <c r="D910" t="s">
        <v>811</v>
      </c>
      <c r="E910" t="s">
        <v>114</v>
      </c>
      <c r="F910" t="s">
        <v>122</v>
      </c>
      <c r="G910" t="s">
        <v>34</v>
      </c>
      <c r="H910" t="s">
        <v>35</v>
      </c>
      <c r="I910" t="s">
        <v>36</v>
      </c>
      <c r="J910" t="s">
        <v>93</v>
      </c>
      <c r="K910" t="s">
        <v>230</v>
      </c>
      <c r="L910" t="s">
        <v>812</v>
      </c>
      <c r="M910" t="s">
        <v>40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41</v>
      </c>
      <c r="U910" t="s">
        <v>132</v>
      </c>
      <c r="V910">
        <f>O910*(1-P910)*N910</f>
        <v>3857.0450000000001</v>
      </c>
      <c r="W910">
        <f t="shared" si="42"/>
        <v>1087.7849999999999</v>
      </c>
      <c r="X910">
        <f t="shared" si="43"/>
        <v>0.26533225682917488</v>
      </c>
      <c r="Y910" t="str">
        <f>_xlfn.TEXTJOIN(", ",TRUE,IF(G910="Unknown","Missing Region",""),IF(M910="Unknown","Missing Ship Mode",""),IF(P910&lt;0,"Negative Discount",""),IF(P910&gt;0.7,"High Discount",""),IF(C910&lt;B910,"Ship Before Order",""))</f>
        <v>Ship Before Order</v>
      </c>
      <c r="Z910" s="2">
        <f>IFERROR(
  IF(ISNUMBER(B910),B910,
    IF(ISNUMBER(SEARCH("-",B910)*1),
      IF(LEN(LEFT(B910,FIND("-",B910)-1))=4,
        DATE(VALUE(LEFT(B910,4)),VALUE(MID(B910,6,2)),VALUE(RIGHT(B910,2))),
        DATE(VALUE(RIGHT(B910,4)),VALUE(MID(B910,4,2)),VALUE(LEFT(B910,2)))
      ),
      IF(ISNUMBER(SEARCH("/",B910)*1),
        DATE(VALUE(RIGHT(B910,4)),VALUE(LEFT(B910,2)),VALUE(MID(B910,4,2))),
        DATEVALUE(B910)
      )
    )
  ),
"INVALID_DATE")</f>
        <v>45381</v>
      </c>
      <c r="AA910" s="2">
        <f>IFERROR(
  IF(ISNUMBER(C910),C910,
    IF(ISNUMBER(SEARCH("-",C910)*1),
      IF(LEN(LEFT(C910,FIND("-",C910)-1))=4,
        DATE(VALUE(LEFT(C910,4)),VALUE(MID(C910,6,2)),VALUE(RIGHT(C910,2))),
        DATE(VALUE(RIGHT(C910,4)),VALUE(MID(C910,4,2)),VALUE(LEFT(C910,2)))
      ),
      IF(ISNUMBER(SEARCH("/",C910)*1),
        DATE(VALUE(RIGHT(C910,4)),VALUE(LEFT(C910,2)),VALUE(MID(C910,4,2))),
        DATEVALUE(C910)
      )
    )
  ),
"INVALID_DATE")</f>
        <v>45377</v>
      </c>
      <c r="AB910">
        <f>AA910-Z910</f>
        <v>-4</v>
      </c>
      <c r="AC910" t="str">
        <f>TEXT(Z910,"mmmm")</f>
        <v>March</v>
      </c>
      <c r="AD910">
        <f>YEAR(Z910)</f>
        <v>2024</v>
      </c>
      <c r="AE910" t="str">
        <f t="shared" si="44"/>
        <v>Ship Before Order</v>
      </c>
    </row>
    <row r="911" spans="1:31">
      <c r="A911" t="s">
        <v>1416</v>
      </c>
      <c r="B911" t="s">
        <v>1417</v>
      </c>
      <c r="C911" t="s">
        <v>1418</v>
      </c>
      <c r="D911" t="s">
        <v>1419</v>
      </c>
      <c r="E911" t="s">
        <v>68</v>
      </c>
      <c r="F911" t="s">
        <v>33</v>
      </c>
      <c r="G911" t="s">
        <v>69</v>
      </c>
      <c r="H911" t="s">
        <v>107</v>
      </c>
      <c r="I911" t="s">
        <v>108</v>
      </c>
      <c r="J911" t="s">
        <v>52</v>
      </c>
      <c r="K911" t="s">
        <v>83</v>
      </c>
      <c r="L911" t="s">
        <v>1420</v>
      </c>
      <c r="M911" t="s">
        <v>63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41</v>
      </c>
      <c r="U911" t="s">
        <v>132</v>
      </c>
      <c r="V911">
        <f>O911*(1-P911)*N911</f>
        <v>3510.4230000000002</v>
      </c>
      <c r="W911">
        <f t="shared" si="42"/>
        <v>1318.9230000000002</v>
      </c>
      <c r="X911">
        <f t="shared" si="43"/>
        <v>0.31952266976320443</v>
      </c>
      <c r="Y911" t="s">
        <v>4120</v>
      </c>
      <c r="Z911" s="2">
        <f>IFERROR(
  IF(ISNUMBER(B911),B911,
    IF(ISNUMBER(SEARCH("-",B911)*1),
      IF(LEN(LEFT(B911,FIND("-",B911)-1))=4,
        DATE(VALUE(LEFT(B911,4)),VALUE(MID(B911,6,2)),VALUE(RIGHT(B911,2))),
        DATE(VALUE(RIGHT(B911,4)),VALUE(MID(B911,4,2)),VALUE(LEFT(B911,2)))
      ),
      IF(ISNUMBER(SEARCH("/",B911)*1),
        DATE(VALUE(RIGHT(B911,4)),VALUE(LEFT(B911,2)),VALUE(MID(B911,4,2))),
        DATEVALUE(B911)
      )
    )
  ),
"INVALID_DATE")</f>
        <v>45522</v>
      </c>
      <c r="AA911" s="2">
        <f>IFERROR(
  IF(ISNUMBER(C911),C911,
    IF(ISNUMBER(SEARCH("-",C911)*1),
      IF(LEN(LEFT(C911,FIND("-",C911)-1))=4,
        DATE(VALUE(LEFT(C911,4)),VALUE(MID(C911,6,2)),VALUE(RIGHT(C911,2))),
        DATE(VALUE(RIGHT(C911,4)),VALUE(MID(C911,4,2)),VALUE(LEFT(C911,2)))
      ),
      IF(ISNUMBER(SEARCH("/",C911)*1),
        DATE(VALUE(RIGHT(C911,4)),VALUE(LEFT(C911,2)),VALUE(MID(C911,4,2))),
        DATEVALUE(C911)
      )
    )
  ),
"INVALID_DATE")</f>
        <v>45528</v>
      </c>
      <c r="AB911">
        <f>AA911-Z911</f>
        <v>6</v>
      </c>
      <c r="AC911" t="str">
        <f>TEXT(Z911,"mmmm")</f>
        <v>August</v>
      </c>
      <c r="AD911">
        <f>YEAR(Z911)</f>
        <v>2024</v>
      </c>
      <c r="AE911" t="str">
        <f t="shared" si="44"/>
        <v>OK</v>
      </c>
    </row>
    <row r="912" spans="1:31">
      <c r="A912" t="s">
        <v>716</v>
      </c>
      <c r="B912" t="s">
        <v>717</v>
      </c>
      <c r="C912" t="s">
        <v>718</v>
      </c>
      <c r="D912" t="s">
        <v>719</v>
      </c>
      <c r="E912" t="s">
        <v>175</v>
      </c>
      <c r="F912" t="s">
        <v>48</v>
      </c>
      <c r="G912" t="s">
        <v>720</v>
      </c>
      <c r="H912" t="s">
        <v>161</v>
      </c>
      <c r="I912" t="s">
        <v>162</v>
      </c>
      <c r="J912" t="s">
        <v>93</v>
      </c>
      <c r="K912" t="s">
        <v>101</v>
      </c>
      <c r="L912" t="s">
        <v>721</v>
      </c>
      <c r="M912" t="s">
        <v>55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131</v>
      </c>
      <c r="U912" t="s">
        <v>132</v>
      </c>
      <c r="V912">
        <f>O912*(1-P912)*N912</f>
        <v>634.13</v>
      </c>
      <c r="W912">
        <f t="shared" si="42"/>
        <v>180.77999999999997</v>
      </c>
      <c r="X912">
        <f t="shared" si="43"/>
        <v>0.22355225246392227</v>
      </c>
      <c r="Y912" t="s">
        <v>4120</v>
      </c>
      <c r="Z912" s="2">
        <f>IFERROR(
  IF(ISNUMBER(B912),B912,
    IF(ISNUMBER(SEARCH("-",B912)*1),
      IF(LEN(LEFT(B912,FIND("-",B912)-1))=4,
        DATE(VALUE(LEFT(B912,4)),VALUE(MID(B912,6,2)),VALUE(RIGHT(B912,2))),
        DATE(VALUE(RIGHT(B912,4)),VALUE(MID(B912,4,2)),VALUE(LEFT(B912,2)))
      ),
      IF(ISNUMBER(SEARCH("/",B912)*1),
        DATE(VALUE(RIGHT(B912,4)),VALUE(LEFT(B912,2)),VALUE(MID(B912,4,2))),
        DATEVALUE(B912)
      )
    )
  ),
"INVALID_DATE")</f>
        <v>45436</v>
      </c>
      <c r="AA912" s="2">
        <f>IFERROR(
  IF(ISNUMBER(C912),C912,
    IF(ISNUMBER(SEARCH("-",C912)*1),
      IF(LEN(LEFT(C912,FIND("-",C912)-1))=4,
        DATE(VALUE(LEFT(C912,4)),VALUE(MID(C912,6,2)),VALUE(RIGHT(C912,2))),
        DATE(VALUE(RIGHT(C912,4)),VALUE(MID(C912,4,2)),VALUE(LEFT(C912,2)))
      ),
      IF(ISNUMBER(SEARCH("/",C912)*1),
        DATE(VALUE(RIGHT(C912,4)),VALUE(LEFT(C912,2)),VALUE(MID(C912,4,2))),
        DATEVALUE(C912)
      )
    )
  ),
"INVALID_DATE")</f>
        <v>45437</v>
      </c>
      <c r="AB912">
        <f>AA912-Z912</f>
        <v>1</v>
      </c>
      <c r="AC912" t="str">
        <f>TEXT(Z912,"mmmm")</f>
        <v>May</v>
      </c>
      <c r="AD912">
        <f>YEAR(Z912)</f>
        <v>2024</v>
      </c>
      <c r="AE912" t="str">
        <f t="shared" si="44"/>
        <v>OK</v>
      </c>
    </row>
    <row r="913" spans="1:31">
      <c r="A913" t="s">
        <v>1705</v>
      </c>
      <c r="B913" t="s">
        <v>1706</v>
      </c>
      <c r="C913" t="s">
        <v>1707</v>
      </c>
      <c r="D913" t="s">
        <v>1708</v>
      </c>
      <c r="E913" t="s">
        <v>155</v>
      </c>
      <c r="F913" t="s">
        <v>122</v>
      </c>
      <c r="G913" t="s">
        <v>80</v>
      </c>
      <c r="H913" t="s">
        <v>91</v>
      </c>
      <c r="I913" t="s">
        <v>92</v>
      </c>
      <c r="J913" t="s">
        <v>37</v>
      </c>
      <c r="K913" t="s">
        <v>38</v>
      </c>
      <c r="L913" t="s">
        <v>1709</v>
      </c>
      <c r="M913" t="s">
        <v>63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41</v>
      </c>
      <c r="U913" t="s">
        <v>132</v>
      </c>
      <c r="V913">
        <f>O913*(1-P913)*N913</f>
        <v>11581.298999999999</v>
      </c>
      <c r="W913">
        <f t="shared" si="42"/>
        <v>4751.8689999999988</v>
      </c>
      <c r="X913">
        <f t="shared" si="43"/>
        <v>0.40342872861289564</v>
      </c>
      <c r="Y913" t="s">
        <v>4120</v>
      </c>
      <c r="Z913" s="2">
        <f>IFERROR(
  IF(ISNUMBER(B913),B913,
    IF(ISNUMBER(SEARCH("-",B913)*1),
      IF(LEN(LEFT(B913,FIND("-",B913)-1))=4,
        DATE(VALUE(LEFT(B913,4)),VALUE(MID(B913,6,2)),VALUE(RIGHT(B913,2))),
        DATE(VALUE(RIGHT(B913,4)),VALUE(MID(B913,4,2)),VALUE(LEFT(B913,2)))
      ),
      IF(ISNUMBER(SEARCH("/",B913)*1),
        DATE(VALUE(RIGHT(B913,4)),VALUE(LEFT(B913,2)),VALUE(MID(B913,4,2))),
        DATEVALUE(B913)
      )
    )
  ),
"INVALID_DATE")</f>
        <v>45824</v>
      </c>
      <c r="AA913" s="2">
        <f>IFERROR(
  IF(ISNUMBER(C913),C913,
    IF(ISNUMBER(SEARCH("-",C913)*1),
      IF(LEN(LEFT(C913,FIND("-",C913)-1))=4,
        DATE(VALUE(LEFT(C913,4)),VALUE(MID(C913,6,2)),VALUE(RIGHT(C913,2))),
        DATE(VALUE(RIGHT(C913,4)),VALUE(MID(C913,4,2)),VALUE(LEFT(C913,2)))
      ),
      IF(ISNUMBER(SEARCH("/",C913)*1),
        DATE(VALUE(RIGHT(C913,4)),VALUE(LEFT(C913,2)),VALUE(MID(C913,4,2))),
        DATEVALUE(C913)
      )
    )
  ),
"INVALID_DATE")</f>
        <v>45826</v>
      </c>
      <c r="AB913">
        <f>AA913-Z913</f>
        <v>2</v>
      </c>
      <c r="AC913" t="str">
        <f>TEXT(Z913,"mmmm")</f>
        <v>June</v>
      </c>
      <c r="AD913">
        <f>YEAR(Z913)</f>
        <v>2025</v>
      </c>
      <c r="AE913" t="str">
        <f t="shared" si="44"/>
        <v>OK</v>
      </c>
    </row>
  </sheetData>
  <autoFilter ref="A1:AE913" xr:uid="{22049C5E-C12C-474D-A8F7-4985982654A4}"/>
  <conditionalFormatting sqref="C2:C913">
    <cfRule type="expression" dxfId="5" priority="4">
      <formula>C2&lt;B2</formula>
    </cfRule>
  </conditionalFormatting>
  <conditionalFormatting sqref="G2:G913">
    <cfRule type="expression" dxfId="4" priority="5">
      <formula>G2="Unknown"</formula>
    </cfRule>
  </conditionalFormatting>
  <conditionalFormatting sqref="M2:M913">
    <cfRule type="expression" dxfId="3" priority="6">
      <formula>M2="Unknown"</formula>
    </cfRule>
  </conditionalFormatting>
  <conditionalFormatting sqref="P2:P913">
    <cfRule type="expression" dxfId="2" priority="2">
      <formula>P2&lt;0</formula>
    </cfRule>
    <cfRule type="expression" dxfId="1" priority="3">
      <formula>P2&gt;0.7</formula>
    </cfRule>
  </conditionalFormatting>
  <conditionalFormatting sqref="A1:A91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2B581-7488-4E51-A783-3F52D1725C2A}">
  <dimension ref="A1:B11"/>
  <sheetViews>
    <sheetView workbookViewId="0">
      <selection activeCell="B6" sqref="B6"/>
    </sheetView>
  </sheetViews>
  <sheetFormatPr defaultRowHeight="14.4"/>
  <cols>
    <col min="1" max="2" width="28.109375" customWidth="1"/>
  </cols>
  <sheetData>
    <row r="1" spans="1:2">
      <c r="A1" s="1" t="s">
        <v>4098</v>
      </c>
      <c r="B1" s="1" t="s">
        <v>4099</v>
      </c>
    </row>
    <row r="2" spans="1:2" ht="43.2">
      <c r="A2" s="3" t="s">
        <v>4100</v>
      </c>
      <c r="B2" s="3" t="s">
        <v>4101</v>
      </c>
    </row>
    <row r="3" spans="1:2" ht="28.8">
      <c r="A3" s="3" t="s">
        <v>4102</v>
      </c>
      <c r="B3" s="3" t="s">
        <v>4103</v>
      </c>
    </row>
    <row r="4" spans="1:2" ht="28.8">
      <c r="A4" s="3" t="s">
        <v>4104</v>
      </c>
      <c r="B4" s="3" t="s">
        <v>4103</v>
      </c>
    </row>
    <row r="5" spans="1:2" ht="28.8">
      <c r="A5" s="3" t="s">
        <v>4105</v>
      </c>
      <c r="B5" s="3" t="s">
        <v>4106</v>
      </c>
    </row>
    <row r="6" spans="1:2" ht="43.2">
      <c r="A6" s="3" t="s">
        <v>4107</v>
      </c>
      <c r="B6" s="3" t="s">
        <v>4108</v>
      </c>
    </row>
    <row r="7" spans="1:2" ht="57.6">
      <c r="A7" s="3" t="s">
        <v>4109</v>
      </c>
      <c r="B7" s="3" t="s">
        <v>4110</v>
      </c>
    </row>
    <row r="8" spans="1:2" ht="28.8">
      <c r="A8" s="3" t="s">
        <v>4111</v>
      </c>
      <c r="B8" s="3" t="s">
        <v>4112</v>
      </c>
    </row>
    <row r="9" spans="1:2" ht="43.2">
      <c r="A9" s="3" t="s">
        <v>4113</v>
      </c>
      <c r="B9" s="3" t="s">
        <v>4114</v>
      </c>
    </row>
    <row r="10" spans="1:2" ht="72">
      <c r="A10" s="3" t="s">
        <v>4115</v>
      </c>
      <c r="B10" s="3" t="s">
        <v>4116</v>
      </c>
    </row>
    <row r="11" spans="1:2" ht="43.2">
      <c r="A11" s="3" t="s">
        <v>4117</v>
      </c>
      <c r="B11" s="3" t="s">
        <v>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cleaned_orders</vt:lpstr>
      <vt:lpstr>dup_check</vt:lpstr>
      <vt:lpstr>business_rules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Jayitaa Baing</dc:creator>
  <cp:lastModifiedBy>Jayitaa Baing</cp:lastModifiedBy>
  <dcterms:created xsi:type="dcterms:W3CDTF">2026-06-28T12:34:21Z</dcterms:created>
  <dcterms:modified xsi:type="dcterms:W3CDTF">2026-06-28T13:16:12Z</dcterms:modified>
</cp:coreProperties>
</file>